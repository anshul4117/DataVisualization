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Marksheet" sheetId="3" r:id="rId7"/>
    <sheet state="visible" name="class_x" sheetId="4" r:id="rId8"/>
  </sheets>
  <definedNames/>
  <calcPr/>
</workbook>
</file>

<file path=xl/sharedStrings.xml><?xml version="1.0" encoding="utf-8"?>
<sst xmlns="http://schemas.openxmlformats.org/spreadsheetml/2006/main" count="4414" uniqueCount="3">
  <si>
    <t>Marks Obtained</t>
  </si>
  <si>
    <t>Percentage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</si>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</sst>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1" t="str">
        <f>IFERROR(__xludf.DUMMYFUNCTION("importrange(""https://docs.google.com/spreadsheets/d/1M37DjHnPN95tzUOEE8wSni2R2lc875SF1Wepiuuu3lM/"",""'Students Data'!A1:K2001"")"),"Student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IFERROR(__xludf.DUMMYFUNCTION("""COMPUTED_VALUE"""),"Section")</f>
        <v>Section</v>
      </c>
      <c r="E1" s="1" t="str">
        <f>IFERROR(__xludf.DUMMYFUNCTION("""COMPUTED_VALUE"""),"Gender")</f>
        <v>Gender</v>
      </c>
      <c r="F1" s="1" t="str">
        <f>IFERROR(__xludf.DUMMYFUNCTION("""COMPUTED_VALUE"""),"Attendance (%)")</f>
        <v>Attendance (%)</v>
      </c>
      <c r="G1" s="1" t="str">
        <f>IFERROR(__xludf.DUMMYFUNCTION("""COMPUTED_VALUE"""),"Hindi")</f>
        <v>Hindi</v>
      </c>
      <c r="H1" s="1" t="str">
        <f>IFERROR(__xludf.DUMMYFUNCTION("""COMPUTED_VALUE"""),"English")</f>
        <v>English</v>
      </c>
      <c r="I1" s="1" t="str">
        <f>IFERROR(__xludf.DUMMYFUNCTION("""COMPUTED_VALUE"""),"Science")</f>
        <v>Science</v>
      </c>
      <c r="J1" s="1" t="str">
        <f>IFERROR(__xludf.DUMMYFUNCTION("""COMPUTED_VALUE"""),"Maths")</f>
        <v>Maths</v>
      </c>
      <c r="K1" s="1" t="str">
        <f>IFERROR(__xludf.DUMMYFUNCTION("""COMPUTED_VALUE"""),"Computer")</f>
        <v>Computer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 t="str">
        <f>IFERROR(__xludf.DUMMYFUNCTION("""COMPUTED_VALUE"""),"A")</f>
        <v>A</v>
      </c>
      <c r="E2" s="1" t="str">
        <f>IFERROR(__xludf.DUMMYFUNCTION("""COMPUTED_VALUE"""),"Female")</f>
        <v>Female</v>
      </c>
      <c r="F2" s="1">
        <f>IFERROR(__xludf.DUMMYFUNCTION("""COMPUTED_VALUE"""),67.0)</f>
        <v>67</v>
      </c>
      <c r="G2" s="1">
        <f>IFERROR(__xludf.DUMMYFUNCTION("""COMPUTED_VALUE"""),90.0)</f>
        <v>90</v>
      </c>
      <c r="H2" s="1">
        <f>IFERROR(__xludf.DUMMYFUNCTION("""COMPUTED_VALUE"""),56.0)</f>
        <v>56</v>
      </c>
      <c r="I2" s="1">
        <f>IFERROR(__xludf.DUMMYFUNCTION("""COMPUTED_VALUE"""),78.0)</f>
        <v>78</v>
      </c>
      <c r="J2" s="1">
        <f>IFERROR(__xludf.DUMMYFUNCTION("""COMPUTED_VALUE"""),45.0)</f>
        <v>45</v>
      </c>
      <c r="K2" s="1">
        <f>IFERROR(__xludf.DUMMYFUNCTION("""COMPUTED_VALUE"""),67.0)</f>
        <v>67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 t="str">
        <f>IFERROR(__xludf.DUMMYFUNCTION("""COMPUTED_VALUE"""),"A")</f>
        <v>A</v>
      </c>
      <c r="E3" s="1" t="str">
        <f>IFERROR(__xludf.DUMMYFUNCTION("""COMPUTED_VALUE"""),"Male")</f>
        <v>Male</v>
      </c>
      <c r="F3" s="1">
        <f>IFERROR(__xludf.DUMMYFUNCTION("""COMPUTED_VALUE"""),87.0)</f>
        <v>87</v>
      </c>
      <c r="G3" s="1">
        <f>IFERROR(__xludf.DUMMYFUNCTION("""COMPUTED_VALUE"""),67.0)</f>
        <v>67</v>
      </c>
      <c r="H3" s="1">
        <f>IFERROR(__xludf.DUMMYFUNCTION("""COMPUTED_VALUE"""),45.0)</f>
        <v>45</v>
      </c>
      <c r="I3" s="1">
        <f>IFERROR(__xludf.DUMMYFUNCTION("""COMPUTED_VALUE"""),46.0)</f>
        <v>46</v>
      </c>
      <c r="J3" s="1">
        <f>IFERROR(__xludf.DUMMYFUNCTION("""COMPUTED_VALUE"""),53.0)</f>
        <v>53</v>
      </c>
      <c r="K3" s="1">
        <f>IFERROR(__xludf.DUMMYFUNCTION("""COMPUTED_VALUE"""),86.0)</f>
        <v>86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 t="str">
        <f>IFERROR(__xludf.DUMMYFUNCTION("""COMPUTED_VALUE"""),"C")</f>
        <v>C</v>
      </c>
      <c r="E4" s="1" t="str">
        <f>IFERROR(__xludf.DUMMYFUNCTION("""COMPUTED_VALUE"""),"Male")</f>
        <v>Male</v>
      </c>
      <c r="F4" s="1">
        <f>IFERROR(__xludf.DUMMYFUNCTION("""COMPUTED_VALUE"""),15.0)</f>
        <v>15</v>
      </c>
      <c r="G4" s="1">
        <f>IFERROR(__xludf.DUMMYFUNCTION("""COMPUTED_VALUE"""),68.0)</f>
        <v>68</v>
      </c>
      <c r="H4" s="1">
        <f>IFERROR(__xludf.DUMMYFUNCTION("""COMPUTED_VALUE"""),49.0)</f>
        <v>49</v>
      </c>
      <c r="I4" s="1">
        <f>IFERROR(__xludf.DUMMYFUNCTION("""COMPUTED_VALUE"""),59.0)</f>
        <v>59</v>
      </c>
      <c r="J4" s="1">
        <f>IFERROR(__xludf.DUMMYFUNCTION("""COMPUTED_VALUE"""),59.0)</f>
        <v>59</v>
      </c>
      <c r="K4" s="1">
        <f>IFERROR(__xludf.DUMMYFUNCTION("""COMPUTED_VALUE"""),48.0)</f>
        <v>48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 t="str">
        <f>IFERROR(__xludf.DUMMYFUNCTION("""COMPUTED_VALUE"""),"B")</f>
        <v>B</v>
      </c>
      <c r="E5" s="1" t="str">
        <f>IFERROR(__xludf.DUMMYFUNCTION("""COMPUTED_VALUE"""),"Male")</f>
        <v>Male</v>
      </c>
      <c r="F5" s="1">
        <f>IFERROR(__xludf.DUMMYFUNCTION("""COMPUTED_VALUE"""),85.0)</f>
        <v>85</v>
      </c>
      <c r="G5" s="1">
        <f>IFERROR(__xludf.DUMMYFUNCTION("""COMPUTED_VALUE"""),28.0)</f>
        <v>28</v>
      </c>
      <c r="H5" s="1">
        <f>IFERROR(__xludf.DUMMYFUNCTION("""COMPUTED_VALUE"""),28.0)</f>
        <v>28</v>
      </c>
      <c r="I5" s="1">
        <f>IFERROR(__xludf.DUMMYFUNCTION("""COMPUTED_VALUE"""),72.0)</f>
        <v>72</v>
      </c>
      <c r="J5" s="1">
        <f>IFERROR(__xludf.DUMMYFUNCTION("""COMPUTED_VALUE"""),25.0)</f>
        <v>25</v>
      </c>
      <c r="K5" s="1">
        <f>IFERROR(__xludf.DUMMYFUNCTION("""COMPUTED_VALUE"""),94.0)</f>
        <v>94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 t="str">
        <f>IFERROR(__xludf.DUMMYFUNCTION("""COMPUTED_VALUE"""),"D")</f>
        <v>D</v>
      </c>
      <c r="E6" s="1" t="str">
        <f>IFERROR(__xludf.DUMMYFUNCTION("""COMPUTED_VALUE"""),"Female")</f>
        <v>Female</v>
      </c>
      <c r="F6" s="1">
        <f>IFERROR(__xludf.DUMMYFUNCTION("""COMPUTED_VALUE"""),93.0)</f>
        <v>93</v>
      </c>
      <c r="G6" s="1">
        <f>IFERROR(__xludf.DUMMYFUNCTION("""COMPUTED_VALUE"""),97.0)</f>
        <v>97</v>
      </c>
      <c r="H6" s="1">
        <f>IFERROR(__xludf.DUMMYFUNCTION("""COMPUTED_VALUE"""),92.0)</f>
        <v>92</v>
      </c>
      <c r="I6" s="1">
        <f>IFERROR(__xludf.DUMMYFUNCTION("""COMPUTED_VALUE"""),49.0)</f>
        <v>49</v>
      </c>
      <c r="J6" s="1">
        <f>IFERROR(__xludf.DUMMYFUNCTION("""COMPUTED_VALUE"""),67.0)</f>
        <v>67</v>
      </c>
      <c r="K6" s="1">
        <f>IFERROR(__xludf.DUMMYFUNCTION("""COMPUTED_VALUE"""),30.0)</f>
        <v>30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 t="str">
        <f>IFERROR(__xludf.DUMMYFUNCTION("""COMPUTED_VALUE"""),"A")</f>
        <v>A</v>
      </c>
      <c r="E7" s="1" t="str">
        <f>IFERROR(__xludf.DUMMYFUNCTION("""COMPUTED_VALUE"""),"Male")</f>
        <v>Male</v>
      </c>
      <c r="F7" s="1">
        <f>IFERROR(__xludf.DUMMYFUNCTION("""COMPUTED_VALUE"""),100.0)</f>
        <v>100</v>
      </c>
      <c r="G7" s="1">
        <f>IFERROR(__xludf.DUMMYFUNCTION("""COMPUTED_VALUE"""),56.0)</f>
        <v>56</v>
      </c>
      <c r="H7" s="1">
        <f>IFERROR(__xludf.DUMMYFUNCTION("""COMPUTED_VALUE"""),78.0)</f>
        <v>78</v>
      </c>
      <c r="I7" s="1">
        <f>IFERROR(__xludf.DUMMYFUNCTION("""COMPUTED_VALUE"""),30.0)</f>
        <v>30</v>
      </c>
      <c r="J7" s="1">
        <f>IFERROR(__xludf.DUMMYFUNCTION("""COMPUTED_VALUE"""),37.0)</f>
        <v>37</v>
      </c>
      <c r="K7" s="1">
        <f>IFERROR(__xludf.DUMMYFUNCTION("""COMPUTED_VALUE"""),74.0)</f>
        <v>74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 t="str">
        <f>IFERROR(__xludf.DUMMYFUNCTION("""COMPUTED_VALUE"""),"D")</f>
        <v>D</v>
      </c>
      <c r="E8" s="1" t="str">
        <f>IFERROR(__xludf.DUMMYFUNCTION("""COMPUTED_VALUE"""),"Male")</f>
        <v>Male</v>
      </c>
      <c r="F8" s="1">
        <f>IFERROR(__xludf.DUMMYFUNCTION("""COMPUTED_VALUE"""),20.0)</f>
        <v>20</v>
      </c>
      <c r="G8" s="1">
        <f>IFERROR(__xludf.DUMMYFUNCTION("""COMPUTED_VALUE"""),21.0)</f>
        <v>21</v>
      </c>
      <c r="H8" s="1">
        <f>IFERROR(__xludf.DUMMYFUNCTION("""COMPUTED_VALUE"""),34.0)</f>
        <v>34</v>
      </c>
      <c r="I8" s="1">
        <f>IFERROR(__xludf.DUMMYFUNCTION("""COMPUTED_VALUE"""),95.0)</f>
        <v>95</v>
      </c>
      <c r="J8" s="1">
        <f>IFERROR(__xludf.DUMMYFUNCTION("""COMPUTED_VALUE"""),96.0)</f>
        <v>96</v>
      </c>
      <c r="K8" s="1">
        <f>IFERROR(__xludf.DUMMYFUNCTION("""COMPUTED_VALUE"""),78.0)</f>
        <v>78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 t="str">
        <f>IFERROR(__xludf.DUMMYFUNCTION("""COMPUTED_VALUE"""),"B")</f>
        <v>B</v>
      </c>
      <c r="E9" s="1" t="str">
        <f>IFERROR(__xludf.DUMMYFUNCTION("""COMPUTED_VALUE"""),"Male")</f>
        <v>Male</v>
      </c>
      <c r="F9" s="1">
        <f>IFERROR(__xludf.DUMMYFUNCTION("""COMPUTED_VALUE"""),57.0)</f>
        <v>57</v>
      </c>
      <c r="G9" s="1">
        <f>IFERROR(__xludf.DUMMYFUNCTION("""COMPUTED_VALUE"""),63.0)</f>
        <v>63</v>
      </c>
      <c r="H9" s="1">
        <f>IFERROR(__xludf.DUMMYFUNCTION("""COMPUTED_VALUE"""),41.0)</f>
        <v>41</v>
      </c>
      <c r="I9" s="1">
        <f>IFERROR(__xludf.DUMMYFUNCTION("""COMPUTED_VALUE"""),34.0)</f>
        <v>34</v>
      </c>
      <c r="J9" s="1">
        <f>IFERROR(__xludf.DUMMYFUNCTION("""COMPUTED_VALUE"""),66.0)</f>
        <v>66</v>
      </c>
      <c r="K9" s="1">
        <f>IFERROR(__xludf.DUMMYFUNCTION("""COMPUTED_VALUE"""),47.0)</f>
        <v>47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 t="str">
        <f>IFERROR(__xludf.DUMMYFUNCTION("""COMPUTED_VALUE"""),"C")</f>
        <v>C</v>
      </c>
      <c r="E10" s="1" t="str">
        <f>IFERROR(__xludf.DUMMYFUNCTION("""COMPUTED_VALUE"""),"Male")</f>
        <v>Male</v>
      </c>
      <c r="F10" s="1">
        <f>IFERROR(__xludf.DUMMYFUNCTION("""COMPUTED_VALUE"""),98.0)</f>
        <v>98</v>
      </c>
      <c r="G10" s="1">
        <f>IFERROR(__xludf.DUMMYFUNCTION("""COMPUTED_VALUE"""),97.0)</f>
        <v>97</v>
      </c>
      <c r="H10" s="1">
        <f>IFERROR(__xludf.DUMMYFUNCTION("""COMPUTED_VALUE"""),64.0)</f>
        <v>64</v>
      </c>
      <c r="I10" s="1">
        <f>IFERROR(__xludf.DUMMYFUNCTION("""COMPUTED_VALUE"""),75.0)</f>
        <v>75</v>
      </c>
      <c r="J10" s="1">
        <f>IFERROR(__xludf.DUMMYFUNCTION("""COMPUTED_VALUE"""),23.0)</f>
        <v>23</v>
      </c>
      <c r="K10" s="1">
        <f>IFERROR(__xludf.DUMMYFUNCTION("""COMPUTED_VALUE"""),78.0)</f>
        <v>78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 t="str">
        <f>IFERROR(__xludf.DUMMYFUNCTION("""COMPUTED_VALUE"""),"C")</f>
        <v>C</v>
      </c>
      <c r="E11" s="1" t="str">
        <f>IFERROR(__xludf.DUMMYFUNCTION("""COMPUTED_VALUE"""),"Female")</f>
        <v>Female</v>
      </c>
      <c r="F11" s="1">
        <f>IFERROR(__xludf.DUMMYFUNCTION("""COMPUTED_VALUE"""),37.0)</f>
        <v>37</v>
      </c>
      <c r="G11" s="1">
        <f>IFERROR(__xludf.DUMMYFUNCTION("""COMPUTED_VALUE"""),42.0)</f>
        <v>42</v>
      </c>
      <c r="H11" s="1">
        <f>IFERROR(__xludf.DUMMYFUNCTION("""COMPUTED_VALUE"""),93.0)</f>
        <v>93</v>
      </c>
      <c r="I11" s="1">
        <f>IFERROR(__xludf.DUMMYFUNCTION("""COMPUTED_VALUE"""),75.0)</f>
        <v>75</v>
      </c>
      <c r="J11" s="1">
        <f>IFERROR(__xludf.DUMMYFUNCTION("""COMPUTED_VALUE"""),84.0)</f>
        <v>84</v>
      </c>
      <c r="K11" s="1">
        <f>IFERROR(__xludf.DUMMYFUNCTION("""COMPUTED_VALUE"""),79.0)</f>
        <v>79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 t="str">
        <f>IFERROR(__xludf.DUMMYFUNCTION("""COMPUTED_VALUE"""),"D")</f>
        <v>D</v>
      </c>
      <c r="E12" s="1" t="str">
        <f>IFERROR(__xludf.DUMMYFUNCTION("""COMPUTED_VALUE"""),"Female")</f>
        <v>Female</v>
      </c>
      <c r="F12" s="1">
        <f>IFERROR(__xludf.DUMMYFUNCTION("""COMPUTED_VALUE"""),38.0)</f>
        <v>38</v>
      </c>
      <c r="G12" s="1">
        <f>IFERROR(__xludf.DUMMYFUNCTION("""COMPUTED_VALUE"""),21.0)</f>
        <v>21</v>
      </c>
      <c r="H12" s="1">
        <f>IFERROR(__xludf.DUMMYFUNCTION("""COMPUTED_VALUE"""),53.0)</f>
        <v>53</v>
      </c>
      <c r="I12" s="1">
        <f>IFERROR(__xludf.DUMMYFUNCTION("""COMPUTED_VALUE"""),32.0)</f>
        <v>32</v>
      </c>
      <c r="J12" s="1">
        <f>IFERROR(__xludf.DUMMYFUNCTION("""COMPUTED_VALUE"""),54.0)</f>
        <v>54</v>
      </c>
      <c r="K12" s="1">
        <f>IFERROR(__xludf.DUMMYFUNCTION("""COMPUTED_VALUE"""),41.0)</f>
        <v>41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 t="str">
        <f>IFERROR(__xludf.DUMMYFUNCTION("""COMPUTED_VALUE"""),"A")</f>
        <v>A</v>
      </c>
      <c r="E13" s="1" t="str">
        <f>IFERROR(__xludf.DUMMYFUNCTION("""COMPUTED_VALUE"""),"Male")</f>
        <v>Male</v>
      </c>
      <c r="F13" s="1">
        <f>IFERROR(__xludf.DUMMYFUNCTION("""COMPUTED_VALUE"""),90.0)</f>
        <v>90</v>
      </c>
      <c r="G13" s="1">
        <f>IFERROR(__xludf.DUMMYFUNCTION("""COMPUTED_VALUE"""),75.0)</f>
        <v>75</v>
      </c>
      <c r="H13" s="1">
        <f>IFERROR(__xludf.DUMMYFUNCTION("""COMPUTED_VALUE"""),74.0)</f>
        <v>74</v>
      </c>
      <c r="I13" s="1">
        <f>IFERROR(__xludf.DUMMYFUNCTION("""COMPUTED_VALUE"""),63.0)</f>
        <v>63</v>
      </c>
      <c r="J13" s="1">
        <f>IFERROR(__xludf.DUMMYFUNCTION("""COMPUTED_VALUE"""),91.0)</f>
        <v>91</v>
      </c>
      <c r="K13" s="1">
        <f>IFERROR(__xludf.DUMMYFUNCTION("""COMPUTED_VALUE"""),41.0)</f>
        <v>41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 t="str">
        <f>IFERROR(__xludf.DUMMYFUNCTION("""COMPUTED_VALUE"""),"B")</f>
        <v>B</v>
      </c>
      <c r="E14" s="1" t="str">
        <f>IFERROR(__xludf.DUMMYFUNCTION("""COMPUTED_VALUE"""),"Female")</f>
        <v>Female</v>
      </c>
      <c r="F14" s="1">
        <f>IFERROR(__xludf.DUMMYFUNCTION("""COMPUTED_VALUE"""),51.0)</f>
        <v>51</v>
      </c>
      <c r="G14" s="1">
        <f>IFERROR(__xludf.DUMMYFUNCTION("""COMPUTED_VALUE"""),50.0)</f>
        <v>50</v>
      </c>
      <c r="H14" s="1">
        <f>IFERROR(__xludf.DUMMYFUNCTION("""COMPUTED_VALUE"""),69.0)</f>
        <v>69</v>
      </c>
      <c r="I14" s="1">
        <f>IFERROR(__xludf.DUMMYFUNCTION("""COMPUTED_VALUE"""),64.0)</f>
        <v>64</v>
      </c>
      <c r="J14" s="1">
        <f>IFERROR(__xludf.DUMMYFUNCTION("""COMPUTED_VALUE"""),69.0)</f>
        <v>69</v>
      </c>
      <c r="K14" s="1">
        <f>IFERROR(__xludf.DUMMYFUNCTION("""COMPUTED_VALUE"""),86.0)</f>
        <v>86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 t="str">
        <f>IFERROR(__xludf.DUMMYFUNCTION("""COMPUTED_VALUE"""),"B")</f>
        <v>B</v>
      </c>
      <c r="E15" s="1" t="str">
        <f>IFERROR(__xludf.DUMMYFUNCTION("""COMPUTED_VALUE"""),"Male")</f>
        <v>Male</v>
      </c>
      <c r="F15" s="1">
        <f>IFERROR(__xludf.DUMMYFUNCTION("""COMPUTED_VALUE"""),21.0)</f>
        <v>21</v>
      </c>
      <c r="G15" s="1">
        <f>IFERROR(__xludf.DUMMYFUNCTION("""COMPUTED_VALUE"""),97.0)</f>
        <v>97</v>
      </c>
      <c r="H15" s="1">
        <f>IFERROR(__xludf.DUMMYFUNCTION("""COMPUTED_VALUE"""),77.0)</f>
        <v>77</v>
      </c>
      <c r="I15" s="1">
        <f>IFERROR(__xludf.DUMMYFUNCTION("""COMPUTED_VALUE"""),30.0)</f>
        <v>30</v>
      </c>
      <c r="J15" s="1">
        <f>IFERROR(__xludf.DUMMYFUNCTION("""COMPUTED_VALUE"""),52.0)</f>
        <v>52</v>
      </c>
      <c r="K15" s="1">
        <f>IFERROR(__xludf.DUMMYFUNCTION("""COMPUTED_VALUE"""),95.0)</f>
        <v>95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 t="str">
        <f>IFERROR(__xludf.DUMMYFUNCTION("""COMPUTED_VALUE"""),"C")</f>
        <v>C</v>
      </c>
      <c r="E16" s="1" t="str">
        <f>IFERROR(__xludf.DUMMYFUNCTION("""COMPUTED_VALUE"""),"Female")</f>
        <v>Female</v>
      </c>
      <c r="F16" s="1">
        <f>IFERROR(__xludf.DUMMYFUNCTION("""COMPUTED_VALUE"""),67.0)</f>
        <v>67</v>
      </c>
      <c r="G16" s="1">
        <f>IFERROR(__xludf.DUMMYFUNCTION("""COMPUTED_VALUE"""),60.0)</f>
        <v>60</v>
      </c>
      <c r="H16" s="1">
        <f>IFERROR(__xludf.DUMMYFUNCTION("""COMPUTED_VALUE"""),72.0)</f>
        <v>72</v>
      </c>
      <c r="I16" s="1">
        <f>IFERROR(__xludf.DUMMYFUNCTION("""COMPUTED_VALUE"""),76.0)</f>
        <v>76</v>
      </c>
      <c r="J16" s="1">
        <f>IFERROR(__xludf.DUMMYFUNCTION("""COMPUTED_VALUE"""),45.0)</f>
        <v>45</v>
      </c>
      <c r="K16" s="1">
        <f>IFERROR(__xludf.DUMMYFUNCTION("""COMPUTED_VALUE"""),76.0)</f>
        <v>76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 t="str">
        <f>IFERROR(__xludf.DUMMYFUNCTION("""COMPUTED_VALUE"""),"A")</f>
        <v>A</v>
      </c>
      <c r="E17" s="1" t="str">
        <f>IFERROR(__xludf.DUMMYFUNCTION("""COMPUTED_VALUE"""),"Male")</f>
        <v>Male</v>
      </c>
      <c r="F17" s="1">
        <f>IFERROR(__xludf.DUMMYFUNCTION("""COMPUTED_VALUE"""),60.0)</f>
        <v>60</v>
      </c>
      <c r="G17" s="1">
        <f>IFERROR(__xludf.DUMMYFUNCTION("""COMPUTED_VALUE"""),99.0)</f>
        <v>99</v>
      </c>
      <c r="H17" s="1">
        <f>IFERROR(__xludf.DUMMYFUNCTION("""COMPUTED_VALUE"""),21.0)</f>
        <v>21</v>
      </c>
      <c r="I17" s="1">
        <f>IFERROR(__xludf.DUMMYFUNCTION("""COMPUTED_VALUE"""),73.0)</f>
        <v>73</v>
      </c>
      <c r="J17" s="1">
        <f>IFERROR(__xludf.DUMMYFUNCTION("""COMPUTED_VALUE"""),73.0)</f>
        <v>73</v>
      </c>
      <c r="K17" s="1">
        <f>IFERROR(__xludf.DUMMYFUNCTION("""COMPUTED_VALUE"""),71.0)</f>
        <v>71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 t="str">
        <f>IFERROR(__xludf.DUMMYFUNCTION("""COMPUTED_VALUE"""),"A")</f>
        <v>A</v>
      </c>
      <c r="E18" s="1" t="str">
        <f>IFERROR(__xludf.DUMMYFUNCTION("""COMPUTED_VALUE"""),"Male")</f>
        <v>Male</v>
      </c>
      <c r="F18" s="1">
        <f>IFERROR(__xludf.DUMMYFUNCTION("""COMPUTED_VALUE"""),86.0)</f>
        <v>86</v>
      </c>
      <c r="G18" s="1">
        <f>IFERROR(__xludf.DUMMYFUNCTION("""COMPUTED_VALUE"""),20.0)</f>
        <v>20</v>
      </c>
      <c r="H18" s="1">
        <f>IFERROR(__xludf.DUMMYFUNCTION("""COMPUTED_VALUE"""),93.0)</f>
        <v>93</v>
      </c>
      <c r="I18" s="1">
        <f>IFERROR(__xludf.DUMMYFUNCTION("""COMPUTED_VALUE"""),75.0)</f>
        <v>75</v>
      </c>
      <c r="J18" s="1">
        <f>IFERROR(__xludf.DUMMYFUNCTION("""COMPUTED_VALUE"""),64.0)</f>
        <v>64</v>
      </c>
      <c r="K18" s="1">
        <f>IFERROR(__xludf.DUMMYFUNCTION("""COMPUTED_VALUE"""),21.0)</f>
        <v>21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 t="str">
        <f>IFERROR(__xludf.DUMMYFUNCTION("""COMPUTED_VALUE"""),"A")</f>
        <v>A</v>
      </c>
      <c r="E19" s="1" t="str">
        <f>IFERROR(__xludf.DUMMYFUNCTION("""COMPUTED_VALUE"""),"Male")</f>
        <v>Male</v>
      </c>
      <c r="F19" s="1">
        <f>IFERROR(__xludf.DUMMYFUNCTION("""COMPUTED_VALUE"""),75.0)</f>
        <v>75</v>
      </c>
      <c r="G19" s="1">
        <f>IFERROR(__xludf.DUMMYFUNCTION("""COMPUTED_VALUE"""),86.0)</f>
        <v>86</v>
      </c>
      <c r="H19" s="1">
        <f>IFERROR(__xludf.DUMMYFUNCTION("""COMPUTED_VALUE"""),60.0)</f>
        <v>60</v>
      </c>
      <c r="I19" s="1">
        <f>IFERROR(__xludf.DUMMYFUNCTION("""COMPUTED_VALUE"""),50.0)</f>
        <v>50</v>
      </c>
      <c r="J19" s="1">
        <f>IFERROR(__xludf.DUMMYFUNCTION("""COMPUTED_VALUE"""),60.0)</f>
        <v>60</v>
      </c>
      <c r="K19" s="1">
        <f>IFERROR(__xludf.DUMMYFUNCTION("""COMPUTED_VALUE"""),80.0)</f>
        <v>80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 t="str">
        <f>IFERROR(__xludf.DUMMYFUNCTION("""COMPUTED_VALUE"""),"A")</f>
        <v>A</v>
      </c>
      <c r="E20" s="1" t="str">
        <f>IFERROR(__xludf.DUMMYFUNCTION("""COMPUTED_VALUE"""),"Female")</f>
        <v>Female</v>
      </c>
      <c r="F20" s="1">
        <f>IFERROR(__xludf.DUMMYFUNCTION("""COMPUTED_VALUE"""),20.0)</f>
        <v>20</v>
      </c>
      <c r="G20" s="1">
        <f>IFERROR(__xludf.DUMMYFUNCTION("""COMPUTED_VALUE"""),59.0)</f>
        <v>59</v>
      </c>
      <c r="H20" s="1">
        <f>IFERROR(__xludf.DUMMYFUNCTION("""COMPUTED_VALUE"""),31.0)</f>
        <v>31</v>
      </c>
      <c r="I20" s="1">
        <f>IFERROR(__xludf.DUMMYFUNCTION("""COMPUTED_VALUE"""),44.0)</f>
        <v>44</v>
      </c>
      <c r="J20" s="1">
        <f>IFERROR(__xludf.DUMMYFUNCTION("""COMPUTED_VALUE"""),64.0)</f>
        <v>64</v>
      </c>
      <c r="K20" s="1">
        <f>IFERROR(__xludf.DUMMYFUNCTION("""COMPUTED_VALUE"""),87.0)</f>
        <v>87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 t="str">
        <f>IFERROR(__xludf.DUMMYFUNCTION("""COMPUTED_VALUE"""),"A")</f>
        <v>A</v>
      </c>
      <c r="E21" s="1" t="str">
        <f>IFERROR(__xludf.DUMMYFUNCTION("""COMPUTED_VALUE"""),"Female")</f>
        <v>Female</v>
      </c>
      <c r="F21" s="1">
        <f>IFERROR(__xludf.DUMMYFUNCTION("""COMPUTED_VALUE"""),12.0)</f>
        <v>12</v>
      </c>
      <c r="G21" s="1">
        <f>IFERROR(__xludf.DUMMYFUNCTION("""COMPUTED_VALUE"""),36.0)</f>
        <v>36</v>
      </c>
      <c r="H21" s="1">
        <f>IFERROR(__xludf.DUMMYFUNCTION("""COMPUTED_VALUE"""),52.0)</f>
        <v>52</v>
      </c>
      <c r="I21" s="1">
        <f>IFERROR(__xludf.DUMMYFUNCTION("""COMPUTED_VALUE"""),94.0)</f>
        <v>94</v>
      </c>
      <c r="J21" s="1">
        <f>IFERROR(__xludf.DUMMYFUNCTION("""COMPUTED_VALUE"""),58.0)</f>
        <v>58</v>
      </c>
      <c r="K21" s="1">
        <f>IFERROR(__xludf.DUMMYFUNCTION("""COMPUTED_VALUE"""),95.0)</f>
        <v>95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 t="str">
        <f>IFERROR(__xludf.DUMMYFUNCTION("""COMPUTED_VALUE"""),"D")</f>
        <v>D</v>
      </c>
      <c r="E22" s="1" t="str">
        <f>IFERROR(__xludf.DUMMYFUNCTION("""COMPUTED_VALUE"""),"Female")</f>
        <v>Female</v>
      </c>
      <c r="F22" s="1">
        <f>IFERROR(__xludf.DUMMYFUNCTION("""COMPUTED_VALUE"""),13.0)</f>
        <v>13</v>
      </c>
      <c r="G22" s="1">
        <f>IFERROR(__xludf.DUMMYFUNCTION("""COMPUTED_VALUE"""),94.0)</f>
        <v>94</v>
      </c>
      <c r="H22" s="1">
        <f>IFERROR(__xludf.DUMMYFUNCTION("""COMPUTED_VALUE"""),26.0)</f>
        <v>26</v>
      </c>
      <c r="I22" s="1">
        <f>IFERROR(__xludf.DUMMYFUNCTION("""COMPUTED_VALUE"""),26.0)</f>
        <v>26</v>
      </c>
      <c r="J22" s="1">
        <f>IFERROR(__xludf.DUMMYFUNCTION("""COMPUTED_VALUE"""),20.0)</f>
        <v>20</v>
      </c>
      <c r="K22" s="1">
        <f>IFERROR(__xludf.DUMMYFUNCTION("""COMPUTED_VALUE"""),55.0)</f>
        <v>55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 t="str">
        <f>IFERROR(__xludf.DUMMYFUNCTION("""COMPUTED_VALUE"""),"D")</f>
        <v>D</v>
      </c>
      <c r="E23" s="1" t="str">
        <f>IFERROR(__xludf.DUMMYFUNCTION("""COMPUTED_VALUE"""),"Male")</f>
        <v>Male</v>
      </c>
      <c r="F23" s="1">
        <f>IFERROR(__xludf.DUMMYFUNCTION("""COMPUTED_VALUE"""),41.0)</f>
        <v>41</v>
      </c>
      <c r="G23" s="1">
        <f>IFERROR(__xludf.DUMMYFUNCTION("""COMPUTED_VALUE"""),64.0)</f>
        <v>64</v>
      </c>
      <c r="H23" s="1">
        <f>IFERROR(__xludf.DUMMYFUNCTION("""COMPUTED_VALUE"""),84.0)</f>
        <v>84</v>
      </c>
      <c r="I23" s="1">
        <f>IFERROR(__xludf.DUMMYFUNCTION("""COMPUTED_VALUE"""),80.0)</f>
        <v>80</v>
      </c>
      <c r="J23" s="1">
        <f>IFERROR(__xludf.DUMMYFUNCTION("""COMPUTED_VALUE"""),45.0)</f>
        <v>45</v>
      </c>
      <c r="K23" s="1">
        <f>IFERROR(__xludf.DUMMYFUNCTION("""COMPUTED_VALUE"""),65.0)</f>
        <v>65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 t="str">
        <f>IFERROR(__xludf.DUMMYFUNCTION("""COMPUTED_VALUE"""),"D")</f>
        <v>D</v>
      </c>
      <c r="E24" s="1" t="str">
        <f>IFERROR(__xludf.DUMMYFUNCTION("""COMPUTED_VALUE"""),"Female")</f>
        <v>Female</v>
      </c>
      <c r="F24" s="1">
        <f>IFERROR(__xludf.DUMMYFUNCTION("""COMPUTED_VALUE"""),99.0)</f>
        <v>99</v>
      </c>
      <c r="G24" s="1">
        <f>IFERROR(__xludf.DUMMYFUNCTION("""COMPUTED_VALUE"""),54.0)</f>
        <v>54</v>
      </c>
      <c r="H24" s="1">
        <f>IFERROR(__xludf.DUMMYFUNCTION("""COMPUTED_VALUE"""),54.0)</f>
        <v>54</v>
      </c>
      <c r="I24" s="1">
        <f>IFERROR(__xludf.DUMMYFUNCTION("""COMPUTED_VALUE"""),98.0)</f>
        <v>98</v>
      </c>
      <c r="J24" s="1">
        <f>IFERROR(__xludf.DUMMYFUNCTION("""COMPUTED_VALUE"""),72.0)</f>
        <v>72</v>
      </c>
      <c r="K24" s="1">
        <f>IFERROR(__xludf.DUMMYFUNCTION("""COMPUTED_VALUE"""),52.0)</f>
        <v>52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 t="str">
        <f>IFERROR(__xludf.DUMMYFUNCTION("""COMPUTED_VALUE"""),"A")</f>
        <v>A</v>
      </c>
      <c r="E25" s="1" t="str">
        <f>IFERROR(__xludf.DUMMYFUNCTION("""COMPUTED_VALUE"""),"Female")</f>
        <v>Female</v>
      </c>
      <c r="F25" s="1">
        <f>IFERROR(__xludf.DUMMYFUNCTION("""COMPUTED_VALUE"""),37.0)</f>
        <v>37</v>
      </c>
      <c r="G25" s="1">
        <f>IFERROR(__xludf.DUMMYFUNCTION("""COMPUTED_VALUE"""),94.0)</f>
        <v>94</v>
      </c>
      <c r="H25" s="1">
        <f>IFERROR(__xludf.DUMMYFUNCTION("""COMPUTED_VALUE"""),23.0)</f>
        <v>23</v>
      </c>
      <c r="I25" s="1">
        <f>IFERROR(__xludf.DUMMYFUNCTION("""COMPUTED_VALUE"""),59.0)</f>
        <v>59</v>
      </c>
      <c r="J25" s="1">
        <f>IFERROR(__xludf.DUMMYFUNCTION("""COMPUTED_VALUE"""),33.0)</f>
        <v>33</v>
      </c>
      <c r="K25" s="1">
        <f>IFERROR(__xludf.DUMMYFUNCTION("""COMPUTED_VALUE"""),37.0)</f>
        <v>37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 t="str">
        <f>IFERROR(__xludf.DUMMYFUNCTION("""COMPUTED_VALUE"""),"D")</f>
        <v>D</v>
      </c>
      <c r="E26" s="1" t="str">
        <f>IFERROR(__xludf.DUMMYFUNCTION("""COMPUTED_VALUE"""),"Female")</f>
        <v>Female</v>
      </c>
      <c r="F26" s="1">
        <f>IFERROR(__xludf.DUMMYFUNCTION("""COMPUTED_VALUE"""),17.0)</f>
        <v>17</v>
      </c>
      <c r="G26" s="1">
        <f>IFERROR(__xludf.DUMMYFUNCTION("""COMPUTED_VALUE"""),81.0)</f>
        <v>81</v>
      </c>
      <c r="H26" s="1">
        <f>IFERROR(__xludf.DUMMYFUNCTION("""COMPUTED_VALUE"""),57.0)</f>
        <v>57</v>
      </c>
      <c r="I26" s="1">
        <f>IFERROR(__xludf.DUMMYFUNCTION("""COMPUTED_VALUE"""),29.0)</f>
        <v>29</v>
      </c>
      <c r="J26" s="1">
        <f>IFERROR(__xludf.DUMMYFUNCTION("""COMPUTED_VALUE"""),61.0)</f>
        <v>61</v>
      </c>
      <c r="K26" s="1">
        <f>IFERROR(__xludf.DUMMYFUNCTION("""COMPUTED_VALUE"""),96.0)</f>
        <v>96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 t="str">
        <f>IFERROR(__xludf.DUMMYFUNCTION("""COMPUTED_VALUE"""),"B")</f>
        <v>B</v>
      </c>
      <c r="E27" s="1" t="str">
        <f>IFERROR(__xludf.DUMMYFUNCTION("""COMPUTED_VALUE"""),"Male")</f>
        <v>Male</v>
      </c>
      <c r="F27" s="1">
        <f>IFERROR(__xludf.DUMMYFUNCTION("""COMPUTED_VALUE"""),10.0)</f>
        <v>10</v>
      </c>
      <c r="G27" s="1">
        <f>IFERROR(__xludf.DUMMYFUNCTION("""COMPUTED_VALUE"""),52.0)</f>
        <v>52</v>
      </c>
      <c r="H27" s="1">
        <f>IFERROR(__xludf.DUMMYFUNCTION("""COMPUTED_VALUE"""),81.0)</f>
        <v>81</v>
      </c>
      <c r="I27" s="1">
        <f>IFERROR(__xludf.DUMMYFUNCTION("""COMPUTED_VALUE"""),67.0)</f>
        <v>67</v>
      </c>
      <c r="J27" s="1">
        <f>IFERROR(__xludf.DUMMYFUNCTION("""COMPUTED_VALUE"""),31.0)</f>
        <v>31</v>
      </c>
      <c r="K27" s="1">
        <f>IFERROR(__xludf.DUMMYFUNCTION("""COMPUTED_VALUE"""),90.0)</f>
        <v>90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 t="str">
        <f>IFERROR(__xludf.DUMMYFUNCTION("""COMPUTED_VALUE"""),"B")</f>
        <v>B</v>
      </c>
      <c r="E28" s="1" t="str">
        <f>IFERROR(__xludf.DUMMYFUNCTION("""COMPUTED_VALUE"""),"Male")</f>
        <v>Male</v>
      </c>
      <c r="F28" s="1">
        <f>IFERROR(__xludf.DUMMYFUNCTION("""COMPUTED_VALUE"""),48.0)</f>
        <v>48</v>
      </c>
      <c r="G28" s="1">
        <f>IFERROR(__xludf.DUMMYFUNCTION("""COMPUTED_VALUE"""),64.0)</f>
        <v>64</v>
      </c>
      <c r="H28" s="1">
        <f>IFERROR(__xludf.DUMMYFUNCTION("""COMPUTED_VALUE"""),24.0)</f>
        <v>24</v>
      </c>
      <c r="I28" s="1">
        <f>IFERROR(__xludf.DUMMYFUNCTION("""COMPUTED_VALUE"""),77.0)</f>
        <v>77</v>
      </c>
      <c r="J28" s="1">
        <f>IFERROR(__xludf.DUMMYFUNCTION("""COMPUTED_VALUE"""),97.0)</f>
        <v>97</v>
      </c>
      <c r="K28" s="1">
        <f>IFERROR(__xludf.DUMMYFUNCTION("""COMPUTED_VALUE"""),35.0)</f>
        <v>35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 t="str">
        <f>IFERROR(__xludf.DUMMYFUNCTION("""COMPUTED_VALUE"""),"C")</f>
        <v>C</v>
      </c>
      <c r="E29" s="1" t="str">
        <f>IFERROR(__xludf.DUMMYFUNCTION("""COMPUTED_VALUE"""),"Male")</f>
        <v>Male</v>
      </c>
      <c r="F29" s="1">
        <f>IFERROR(__xludf.DUMMYFUNCTION("""COMPUTED_VALUE"""),88.0)</f>
        <v>88</v>
      </c>
      <c r="G29" s="1">
        <f>IFERROR(__xludf.DUMMYFUNCTION("""COMPUTED_VALUE"""),92.0)</f>
        <v>92</v>
      </c>
      <c r="H29" s="1">
        <f>IFERROR(__xludf.DUMMYFUNCTION("""COMPUTED_VALUE"""),47.0)</f>
        <v>47</v>
      </c>
      <c r="I29" s="1">
        <f>IFERROR(__xludf.DUMMYFUNCTION("""COMPUTED_VALUE"""),39.0)</f>
        <v>39</v>
      </c>
      <c r="J29" s="1">
        <f>IFERROR(__xludf.DUMMYFUNCTION("""COMPUTED_VALUE"""),89.0)</f>
        <v>89</v>
      </c>
      <c r="K29" s="1">
        <f>IFERROR(__xludf.DUMMYFUNCTION("""COMPUTED_VALUE"""),35.0)</f>
        <v>35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 t="str">
        <f>IFERROR(__xludf.DUMMYFUNCTION("""COMPUTED_VALUE"""),"A")</f>
        <v>A</v>
      </c>
      <c r="E30" s="1" t="str">
        <f>IFERROR(__xludf.DUMMYFUNCTION("""COMPUTED_VALUE"""),"Female")</f>
        <v>Female</v>
      </c>
      <c r="F30" s="1">
        <f>IFERROR(__xludf.DUMMYFUNCTION("""COMPUTED_VALUE"""),37.0)</f>
        <v>37</v>
      </c>
      <c r="G30" s="1">
        <f>IFERROR(__xludf.DUMMYFUNCTION("""COMPUTED_VALUE"""),25.0)</f>
        <v>25</v>
      </c>
      <c r="H30" s="1">
        <f>IFERROR(__xludf.DUMMYFUNCTION("""COMPUTED_VALUE"""),43.0)</f>
        <v>43</v>
      </c>
      <c r="I30" s="1">
        <f>IFERROR(__xludf.DUMMYFUNCTION("""COMPUTED_VALUE"""),26.0)</f>
        <v>26</v>
      </c>
      <c r="J30" s="1">
        <f>IFERROR(__xludf.DUMMYFUNCTION("""COMPUTED_VALUE"""),74.0)</f>
        <v>74</v>
      </c>
      <c r="K30" s="1">
        <f>IFERROR(__xludf.DUMMYFUNCTION("""COMPUTED_VALUE"""),21.0)</f>
        <v>21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 t="str">
        <f>IFERROR(__xludf.DUMMYFUNCTION("""COMPUTED_VALUE"""),"A")</f>
        <v>A</v>
      </c>
      <c r="E31" s="1" t="str">
        <f>IFERROR(__xludf.DUMMYFUNCTION("""COMPUTED_VALUE"""),"Male")</f>
        <v>Male</v>
      </c>
      <c r="F31" s="1">
        <f>IFERROR(__xludf.DUMMYFUNCTION("""COMPUTED_VALUE"""),44.0)</f>
        <v>44</v>
      </c>
      <c r="G31" s="1">
        <f>IFERROR(__xludf.DUMMYFUNCTION("""COMPUTED_VALUE"""),52.0)</f>
        <v>52</v>
      </c>
      <c r="H31" s="1">
        <f>IFERROR(__xludf.DUMMYFUNCTION("""COMPUTED_VALUE"""),82.0)</f>
        <v>82</v>
      </c>
      <c r="I31" s="1">
        <f>IFERROR(__xludf.DUMMYFUNCTION("""COMPUTED_VALUE"""),49.0)</f>
        <v>49</v>
      </c>
      <c r="J31" s="1">
        <f>IFERROR(__xludf.DUMMYFUNCTION("""COMPUTED_VALUE"""),52.0)</f>
        <v>52</v>
      </c>
      <c r="K31" s="1">
        <f>IFERROR(__xludf.DUMMYFUNCTION("""COMPUTED_VALUE"""),80.0)</f>
        <v>80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 t="str">
        <f>IFERROR(__xludf.DUMMYFUNCTION("""COMPUTED_VALUE"""),"D")</f>
        <v>D</v>
      </c>
      <c r="E32" s="1" t="str">
        <f>IFERROR(__xludf.DUMMYFUNCTION("""COMPUTED_VALUE"""),"Female")</f>
        <v>Female</v>
      </c>
      <c r="F32" s="1">
        <f>IFERROR(__xludf.DUMMYFUNCTION("""COMPUTED_VALUE"""),10.0)</f>
        <v>10</v>
      </c>
      <c r="G32" s="1">
        <f>IFERROR(__xludf.DUMMYFUNCTION("""COMPUTED_VALUE"""),95.0)</f>
        <v>95</v>
      </c>
      <c r="H32" s="1">
        <f>IFERROR(__xludf.DUMMYFUNCTION("""COMPUTED_VALUE"""),84.0)</f>
        <v>84</v>
      </c>
      <c r="I32" s="1">
        <f>IFERROR(__xludf.DUMMYFUNCTION("""COMPUTED_VALUE"""),44.0)</f>
        <v>44</v>
      </c>
      <c r="J32" s="1">
        <f>IFERROR(__xludf.DUMMYFUNCTION("""COMPUTED_VALUE"""),28.0)</f>
        <v>28</v>
      </c>
      <c r="K32" s="1">
        <f>IFERROR(__xludf.DUMMYFUNCTION("""COMPUTED_VALUE"""),49.0)</f>
        <v>49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 t="str">
        <f>IFERROR(__xludf.DUMMYFUNCTION("""COMPUTED_VALUE"""),"A")</f>
        <v>A</v>
      </c>
      <c r="E33" s="1" t="str">
        <f>IFERROR(__xludf.DUMMYFUNCTION("""COMPUTED_VALUE"""),"Female")</f>
        <v>Female</v>
      </c>
      <c r="F33" s="1">
        <f>IFERROR(__xludf.DUMMYFUNCTION("""COMPUTED_VALUE"""),48.0)</f>
        <v>48</v>
      </c>
      <c r="G33" s="1">
        <f>IFERROR(__xludf.DUMMYFUNCTION("""COMPUTED_VALUE"""),51.0)</f>
        <v>51</v>
      </c>
      <c r="H33" s="1">
        <f>IFERROR(__xludf.DUMMYFUNCTION("""COMPUTED_VALUE"""),51.0)</f>
        <v>51</v>
      </c>
      <c r="I33" s="1">
        <f>IFERROR(__xludf.DUMMYFUNCTION("""COMPUTED_VALUE"""),37.0)</f>
        <v>37</v>
      </c>
      <c r="J33" s="1">
        <f>IFERROR(__xludf.DUMMYFUNCTION("""COMPUTED_VALUE"""),27.0)</f>
        <v>27</v>
      </c>
      <c r="K33" s="1">
        <f>IFERROR(__xludf.DUMMYFUNCTION("""COMPUTED_VALUE"""),99.0)</f>
        <v>99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 t="str">
        <f>IFERROR(__xludf.DUMMYFUNCTION("""COMPUTED_VALUE"""),"A")</f>
        <v>A</v>
      </c>
      <c r="E34" s="1" t="str">
        <f>IFERROR(__xludf.DUMMYFUNCTION("""COMPUTED_VALUE"""),"Female")</f>
        <v>Female</v>
      </c>
      <c r="F34" s="1">
        <f>IFERROR(__xludf.DUMMYFUNCTION("""COMPUTED_VALUE"""),43.0)</f>
        <v>43</v>
      </c>
      <c r="G34" s="1">
        <f>IFERROR(__xludf.DUMMYFUNCTION("""COMPUTED_VALUE"""),52.0)</f>
        <v>52</v>
      </c>
      <c r="H34" s="1">
        <f>IFERROR(__xludf.DUMMYFUNCTION("""COMPUTED_VALUE"""),24.0)</f>
        <v>24</v>
      </c>
      <c r="I34" s="1">
        <f>IFERROR(__xludf.DUMMYFUNCTION("""COMPUTED_VALUE"""),73.0)</f>
        <v>73</v>
      </c>
      <c r="J34" s="1">
        <f>IFERROR(__xludf.DUMMYFUNCTION("""COMPUTED_VALUE"""),90.0)</f>
        <v>90</v>
      </c>
      <c r="K34" s="1">
        <f>IFERROR(__xludf.DUMMYFUNCTION("""COMPUTED_VALUE"""),92.0)</f>
        <v>92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 t="str">
        <f>IFERROR(__xludf.DUMMYFUNCTION("""COMPUTED_VALUE"""),"D")</f>
        <v>D</v>
      </c>
      <c r="E35" s="1" t="str">
        <f>IFERROR(__xludf.DUMMYFUNCTION("""COMPUTED_VALUE"""),"Female")</f>
        <v>Female</v>
      </c>
      <c r="F35" s="1">
        <f>IFERROR(__xludf.DUMMYFUNCTION("""COMPUTED_VALUE"""),17.0)</f>
        <v>17</v>
      </c>
      <c r="G35" s="1">
        <f>IFERROR(__xludf.DUMMYFUNCTION("""COMPUTED_VALUE"""),95.0)</f>
        <v>95</v>
      </c>
      <c r="H35" s="1">
        <f>IFERROR(__xludf.DUMMYFUNCTION("""COMPUTED_VALUE"""),31.0)</f>
        <v>31</v>
      </c>
      <c r="I35" s="1">
        <f>IFERROR(__xludf.DUMMYFUNCTION("""COMPUTED_VALUE"""),26.0)</f>
        <v>26</v>
      </c>
      <c r="J35" s="1">
        <f>IFERROR(__xludf.DUMMYFUNCTION("""COMPUTED_VALUE"""),33.0)</f>
        <v>33</v>
      </c>
      <c r="K35" s="1">
        <f>IFERROR(__xludf.DUMMYFUNCTION("""COMPUTED_VALUE"""),26.0)</f>
        <v>26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 t="str">
        <f>IFERROR(__xludf.DUMMYFUNCTION("""COMPUTED_VALUE"""),"A")</f>
        <v>A</v>
      </c>
      <c r="E36" s="1" t="str">
        <f>IFERROR(__xludf.DUMMYFUNCTION("""COMPUTED_VALUE"""),"Male")</f>
        <v>Male</v>
      </c>
      <c r="F36" s="1">
        <f>IFERROR(__xludf.DUMMYFUNCTION("""COMPUTED_VALUE"""),75.0)</f>
        <v>75</v>
      </c>
      <c r="G36" s="1">
        <f>IFERROR(__xludf.DUMMYFUNCTION("""COMPUTED_VALUE"""),53.0)</f>
        <v>53</v>
      </c>
      <c r="H36" s="1">
        <f>IFERROR(__xludf.DUMMYFUNCTION("""COMPUTED_VALUE"""),41.0)</f>
        <v>41</v>
      </c>
      <c r="I36" s="1">
        <f>IFERROR(__xludf.DUMMYFUNCTION("""COMPUTED_VALUE"""),42.0)</f>
        <v>42</v>
      </c>
      <c r="J36" s="1">
        <f>IFERROR(__xludf.DUMMYFUNCTION("""COMPUTED_VALUE"""),78.0)</f>
        <v>78</v>
      </c>
      <c r="K36" s="1">
        <f>IFERROR(__xludf.DUMMYFUNCTION("""COMPUTED_VALUE"""),38.0)</f>
        <v>38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 t="str">
        <f>IFERROR(__xludf.DUMMYFUNCTION("""COMPUTED_VALUE"""),"D")</f>
        <v>D</v>
      </c>
      <c r="E37" s="1" t="str">
        <f>IFERROR(__xludf.DUMMYFUNCTION("""COMPUTED_VALUE"""),"Male")</f>
        <v>Male</v>
      </c>
      <c r="F37" s="1">
        <f>IFERROR(__xludf.DUMMYFUNCTION("""COMPUTED_VALUE"""),55.0)</f>
        <v>55</v>
      </c>
      <c r="G37" s="1">
        <f>IFERROR(__xludf.DUMMYFUNCTION("""COMPUTED_VALUE"""),30.0)</f>
        <v>30</v>
      </c>
      <c r="H37" s="1">
        <f>IFERROR(__xludf.DUMMYFUNCTION("""COMPUTED_VALUE"""),88.0)</f>
        <v>88</v>
      </c>
      <c r="I37" s="1">
        <f>IFERROR(__xludf.DUMMYFUNCTION("""COMPUTED_VALUE"""),83.0)</f>
        <v>83</v>
      </c>
      <c r="J37" s="1">
        <f>IFERROR(__xludf.DUMMYFUNCTION("""COMPUTED_VALUE"""),83.0)</f>
        <v>83</v>
      </c>
      <c r="K37" s="1">
        <f>IFERROR(__xludf.DUMMYFUNCTION("""COMPUTED_VALUE"""),72.0)</f>
        <v>72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 t="str">
        <f>IFERROR(__xludf.DUMMYFUNCTION("""COMPUTED_VALUE"""),"B")</f>
        <v>B</v>
      </c>
      <c r="E38" s="1" t="str">
        <f>IFERROR(__xludf.DUMMYFUNCTION("""COMPUTED_VALUE"""),"Female")</f>
        <v>Female</v>
      </c>
      <c r="F38" s="1">
        <f>IFERROR(__xludf.DUMMYFUNCTION("""COMPUTED_VALUE"""),87.0)</f>
        <v>87</v>
      </c>
      <c r="G38" s="1">
        <f>IFERROR(__xludf.DUMMYFUNCTION("""COMPUTED_VALUE"""),58.0)</f>
        <v>58</v>
      </c>
      <c r="H38" s="1">
        <f>IFERROR(__xludf.DUMMYFUNCTION("""COMPUTED_VALUE"""),90.0)</f>
        <v>90</v>
      </c>
      <c r="I38" s="1">
        <f>IFERROR(__xludf.DUMMYFUNCTION("""COMPUTED_VALUE"""),47.0)</f>
        <v>47</v>
      </c>
      <c r="J38" s="1">
        <f>IFERROR(__xludf.DUMMYFUNCTION("""COMPUTED_VALUE"""),31.0)</f>
        <v>31</v>
      </c>
      <c r="K38" s="1">
        <f>IFERROR(__xludf.DUMMYFUNCTION("""COMPUTED_VALUE"""),94.0)</f>
        <v>94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 t="str">
        <f>IFERROR(__xludf.DUMMYFUNCTION("""COMPUTED_VALUE"""),"D")</f>
        <v>D</v>
      </c>
      <c r="E39" s="1" t="str">
        <f>IFERROR(__xludf.DUMMYFUNCTION("""COMPUTED_VALUE"""),"Male")</f>
        <v>Male</v>
      </c>
      <c r="F39" s="1">
        <f>IFERROR(__xludf.DUMMYFUNCTION("""COMPUTED_VALUE"""),39.0)</f>
        <v>39</v>
      </c>
      <c r="G39" s="1">
        <f>IFERROR(__xludf.DUMMYFUNCTION("""COMPUTED_VALUE"""),63.0)</f>
        <v>63</v>
      </c>
      <c r="H39" s="1">
        <f>IFERROR(__xludf.DUMMYFUNCTION("""COMPUTED_VALUE"""),81.0)</f>
        <v>81</v>
      </c>
      <c r="I39" s="1">
        <f>IFERROR(__xludf.DUMMYFUNCTION("""COMPUTED_VALUE"""),84.0)</f>
        <v>84</v>
      </c>
      <c r="J39" s="1">
        <f>IFERROR(__xludf.DUMMYFUNCTION("""COMPUTED_VALUE"""),51.0)</f>
        <v>51</v>
      </c>
      <c r="K39" s="1">
        <f>IFERROR(__xludf.DUMMYFUNCTION("""COMPUTED_VALUE"""),96.0)</f>
        <v>96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 t="str">
        <f>IFERROR(__xludf.DUMMYFUNCTION("""COMPUTED_VALUE"""),"A")</f>
        <v>A</v>
      </c>
      <c r="E40" s="1" t="str">
        <f>IFERROR(__xludf.DUMMYFUNCTION("""COMPUTED_VALUE"""),"Male")</f>
        <v>Male</v>
      </c>
      <c r="F40" s="1">
        <f>IFERROR(__xludf.DUMMYFUNCTION("""COMPUTED_VALUE"""),93.0)</f>
        <v>93</v>
      </c>
      <c r="G40" s="1">
        <f>IFERROR(__xludf.DUMMYFUNCTION("""COMPUTED_VALUE"""),65.0)</f>
        <v>65</v>
      </c>
      <c r="H40" s="1">
        <f>IFERROR(__xludf.DUMMYFUNCTION("""COMPUTED_VALUE"""),77.0)</f>
        <v>77</v>
      </c>
      <c r="I40" s="1">
        <f>IFERROR(__xludf.DUMMYFUNCTION("""COMPUTED_VALUE"""),91.0)</f>
        <v>91</v>
      </c>
      <c r="J40" s="1">
        <f>IFERROR(__xludf.DUMMYFUNCTION("""COMPUTED_VALUE"""),38.0)</f>
        <v>38</v>
      </c>
      <c r="K40" s="1">
        <f>IFERROR(__xludf.DUMMYFUNCTION("""COMPUTED_VALUE"""),33.0)</f>
        <v>33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 t="str">
        <f>IFERROR(__xludf.DUMMYFUNCTION("""COMPUTED_VALUE"""),"D")</f>
        <v>D</v>
      </c>
      <c r="E41" s="1" t="str">
        <f>IFERROR(__xludf.DUMMYFUNCTION("""COMPUTED_VALUE"""),"Female")</f>
        <v>Female</v>
      </c>
      <c r="F41" s="1">
        <f>IFERROR(__xludf.DUMMYFUNCTION("""COMPUTED_VALUE"""),64.0)</f>
        <v>64</v>
      </c>
      <c r="G41" s="1">
        <f>IFERROR(__xludf.DUMMYFUNCTION("""COMPUTED_VALUE"""),68.0)</f>
        <v>68</v>
      </c>
      <c r="H41" s="1">
        <f>IFERROR(__xludf.DUMMYFUNCTION("""COMPUTED_VALUE"""),35.0)</f>
        <v>35</v>
      </c>
      <c r="I41" s="1">
        <f>IFERROR(__xludf.DUMMYFUNCTION("""COMPUTED_VALUE"""),46.0)</f>
        <v>46</v>
      </c>
      <c r="J41" s="1">
        <f>IFERROR(__xludf.DUMMYFUNCTION("""COMPUTED_VALUE"""),29.0)</f>
        <v>29</v>
      </c>
      <c r="K41" s="1">
        <f>IFERROR(__xludf.DUMMYFUNCTION("""COMPUTED_VALUE"""),32.0)</f>
        <v>32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 t="str">
        <f>IFERROR(__xludf.DUMMYFUNCTION("""COMPUTED_VALUE"""),"C")</f>
        <v>C</v>
      </c>
      <c r="E42" s="1" t="str">
        <f>IFERROR(__xludf.DUMMYFUNCTION("""COMPUTED_VALUE"""),"Male")</f>
        <v>Male</v>
      </c>
      <c r="F42" s="1">
        <f>IFERROR(__xludf.DUMMYFUNCTION("""COMPUTED_VALUE"""),94.0)</f>
        <v>94</v>
      </c>
      <c r="G42" s="1">
        <f>IFERROR(__xludf.DUMMYFUNCTION("""COMPUTED_VALUE"""),36.0)</f>
        <v>36</v>
      </c>
      <c r="H42" s="1">
        <f>IFERROR(__xludf.DUMMYFUNCTION("""COMPUTED_VALUE"""),25.0)</f>
        <v>25</v>
      </c>
      <c r="I42" s="1">
        <f>IFERROR(__xludf.DUMMYFUNCTION("""COMPUTED_VALUE"""),49.0)</f>
        <v>49</v>
      </c>
      <c r="J42" s="1">
        <f>IFERROR(__xludf.DUMMYFUNCTION("""COMPUTED_VALUE"""),53.0)</f>
        <v>53</v>
      </c>
      <c r="K42" s="1">
        <f>IFERROR(__xludf.DUMMYFUNCTION("""COMPUTED_VALUE"""),40.0)</f>
        <v>40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 t="str">
        <f>IFERROR(__xludf.DUMMYFUNCTION("""COMPUTED_VALUE"""),"B")</f>
        <v>B</v>
      </c>
      <c r="E43" s="1" t="str">
        <f>IFERROR(__xludf.DUMMYFUNCTION("""COMPUTED_VALUE"""),"Female")</f>
        <v>Female</v>
      </c>
      <c r="F43" s="1">
        <f>IFERROR(__xludf.DUMMYFUNCTION("""COMPUTED_VALUE"""),58.0)</f>
        <v>58</v>
      </c>
      <c r="G43" s="1">
        <f>IFERROR(__xludf.DUMMYFUNCTION("""COMPUTED_VALUE"""),39.0)</f>
        <v>39</v>
      </c>
      <c r="H43" s="1">
        <f>IFERROR(__xludf.DUMMYFUNCTION("""COMPUTED_VALUE"""),88.0)</f>
        <v>88</v>
      </c>
      <c r="I43" s="1">
        <f>IFERROR(__xludf.DUMMYFUNCTION("""COMPUTED_VALUE"""),62.0)</f>
        <v>62</v>
      </c>
      <c r="J43" s="1">
        <f>IFERROR(__xludf.DUMMYFUNCTION("""COMPUTED_VALUE"""),48.0)</f>
        <v>48</v>
      </c>
      <c r="K43" s="1">
        <f>IFERROR(__xludf.DUMMYFUNCTION("""COMPUTED_VALUE"""),30.0)</f>
        <v>30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 t="str">
        <f>IFERROR(__xludf.DUMMYFUNCTION("""COMPUTED_VALUE"""),"C")</f>
        <v>C</v>
      </c>
      <c r="E44" s="1" t="str">
        <f>IFERROR(__xludf.DUMMYFUNCTION("""COMPUTED_VALUE"""),"Male")</f>
        <v>Male</v>
      </c>
      <c r="F44" s="1">
        <f>IFERROR(__xludf.DUMMYFUNCTION("""COMPUTED_VALUE"""),48.0)</f>
        <v>48</v>
      </c>
      <c r="G44" s="1">
        <f>IFERROR(__xludf.DUMMYFUNCTION("""COMPUTED_VALUE"""),86.0)</f>
        <v>86</v>
      </c>
      <c r="H44" s="1">
        <f>IFERROR(__xludf.DUMMYFUNCTION("""COMPUTED_VALUE"""),83.0)</f>
        <v>83</v>
      </c>
      <c r="I44" s="1">
        <f>IFERROR(__xludf.DUMMYFUNCTION("""COMPUTED_VALUE"""),65.0)</f>
        <v>65</v>
      </c>
      <c r="J44" s="1">
        <f>IFERROR(__xludf.DUMMYFUNCTION("""COMPUTED_VALUE"""),92.0)</f>
        <v>92</v>
      </c>
      <c r="K44" s="1">
        <f>IFERROR(__xludf.DUMMYFUNCTION("""COMPUTED_VALUE"""),85.0)</f>
        <v>85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 t="str">
        <f>IFERROR(__xludf.DUMMYFUNCTION("""COMPUTED_VALUE"""),"B")</f>
        <v>B</v>
      </c>
      <c r="E45" s="1" t="str">
        <f>IFERROR(__xludf.DUMMYFUNCTION("""COMPUTED_VALUE"""),"Female")</f>
        <v>Female</v>
      </c>
      <c r="F45" s="1">
        <f>IFERROR(__xludf.DUMMYFUNCTION("""COMPUTED_VALUE"""),74.0)</f>
        <v>74</v>
      </c>
      <c r="G45" s="1">
        <f>IFERROR(__xludf.DUMMYFUNCTION("""COMPUTED_VALUE"""),53.0)</f>
        <v>53</v>
      </c>
      <c r="H45" s="1">
        <f>IFERROR(__xludf.DUMMYFUNCTION("""COMPUTED_VALUE"""),25.0)</f>
        <v>25</v>
      </c>
      <c r="I45" s="1">
        <f>IFERROR(__xludf.DUMMYFUNCTION("""COMPUTED_VALUE"""),46.0)</f>
        <v>46</v>
      </c>
      <c r="J45" s="1">
        <f>IFERROR(__xludf.DUMMYFUNCTION("""COMPUTED_VALUE"""),28.0)</f>
        <v>28</v>
      </c>
      <c r="K45" s="1">
        <f>IFERROR(__xludf.DUMMYFUNCTION("""COMPUTED_VALUE"""),94.0)</f>
        <v>94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 t="str">
        <f>IFERROR(__xludf.DUMMYFUNCTION("""COMPUTED_VALUE"""),"D")</f>
        <v>D</v>
      </c>
      <c r="E46" s="1" t="str">
        <f>IFERROR(__xludf.DUMMYFUNCTION("""COMPUTED_VALUE"""),"Female")</f>
        <v>Female</v>
      </c>
      <c r="F46" s="1">
        <f>IFERROR(__xludf.DUMMYFUNCTION("""COMPUTED_VALUE"""),21.0)</f>
        <v>21</v>
      </c>
      <c r="G46" s="1">
        <f>IFERROR(__xludf.DUMMYFUNCTION("""COMPUTED_VALUE"""),83.0)</f>
        <v>83</v>
      </c>
      <c r="H46" s="1">
        <f>IFERROR(__xludf.DUMMYFUNCTION("""COMPUTED_VALUE"""),70.0)</f>
        <v>70</v>
      </c>
      <c r="I46" s="1">
        <f>IFERROR(__xludf.DUMMYFUNCTION("""COMPUTED_VALUE"""),33.0)</f>
        <v>33</v>
      </c>
      <c r="J46" s="1">
        <f>IFERROR(__xludf.DUMMYFUNCTION("""COMPUTED_VALUE"""),68.0)</f>
        <v>68</v>
      </c>
      <c r="K46" s="1">
        <f>IFERROR(__xludf.DUMMYFUNCTION("""COMPUTED_VALUE"""),95.0)</f>
        <v>95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 t="str">
        <f>IFERROR(__xludf.DUMMYFUNCTION("""COMPUTED_VALUE"""),"B")</f>
        <v>B</v>
      </c>
      <c r="E47" s="1" t="str">
        <f>IFERROR(__xludf.DUMMYFUNCTION("""COMPUTED_VALUE"""),"Male")</f>
        <v>Male</v>
      </c>
      <c r="F47" s="1">
        <f>IFERROR(__xludf.DUMMYFUNCTION("""COMPUTED_VALUE"""),55.0)</f>
        <v>55</v>
      </c>
      <c r="G47" s="1">
        <f>IFERROR(__xludf.DUMMYFUNCTION("""COMPUTED_VALUE"""),91.0)</f>
        <v>91</v>
      </c>
      <c r="H47" s="1">
        <f>IFERROR(__xludf.DUMMYFUNCTION("""COMPUTED_VALUE"""),74.0)</f>
        <v>74</v>
      </c>
      <c r="I47" s="1">
        <f>IFERROR(__xludf.DUMMYFUNCTION("""COMPUTED_VALUE"""),35.0)</f>
        <v>35</v>
      </c>
      <c r="J47" s="1">
        <f>IFERROR(__xludf.DUMMYFUNCTION("""COMPUTED_VALUE"""),27.0)</f>
        <v>27</v>
      </c>
      <c r="K47" s="1">
        <f>IFERROR(__xludf.DUMMYFUNCTION("""COMPUTED_VALUE"""),34.0)</f>
        <v>34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 t="str">
        <f>IFERROR(__xludf.DUMMYFUNCTION("""COMPUTED_VALUE"""),"A")</f>
        <v>A</v>
      </c>
      <c r="E48" s="1" t="str">
        <f>IFERROR(__xludf.DUMMYFUNCTION("""COMPUTED_VALUE"""),"Male")</f>
        <v>Male</v>
      </c>
      <c r="F48" s="1">
        <f>IFERROR(__xludf.DUMMYFUNCTION("""COMPUTED_VALUE"""),69.0)</f>
        <v>69</v>
      </c>
      <c r="G48" s="1">
        <f>IFERROR(__xludf.DUMMYFUNCTION("""COMPUTED_VALUE"""),69.0)</f>
        <v>69</v>
      </c>
      <c r="H48" s="1">
        <f>IFERROR(__xludf.DUMMYFUNCTION("""COMPUTED_VALUE"""),32.0)</f>
        <v>32</v>
      </c>
      <c r="I48" s="1">
        <f>IFERROR(__xludf.DUMMYFUNCTION("""COMPUTED_VALUE"""),97.0)</f>
        <v>97</v>
      </c>
      <c r="J48" s="1">
        <f>IFERROR(__xludf.DUMMYFUNCTION("""COMPUTED_VALUE"""),79.0)</f>
        <v>79</v>
      </c>
      <c r="K48" s="1">
        <f>IFERROR(__xludf.DUMMYFUNCTION("""COMPUTED_VALUE"""),21.0)</f>
        <v>21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 t="str">
        <f>IFERROR(__xludf.DUMMYFUNCTION("""COMPUTED_VALUE"""),"D")</f>
        <v>D</v>
      </c>
      <c r="E49" s="1" t="str">
        <f>IFERROR(__xludf.DUMMYFUNCTION("""COMPUTED_VALUE"""),"Male")</f>
        <v>Male</v>
      </c>
      <c r="F49" s="1">
        <f>IFERROR(__xludf.DUMMYFUNCTION("""COMPUTED_VALUE"""),43.0)</f>
        <v>43</v>
      </c>
      <c r="G49" s="1">
        <f>IFERROR(__xludf.DUMMYFUNCTION("""COMPUTED_VALUE"""),77.0)</f>
        <v>77</v>
      </c>
      <c r="H49" s="1">
        <f>IFERROR(__xludf.DUMMYFUNCTION("""COMPUTED_VALUE"""),56.0)</f>
        <v>56</v>
      </c>
      <c r="I49" s="1">
        <f>IFERROR(__xludf.DUMMYFUNCTION("""COMPUTED_VALUE"""),72.0)</f>
        <v>72</v>
      </c>
      <c r="J49" s="1">
        <f>IFERROR(__xludf.DUMMYFUNCTION("""COMPUTED_VALUE"""),88.0)</f>
        <v>88</v>
      </c>
      <c r="K49" s="1">
        <f>IFERROR(__xludf.DUMMYFUNCTION("""COMPUTED_VALUE"""),37.0)</f>
        <v>37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 t="str">
        <f>IFERROR(__xludf.DUMMYFUNCTION("""COMPUTED_VALUE"""),"C")</f>
        <v>C</v>
      </c>
      <c r="E50" s="1" t="str">
        <f>IFERROR(__xludf.DUMMYFUNCTION("""COMPUTED_VALUE"""),"Female")</f>
        <v>Female</v>
      </c>
      <c r="F50" s="1">
        <f>IFERROR(__xludf.DUMMYFUNCTION("""COMPUTED_VALUE"""),52.0)</f>
        <v>52</v>
      </c>
      <c r="G50" s="1">
        <f>IFERROR(__xludf.DUMMYFUNCTION("""COMPUTED_VALUE"""),59.0)</f>
        <v>59</v>
      </c>
      <c r="H50" s="1">
        <f>IFERROR(__xludf.DUMMYFUNCTION("""COMPUTED_VALUE"""),95.0)</f>
        <v>95</v>
      </c>
      <c r="I50" s="1">
        <f>IFERROR(__xludf.DUMMYFUNCTION("""COMPUTED_VALUE"""),22.0)</f>
        <v>22</v>
      </c>
      <c r="J50" s="1">
        <f>IFERROR(__xludf.DUMMYFUNCTION("""COMPUTED_VALUE"""),34.0)</f>
        <v>34</v>
      </c>
      <c r="K50" s="1">
        <f>IFERROR(__xludf.DUMMYFUNCTION("""COMPUTED_VALUE"""),66.0)</f>
        <v>66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 t="str">
        <f>IFERROR(__xludf.DUMMYFUNCTION("""COMPUTED_VALUE"""),"A")</f>
        <v>A</v>
      </c>
      <c r="E51" s="1" t="str">
        <f>IFERROR(__xludf.DUMMYFUNCTION("""COMPUTED_VALUE"""),"Female")</f>
        <v>Female</v>
      </c>
      <c r="F51" s="1">
        <f>IFERROR(__xludf.DUMMYFUNCTION("""COMPUTED_VALUE"""),27.0)</f>
        <v>27</v>
      </c>
      <c r="G51" s="1">
        <f>IFERROR(__xludf.DUMMYFUNCTION("""COMPUTED_VALUE"""),69.0)</f>
        <v>69</v>
      </c>
      <c r="H51" s="1">
        <f>IFERROR(__xludf.DUMMYFUNCTION("""COMPUTED_VALUE"""),97.0)</f>
        <v>97</v>
      </c>
      <c r="I51" s="1">
        <f>IFERROR(__xludf.DUMMYFUNCTION("""COMPUTED_VALUE"""),67.0)</f>
        <v>67</v>
      </c>
      <c r="J51" s="1">
        <f>IFERROR(__xludf.DUMMYFUNCTION("""COMPUTED_VALUE"""),40.0)</f>
        <v>40</v>
      </c>
      <c r="K51" s="1">
        <f>IFERROR(__xludf.DUMMYFUNCTION("""COMPUTED_VALUE"""),94.0)</f>
        <v>94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 t="str">
        <f>IFERROR(__xludf.DUMMYFUNCTION("""COMPUTED_VALUE"""),"A")</f>
        <v>A</v>
      </c>
      <c r="E52" s="1" t="str">
        <f>IFERROR(__xludf.DUMMYFUNCTION("""COMPUTED_VALUE"""),"Female")</f>
        <v>Female</v>
      </c>
      <c r="F52" s="1">
        <f>IFERROR(__xludf.DUMMYFUNCTION("""COMPUTED_VALUE"""),65.0)</f>
        <v>65</v>
      </c>
      <c r="G52" s="1">
        <f>IFERROR(__xludf.DUMMYFUNCTION("""COMPUTED_VALUE"""),45.0)</f>
        <v>45</v>
      </c>
      <c r="H52" s="1">
        <f>IFERROR(__xludf.DUMMYFUNCTION("""COMPUTED_VALUE"""),21.0)</f>
        <v>21</v>
      </c>
      <c r="I52" s="1">
        <f>IFERROR(__xludf.DUMMYFUNCTION("""COMPUTED_VALUE"""),26.0)</f>
        <v>26</v>
      </c>
      <c r="J52" s="1">
        <f>IFERROR(__xludf.DUMMYFUNCTION("""COMPUTED_VALUE"""),54.0)</f>
        <v>54</v>
      </c>
      <c r="K52" s="1">
        <f>IFERROR(__xludf.DUMMYFUNCTION("""COMPUTED_VALUE"""),63.0)</f>
        <v>63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 t="str">
        <f>IFERROR(__xludf.DUMMYFUNCTION("""COMPUTED_VALUE"""),"A")</f>
        <v>A</v>
      </c>
      <c r="E53" s="1" t="str">
        <f>IFERROR(__xludf.DUMMYFUNCTION("""COMPUTED_VALUE"""),"Female")</f>
        <v>Female</v>
      </c>
      <c r="F53" s="1">
        <f>IFERROR(__xludf.DUMMYFUNCTION("""COMPUTED_VALUE"""),25.0)</f>
        <v>25</v>
      </c>
      <c r="G53" s="1">
        <f>IFERROR(__xludf.DUMMYFUNCTION("""COMPUTED_VALUE"""),90.0)</f>
        <v>90</v>
      </c>
      <c r="H53" s="1">
        <f>IFERROR(__xludf.DUMMYFUNCTION("""COMPUTED_VALUE"""),95.0)</f>
        <v>95</v>
      </c>
      <c r="I53" s="1">
        <f>IFERROR(__xludf.DUMMYFUNCTION("""COMPUTED_VALUE"""),83.0)</f>
        <v>83</v>
      </c>
      <c r="J53" s="1">
        <f>IFERROR(__xludf.DUMMYFUNCTION("""COMPUTED_VALUE"""),32.0)</f>
        <v>32</v>
      </c>
      <c r="K53" s="1">
        <f>IFERROR(__xludf.DUMMYFUNCTION("""COMPUTED_VALUE"""),78.0)</f>
        <v>78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 t="str">
        <f>IFERROR(__xludf.DUMMYFUNCTION("""COMPUTED_VALUE"""),"C")</f>
        <v>C</v>
      </c>
      <c r="E54" s="1" t="str">
        <f>IFERROR(__xludf.DUMMYFUNCTION("""COMPUTED_VALUE"""),"Female")</f>
        <v>Female</v>
      </c>
      <c r="F54" s="1">
        <f>IFERROR(__xludf.DUMMYFUNCTION("""COMPUTED_VALUE"""),57.0)</f>
        <v>57</v>
      </c>
      <c r="G54" s="1">
        <f>IFERROR(__xludf.DUMMYFUNCTION("""COMPUTED_VALUE"""),56.0)</f>
        <v>56</v>
      </c>
      <c r="H54" s="1">
        <f>IFERROR(__xludf.DUMMYFUNCTION("""COMPUTED_VALUE"""),25.0)</f>
        <v>25</v>
      </c>
      <c r="I54" s="1">
        <f>IFERROR(__xludf.DUMMYFUNCTION("""COMPUTED_VALUE"""),23.0)</f>
        <v>23</v>
      </c>
      <c r="J54" s="1">
        <f>IFERROR(__xludf.DUMMYFUNCTION("""COMPUTED_VALUE"""),88.0)</f>
        <v>88</v>
      </c>
      <c r="K54" s="1">
        <f>IFERROR(__xludf.DUMMYFUNCTION("""COMPUTED_VALUE"""),45.0)</f>
        <v>45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 t="str">
        <f>IFERROR(__xludf.DUMMYFUNCTION("""COMPUTED_VALUE"""),"D")</f>
        <v>D</v>
      </c>
      <c r="E55" s="1" t="str">
        <f>IFERROR(__xludf.DUMMYFUNCTION("""COMPUTED_VALUE"""),"Female")</f>
        <v>Female</v>
      </c>
      <c r="F55" s="1">
        <f>IFERROR(__xludf.DUMMYFUNCTION("""COMPUTED_VALUE"""),34.0)</f>
        <v>34</v>
      </c>
      <c r="G55" s="1">
        <f>IFERROR(__xludf.DUMMYFUNCTION("""COMPUTED_VALUE"""),48.0)</f>
        <v>48</v>
      </c>
      <c r="H55" s="1">
        <f>IFERROR(__xludf.DUMMYFUNCTION("""COMPUTED_VALUE"""),38.0)</f>
        <v>38</v>
      </c>
      <c r="I55" s="1">
        <f>IFERROR(__xludf.DUMMYFUNCTION("""COMPUTED_VALUE"""),34.0)</f>
        <v>34</v>
      </c>
      <c r="J55" s="1">
        <f>IFERROR(__xludf.DUMMYFUNCTION("""COMPUTED_VALUE"""),41.0)</f>
        <v>41</v>
      </c>
      <c r="K55" s="1">
        <f>IFERROR(__xludf.DUMMYFUNCTION("""COMPUTED_VALUE"""),70.0)</f>
        <v>70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 t="str">
        <f>IFERROR(__xludf.DUMMYFUNCTION("""COMPUTED_VALUE"""),"A")</f>
        <v>A</v>
      </c>
      <c r="E56" s="1" t="str">
        <f>IFERROR(__xludf.DUMMYFUNCTION("""COMPUTED_VALUE"""),"Female")</f>
        <v>Female</v>
      </c>
      <c r="F56" s="1">
        <f>IFERROR(__xludf.DUMMYFUNCTION("""COMPUTED_VALUE"""),42.0)</f>
        <v>42</v>
      </c>
      <c r="G56" s="1">
        <f>IFERROR(__xludf.DUMMYFUNCTION("""COMPUTED_VALUE"""),44.0)</f>
        <v>44</v>
      </c>
      <c r="H56" s="1">
        <f>IFERROR(__xludf.DUMMYFUNCTION("""COMPUTED_VALUE"""),93.0)</f>
        <v>93</v>
      </c>
      <c r="I56" s="1">
        <f>IFERROR(__xludf.DUMMYFUNCTION("""COMPUTED_VALUE"""),56.0)</f>
        <v>56</v>
      </c>
      <c r="J56" s="1">
        <f>IFERROR(__xludf.DUMMYFUNCTION("""COMPUTED_VALUE"""),33.0)</f>
        <v>33</v>
      </c>
      <c r="K56" s="1">
        <f>IFERROR(__xludf.DUMMYFUNCTION("""COMPUTED_VALUE"""),81.0)</f>
        <v>81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 t="str">
        <f>IFERROR(__xludf.DUMMYFUNCTION("""COMPUTED_VALUE"""),"C")</f>
        <v>C</v>
      </c>
      <c r="E57" s="1" t="str">
        <f>IFERROR(__xludf.DUMMYFUNCTION("""COMPUTED_VALUE"""),"Female")</f>
        <v>Female</v>
      </c>
      <c r="F57" s="1">
        <f>IFERROR(__xludf.DUMMYFUNCTION("""COMPUTED_VALUE"""),98.0)</f>
        <v>98</v>
      </c>
      <c r="G57" s="1">
        <f>IFERROR(__xludf.DUMMYFUNCTION("""COMPUTED_VALUE"""),23.0)</f>
        <v>23</v>
      </c>
      <c r="H57" s="1">
        <f>IFERROR(__xludf.DUMMYFUNCTION("""COMPUTED_VALUE"""),73.0)</f>
        <v>73</v>
      </c>
      <c r="I57" s="1">
        <f>IFERROR(__xludf.DUMMYFUNCTION("""COMPUTED_VALUE"""),85.0)</f>
        <v>85</v>
      </c>
      <c r="J57" s="1">
        <f>IFERROR(__xludf.DUMMYFUNCTION("""COMPUTED_VALUE"""),55.0)</f>
        <v>55</v>
      </c>
      <c r="K57" s="1">
        <f>IFERROR(__xludf.DUMMYFUNCTION("""COMPUTED_VALUE"""),57.0)</f>
        <v>57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 t="str">
        <f>IFERROR(__xludf.DUMMYFUNCTION("""COMPUTED_VALUE"""),"B")</f>
        <v>B</v>
      </c>
      <c r="E58" s="1" t="str">
        <f>IFERROR(__xludf.DUMMYFUNCTION("""COMPUTED_VALUE"""),"Male")</f>
        <v>Male</v>
      </c>
      <c r="F58" s="1">
        <f>IFERROR(__xludf.DUMMYFUNCTION("""COMPUTED_VALUE"""),80.0)</f>
        <v>80</v>
      </c>
      <c r="G58" s="1">
        <f>IFERROR(__xludf.DUMMYFUNCTION("""COMPUTED_VALUE"""),59.0)</f>
        <v>59</v>
      </c>
      <c r="H58" s="1">
        <f>IFERROR(__xludf.DUMMYFUNCTION("""COMPUTED_VALUE"""),42.0)</f>
        <v>42</v>
      </c>
      <c r="I58" s="1">
        <f>IFERROR(__xludf.DUMMYFUNCTION("""COMPUTED_VALUE"""),80.0)</f>
        <v>80</v>
      </c>
      <c r="J58" s="1">
        <f>IFERROR(__xludf.DUMMYFUNCTION("""COMPUTED_VALUE"""),76.0)</f>
        <v>76</v>
      </c>
      <c r="K58" s="1">
        <f>IFERROR(__xludf.DUMMYFUNCTION("""COMPUTED_VALUE"""),48.0)</f>
        <v>48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 t="str">
        <f>IFERROR(__xludf.DUMMYFUNCTION("""COMPUTED_VALUE"""),"B")</f>
        <v>B</v>
      </c>
      <c r="E59" s="1" t="str">
        <f>IFERROR(__xludf.DUMMYFUNCTION("""COMPUTED_VALUE"""),"Male")</f>
        <v>Male</v>
      </c>
      <c r="F59" s="1">
        <f>IFERROR(__xludf.DUMMYFUNCTION("""COMPUTED_VALUE"""),42.0)</f>
        <v>42</v>
      </c>
      <c r="G59" s="1">
        <f>IFERROR(__xludf.DUMMYFUNCTION("""COMPUTED_VALUE"""),60.0)</f>
        <v>60</v>
      </c>
      <c r="H59" s="1">
        <f>IFERROR(__xludf.DUMMYFUNCTION("""COMPUTED_VALUE"""),31.0)</f>
        <v>31</v>
      </c>
      <c r="I59" s="1">
        <f>IFERROR(__xludf.DUMMYFUNCTION("""COMPUTED_VALUE"""),68.0)</f>
        <v>68</v>
      </c>
      <c r="J59" s="1">
        <f>IFERROR(__xludf.DUMMYFUNCTION("""COMPUTED_VALUE"""),39.0)</f>
        <v>39</v>
      </c>
      <c r="K59" s="1">
        <f>IFERROR(__xludf.DUMMYFUNCTION("""COMPUTED_VALUE"""),42.0)</f>
        <v>42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 t="str">
        <f>IFERROR(__xludf.DUMMYFUNCTION("""COMPUTED_VALUE"""),"A")</f>
        <v>A</v>
      </c>
      <c r="E60" s="1" t="str">
        <f>IFERROR(__xludf.DUMMYFUNCTION("""COMPUTED_VALUE"""),"Male")</f>
        <v>Male</v>
      </c>
      <c r="F60" s="1">
        <f>IFERROR(__xludf.DUMMYFUNCTION("""COMPUTED_VALUE"""),79.0)</f>
        <v>79</v>
      </c>
      <c r="G60" s="1">
        <f>IFERROR(__xludf.DUMMYFUNCTION("""COMPUTED_VALUE"""),99.0)</f>
        <v>99</v>
      </c>
      <c r="H60" s="1">
        <f>IFERROR(__xludf.DUMMYFUNCTION("""COMPUTED_VALUE"""),39.0)</f>
        <v>39</v>
      </c>
      <c r="I60" s="1">
        <f>IFERROR(__xludf.DUMMYFUNCTION("""COMPUTED_VALUE"""),90.0)</f>
        <v>90</v>
      </c>
      <c r="J60" s="1">
        <f>IFERROR(__xludf.DUMMYFUNCTION("""COMPUTED_VALUE"""),21.0)</f>
        <v>21</v>
      </c>
      <c r="K60" s="1">
        <f>IFERROR(__xludf.DUMMYFUNCTION("""COMPUTED_VALUE"""),93.0)</f>
        <v>93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 t="str">
        <f>IFERROR(__xludf.DUMMYFUNCTION("""COMPUTED_VALUE"""),"D")</f>
        <v>D</v>
      </c>
      <c r="E61" s="1" t="str">
        <f>IFERROR(__xludf.DUMMYFUNCTION("""COMPUTED_VALUE"""),"Male")</f>
        <v>Male</v>
      </c>
      <c r="F61" s="1">
        <f>IFERROR(__xludf.DUMMYFUNCTION("""COMPUTED_VALUE"""),64.0)</f>
        <v>64</v>
      </c>
      <c r="G61" s="1">
        <f>IFERROR(__xludf.DUMMYFUNCTION("""COMPUTED_VALUE"""),96.0)</f>
        <v>96</v>
      </c>
      <c r="H61" s="1">
        <f>IFERROR(__xludf.DUMMYFUNCTION("""COMPUTED_VALUE"""),57.0)</f>
        <v>57</v>
      </c>
      <c r="I61" s="1">
        <f>IFERROR(__xludf.DUMMYFUNCTION("""COMPUTED_VALUE"""),64.0)</f>
        <v>64</v>
      </c>
      <c r="J61" s="1">
        <f>IFERROR(__xludf.DUMMYFUNCTION("""COMPUTED_VALUE"""),44.0)</f>
        <v>44</v>
      </c>
      <c r="K61" s="1">
        <f>IFERROR(__xludf.DUMMYFUNCTION("""COMPUTED_VALUE"""),39.0)</f>
        <v>39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 t="str">
        <f>IFERROR(__xludf.DUMMYFUNCTION("""COMPUTED_VALUE"""),"C")</f>
        <v>C</v>
      </c>
      <c r="E62" s="1" t="str">
        <f>IFERROR(__xludf.DUMMYFUNCTION("""COMPUTED_VALUE"""),"Male")</f>
        <v>Male</v>
      </c>
      <c r="F62" s="1">
        <f>IFERROR(__xludf.DUMMYFUNCTION("""COMPUTED_VALUE"""),64.0)</f>
        <v>64</v>
      </c>
      <c r="G62" s="1">
        <f>IFERROR(__xludf.DUMMYFUNCTION("""COMPUTED_VALUE"""),40.0)</f>
        <v>40</v>
      </c>
      <c r="H62" s="1">
        <f>IFERROR(__xludf.DUMMYFUNCTION("""COMPUTED_VALUE"""),26.0)</f>
        <v>26</v>
      </c>
      <c r="I62" s="1">
        <f>IFERROR(__xludf.DUMMYFUNCTION("""COMPUTED_VALUE"""),85.0)</f>
        <v>85</v>
      </c>
      <c r="J62" s="1">
        <f>IFERROR(__xludf.DUMMYFUNCTION("""COMPUTED_VALUE"""),29.0)</f>
        <v>29</v>
      </c>
      <c r="K62" s="1">
        <f>IFERROR(__xludf.DUMMYFUNCTION("""COMPUTED_VALUE"""),84.0)</f>
        <v>84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 t="str">
        <f>IFERROR(__xludf.DUMMYFUNCTION("""COMPUTED_VALUE"""),"A")</f>
        <v>A</v>
      </c>
      <c r="E63" s="1" t="str">
        <f>IFERROR(__xludf.DUMMYFUNCTION("""COMPUTED_VALUE"""),"Female")</f>
        <v>Female</v>
      </c>
      <c r="F63" s="1">
        <f>IFERROR(__xludf.DUMMYFUNCTION("""COMPUTED_VALUE"""),100.0)</f>
        <v>100</v>
      </c>
      <c r="G63" s="1">
        <f>IFERROR(__xludf.DUMMYFUNCTION("""COMPUTED_VALUE"""),69.0)</f>
        <v>69</v>
      </c>
      <c r="H63" s="1">
        <f>IFERROR(__xludf.DUMMYFUNCTION("""COMPUTED_VALUE"""),94.0)</f>
        <v>94</v>
      </c>
      <c r="I63" s="1">
        <f>IFERROR(__xludf.DUMMYFUNCTION("""COMPUTED_VALUE"""),93.0)</f>
        <v>93</v>
      </c>
      <c r="J63" s="1">
        <f>IFERROR(__xludf.DUMMYFUNCTION("""COMPUTED_VALUE"""),86.0)</f>
        <v>86</v>
      </c>
      <c r="K63" s="1">
        <f>IFERROR(__xludf.DUMMYFUNCTION("""COMPUTED_VALUE"""),23.0)</f>
        <v>23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 t="str">
        <f>IFERROR(__xludf.DUMMYFUNCTION("""COMPUTED_VALUE"""),"C")</f>
        <v>C</v>
      </c>
      <c r="E64" s="1" t="str">
        <f>IFERROR(__xludf.DUMMYFUNCTION("""COMPUTED_VALUE"""),"Male")</f>
        <v>Male</v>
      </c>
      <c r="F64" s="1">
        <f>IFERROR(__xludf.DUMMYFUNCTION("""COMPUTED_VALUE"""),64.0)</f>
        <v>64</v>
      </c>
      <c r="G64" s="1">
        <f>IFERROR(__xludf.DUMMYFUNCTION("""COMPUTED_VALUE"""),38.0)</f>
        <v>38</v>
      </c>
      <c r="H64" s="1">
        <f>IFERROR(__xludf.DUMMYFUNCTION("""COMPUTED_VALUE"""),37.0)</f>
        <v>37</v>
      </c>
      <c r="I64" s="1">
        <f>IFERROR(__xludf.DUMMYFUNCTION("""COMPUTED_VALUE"""),92.0)</f>
        <v>92</v>
      </c>
      <c r="J64" s="1">
        <f>IFERROR(__xludf.DUMMYFUNCTION("""COMPUTED_VALUE"""),69.0)</f>
        <v>69</v>
      </c>
      <c r="K64" s="1">
        <f>IFERROR(__xludf.DUMMYFUNCTION("""COMPUTED_VALUE"""),49.0)</f>
        <v>49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 t="str">
        <f>IFERROR(__xludf.DUMMYFUNCTION("""COMPUTED_VALUE"""),"D")</f>
        <v>D</v>
      </c>
      <c r="E65" s="1" t="str">
        <f>IFERROR(__xludf.DUMMYFUNCTION("""COMPUTED_VALUE"""),"Female")</f>
        <v>Female</v>
      </c>
      <c r="F65" s="1">
        <f>IFERROR(__xludf.DUMMYFUNCTION("""COMPUTED_VALUE"""),100.0)</f>
        <v>100</v>
      </c>
      <c r="G65" s="1">
        <f>IFERROR(__xludf.DUMMYFUNCTION("""COMPUTED_VALUE"""),63.0)</f>
        <v>63</v>
      </c>
      <c r="H65" s="1">
        <f>IFERROR(__xludf.DUMMYFUNCTION("""COMPUTED_VALUE"""),43.0)</f>
        <v>43</v>
      </c>
      <c r="I65" s="1">
        <f>IFERROR(__xludf.DUMMYFUNCTION("""COMPUTED_VALUE"""),23.0)</f>
        <v>23</v>
      </c>
      <c r="J65" s="1">
        <f>IFERROR(__xludf.DUMMYFUNCTION("""COMPUTED_VALUE"""),65.0)</f>
        <v>65</v>
      </c>
      <c r="K65" s="1">
        <f>IFERROR(__xludf.DUMMYFUNCTION("""COMPUTED_VALUE"""),62.0)</f>
        <v>62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 t="str">
        <f>IFERROR(__xludf.DUMMYFUNCTION("""COMPUTED_VALUE"""),"B")</f>
        <v>B</v>
      </c>
      <c r="E66" s="1" t="str">
        <f>IFERROR(__xludf.DUMMYFUNCTION("""COMPUTED_VALUE"""),"Male")</f>
        <v>Male</v>
      </c>
      <c r="F66" s="1">
        <f>IFERROR(__xludf.DUMMYFUNCTION("""COMPUTED_VALUE"""),54.0)</f>
        <v>54</v>
      </c>
      <c r="G66" s="1">
        <f>IFERROR(__xludf.DUMMYFUNCTION("""COMPUTED_VALUE"""),66.0)</f>
        <v>66</v>
      </c>
      <c r="H66" s="1">
        <f>IFERROR(__xludf.DUMMYFUNCTION("""COMPUTED_VALUE"""),50.0)</f>
        <v>50</v>
      </c>
      <c r="I66" s="1">
        <f>IFERROR(__xludf.DUMMYFUNCTION("""COMPUTED_VALUE"""),87.0)</f>
        <v>87</v>
      </c>
      <c r="J66" s="1">
        <f>IFERROR(__xludf.DUMMYFUNCTION("""COMPUTED_VALUE"""),99.0)</f>
        <v>99</v>
      </c>
      <c r="K66" s="1">
        <f>IFERROR(__xludf.DUMMYFUNCTION("""COMPUTED_VALUE"""),71.0)</f>
        <v>71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 t="str">
        <f>IFERROR(__xludf.DUMMYFUNCTION("""COMPUTED_VALUE"""),"B")</f>
        <v>B</v>
      </c>
      <c r="E67" s="1" t="str">
        <f>IFERROR(__xludf.DUMMYFUNCTION("""COMPUTED_VALUE"""),"Male")</f>
        <v>Male</v>
      </c>
      <c r="F67" s="1">
        <f>IFERROR(__xludf.DUMMYFUNCTION("""COMPUTED_VALUE"""),100.0)</f>
        <v>100</v>
      </c>
      <c r="G67" s="1">
        <f>IFERROR(__xludf.DUMMYFUNCTION("""COMPUTED_VALUE"""),32.0)</f>
        <v>32</v>
      </c>
      <c r="H67" s="1">
        <f>IFERROR(__xludf.DUMMYFUNCTION("""COMPUTED_VALUE"""),61.0)</f>
        <v>61</v>
      </c>
      <c r="I67" s="1">
        <f>IFERROR(__xludf.DUMMYFUNCTION("""COMPUTED_VALUE"""),50.0)</f>
        <v>50</v>
      </c>
      <c r="J67" s="1">
        <f>IFERROR(__xludf.DUMMYFUNCTION("""COMPUTED_VALUE"""),95.0)</f>
        <v>95</v>
      </c>
      <c r="K67" s="1">
        <f>IFERROR(__xludf.DUMMYFUNCTION("""COMPUTED_VALUE"""),28.0)</f>
        <v>28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 t="str">
        <f>IFERROR(__xludf.DUMMYFUNCTION("""COMPUTED_VALUE"""),"D")</f>
        <v>D</v>
      </c>
      <c r="E68" s="1" t="str">
        <f>IFERROR(__xludf.DUMMYFUNCTION("""COMPUTED_VALUE"""),"Female")</f>
        <v>Female</v>
      </c>
      <c r="F68" s="1">
        <f>IFERROR(__xludf.DUMMYFUNCTION("""COMPUTED_VALUE"""),60.0)</f>
        <v>60</v>
      </c>
      <c r="G68" s="1">
        <f>IFERROR(__xludf.DUMMYFUNCTION("""COMPUTED_VALUE"""),88.0)</f>
        <v>88</v>
      </c>
      <c r="H68" s="1">
        <f>IFERROR(__xludf.DUMMYFUNCTION("""COMPUTED_VALUE"""),89.0)</f>
        <v>89</v>
      </c>
      <c r="I68" s="1">
        <f>IFERROR(__xludf.DUMMYFUNCTION("""COMPUTED_VALUE"""),59.0)</f>
        <v>59</v>
      </c>
      <c r="J68" s="1">
        <f>IFERROR(__xludf.DUMMYFUNCTION("""COMPUTED_VALUE"""),64.0)</f>
        <v>64</v>
      </c>
      <c r="K68" s="1">
        <f>IFERROR(__xludf.DUMMYFUNCTION("""COMPUTED_VALUE"""),54.0)</f>
        <v>54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 t="str">
        <f>IFERROR(__xludf.DUMMYFUNCTION("""COMPUTED_VALUE"""),"D")</f>
        <v>D</v>
      </c>
      <c r="E69" s="1" t="str">
        <f>IFERROR(__xludf.DUMMYFUNCTION("""COMPUTED_VALUE"""),"Male")</f>
        <v>Male</v>
      </c>
      <c r="F69" s="1">
        <f>IFERROR(__xludf.DUMMYFUNCTION("""COMPUTED_VALUE"""),85.0)</f>
        <v>85</v>
      </c>
      <c r="G69" s="1">
        <f>IFERROR(__xludf.DUMMYFUNCTION("""COMPUTED_VALUE"""),20.0)</f>
        <v>20</v>
      </c>
      <c r="H69" s="1">
        <f>IFERROR(__xludf.DUMMYFUNCTION("""COMPUTED_VALUE"""),42.0)</f>
        <v>42</v>
      </c>
      <c r="I69" s="1">
        <f>IFERROR(__xludf.DUMMYFUNCTION("""COMPUTED_VALUE"""),84.0)</f>
        <v>84</v>
      </c>
      <c r="J69" s="1">
        <f>IFERROR(__xludf.DUMMYFUNCTION("""COMPUTED_VALUE"""),83.0)</f>
        <v>83</v>
      </c>
      <c r="K69" s="1">
        <f>IFERROR(__xludf.DUMMYFUNCTION("""COMPUTED_VALUE"""),97.0)</f>
        <v>97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 t="str">
        <f>IFERROR(__xludf.DUMMYFUNCTION("""COMPUTED_VALUE"""),"A")</f>
        <v>A</v>
      </c>
      <c r="E70" s="1" t="str">
        <f>IFERROR(__xludf.DUMMYFUNCTION("""COMPUTED_VALUE"""),"Female")</f>
        <v>Female</v>
      </c>
      <c r="F70" s="1">
        <f>IFERROR(__xludf.DUMMYFUNCTION("""COMPUTED_VALUE"""),67.0)</f>
        <v>67</v>
      </c>
      <c r="G70" s="1">
        <f>IFERROR(__xludf.DUMMYFUNCTION("""COMPUTED_VALUE"""),30.0)</f>
        <v>30</v>
      </c>
      <c r="H70" s="1">
        <f>IFERROR(__xludf.DUMMYFUNCTION("""COMPUTED_VALUE"""),86.0)</f>
        <v>86</v>
      </c>
      <c r="I70" s="1">
        <f>IFERROR(__xludf.DUMMYFUNCTION("""COMPUTED_VALUE"""),47.0)</f>
        <v>47</v>
      </c>
      <c r="J70" s="1">
        <f>IFERROR(__xludf.DUMMYFUNCTION("""COMPUTED_VALUE"""),75.0)</f>
        <v>75</v>
      </c>
      <c r="K70" s="1">
        <f>IFERROR(__xludf.DUMMYFUNCTION("""COMPUTED_VALUE"""),58.0)</f>
        <v>58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 t="str">
        <f>IFERROR(__xludf.DUMMYFUNCTION("""COMPUTED_VALUE"""),"B")</f>
        <v>B</v>
      </c>
      <c r="E71" s="1" t="str">
        <f>IFERROR(__xludf.DUMMYFUNCTION("""COMPUTED_VALUE"""),"Female")</f>
        <v>Female</v>
      </c>
      <c r="F71" s="1">
        <f>IFERROR(__xludf.DUMMYFUNCTION("""COMPUTED_VALUE"""),25.0)</f>
        <v>25</v>
      </c>
      <c r="G71" s="1">
        <f>IFERROR(__xludf.DUMMYFUNCTION("""COMPUTED_VALUE"""),90.0)</f>
        <v>90</v>
      </c>
      <c r="H71" s="1">
        <f>IFERROR(__xludf.DUMMYFUNCTION("""COMPUTED_VALUE"""),81.0)</f>
        <v>81</v>
      </c>
      <c r="I71" s="1">
        <f>IFERROR(__xludf.DUMMYFUNCTION("""COMPUTED_VALUE"""),22.0)</f>
        <v>22</v>
      </c>
      <c r="J71" s="1">
        <f>IFERROR(__xludf.DUMMYFUNCTION("""COMPUTED_VALUE"""),76.0)</f>
        <v>76</v>
      </c>
      <c r="K71" s="1">
        <f>IFERROR(__xludf.DUMMYFUNCTION("""COMPUTED_VALUE"""),92.0)</f>
        <v>92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 t="str">
        <f>IFERROR(__xludf.DUMMYFUNCTION("""COMPUTED_VALUE"""),"D")</f>
        <v>D</v>
      </c>
      <c r="E72" s="1" t="str">
        <f>IFERROR(__xludf.DUMMYFUNCTION("""COMPUTED_VALUE"""),"Male")</f>
        <v>Male</v>
      </c>
      <c r="F72" s="1">
        <f>IFERROR(__xludf.DUMMYFUNCTION("""COMPUTED_VALUE"""),21.0)</f>
        <v>21</v>
      </c>
      <c r="G72" s="1">
        <f>IFERROR(__xludf.DUMMYFUNCTION("""COMPUTED_VALUE"""),28.0)</f>
        <v>28</v>
      </c>
      <c r="H72" s="1">
        <f>IFERROR(__xludf.DUMMYFUNCTION("""COMPUTED_VALUE"""),71.0)</f>
        <v>71</v>
      </c>
      <c r="I72" s="1">
        <f>IFERROR(__xludf.DUMMYFUNCTION("""COMPUTED_VALUE"""),91.0)</f>
        <v>91</v>
      </c>
      <c r="J72" s="1">
        <f>IFERROR(__xludf.DUMMYFUNCTION("""COMPUTED_VALUE"""),61.0)</f>
        <v>61</v>
      </c>
      <c r="K72" s="1">
        <f>IFERROR(__xludf.DUMMYFUNCTION("""COMPUTED_VALUE"""),83.0)</f>
        <v>83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 t="str">
        <f>IFERROR(__xludf.DUMMYFUNCTION("""COMPUTED_VALUE"""),"A")</f>
        <v>A</v>
      </c>
      <c r="E73" s="1" t="str">
        <f>IFERROR(__xludf.DUMMYFUNCTION("""COMPUTED_VALUE"""),"Female")</f>
        <v>Female</v>
      </c>
      <c r="F73" s="1">
        <f>IFERROR(__xludf.DUMMYFUNCTION("""COMPUTED_VALUE"""),68.0)</f>
        <v>68</v>
      </c>
      <c r="G73" s="1">
        <f>IFERROR(__xludf.DUMMYFUNCTION("""COMPUTED_VALUE"""),41.0)</f>
        <v>41</v>
      </c>
      <c r="H73" s="1">
        <f>IFERROR(__xludf.DUMMYFUNCTION("""COMPUTED_VALUE"""),56.0)</f>
        <v>56</v>
      </c>
      <c r="I73" s="1">
        <f>IFERROR(__xludf.DUMMYFUNCTION("""COMPUTED_VALUE"""),96.0)</f>
        <v>96</v>
      </c>
      <c r="J73" s="1">
        <f>IFERROR(__xludf.DUMMYFUNCTION("""COMPUTED_VALUE"""),21.0)</f>
        <v>21</v>
      </c>
      <c r="K73" s="1">
        <f>IFERROR(__xludf.DUMMYFUNCTION("""COMPUTED_VALUE"""),57.0)</f>
        <v>57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 t="str">
        <f>IFERROR(__xludf.DUMMYFUNCTION("""COMPUTED_VALUE"""),"B")</f>
        <v>B</v>
      </c>
      <c r="E74" s="1" t="str">
        <f>IFERROR(__xludf.DUMMYFUNCTION("""COMPUTED_VALUE"""),"Male")</f>
        <v>Male</v>
      </c>
      <c r="F74" s="1">
        <f>IFERROR(__xludf.DUMMYFUNCTION("""COMPUTED_VALUE"""),58.0)</f>
        <v>58</v>
      </c>
      <c r="G74" s="1">
        <f>IFERROR(__xludf.DUMMYFUNCTION("""COMPUTED_VALUE"""),65.0)</f>
        <v>65</v>
      </c>
      <c r="H74" s="1">
        <f>IFERROR(__xludf.DUMMYFUNCTION("""COMPUTED_VALUE"""),61.0)</f>
        <v>61</v>
      </c>
      <c r="I74" s="1">
        <f>IFERROR(__xludf.DUMMYFUNCTION("""COMPUTED_VALUE"""),95.0)</f>
        <v>95</v>
      </c>
      <c r="J74" s="1">
        <f>IFERROR(__xludf.DUMMYFUNCTION("""COMPUTED_VALUE"""),83.0)</f>
        <v>83</v>
      </c>
      <c r="K74" s="1">
        <f>IFERROR(__xludf.DUMMYFUNCTION("""COMPUTED_VALUE"""),32.0)</f>
        <v>32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 t="str">
        <f>IFERROR(__xludf.DUMMYFUNCTION("""COMPUTED_VALUE"""),"A")</f>
        <v>A</v>
      </c>
      <c r="E75" s="1" t="str">
        <f>IFERROR(__xludf.DUMMYFUNCTION("""COMPUTED_VALUE"""),"Male")</f>
        <v>Male</v>
      </c>
      <c r="F75" s="1">
        <f>IFERROR(__xludf.DUMMYFUNCTION("""COMPUTED_VALUE"""),10.0)</f>
        <v>10</v>
      </c>
      <c r="G75" s="1">
        <f>IFERROR(__xludf.DUMMYFUNCTION("""COMPUTED_VALUE"""),43.0)</f>
        <v>43</v>
      </c>
      <c r="H75" s="1">
        <f>IFERROR(__xludf.DUMMYFUNCTION("""COMPUTED_VALUE"""),23.0)</f>
        <v>23</v>
      </c>
      <c r="I75" s="1">
        <f>IFERROR(__xludf.DUMMYFUNCTION("""COMPUTED_VALUE"""),35.0)</f>
        <v>35</v>
      </c>
      <c r="J75" s="1">
        <f>IFERROR(__xludf.DUMMYFUNCTION("""COMPUTED_VALUE"""),87.0)</f>
        <v>87</v>
      </c>
      <c r="K75" s="1">
        <f>IFERROR(__xludf.DUMMYFUNCTION("""COMPUTED_VALUE"""),90.0)</f>
        <v>90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 t="str">
        <f>IFERROR(__xludf.DUMMYFUNCTION("""COMPUTED_VALUE"""),"A")</f>
        <v>A</v>
      </c>
      <c r="E76" s="1" t="str">
        <f>IFERROR(__xludf.DUMMYFUNCTION("""COMPUTED_VALUE"""),"Female")</f>
        <v>Female</v>
      </c>
      <c r="F76" s="1">
        <f>IFERROR(__xludf.DUMMYFUNCTION("""COMPUTED_VALUE"""),73.0)</f>
        <v>73</v>
      </c>
      <c r="G76" s="1">
        <f>IFERROR(__xludf.DUMMYFUNCTION("""COMPUTED_VALUE"""),56.0)</f>
        <v>56</v>
      </c>
      <c r="H76" s="1">
        <f>IFERROR(__xludf.DUMMYFUNCTION("""COMPUTED_VALUE"""),32.0)</f>
        <v>32</v>
      </c>
      <c r="I76" s="1">
        <f>IFERROR(__xludf.DUMMYFUNCTION("""COMPUTED_VALUE"""),94.0)</f>
        <v>94</v>
      </c>
      <c r="J76" s="1">
        <f>IFERROR(__xludf.DUMMYFUNCTION("""COMPUTED_VALUE"""),59.0)</f>
        <v>59</v>
      </c>
      <c r="K76" s="1">
        <f>IFERROR(__xludf.DUMMYFUNCTION("""COMPUTED_VALUE"""),66.0)</f>
        <v>66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 t="str">
        <f>IFERROR(__xludf.DUMMYFUNCTION("""COMPUTED_VALUE"""),"A")</f>
        <v>A</v>
      </c>
      <c r="E77" s="1" t="str">
        <f>IFERROR(__xludf.DUMMYFUNCTION("""COMPUTED_VALUE"""),"Female")</f>
        <v>Female</v>
      </c>
      <c r="F77" s="1">
        <f>IFERROR(__xludf.DUMMYFUNCTION("""COMPUTED_VALUE"""),71.0)</f>
        <v>71</v>
      </c>
      <c r="G77" s="1">
        <f>IFERROR(__xludf.DUMMYFUNCTION("""COMPUTED_VALUE"""),93.0)</f>
        <v>93</v>
      </c>
      <c r="H77" s="1">
        <f>IFERROR(__xludf.DUMMYFUNCTION("""COMPUTED_VALUE"""),64.0)</f>
        <v>64</v>
      </c>
      <c r="I77" s="1">
        <f>IFERROR(__xludf.DUMMYFUNCTION("""COMPUTED_VALUE"""),90.0)</f>
        <v>90</v>
      </c>
      <c r="J77" s="1">
        <f>IFERROR(__xludf.DUMMYFUNCTION("""COMPUTED_VALUE"""),43.0)</f>
        <v>43</v>
      </c>
      <c r="K77" s="1">
        <f>IFERROR(__xludf.DUMMYFUNCTION("""COMPUTED_VALUE"""),73.0)</f>
        <v>73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 t="str">
        <f>IFERROR(__xludf.DUMMYFUNCTION("""COMPUTED_VALUE"""),"D")</f>
        <v>D</v>
      </c>
      <c r="E78" s="1" t="str">
        <f>IFERROR(__xludf.DUMMYFUNCTION("""COMPUTED_VALUE"""),"Male")</f>
        <v>Male</v>
      </c>
      <c r="F78" s="1">
        <f>IFERROR(__xludf.DUMMYFUNCTION("""COMPUTED_VALUE"""),43.0)</f>
        <v>43</v>
      </c>
      <c r="G78" s="1">
        <f>IFERROR(__xludf.DUMMYFUNCTION("""COMPUTED_VALUE"""),79.0)</f>
        <v>79</v>
      </c>
      <c r="H78" s="1">
        <f>IFERROR(__xludf.DUMMYFUNCTION("""COMPUTED_VALUE"""),55.0)</f>
        <v>55</v>
      </c>
      <c r="I78" s="1">
        <f>IFERROR(__xludf.DUMMYFUNCTION("""COMPUTED_VALUE"""),86.0)</f>
        <v>86</v>
      </c>
      <c r="J78" s="1">
        <f>IFERROR(__xludf.DUMMYFUNCTION("""COMPUTED_VALUE"""),98.0)</f>
        <v>98</v>
      </c>
      <c r="K78" s="1">
        <f>IFERROR(__xludf.DUMMYFUNCTION("""COMPUTED_VALUE"""),72.0)</f>
        <v>72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 t="str">
        <f>IFERROR(__xludf.DUMMYFUNCTION("""COMPUTED_VALUE"""),"A")</f>
        <v>A</v>
      </c>
      <c r="E79" s="1" t="str">
        <f>IFERROR(__xludf.DUMMYFUNCTION("""COMPUTED_VALUE"""),"Female")</f>
        <v>Female</v>
      </c>
      <c r="F79" s="1">
        <f>IFERROR(__xludf.DUMMYFUNCTION("""COMPUTED_VALUE"""),53.0)</f>
        <v>53</v>
      </c>
      <c r="G79" s="1">
        <f>IFERROR(__xludf.DUMMYFUNCTION("""COMPUTED_VALUE"""),77.0)</f>
        <v>77</v>
      </c>
      <c r="H79" s="1">
        <f>IFERROR(__xludf.DUMMYFUNCTION("""COMPUTED_VALUE"""),62.0)</f>
        <v>62</v>
      </c>
      <c r="I79" s="1">
        <f>IFERROR(__xludf.DUMMYFUNCTION("""COMPUTED_VALUE"""),26.0)</f>
        <v>26</v>
      </c>
      <c r="J79" s="1">
        <f>IFERROR(__xludf.DUMMYFUNCTION("""COMPUTED_VALUE"""),67.0)</f>
        <v>67</v>
      </c>
      <c r="K79" s="1">
        <f>IFERROR(__xludf.DUMMYFUNCTION("""COMPUTED_VALUE"""),64.0)</f>
        <v>64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 t="str">
        <f>IFERROR(__xludf.DUMMYFUNCTION("""COMPUTED_VALUE"""),"A")</f>
        <v>A</v>
      </c>
      <c r="E80" s="1" t="str">
        <f>IFERROR(__xludf.DUMMYFUNCTION("""COMPUTED_VALUE"""),"Female")</f>
        <v>Female</v>
      </c>
      <c r="F80" s="1">
        <f>IFERROR(__xludf.DUMMYFUNCTION("""COMPUTED_VALUE"""),79.0)</f>
        <v>79</v>
      </c>
      <c r="G80" s="1">
        <f>IFERROR(__xludf.DUMMYFUNCTION("""COMPUTED_VALUE"""),86.0)</f>
        <v>86</v>
      </c>
      <c r="H80" s="1">
        <f>IFERROR(__xludf.DUMMYFUNCTION("""COMPUTED_VALUE"""),45.0)</f>
        <v>45</v>
      </c>
      <c r="I80" s="1">
        <f>IFERROR(__xludf.DUMMYFUNCTION("""COMPUTED_VALUE"""),42.0)</f>
        <v>42</v>
      </c>
      <c r="J80" s="1">
        <f>IFERROR(__xludf.DUMMYFUNCTION("""COMPUTED_VALUE"""),29.0)</f>
        <v>29</v>
      </c>
      <c r="K80" s="1">
        <f>IFERROR(__xludf.DUMMYFUNCTION("""COMPUTED_VALUE"""),22.0)</f>
        <v>22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 t="str">
        <f>IFERROR(__xludf.DUMMYFUNCTION("""COMPUTED_VALUE"""),"B")</f>
        <v>B</v>
      </c>
      <c r="E81" s="1" t="str">
        <f>IFERROR(__xludf.DUMMYFUNCTION("""COMPUTED_VALUE"""),"Female")</f>
        <v>Female</v>
      </c>
      <c r="F81" s="1">
        <f>IFERROR(__xludf.DUMMYFUNCTION("""COMPUTED_VALUE"""),97.0)</f>
        <v>97</v>
      </c>
      <c r="G81" s="1">
        <f>IFERROR(__xludf.DUMMYFUNCTION("""COMPUTED_VALUE"""),51.0)</f>
        <v>51</v>
      </c>
      <c r="H81" s="1">
        <f>IFERROR(__xludf.DUMMYFUNCTION("""COMPUTED_VALUE"""),59.0)</f>
        <v>59</v>
      </c>
      <c r="I81" s="1">
        <f>IFERROR(__xludf.DUMMYFUNCTION("""COMPUTED_VALUE"""),47.0)</f>
        <v>47</v>
      </c>
      <c r="J81" s="1">
        <f>IFERROR(__xludf.DUMMYFUNCTION("""COMPUTED_VALUE"""),98.0)</f>
        <v>98</v>
      </c>
      <c r="K81" s="1">
        <f>IFERROR(__xludf.DUMMYFUNCTION("""COMPUTED_VALUE"""),82.0)</f>
        <v>82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 t="str">
        <f>IFERROR(__xludf.DUMMYFUNCTION("""COMPUTED_VALUE"""),"C")</f>
        <v>C</v>
      </c>
      <c r="E82" s="1" t="str">
        <f>IFERROR(__xludf.DUMMYFUNCTION("""COMPUTED_VALUE"""),"Male")</f>
        <v>Male</v>
      </c>
      <c r="F82" s="1">
        <f>IFERROR(__xludf.DUMMYFUNCTION("""COMPUTED_VALUE"""),99.0)</f>
        <v>99</v>
      </c>
      <c r="G82" s="1">
        <f>IFERROR(__xludf.DUMMYFUNCTION("""COMPUTED_VALUE"""),97.0)</f>
        <v>97</v>
      </c>
      <c r="H82" s="1">
        <f>IFERROR(__xludf.DUMMYFUNCTION("""COMPUTED_VALUE"""),52.0)</f>
        <v>52</v>
      </c>
      <c r="I82" s="1">
        <f>IFERROR(__xludf.DUMMYFUNCTION("""COMPUTED_VALUE"""),31.0)</f>
        <v>31</v>
      </c>
      <c r="J82" s="1">
        <f>IFERROR(__xludf.DUMMYFUNCTION("""COMPUTED_VALUE"""),77.0)</f>
        <v>77</v>
      </c>
      <c r="K82" s="1">
        <f>IFERROR(__xludf.DUMMYFUNCTION("""COMPUTED_VALUE"""),38.0)</f>
        <v>38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 t="str">
        <f>IFERROR(__xludf.DUMMYFUNCTION("""COMPUTED_VALUE"""),"A")</f>
        <v>A</v>
      </c>
      <c r="E83" s="1" t="str">
        <f>IFERROR(__xludf.DUMMYFUNCTION("""COMPUTED_VALUE"""),"Female")</f>
        <v>Female</v>
      </c>
      <c r="F83" s="1">
        <f>IFERROR(__xludf.DUMMYFUNCTION("""COMPUTED_VALUE"""),31.0)</f>
        <v>31</v>
      </c>
      <c r="G83" s="1">
        <f>IFERROR(__xludf.DUMMYFUNCTION("""COMPUTED_VALUE"""),33.0)</f>
        <v>33</v>
      </c>
      <c r="H83" s="1">
        <f>IFERROR(__xludf.DUMMYFUNCTION("""COMPUTED_VALUE"""),79.0)</f>
        <v>79</v>
      </c>
      <c r="I83" s="1">
        <f>IFERROR(__xludf.DUMMYFUNCTION("""COMPUTED_VALUE"""),40.0)</f>
        <v>40</v>
      </c>
      <c r="J83" s="1">
        <f>IFERROR(__xludf.DUMMYFUNCTION("""COMPUTED_VALUE"""),51.0)</f>
        <v>51</v>
      </c>
      <c r="K83" s="1">
        <f>IFERROR(__xludf.DUMMYFUNCTION("""COMPUTED_VALUE"""),65.0)</f>
        <v>65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 t="str">
        <f>IFERROR(__xludf.DUMMYFUNCTION("""COMPUTED_VALUE"""),"D")</f>
        <v>D</v>
      </c>
      <c r="E84" s="1" t="str">
        <f>IFERROR(__xludf.DUMMYFUNCTION("""COMPUTED_VALUE"""),"Female")</f>
        <v>Female</v>
      </c>
      <c r="F84" s="1">
        <f>IFERROR(__xludf.DUMMYFUNCTION("""COMPUTED_VALUE"""),37.0)</f>
        <v>37</v>
      </c>
      <c r="G84" s="1">
        <f>IFERROR(__xludf.DUMMYFUNCTION("""COMPUTED_VALUE"""),55.0)</f>
        <v>55</v>
      </c>
      <c r="H84" s="1">
        <f>IFERROR(__xludf.DUMMYFUNCTION("""COMPUTED_VALUE"""),37.0)</f>
        <v>37</v>
      </c>
      <c r="I84" s="1">
        <f>IFERROR(__xludf.DUMMYFUNCTION("""COMPUTED_VALUE"""),72.0)</f>
        <v>72</v>
      </c>
      <c r="J84" s="1">
        <f>IFERROR(__xludf.DUMMYFUNCTION("""COMPUTED_VALUE"""),81.0)</f>
        <v>81</v>
      </c>
      <c r="K84" s="1">
        <f>IFERROR(__xludf.DUMMYFUNCTION("""COMPUTED_VALUE"""),64.0)</f>
        <v>64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 t="str">
        <f>IFERROR(__xludf.DUMMYFUNCTION("""COMPUTED_VALUE"""),"B")</f>
        <v>B</v>
      </c>
      <c r="E85" s="1" t="str">
        <f>IFERROR(__xludf.DUMMYFUNCTION("""COMPUTED_VALUE"""),"Male")</f>
        <v>Male</v>
      </c>
      <c r="F85" s="1">
        <f>IFERROR(__xludf.DUMMYFUNCTION("""COMPUTED_VALUE"""),23.0)</f>
        <v>23</v>
      </c>
      <c r="G85" s="1">
        <f>IFERROR(__xludf.DUMMYFUNCTION("""COMPUTED_VALUE"""),39.0)</f>
        <v>39</v>
      </c>
      <c r="H85" s="1">
        <f>IFERROR(__xludf.DUMMYFUNCTION("""COMPUTED_VALUE"""),95.0)</f>
        <v>95</v>
      </c>
      <c r="I85" s="1">
        <f>IFERROR(__xludf.DUMMYFUNCTION("""COMPUTED_VALUE"""),66.0)</f>
        <v>66</v>
      </c>
      <c r="J85" s="1">
        <f>IFERROR(__xludf.DUMMYFUNCTION("""COMPUTED_VALUE"""),45.0)</f>
        <v>45</v>
      </c>
      <c r="K85" s="1">
        <f>IFERROR(__xludf.DUMMYFUNCTION("""COMPUTED_VALUE"""),80.0)</f>
        <v>80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 t="str">
        <f>IFERROR(__xludf.DUMMYFUNCTION("""COMPUTED_VALUE"""),"B")</f>
        <v>B</v>
      </c>
      <c r="E86" s="1" t="str">
        <f>IFERROR(__xludf.DUMMYFUNCTION("""COMPUTED_VALUE"""),"Female")</f>
        <v>Female</v>
      </c>
      <c r="F86" s="1">
        <f>IFERROR(__xludf.DUMMYFUNCTION("""COMPUTED_VALUE"""),11.0)</f>
        <v>11</v>
      </c>
      <c r="G86" s="1">
        <f>IFERROR(__xludf.DUMMYFUNCTION("""COMPUTED_VALUE"""),35.0)</f>
        <v>35</v>
      </c>
      <c r="H86" s="1">
        <f>IFERROR(__xludf.DUMMYFUNCTION("""COMPUTED_VALUE"""),87.0)</f>
        <v>87</v>
      </c>
      <c r="I86" s="1">
        <f>IFERROR(__xludf.DUMMYFUNCTION("""COMPUTED_VALUE"""),55.0)</f>
        <v>55</v>
      </c>
      <c r="J86" s="1">
        <f>IFERROR(__xludf.DUMMYFUNCTION("""COMPUTED_VALUE"""),35.0)</f>
        <v>35</v>
      </c>
      <c r="K86" s="1">
        <f>IFERROR(__xludf.DUMMYFUNCTION("""COMPUTED_VALUE"""),48.0)</f>
        <v>48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 t="str">
        <f>IFERROR(__xludf.DUMMYFUNCTION("""COMPUTED_VALUE"""),"D")</f>
        <v>D</v>
      </c>
      <c r="E87" s="1" t="str">
        <f>IFERROR(__xludf.DUMMYFUNCTION("""COMPUTED_VALUE"""),"Male")</f>
        <v>Male</v>
      </c>
      <c r="F87" s="1">
        <f>IFERROR(__xludf.DUMMYFUNCTION("""COMPUTED_VALUE"""),16.0)</f>
        <v>16</v>
      </c>
      <c r="G87" s="1">
        <f>IFERROR(__xludf.DUMMYFUNCTION("""COMPUTED_VALUE"""),92.0)</f>
        <v>92</v>
      </c>
      <c r="H87" s="1">
        <f>IFERROR(__xludf.DUMMYFUNCTION("""COMPUTED_VALUE"""),39.0)</f>
        <v>39</v>
      </c>
      <c r="I87" s="1">
        <f>IFERROR(__xludf.DUMMYFUNCTION("""COMPUTED_VALUE"""),56.0)</f>
        <v>56</v>
      </c>
      <c r="J87" s="1">
        <f>IFERROR(__xludf.DUMMYFUNCTION("""COMPUTED_VALUE"""),55.0)</f>
        <v>55</v>
      </c>
      <c r="K87" s="1">
        <f>IFERROR(__xludf.DUMMYFUNCTION("""COMPUTED_VALUE"""),59.0)</f>
        <v>59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 t="str">
        <f>IFERROR(__xludf.DUMMYFUNCTION("""COMPUTED_VALUE"""),"B")</f>
        <v>B</v>
      </c>
      <c r="E88" s="1" t="str">
        <f>IFERROR(__xludf.DUMMYFUNCTION("""COMPUTED_VALUE"""),"Male")</f>
        <v>Male</v>
      </c>
      <c r="F88" s="1">
        <f>IFERROR(__xludf.DUMMYFUNCTION("""COMPUTED_VALUE"""),32.0)</f>
        <v>32</v>
      </c>
      <c r="G88" s="1">
        <f>IFERROR(__xludf.DUMMYFUNCTION("""COMPUTED_VALUE"""),78.0)</f>
        <v>78</v>
      </c>
      <c r="H88" s="1">
        <f>IFERROR(__xludf.DUMMYFUNCTION("""COMPUTED_VALUE"""),52.0)</f>
        <v>52</v>
      </c>
      <c r="I88" s="1">
        <f>IFERROR(__xludf.DUMMYFUNCTION("""COMPUTED_VALUE"""),48.0)</f>
        <v>48</v>
      </c>
      <c r="J88" s="1">
        <f>IFERROR(__xludf.DUMMYFUNCTION("""COMPUTED_VALUE"""),61.0)</f>
        <v>61</v>
      </c>
      <c r="K88" s="1">
        <f>IFERROR(__xludf.DUMMYFUNCTION("""COMPUTED_VALUE"""),38.0)</f>
        <v>38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 t="str">
        <f>IFERROR(__xludf.DUMMYFUNCTION("""COMPUTED_VALUE"""),"B")</f>
        <v>B</v>
      </c>
      <c r="E89" s="1" t="str">
        <f>IFERROR(__xludf.DUMMYFUNCTION("""COMPUTED_VALUE"""),"Female")</f>
        <v>Female</v>
      </c>
      <c r="F89" s="1">
        <f>IFERROR(__xludf.DUMMYFUNCTION("""COMPUTED_VALUE"""),72.0)</f>
        <v>72</v>
      </c>
      <c r="G89" s="1">
        <f>IFERROR(__xludf.DUMMYFUNCTION("""COMPUTED_VALUE"""),37.0)</f>
        <v>37</v>
      </c>
      <c r="H89" s="1">
        <f>IFERROR(__xludf.DUMMYFUNCTION("""COMPUTED_VALUE"""),31.0)</f>
        <v>31</v>
      </c>
      <c r="I89" s="1">
        <f>IFERROR(__xludf.DUMMYFUNCTION("""COMPUTED_VALUE"""),31.0)</f>
        <v>31</v>
      </c>
      <c r="J89" s="1">
        <f>IFERROR(__xludf.DUMMYFUNCTION("""COMPUTED_VALUE"""),48.0)</f>
        <v>48</v>
      </c>
      <c r="K89" s="1">
        <f>IFERROR(__xludf.DUMMYFUNCTION("""COMPUTED_VALUE"""),76.0)</f>
        <v>76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 t="str">
        <f>IFERROR(__xludf.DUMMYFUNCTION("""COMPUTED_VALUE"""),"C")</f>
        <v>C</v>
      </c>
      <c r="E90" s="1" t="str">
        <f>IFERROR(__xludf.DUMMYFUNCTION("""COMPUTED_VALUE"""),"Female")</f>
        <v>Female</v>
      </c>
      <c r="F90" s="1">
        <f>IFERROR(__xludf.DUMMYFUNCTION("""COMPUTED_VALUE"""),87.0)</f>
        <v>87</v>
      </c>
      <c r="G90" s="1">
        <f>IFERROR(__xludf.DUMMYFUNCTION("""COMPUTED_VALUE"""),67.0)</f>
        <v>67</v>
      </c>
      <c r="H90" s="1">
        <f>IFERROR(__xludf.DUMMYFUNCTION("""COMPUTED_VALUE"""),29.0)</f>
        <v>29</v>
      </c>
      <c r="I90" s="1">
        <f>IFERROR(__xludf.DUMMYFUNCTION("""COMPUTED_VALUE"""),97.0)</f>
        <v>97</v>
      </c>
      <c r="J90" s="1">
        <f>IFERROR(__xludf.DUMMYFUNCTION("""COMPUTED_VALUE"""),81.0)</f>
        <v>81</v>
      </c>
      <c r="K90" s="1">
        <f>IFERROR(__xludf.DUMMYFUNCTION("""COMPUTED_VALUE"""),67.0)</f>
        <v>67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 t="str">
        <f>IFERROR(__xludf.DUMMYFUNCTION("""COMPUTED_VALUE"""),"D")</f>
        <v>D</v>
      </c>
      <c r="E91" s="1" t="str">
        <f>IFERROR(__xludf.DUMMYFUNCTION("""COMPUTED_VALUE"""),"Male")</f>
        <v>Male</v>
      </c>
      <c r="F91" s="1">
        <f>IFERROR(__xludf.DUMMYFUNCTION("""COMPUTED_VALUE"""),49.0)</f>
        <v>49</v>
      </c>
      <c r="G91" s="1">
        <f>IFERROR(__xludf.DUMMYFUNCTION("""COMPUTED_VALUE"""),23.0)</f>
        <v>23</v>
      </c>
      <c r="H91" s="1">
        <f>IFERROR(__xludf.DUMMYFUNCTION("""COMPUTED_VALUE"""),62.0)</f>
        <v>62</v>
      </c>
      <c r="I91" s="1">
        <f>IFERROR(__xludf.DUMMYFUNCTION("""COMPUTED_VALUE"""),84.0)</f>
        <v>84</v>
      </c>
      <c r="J91" s="1">
        <f>IFERROR(__xludf.DUMMYFUNCTION("""COMPUTED_VALUE"""),90.0)</f>
        <v>90</v>
      </c>
      <c r="K91" s="1">
        <f>IFERROR(__xludf.DUMMYFUNCTION("""COMPUTED_VALUE"""),36.0)</f>
        <v>36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 t="str">
        <f>IFERROR(__xludf.DUMMYFUNCTION("""COMPUTED_VALUE"""),"D")</f>
        <v>D</v>
      </c>
      <c r="E92" s="1" t="str">
        <f>IFERROR(__xludf.DUMMYFUNCTION("""COMPUTED_VALUE"""),"Male")</f>
        <v>Male</v>
      </c>
      <c r="F92" s="1">
        <f>IFERROR(__xludf.DUMMYFUNCTION("""COMPUTED_VALUE"""),76.0)</f>
        <v>76</v>
      </c>
      <c r="G92" s="1">
        <f>IFERROR(__xludf.DUMMYFUNCTION("""COMPUTED_VALUE"""),33.0)</f>
        <v>33</v>
      </c>
      <c r="H92" s="1">
        <f>IFERROR(__xludf.DUMMYFUNCTION("""COMPUTED_VALUE"""),47.0)</f>
        <v>47</v>
      </c>
      <c r="I92" s="1">
        <f>IFERROR(__xludf.DUMMYFUNCTION("""COMPUTED_VALUE"""),53.0)</f>
        <v>53</v>
      </c>
      <c r="J92" s="1">
        <f>IFERROR(__xludf.DUMMYFUNCTION("""COMPUTED_VALUE"""),75.0)</f>
        <v>75</v>
      </c>
      <c r="K92" s="1">
        <f>IFERROR(__xludf.DUMMYFUNCTION("""COMPUTED_VALUE"""),40.0)</f>
        <v>40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 t="str">
        <f>IFERROR(__xludf.DUMMYFUNCTION("""COMPUTED_VALUE"""),"D")</f>
        <v>D</v>
      </c>
      <c r="E93" s="1" t="str">
        <f>IFERROR(__xludf.DUMMYFUNCTION("""COMPUTED_VALUE"""),"Female")</f>
        <v>Female</v>
      </c>
      <c r="F93" s="1">
        <f>IFERROR(__xludf.DUMMYFUNCTION("""COMPUTED_VALUE"""),23.0)</f>
        <v>23</v>
      </c>
      <c r="G93" s="1">
        <f>IFERROR(__xludf.DUMMYFUNCTION("""COMPUTED_VALUE"""),64.0)</f>
        <v>64</v>
      </c>
      <c r="H93" s="1">
        <f>IFERROR(__xludf.DUMMYFUNCTION("""COMPUTED_VALUE"""),50.0)</f>
        <v>50</v>
      </c>
      <c r="I93" s="1">
        <f>IFERROR(__xludf.DUMMYFUNCTION("""COMPUTED_VALUE"""),75.0)</f>
        <v>75</v>
      </c>
      <c r="J93" s="1">
        <f>IFERROR(__xludf.DUMMYFUNCTION("""COMPUTED_VALUE"""),56.0)</f>
        <v>56</v>
      </c>
      <c r="K93" s="1">
        <f>IFERROR(__xludf.DUMMYFUNCTION("""COMPUTED_VALUE"""),71.0)</f>
        <v>71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 t="str">
        <f>IFERROR(__xludf.DUMMYFUNCTION("""COMPUTED_VALUE"""),"C")</f>
        <v>C</v>
      </c>
      <c r="E94" s="1" t="str">
        <f>IFERROR(__xludf.DUMMYFUNCTION("""COMPUTED_VALUE"""),"Male")</f>
        <v>Male</v>
      </c>
      <c r="F94" s="1">
        <f>IFERROR(__xludf.DUMMYFUNCTION("""COMPUTED_VALUE"""),31.0)</f>
        <v>31</v>
      </c>
      <c r="G94" s="1">
        <f>IFERROR(__xludf.DUMMYFUNCTION("""COMPUTED_VALUE"""),32.0)</f>
        <v>32</v>
      </c>
      <c r="H94" s="1">
        <f>IFERROR(__xludf.DUMMYFUNCTION("""COMPUTED_VALUE"""),56.0)</f>
        <v>56</v>
      </c>
      <c r="I94" s="1">
        <f>IFERROR(__xludf.DUMMYFUNCTION("""COMPUTED_VALUE"""),31.0)</f>
        <v>31</v>
      </c>
      <c r="J94" s="1">
        <f>IFERROR(__xludf.DUMMYFUNCTION("""COMPUTED_VALUE"""),53.0)</f>
        <v>53</v>
      </c>
      <c r="K94" s="1">
        <f>IFERROR(__xludf.DUMMYFUNCTION("""COMPUTED_VALUE"""),98.0)</f>
        <v>98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 t="str">
        <f>IFERROR(__xludf.DUMMYFUNCTION("""COMPUTED_VALUE"""),"C")</f>
        <v>C</v>
      </c>
      <c r="E95" s="1" t="str">
        <f>IFERROR(__xludf.DUMMYFUNCTION("""COMPUTED_VALUE"""),"Female")</f>
        <v>Female</v>
      </c>
      <c r="F95" s="1">
        <f>IFERROR(__xludf.DUMMYFUNCTION("""COMPUTED_VALUE"""),92.0)</f>
        <v>92</v>
      </c>
      <c r="G95" s="1">
        <f>IFERROR(__xludf.DUMMYFUNCTION("""COMPUTED_VALUE"""),23.0)</f>
        <v>23</v>
      </c>
      <c r="H95" s="1">
        <f>IFERROR(__xludf.DUMMYFUNCTION("""COMPUTED_VALUE"""),51.0)</f>
        <v>51</v>
      </c>
      <c r="I95" s="1">
        <f>IFERROR(__xludf.DUMMYFUNCTION("""COMPUTED_VALUE"""),35.0)</f>
        <v>35</v>
      </c>
      <c r="J95" s="1">
        <f>IFERROR(__xludf.DUMMYFUNCTION("""COMPUTED_VALUE"""),20.0)</f>
        <v>20</v>
      </c>
      <c r="K95" s="1">
        <f>IFERROR(__xludf.DUMMYFUNCTION("""COMPUTED_VALUE"""),54.0)</f>
        <v>54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 t="str">
        <f>IFERROR(__xludf.DUMMYFUNCTION("""COMPUTED_VALUE"""),"D")</f>
        <v>D</v>
      </c>
      <c r="E96" s="1" t="str">
        <f>IFERROR(__xludf.DUMMYFUNCTION("""COMPUTED_VALUE"""),"Male")</f>
        <v>Male</v>
      </c>
      <c r="F96" s="1">
        <f>IFERROR(__xludf.DUMMYFUNCTION("""COMPUTED_VALUE"""),24.0)</f>
        <v>24</v>
      </c>
      <c r="G96" s="1">
        <f>IFERROR(__xludf.DUMMYFUNCTION("""COMPUTED_VALUE"""),29.0)</f>
        <v>29</v>
      </c>
      <c r="H96" s="1">
        <f>IFERROR(__xludf.DUMMYFUNCTION("""COMPUTED_VALUE"""),65.0)</f>
        <v>65</v>
      </c>
      <c r="I96" s="1">
        <f>IFERROR(__xludf.DUMMYFUNCTION("""COMPUTED_VALUE"""),97.0)</f>
        <v>97</v>
      </c>
      <c r="J96" s="1">
        <f>IFERROR(__xludf.DUMMYFUNCTION("""COMPUTED_VALUE"""),40.0)</f>
        <v>40</v>
      </c>
      <c r="K96" s="1">
        <f>IFERROR(__xludf.DUMMYFUNCTION("""COMPUTED_VALUE"""),23.0)</f>
        <v>23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 t="str">
        <f>IFERROR(__xludf.DUMMYFUNCTION("""COMPUTED_VALUE"""),"A")</f>
        <v>A</v>
      </c>
      <c r="E97" s="1" t="str">
        <f>IFERROR(__xludf.DUMMYFUNCTION("""COMPUTED_VALUE"""),"Female")</f>
        <v>Female</v>
      </c>
      <c r="F97" s="1">
        <f>IFERROR(__xludf.DUMMYFUNCTION("""COMPUTED_VALUE"""),98.0)</f>
        <v>98</v>
      </c>
      <c r="G97" s="1">
        <f>IFERROR(__xludf.DUMMYFUNCTION("""COMPUTED_VALUE"""),50.0)</f>
        <v>50</v>
      </c>
      <c r="H97" s="1">
        <f>IFERROR(__xludf.DUMMYFUNCTION("""COMPUTED_VALUE"""),30.0)</f>
        <v>30</v>
      </c>
      <c r="I97" s="1">
        <f>IFERROR(__xludf.DUMMYFUNCTION("""COMPUTED_VALUE"""),21.0)</f>
        <v>21</v>
      </c>
      <c r="J97" s="1">
        <f>IFERROR(__xludf.DUMMYFUNCTION("""COMPUTED_VALUE"""),77.0)</f>
        <v>77</v>
      </c>
      <c r="K97" s="1">
        <f>IFERROR(__xludf.DUMMYFUNCTION("""COMPUTED_VALUE"""),83.0)</f>
        <v>83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 t="str">
        <f>IFERROR(__xludf.DUMMYFUNCTION("""COMPUTED_VALUE"""),"A")</f>
        <v>A</v>
      </c>
      <c r="E98" s="1" t="str">
        <f>IFERROR(__xludf.DUMMYFUNCTION("""COMPUTED_VALUE"""),"Female")</f>
        <v>Female</v>
      </c>
      <c r="F98" s="1">
        <f>IFERROR(__xludf.DUMMYFUNCTION("""COMPUTED_VALUE"""),70.0)</f>
        <v>70</v>
      </c>
      <c r="G98" s="1">
        <f>IFERROR(__xludf.DUMMYFUNCTION("""COMPUTED_VALUE"""),94.0)</f>
        <v>94</v>
      </c>
      <c r="H98" s="1">
        <f>IFERROR(__xludf.DUMMYFUNCTION("""COMPUTED_VALUE"""),69.0)</f>
        <v>69</v>
      </c>
      <c r="I98" s="1">
        <f>IFERROR(__xludf.DUMMYFUNCTION("""COMPUTED_VALUE"""),23.0)</f>
        <v>23</v>
      </c>
      <c r="J98" s="1">
        <f>IFERROR(__xludf.DUMMYFUNCTION("""COMPUTED_VALUE"""),67.0)</f>
        <v>67</v>
      </c>
      <c r="K98" s="1">
        <f>IFERROR(__xludf.DUMMYFUNCTION("""COMPUTED_VALUE"""),70.0)</f>
        <v>70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 t="str">
        <f>IFERROR(__xludf.DUMMYFUNCTION("""COMPUTED_VALUE"""),"C")</f>
        <v>C</v>
      </c>
      <c r="E99" s="1" t="str">
        <f>IFERROR(__xludf.DUMMYFUNCTION("""COMPUTED_VALUE"""),"Female")</f>
        <v>Female</v>
      </c>
      <c r="F99" s="1">
        <f>IFERROR(__xludf.DUMMYFUNCTION("""COMPUTED_VALUE"""),81.0)</f>
        <v>81</v>
      </c>
      <c r="G99" s="1">
        <f>IFERROR(__xludf.DUMMYFUNCTION("""COMPUTED_VALUE"""),44.0)</f>
        <v>44</v>
      </c>
      <c r="H99" s="1">
        <f>IFERROR(__xludf.DUMMYFUNCTION("""COMPUTED_VALUE"""),88.0)</f>
        <v>88</v>
      </c>
      <c r="I99" s="1">
        <f>IFERROR(__xludf.DUMMYFUNCTION("""COMPUTED_VALUE"""),21.0)</f>
        <v>21</v>
      </c>
      <c r="J99" s="1">
        <f>IFERROR(__xludf.DUMMYFUNCTION("""COMPUTED_VALUE"""),62.0)</f>
        <v>62</v>
      </c>
      <c r="K99" s="1">
        <f>IFERROR(__xludf.DUMMYFUNCTION("""COMPUTED_VALUE"""),20.0)</f>
        <v>20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 t="str">
        <f>IFERROR(__xludf.DUMMYFUNCTION("""COMPUTED_VALUE"""),"C")</f>
        <v>C</v>
      </c>
      <c r="E100" s="1" t="str">
        <f>IFERROR(__xludf.DUMMYFUNCTION("""COMPUTED_VALUE"""),"Male")</f>
        <v>Male</v>
      </c>
      <c r="F100" s="1">
        <f>IFERROR(__xludf.DUMMYFUNCTION("""COMPUTED_VALUE"""),100.0)</f>
        <v>100</v>
      </c>
      <c r="G100" s="1">
        <f>IFERROR(__xludf.DUMMYFUNCTION("""COMPUTED_VALUE"""),24.0)</f>
        <v>24</v>
      </c>
      <c r="H100" s="1">
        <f>IFERROR(__xludf.DUMMYFUNCTION("""COMPUTED_VALUE"""),72.0)</f>
        <v>72</v>
      </c>
      <c r="I100" s="1">
        <f>IFERROR(__xludf.DUMMYFUNCTION("""COMPUTED_VALUE"""),71.0)</f>
        <v>71</v>
      </c>
      <c r="J100" s="1">
        <f>IFERROR(__xludf.DUMMYFUNCTION("""COMPUTED_VALUE"""),47.0)</f>
        <v>47</v>
      </c>
      <c r="K100" s="1">
        <f>IFERROR(__xludf.DUMMYFUNCTION("""COMPUTED_VALUE"""),74.0)</f>
        <v>74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 t="str">
        <f>IFERROR(__xludf.DUMMYFUNCTION("""COMPUTED_VALUE"""),"A")</f>
        <v>A</v>
      </c>
      <c r="E101" s="1" t="str">
        <f>IFERROR(__xludf.DUMMYFUNCTION("""COMPUTED_VALUE"""),"Male")</f>
        <v>Male</v>
      </c>
      <c r="F101" s="1">
        <f>IFERROR(__xludf.DUMMYFUNCTION("""COMPUTED_VALUE"""),78.0)</f>
        <v>78</v>
      </c>
      <c r="G101" s="1">
        <f>IFERROR(__xludf.DUMMYFUNCTION("""COMPUTED_VALUE"""),59.0)</f>
        <v>59</v>
      </c>
      <c r="H101" s="1">
        <f>IFERROR(__xludf.DUMMYFUNCTION("""COMPUTED_VALUE"""),53.0)</f>
        <v>53</v>
      </c>
      <c r="I101" s="1">
        <f>IFERROR(__xludf.DUMMYFUNCTION("""COMPUTED_VALUE"""),75.0)</f>
        <v>75</v>
      </c>
      <c r="J101" s="1">
        <f>IFERROR(__xludf.DUMMYFUNCTION("""COMPUTED_VALUE"""),33.0)</f>
        <v>33</v>
      </c>
      <c r="K101" s="1">
        <f>IFERROR(__xludf.DUMMYFUNCTION("""COMPUTED_VALUE"""),50.0)</f>
        <v>50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 t="str">
        <f>IFERROR(__xludf.DUMMYFUNCTION("""COMPUTED_VALUE"""),"D")</f>
        <v>D</v>
      </c>
      <c r="E102" s="1" t="str">
        <f>IFERROR(__xludf.DUMMYFUNCTION("""COMPUTED_VALUE"""),"Female")</f>
        <v>Female</v>
      </c>
      <c r="F102" s="1">
        <f>IFERROR(__xludf.DUMMYFUNCTION("""COMPUTED_VALUE"""),44.0)</f>
        <v>44</v>
      </c>
      <c r="G102" s="1">
        <f>IFERROR(__xludf.DUMMYFUNCTION("""COMPUTED_VALUE"""),47.0)</f>
        <v>47</v>
      </c>
      <c r="H102" s="1">
        <f>IFERROR(__xludf.DUMMYFUNCTION("""COMPUTED_VALUE"""),49.0)</f>
        <v>49</v>
      </c>
      <c r="I102" s="1">
        <f>IFERROR(__xludf.DUMMYFUNCTION("""COMPUTED_VALUE"""),34.0)</f>
        <v>34</v>
      </c>
      <c r="J102" s="1">
        <f>IFERROR(__xludf.DUMMYFUNCTION("""COMPUTED_VALUE"""),41.0)</f>
        <v>41</v>
      </c>
      <c r="K102" s="1">
        <f>IFERROR(__xludf.DUMMYFUNCTION("""COMPUTED_VALUE"""),63.0)</f>
        <v>63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 t="str">
        <f>IFERROR(__xludf.DUMMYFUNCTION("""COMPUTED_VALUE"""),"D")</f>
        <v>D</v>
      </c>
      <c r="E103" s="1" t="str">
        <f>IFERROR(__xludf.DUMMYFUNCTION("""COMPUTED_VALUE"""),"Female")</f>
        <v>Female</v>
      </c>
      <c r="F103" s="1">
        <f>IFERROR(__xludf.DUMMYFUNCTION("""COMPUTED_VALUE"""),21.0)</f>
        <v>21</v>
      </c>
      <c r="G103" s="1">
        <f>IFERROR(__xludf.DUMMYFUNCTION("""COMPUTED_VALUE"""),79.0)</f>
        <v>79</v>
      </c>
      <c r="H103" s="1">
        <f>IFERROR(__xludf.DUMMYFUNCTION("""COMPUTED_VALUE"""),24.0)</f>
        <v>24</v>
      </c>
      <c r="I103" s="1">
        <f>IFERROR(__xludf.DUMMYFUNCTION("""COMPUTED_VALUE"""),88.0)</f>
        <v>88</v>
      </c>
      <c r="J103" s="1">
        <f>IFERROR(__xludf.DUMMYFUNCTION("""COMPUTED_VALUE"""),89.0)</f>
        <v>89</v>
      </c>
      <c r="K103" s="1">
        <f>IFERROR(__xludf.DUMMYFUNCTION("""COMPUTED_VALUE"""),84.0)</f>
        <v>84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 t="str">
        <f>IFERROR(__xludf.DUMMYFUNCTION("""COMPUTED_VALUE"""),"D")</f>
        <v>D</v>
      </c>
      <c r="E104" s="1" t="str">
        <f>IFERROR(__xludf.DUMMYFUNCTION("""COMPUTED_VALUE"""),"Female")</f>
        <v>Female</v>
      </c>
      <c r="F104" s="1">
        <f>IFERROR(__xludf.DUMMYFUNCTION("""COMPUTED_VALUE"""),14.0)</f>
        <v>14</v>
      </c>
      <c r="G104" s="1">
        <f>IFERROR(__xludf.DUMMYFUNCTION("""COMPUTED_VALUE"""),54.0)</f>
        <v>54</v>
      </c>
      <c r="H104" s="1">
        <f>IFERROR(__xludf.DUMMYFUNCTION("""COMPUTED_VALUE"""),77.0)</f>
        <v>77</v>
      </c>
      <c r="I104" s="1">
        <f>IFERROR(__xludf.DUMMYFUNCTION("""COMPUTED_VALUE"""),31.0)</f>
        <v>31</v>
      </c>
      <c r="J104" s="1">
        <f>IFERROR(__xludf.DUMMYFUNCTION("""COMPUTED_VALUE"""),83.0)</f>
        <v>83</v>
      </c>
      <c r="K104" s="1">
        <f>IFERROR(__xludf.DUMMYFUNCTION("""COMPUTED_VALUE"""),24.0)</f>
        <v>24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 t="str">
        <f>IFERROR(__xludf.DUMMYFUNCTION("""COMPUTED_VALUE"""),"A")</f>
        <v>A</v>
      </c>
      <c r="E105" s="1" t="str">
        <f>IFERROR(__xludf.DUMMYFUNCTION("""COMPUTED_VALUE"""),"Female")</f>
        <v>Female</v>
      </c>
      <c r="F105" s="1">
        <f>IFERROR(__xludf.DUMMYFUNCTION("""COMPUTED_VALUE"""),68.0)</f>
        <v>68</v>
      </c>
      <c r="G105" s="1">
        <f>IFERROR(__xludf.DUMMYFUNCTION("""COMPUTED_VALUE"""),66.0)</f>
        <v>66</v>
      </c>
      <c r="H105" s="1">
        <f>IFERROR(__xludf.DUMMYFUNCTION("""COMPUTED_VALUE"""),65.0)</f>
        <v>65</v>
      </c>
      <c r="I105" s="1">
        <f>IFERROR(__xludf.DUMMYFUNCTION("""COMPUTED_VALUE"""),26.0)</f>
        <v>26</v>
      </c>
      <c r="J105" s="1">
        <f>IFERROR(__xludf.DUMMYFUNCTION("""COMPUTED_VALUE"""),78.0)</f>
        <v>78</v>
      </c>
      <c r="K105" s="1">
        <f>IFERROR(__xludf.DUMMYFUNCTION("""COMPUTED_VALUE"""),81.0)</f>
        <v>81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 t="str">
        <f>IFERROR(__xludf.DUMMYFUNCTION("""COMPUTED_VALUE"""),"C")</f>
        <v>C</v>
      </c>
      <c r="E106" s="1" t="str">
        <f>IFERROR(__xludf.DUMMYFUNCTION("""COMPUTED_VALUE"""),"Male")</f>
        <v>Male</v>
      </c>
      <c r="F106" s="1">
        <f>IFERROR(__xludf.DUMMYFUNCTION("""COMPUTED_VALUE"""),14.0)</f>
        <v>14</v>
      </c>
      <c r="G106" s="1">
        <f>IFERROR(__xludf.DUMMYFUNCTION("""COMPUTED_VALUE"""),45.0)</f>
        <v>45</v>
      </c>
      <c r="H106" s="1">
        <f>IFERROR(__xludf.DUMMYFUNCTION("""COMPUTED_VALUE"""),96.0)</f>
        <v>96</v>
      </c>
      <c r="I106" s="1">
        <f>IFERROR(__xludf.DUMMYFUNCTION("""COMPUTED_VALUE"""),23.0)</f>
        <v>23</v>
      </c>
      <c r="J106" s="1">
        <f>IFERROR(__xludf.DUMMYFUNCTION("""COMPUTED_VALUE"""),39.0)</f>
        <v>39</v>
      </c>
      <c r="K106" s="1">
        <f>IFERROR(__xludf.DUMMYFUNCTION("""COMPUTED_VALUE"""),89.0)</f>
        <v>89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 t="str">
        <f>IFERROR(__xludf.DUMMYFUNCTION("""COMPUTED_VALUE"""),"C")</f>
        <v>C</v>
      </c>
      <c r="E107" s="1" t="str">
        <f>IFERROR(__xludf.DUMMYFUNCTION("""COMPUTED_VALUE"""),"Male")</f>
        <v>Male</v>
      </c>
      <c r="F107" s="1">
        <f>IFERROR(__xludf.DUMMYFUNCTION("""COMPUTED_VALUE"""),23.0)</f>
        <v>23</v>
      </c>
      <c r="G107" s="1">
        <f>IFERROR(__xludf.DUMMYFUNCTION("""COMPUTED_VALUE"""),62.0)</f>
        <v>62</v>
      </c>
      <c r="H107" s="1">
        <f>IFERROR(__xludf.DUMMYFUNCTION("""COMPUTED_VALUE"""),84.0)</f>
        <v>84</v>
      </c>
      <c r="I107" s="1">
        <f>IFERROR(__xludf.DUMMYFUNCTION("""COMPUTED_VALUE"""),79.0)</f>
        <v>79</v>
      </c>
      <c r="J107" s="1">
        <f>IFERROR(__xludf.DUMMYFUNCTION("""COMPUTED_VALUE"""),89.0)</f>
        <v>89</v>
      </c>
      <c r="K107" s="1">
        <f>IFERROR(__xludf.DUMMYFUNCTION("""COMPUTED_VALUE"""),94.0)</f>
        <v>94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 t="str">
        <f>IFERROR(__xludf.DUMMYFUNCTION("""COMPUTED_VALUE"""),"A")</f>
        <v>A</v>
      </c>
      <c r="E108" s="1" t="str">
        <f>IFERROR(__xludf.DUMMYFUNCTION("""COMPUTED_VALUE"""),"Male")</f>
        <v>Male</v>
      </c>
      <c r="F108" s="1">
        <f>IFERROR(__xludf.DUMMYFUNCTION("""COMPUTED_VALUE"""),27.0)</f>
        <v>27</v>
      </c>
      <c r="G108" s="1">
        <f>IFERROR(__xludf.DUMMYFUNCTION("""COMPUTED_VALUE"""),93.0)</f>
        <v>93</v>
      </c>
      <c r="H108" s="1">
        <f>IFERROR(__xludf.DUMMYFUNCTION("""COMPUTED_VALUE"""),66.0)</f>
        <v>66</v>
      </c>
      <c r="I108" s="1">
        <f>IFERROR(__xludf.DUMMYFUNCTION("""COMPUTED_VALUE"""),56.0)</f>
        <v>56</v>
      </c>
      <c r="J108" s="1">
        <f>IFERROR(__xludf.DUMMYFUNCTION("""COMPUTED_VALUE"""),61.0)</f>
        <v>61</v>
      </c>
      <c r="K108" s="1">
        <f>IFERROR(__xludf.DUMMYFUNCTION("""COMPUTED_VALUE"""),68.0)</f>
        <v>68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 t="str">
        <f>IFERROR(__xludf.DUMMYFUNCTION("""COMPUTED_VALUE"""),"D")</f>
        <v>D</v>
      </c>
      <c r="E109" s="1" t="str">
        <f>IFERROR(__xludf.DUMMYFUNCTION("""COMPUTED_VALUE"""),"Female")</f>
        <v>Female</v>
      </c>
      <c r="F109" s="1">
        <f>IFERROR(__xludf.DUMMYFUNCTION("""COMPUTED_VALUE"""),23.0)</f>
        <v>23</v>
      </c>
      <c r="G109" s="1">
        <f>IFERROR(__xludf.DUMMYFUNCTION("""COMPUTED_VALUE"""),74.0)</f>
        <v>74</v>
      </c>
      <c r="H109" s="1">
        <f>IFERROR(__xludf.DUMMYFUNCTION("""COMPUTED_VALUE"""),21.0)</f>
        <v>21</v>
      </c>
      <c r="I109" s="1">
        <f>IFERROR(__xludf.DUMMYFUNCTION("""COMPUTED_VALUE"""),60.0)</f>
        <v>60</v>
      </c>
      <c r="J109" s="1">
        <f>IFERROR(__xludf.DUMMYFUNCTION("""COMPUTED_VALUE"""),51.0)</f>
        <v>51</v>
      </c>
      <c r="K109" s="1">
        <f>IFERROR(__xludf.DUMMYFUNCTION("""COMPUTED_VALUE"""),52.0)</f>
        <v>52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 t="str">
        <f>IFERROR(__xludf.DUMMYFUNCTION("""COMPUTED_VALUE"""),"A")</f>
        <v>A</v>
      </c>
      <c r="E110" s="1" t="str">
        <f>IFERROR(__xludf.DUMMYFUNCTION("""COMPUTED_VALUE"""),"Female")</f>
        <v>Female</v>
      </c>
      <c r="F110" s="1">
        <f>IFERROR(__xludf.DUMMYFUNCTION("""COMPUTED_VALUE"""),32.0)</f>
        <v>32</v>
      </c>
      <c r="G110" s="1">
        <f>IFERROR(__xludf.DUMMYFUNCTION("""COMPUTED_VALUE"""),25.0)</f>
        <v>25</v>
      </c>
      <c r="H110" s="1">
        <f>IFERROR(__xludf.DUMMYFUNCTION("""COMPUTED_VALUE"""),33.0)</f>
        <v>33</v>
      </c>
      <c r="I110" s="1">
        <f>IFERROR(__xludf.DUMMYFUNCTION("""COMPUTED_VALUE"""),73.0)</f>
        <v>73</v>
      </c>
      <c r="J110" s="1">
        <f>IFERROR(__xludf.DUMMYFUNCTION("""COMPUTED_VALUE"""),65.0)</f>
        <v>65</v>
      </c>
      <c r="K110" s="1">
        <f>IFERROR(__xludf.DUMMYFUNCTION("""COMPUTED_VALUE"""),39.0)</f>
        <v>39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 t="str">
        <f>IFERROR(__xludf.DUMMYFUNCTION("""COMPUTED_VALUE"""),"D")</f>
        <v>D</v>
      </c>
      <c r="E111" s="1" t="str">
        <f>IFERROR(__xludf.DUMMYFUNCTION("""COMPUTED_VALUE"""),"Female")</f>
        <v>Female</v>
      </c>
      <c r="F111" s="1">
        <f>IFERROR(__xludf.DUMMYFUNCTION("""COMPUTED_VALUE"""),11.0)</f>
        <v>11</v>
      </c>
      <c r="G111" s="1">
        <f>IFERROR(__xludf.DUMMYFUNCTION("""COMPUTED_VALUE"""),84.0)</f>
        <v>84</v>
      </c>
      <c r="H111" s="1">
        <f>IFERROR(__xludf.DUMMYFUNCTION("""COMPUTED_VALUE"""),26.0)</f>
        <v>26</v>
      </c>
      <c r="I111" s="1">
        <f>IFERROR(__xludf.DUMMYFUNCTION("""COMPUTED_VALUE"""),26.0)</f>
        <v>26</v>
      </c>
      <c r="J111" s="1">
        <f>IFERROR(__xludf.DUMMYFUNCTION("""COMPUTED_VALUE"""),25.0)</f>
        <v>25</v>
      </c>
      <c r="K111" s="1">
        <f>IFERROR(__xludf.DUMMYFUNCTION("""COMPUTED_VALUE"""),98.0)</f>
        <v>98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 t="str">
        <f>IFERROR(__xludf.DUMMYFUNCTION("""COMPUTED_VALUE"""),"A")</f>
        <v>A</v>
      </c>
      <c r="E112" s="1" t="str">
        <f>IFERROR(__xludf.DUMMYFUNCTION("""COMPUTED_VALUE"""),"Female")</f>
        <v>Female</v>
      </c>
      <c r="F112" s="1">
        <f>IFERROR(__xludf.DUMMYFUNCTION("""COMPUTED_VALUE"""),96.0)</f>
        <v>96</v>
      </c>
      <c r="G112" s="1">
        <f>IFERROR(__xludf.DUMMYFUNCTION("""COMPUTED_VALUE"""),65.0)</f>
        <v>65</v>
      </c>
      <c r="H112" s="1">
        <f>IFERROR(__xludf.DUMMYFUNCTION("""COMPUTED_VALUE"""),21.0)</f>
        <v>21</v>
      </c>
      <c r="I112" s="1">
        <f>IFERROR(__xludf.DUMMYFUNCTION("""COMPUTED_VALUE"""),93.0)</f>
        <v>93</v>
      </c>
      <c r="J112" s="1">
        <f>IFERROR(__xludf.DUMMYFUNCTION("""COMPUTED_VALUE"""),85.0)</f>
        <v>85</v>
      </c>
      <c r="K112" s="1">
        <f>IFERROR(__xludf.DUMMYFUNCTION("""COMPUTED_VALUE"""),99.0)</f>
        <v>99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 t="str">
        <f>IFERROR(__xludf.DUMMYFUNCTION("""COMPUTED_VALUE"""),"B")</f>
        <v>B</v>
      </c>
      <c r="E113" s="1" t="str">
        <f>IFERROR(__xludf.DUMMYFUNCTION("""COMPUTED_VALUE"""),"Male")</f>
        <v>Male</v>
      </c>
      <c r="F113" s="1">
        <f>IFERROR(__xludf.DUMMYFUNCTION("""COMPUTED_VALUE"""),14.0)</f>
        <v>14</v>
      </c>
      <c r="G113" s="1">
        <f>IFERROR(__xludf.DUMMYFUNCTION("""COMPUTED_VALUE"""),22.0)</f>
        <v>22</v>
      </c>
      <c r="H113" s="1">
        <f>IFERROR(__xludf.DUMMYFUNCTION("""COMPUTED_VALUE"""),22.0)</f>
        <v>22</v>
      </c>
      <c r="I113" s="1">
        <f>IFERROR(__xludf.DUMMYFUNCTION("""COMPUTED_VALUE"""),53.0)</f>
        <v>53</v>
      </c>
      <c r="J113" s="1">
        <f>IFERROR(__xludf.DUMMYFUNCTION("""COMPUTED_VALUE"""),89.0)</f>
        <v>89</v>
      </c>
      <c r="K113" s="1">
        <f>IFERROR(__xludf.DUMMYFUNCTION("""COMPUTED_VALUE"""),35.0)</f>
        <v>35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 t="str">
        <f>IFERROR(__xludf.DUMMYFUNCTION("""COMPUTED_VALUE"""),"C")</f>
        <v>C</v>
      </c>
      <c r="E114" s="1" t="str">
        <f>IFERROR(__xludf.DUMMYFUNCTION("""COMPUTED_VALUE"""),"Female")</f>
        <v>Female</v>
      </c>
      <c r="F114" s="1">
        <f>IFERROR(__xludf.DUMMYFUNCTION("""COMPUTED_VALUE"""),69.0)</f>
        <v>69</v>
      </c>
      <c r="G114" s="1">
        <f>IFERROR(__xludf.DUMMYFUNCTION("""COMPUTED_VALUE"""),30.0)</f>
        <v>30</v>
      </c>
      <c r="H114" s="1">
        <f>IFERROR(__xludf.DUMMYFUNCTION("""COMPUTED_VALUE"""),56.0)</f>
        <v>56</v>
      </c>
      <c r="I114" s="1">
        <f>IFERROR(__xludf.DUMMYFUNCTION("""COMPUTED_VALUE"""),98.0)</f>
        <v>98</v>
      </c>
      <c r="J114" s="1">
        <f>IFERROR(__xludf.DUMMYFUNCTION("""COMPUTED_VALUE"""),92.0)</f>
        <v>92</v>
      </c>
      <c r="K114" s="1">
        <f>IFERROR(__xludf.DUMMYFUNCTION("""COMPUTED_VALUE"""),73.0)</f>
        <v>73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 t="str">
        <f>IFERROR(__xludf.DUMMYFUNCTION("""COMPUTED_VALUE"""),"C")</f>
        <v>C</v>
      </c>
      <c r="E115" s="1" t="str">
        <f>IFERROR(__xludf.DUMMYFUNCTION("""COMPUTED_VALUE"""),"Male")</f>
        <v>Male</v>
      </c>
      <c r="F115" s="1">
        <f>IFERROR(__xludf.DUMMYFUNCTION("""COMPUTED_VALUE"""),34.0)</f>
        <v>34</v>
      </c>
      <c r="G115" s="1">
        <f>IFERROR(__xludf.DUMMYFUNCTION("""COMPUTED_VALUE"""),93.0)</f>
        <v>93</v>
      </c>
      <c r="H115" s="1">
        <f>IFERROR(__xludf.DUMMYFUNCTION("""COMPUTED_VALUE"""),85.0)</f>
        <v>85</v>
      </c>
      <c r="I115" s="1">
        <f>IFERROR(__xludf.DUMMYFUNCTION("""COMPUTED_VALUE"""),63.0)</f>
        <v>63</v>
      </c>
      <c r="J115" s="1">
        <f>IFERROR(__xludf.DUMMYFUNCTION("""COMPUTED_VALUE"""),57.0)</f>
        <v>57</v>
      </c>
      <c r="K115" s="1">
        <f>IFERROR(__xludf.DUMMYFUNCTION("""COMPUTED_VALUE"""),44.0)</f>
        <v>44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 t="str">
        <f>IFERROR(__xludf.DUMMYFUNCTION("""COMPUTED_VALUE"""),"B")</f>
        <v>B</v>
      </c>
      <c r="E116" s="1" t="str">
        <f>IFERROR(__xludf.DUMMYFUNCTION("""COMPUTED_VALUE"""),"Female")</f>
        <v>Female</v>
      </c>
      <c r="F116" s="1">
        <f>IFERROR(__xludf.DUMMYFUNCTION("""COMPUTED_VALUE"""),61.0)</f>
        <v>61</v>
      </c>
      <c r="G116" s="1">
        <f>IFERROR(__xludf.DUMMYFUNCTION("""COMPUTED_VALUE"""),53.0)</f>
        <v>53</v>
      </c>
      <c r="H116" s="1">
        <f>IFERROR(__xludf.DUMMYFUNCTION("""COMPUTED_VALUE"""),63.0)</f>
        <v>63</v>
      </c>
      <c r="I116" s="1">
        <f>IFERROR(__xludf.DUMMYFUNCTION("""COMPUTED_VALUE"""),45.0)</f>
        <v>45</v>
      </c>
      <c r="J116" s="1">
        <f>IFERROR(__xludf.DUMMYFUNCTION("""COMPUTED_VALUE"""),48.0)</f>
        <v>48</v>
      </c>
      <c r="K116" s="1">
        <f>IFERROR(__xludf.DUMMYFUNCTION("""COMPUTED_VALUE"""),55.0)</f>
        <v>55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 t="str">
        <f>IFERROR(__xludf.DUMMYFUNCTION("""COMPUTED_VALUE"""),"B")</f>
        <v>B</v>
      </c>
      <c r="E117" s="1" t="str">
        <f>IFERROR(__xludf.DUMMYFUNCTION("""COMPUTED_VALUE"""),"Female")</f>
        <v>Female</v>
      </c>
      <c r="F117" s="1">
        <f>IFERROR(__xludf.DUMMYFUNCTION("""COMPUTED_VALUE"""),32.0)</f>
        <v>32</v>
      </c>
      <c r="G117" s="1">
        <f>IFERROR(__xludf.DUMMYFUNCTION("""COMPUTED_VALUE"""),30.0)</f>
        <v>30</v>
      </c>
      <c r="H117" s="1">
        <f>IFERROR(__xludf.DUMMYFUNCTION("""COMPUTED_VALUE"""),24.0)</f>
        <v>24</v>
      </c>
      <c r="I117" s="1">
        <f>IFERROR(__xludf.DUMMYFUNCTION("""COMPUTED_VALUE"""),85.0)</f>
        <v>85</v>
      </c>
      <c r="J117" s="1">
        <f>IFERROR(__xludf.DUMMYFUNCTION("""COMPUTED_VALUE"""),99.0)</f>
        <v>99</v>
      </c>
      <c r="K117" s="1">
        <f>IFERROR(__xludf.DUMMYFUNCTION("""COMPUTED_VALUE"""),26.0)</f>
        <v>26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 t="str">
        <f>IFERROR(__xludf.DUMMYFUNCTION("""COMPUTED_VALUE"""),"A")</f>
        <v>A</v>
      </c>
      <c r="E118" s="1" t="str">
        <f>IFERROR(__xludf.DUMMYFUNCTION("""COMPUTED_VALUE"""),"Male")</f>
        <v>Male</v>
      </c>
      <c r="F118" s="1">
        <f>IFERROR(__xludf.DUMMYFUNCTION("""COMPUTED_VALUE"""),70.0)</f>
        <v>70</v>
      </c>
      <c r="G118" s="1">
        <f>IFERROR(__xludf.DUMMYFUNCTION("""COMPUTED_VALUE"""),55.0)</f>
        <v>55</v>
      </c>
      <c r="H118" s="1">
        <f>IFERROR(__xludf.DUMMYFUNCTION("""COMPUTED_VALUE"""),30.0)</f>
        <v>30</v>
      </c>
      <c r="I118" s="1">
        <f>IFERROR(__xludf.DUMMYFUNCTION("""COMPUTED_VALUE"""),68.0)</f>
        <v>68</v>
      </c>
      <c r="J118" s="1">
        <f>IFERROR(__xludf.DUMMYFUNCTION("""COMPUTED_VALUE"""),45.0)</f>
        <v>45</v>
      </c>
      <c r="K118" s="1">
        <f>IFERROR(__xludf.DUMMYFUNCTION("""COMPUTED_VALUE"""),84.0)</f>
        <v>84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 t="str">
        <f>IFERROR(__xludf.DUMMYFUNCTION("""COMPUTED_VALUE"""),"D")</f>
        <v>D</v>
      </c>
      <c r="E119" s="1" t="str">
        <f>IFERROR(__xludf.DUMMYFUNCTION("""COMPUTED_VALUE"""),"Male")</f>
        <v>Male</v>
      </c>
      <c r="F119" s="1">
        <f>IFERROR(__xludf.DUMMYFUNCTION("""COMPUTED_VALUE"""),77.0)</f>
        <v>77</v>
      </c>
      <c r="G119" s="1">
        <f>IFERROR(__xludf.DUMMYFUNCTION("""COMPUTED_VALUE"""),54.0)</f>
        <v>54</v>
      </c>
      <c r="H119" s="1">
        <f>IFERROR(__xludf.DUMMYFUNCTION("""COMPUTED_VALUE"""),33.0)</f>
        <v>33</v>
      </c>
      <c r="I119" s="1">
        <f>IFERROR(__xludf.DUMMYFUNCTION("""COMPUTED_VALUE"""),86.0)</f>
        <v>86</v>
      </c>
      <c r="J119" s="1">
        <f>IFERROR(__xludf.DUMMYFUNCTION("""COMPUTED_VALUE"""),52.0)</f>
        <v>52</v>
      </c>
      <c r="K119" s="1">
        <f>IFERROR(__xludf.DUMMYFUNCTION("""COMPUTED_VALUE"""),76.0)</f>
        <v>76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 t="str">
        <f>IFERROR(__xludf.DUMMYFUNCTION("""COMPUTED_VALUE"""),"C")</f>
        <v>C</v>
      </c>
      <c r="E120" s="1" t="str">
        <f>IFERROR(__xludf.DUMMYFUNCTION("""COMPUTED_VALUE"""),"Female")</f>
        <v>Female</v>
      </c>
      <c r="F120" s="1">
        <f>IFERROR(__xludf.DUMMYFUNCTION("""COMPUTED_VALUE"""),59.0)</f>
        <v>59</v>
      </c>
      <c r="G120" s="1">
        <f>IFERROR(__xludf.DUMMYFUNCTION("""COMPUTED_VALUE"""),45.0)</f>
        <v>45</v>
      </c>
      <c r="H120" s="1">
        <f>IFERROR(__xludf.DUMMYFUNCTION("""COMPUTED_VALUE"""),33.0)</f>
        <v>33</v>
      </c>
      <c r="I120" s="1">
        <f>IFERROR(__xludf.DUMMYFUNCTION("""COMPUTED_VALUE"""),25.0)</f>
        <v>25</v>
      </c>
      <c r="J120" s="1">
        <f>IFERROR(__xludf.DUMMYFUNCTION("""COMPUTED_VALUE"""),97.0)</f>
        <v>97</v>
      </c>
      <c r="K120" s="1">
        <f>IFERROR(__xludf.DUMMYFUNCTION("""COMPUTED_VALUE"""),83.0)</f>
        <v>83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 t="str">
        <f>IFERROR(__xludf.DUMMYFUNCTION("""COMPUTED_VALUE"""),"B")</f>
        <v>B</v>
      </c>
      <c r="E121" s="1" t="str">
        <f>IFERROR(__xludf.DUMMYFUNCTION("""COMPUTED_VALUE"""),"Female")</f>
        <v>Female</v>
      </c>
      <c r="F121" s="1">
        <f>IFERROR(__xludf.DUMMYFUNCTION("""COMPUTED_VALUE"""),14.0)</f>
        <v>14</v>
      </c>
      <c r="G121" s="1">
        <f>IFERROR(__xludf.DUMMYFUNCTION("""COMPUTED_VALUE"""),95.0)</f>
        <v>95</v>
      </c>
      <c r="H121" s="1">
        <f>IFERROR(__xludf.DUMMYFUNCTION("""COMPUTED_VALUE"""),68.0)</f>
        <v>68</v>
      </c>
      <c r="I121" s="1">
        <f>IFERROR(__xludf.DUMMYFUNCTION("""COMPUTED_VALUE"""),46.0)</f>
        <v>46</v>
      </c>
      <c r="J121" s="1">
        <f>IFERROR(__xludf.DUMMYFUNCTION("""COMPUTED_VALUE"""),30.0)</f>
        <v>30</v>
      </c>
      <c r="K121" s="1">
        <f>IFERROR(__xludf.DUMMYFUNCTION("""COMPUTED_VALUE"""),72.0)</f>
        <v>72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 t="str">
        <f>IFERROR(__xludf.DUMMYFUNCTION("""COMPUTED_VALUE"""),"A")</f>
        <v>A</v>
      </c>
      <c r="E122" s="1" t="str">
        <f>IFERROR(__xludf.DUMMYFUNCTION("""COMPUTED_VALUE"""),"Male")</f>
        <v>Male</v>
      </c>
      <c r="F122" s="1">
        <f>IFERROR(__xludf.DUMMYFUNCTION("""COMPUTED_VALUE"""),63.0)</f>
        <v>63</v>
      </c>
      <c r="G122" s="1">
        <f>IFERROR(__xludf.DUMMYFUNCTION("""COMPUTED_VALUE"""),81.0)</f>
        <v>81</v>
      </c>
      <c r="H122" s="1">
        <f>IFERROR(__xludf.DUMMYFUNCTION("""COMPUTED_VALUE"""),85.0)</f>
        <v>85</v>
      </c>
      <c r="I122" s="1">
        <f>IFERROR(__xludf.DUMMYFUNCTION("""COMPUTED_VALUE"""),93.0)</f>
        <v>93</v>
      </c>
      <c r="J122" s="1">
        <f>IFERROR(__xludf.DUMMYFUNCTION("""COMPUTED_VALUE"""),91.0)</f>
        <v>91</v>
      </c>
      <c r="K122" s="1">
        <f>IFERROR(__xludf.DUMMYFUNCTION("""COMPUTED_VALUE"""),30.0)</f>
        <v>30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 t="str">
        <f>IFERROR(__xludf.DUMMYFUNCTION("""COMPUTED_VALUE"""),"B")</f>
        <v>B</v>
      </c>
      <c r="E123" s="1" t="str">
        <f>IFERROR(__xludf.DUMMYFUNCTION("""COMPUTED_VALUE"""),"Male")</f>
        <v>Male</v>
      </c>
      <c r="F123" s="1">
        <f>IFERROR(__xludf.DUMMYFUNCTION("""COMPUTED_VALUE"""),61.0)</f>
        <v>61</v>
      </c>
      <c r="G123" s="1">
        <f>IFERROR(__xludf.DUMMYFUNCTION("""COMPUTED_VALUE"""),77.0)</f>
        <v>77</v>
      </c>
      <c r="H123" s="1">
        <f>IFERROR(__xludf.DUMMYFUNCTION("""COMPUTED_VALUE"""),66.0)</f>
        <v>66</v>
      </c>
      <c r="I123" s="1">
        <f>IFERROR(__xludf.DUMMYFUNCTION("""COMPUTED_VALUE"""),65.0)</f>
        <v>65</v>
      </c>
      <c r="J123" s="1">
        <f>IFERROR(__xludf.DUMMYFUNCTION("""COMPUTED_VALUE"""),47.0)</f>
        <v>47</v>
      </c>
      <c r="K123" s="1">
        <f>IFERROR(__xludf.DUMMYFUNCTION("""COMPUTED_VALUE"""),32.0)</f>
        <v>32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 t="str">
        <f>IFERROR(__xludf.DUMMYFUNCTION("""COMPUTED_VALUE"""),"D")</f>
        <v>D</v>
      </c>
      <c r="E124" s="1" t="str">
        <f>IFERROR(__xludf.DUMMYFUNCTION("""COMPUTED_VALUE"""),"Male")</f>
        <v>Male</v>
      </c>
      <c r="F124" s="1">
        <f>IFERROR(__xludf.DUMMYFUNCTION("""COMPUTED_VALUE"""),46.0)</f>
        <v>46</v>
      </c>
      <c r="G124" s="1">
        <f>IFERROR(__xludf.DUMMYFUNCTION("""COMPUTED_VALUE"""),43.0)</f>
        <v>43</v>
      </c>
      <c r="H124" s="1">
        <f>IFERROR(__xludf.DUMMYFUNCTION("""COMPUTED_VALUE"""),59.0)</f>
        <v>59</v>
      </c>
      <c r="I124" s="1">
        <f>IFERROR(__xludf.DUMMYFUNCTION("""COMPUTED_VALUE"""),43.0)</f>
        <v>43</v>
      </c>
      <c r="J124" s="1">
        <f>IFERROR(__xludf.DUMMYFUNCTION("""COMPUTED_VALUE"""),20.0)</f>
        <v>20</v>
      </c>
      <c r="K124" s="1">
        <f>IFERROR(__xludf.DUMMYFUNCTION("""COMPUTED_VALUE"""),64.0)</f>
        <v>64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 t="str">
        <f>IFERROR(__xludf.DUMMYFUNCTION("""COMPUTED_VALUE"""),"A")</f>
        <v>A</v>
      </c>
      <c r="E125" s="1" t="str">
        <f>IFERROR(__xludf.DUMMYFUNCTION("""COMPUTED_VALUE"""),"Male")</f>
        <v>Male</v>
      </c>
      <c r="F125" s="1">
        <f>IFERROR(__xludf.DUMMYFUNCTION("""COMPUTED_VALUE"""),39.0)</f>
        <v>39</v>
      </c>
      <c r="G125" s="1">
        <f>IFERROR(__xludf.DUMMYFUNCTION("""COMPUTED_VALUE"""),48.0)</f>
        <v>48</v>
      </c>
      <c r="H125" s="1">
        <f>IFERROR(__xludf.DUMMYFUNCTION("""COMPUTED_VALUE"""),85.0)</f>
        <v>85</v>
      </c>
      <c r="I125" s="1">
        <f>IFERROR(__xludf.DUMMYFUNCTION("""COMPUTED_VALUE"""),61.0)</f>
        <v>61</v>
      </c>
      <c r="J125" s="1">
        <f>IFERROR(__xludf.DUMMYFUNCTION("""COMPUTED_VALUE"""),62.0)</f>
        <v>62</v>
      </c>
      <c r="K125" s="1">
        <f>IFERROR(__xludf.DUMMYFUNCTION("""COMPUTED_VALUE"""),34.0)</f>
        <v>34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 t="str">
        <f>IFERROR(__xludf.DUMMYFUNCTION("""COMPUTED_VALUE"""),"D")</f>
        <v>D</v>
      </c>
      <c r="E126" s="1" t="str">
        <f>IFERROR(__xludf.DUMMYFUNCTION("""COMPUTED_VALUE"""),"Male")</f>
        <v>Male</v>
      </c>
      <c r="F126" s="1">
        <f>IFERROR(__xludf.DUMMYFUNCTION("""COMPUTED_VALUE"""),40.0)</f>
        <v>40</v>
      </c>
      <c r="G126" s="1">
        <f>IFERROR(__xludf.DUMMYFUNCTION("""COMPUTED_VALUE"""),75.0)</f>
        <v>75</v>
      </c>
      <c r="H126" s="1">
        <f>IFERROR(__xludf.DUMMYFUNCTION("""COMPUTED_VALUE"""),21.0)</f>
        <v>21</v>
      </c>
      <c r="I126" s="1">
        <f>IFERROR(__xludf.DUMMYFUNCTION("""COMPUTED_VALUE"""),36.0)</f>
        <v>36</v>
      </c>
      <c r="J126" s="1">
        <f>IFERROR(__xludf.DUMMYFUNCTION("""COMPUTED_VALUE"""),36.0)</f>
        <v>36</v>
      </c>
      <c r="K126" s="1">
        <f>IFERROR(__xludf.DUMMYFUNCTION("""COMPUTED_VALUE"""),49.0)</f>
        <v>49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 t="str">
        <f>IFERROR(__xludf.DUMMYFUNCTION("""COMPUTED_VALUE"""),"C")</f>
        <v>C</v>
      </c>
      <c r="E127" s="1" t="str">
        <f>IFERROR(__xludf.DUMMYFUNCTION("""COMPUTED_VALUE"""),"Female")</f>
        <v>Female</v>
      </c>
      <c r="F127" s="1">
        <f>IFERROR(__xludf.DUMMYFUNCTION("""COMPUTED_VALUE"""),39.0)</f>
        <v>39</v>
      </c>
      <c r="G127" s="1">
        <f>IFERROR(__xludf.DUMMYFUNCTION("""COMPUTED_VALUE"""),35.0)</f>
        <v>35</v>
      </c>
      <c r="H127" s="1">
        <f>IFERROR(__xludf.DUMMYFUNCTION("""COMPUTED_VALUE"""),29.0)</f>
        <v>29</v>
      </c>
      <c r="I127" s="1">
        <f>IFERROR(__xludf.DUMMYFUNCTION("""COMPUTED_VALUE"""),80.0)</f>
        <v>80</v>
      </c>
      <c r="J127" s="1">
        <f>IFERROR(__xludf.DUMMYFUNCTION("""COMPUTED_VALUE"""),30.0)</f>
        <v>30</v>
      </c>
      <c r="K127" s="1">
        <f>IFERROR(__xludf.DUMMYFUNCTION("""COMPUTED_VALUE"""),51.0)</f>
        <v>51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 t="str">
        <f>IFERROR(__xludf.DUMMYFUNCTION("""COMPUTED_VALUE"""),"A")</f>
        <v>A</v>
      </c>
      <c r="E128" s="1" t="str">
        <f>IFERROR(__xludf.DUMMYFUNCTION("""COMPUTED_VALUE"""),"Female")</f>
        <v>Female</v>
      </c>
      <c r="F128" s="1">
        <f>IFERROR(__xludf.DUMMYFUNCTION("""COMPUTED_VALUE"""),22.0)</f>
        <v>22</v>
      </c>
      <c r="G128" s="1">
        <f>IFERROR(__xludf.DUMMYFUNCTION("""COMPUTED_VALUE"""),34.0)</f>
        <v>34</v>
      </c>
      <c r="H128" s="1">
        <f>IFERROR(__xludf.DUMMYFUNCTION("""COMPUTED_VALUE"""),70.0)</f>
        <v>70</v>
      </c>
      <c r="I128" s="1">
        <f>IFERROR(__xludf.DUMMYFUNCTION("""COMPUTED_VALUE"""),88.0)</f>
        <v>88</v>
      </c>
      <c r="J128" s="1">
        <f>IFERROR(__xludf.DUMMYFUNCTION("""COMPUTED_VALUE"""),73.0)</f>
        <v>73</v>
      </c>
      <c r="K128" s="1">
        <f>IFERROR(__xludf.DUMMYFUNCTION("""COMPUTED_VALUE"""),89.0)</f>
        <v>89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 t="str">
        <f>IFERROR(__xludf.DUMMYFUNCTION("""COMPUTED_VALUE"""),"C")</f>
        <v>C</v>
      </c>
      <c r="E129" s="1" t="str">
        <f>IFERROR(__xludf.DUMMYFUNCTION("""COMPUTED_VALUE"""),"Male")</f>
        <v>Male</v>
      </c>
      <c r="F129" s="1">
        <f>IFERROR(__xludf.DUMMYFUNCTION("""COMPUTED_VALUE"""),64.0)</f>
        <v>64</v>
      </c>
      <c r="G129" s="1">
        <f>IFERROR(__xludf.DUMMYFUNCTION("""COMPUTED_VALUE"""),32.0)</f>
        <v>32</v>
      </c>
      <c r="H129" s="1">
        <f>IFERROR(__xludf.DUMMYFUNCTION("""COMPUTED_VALUE"""),22.0)</f>
        <v>22</v>
      </c>
      <c r="I129" s="1">
        <f>IFERROR(__xludf.DUMMYFUNCTION("""COMPUTED_VALUE"""),93.0)</f>
        <v>93</v>
      </c>
      <c r="J129" s="1">
        <f>IFERROR(__xludf.DUMMYFUNCTION("""COMPUTED_VALUE"""),34.0)</f>
        <v>34</v>
      </c>
      <c r="K129" s="1">
        <f>IFERROR(__xludf.DUMMYFUNCTION("""COMPUTED_VALUE"""),65.0)</f>
        <v>65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 t="str">
        <f>IFERROR(__xludf.DUMMYFUNCTION("""COMPUTED_VALUE"""),"B")</f>
        <v>B</v>
      </c>
      <c r="E130" s="1" t="str">
        <f>IFERROR(__xludf.DUMMYFUNCTION("""COMPUTED_VALUE"""),"Female")</f>
        <v>Female</v>
      </c>
      <c r="F130" s="1">
        <f>IFERROR(__xludf.DUMMYFUNCTION("""COMPUTED_VALUE"""),77.0)</f>
        <v>77</v>
      </c>
      <c r="G130" s="1">
        <f>IFERROR(__xludf.DUMMYFUNCTION("""COMPUTED_VALUE"""),47.0)</f>
        <v>47</v>
      </c>
      <c r="H130" s="1">
        <f>IFERROR(__xludf.DUMMYFUNCTION("""COMPUTED_VALUE"""),43.0)</f>
        <v>43</v>
      </c>
      <c r="I130" s="1">
        <f>IFERROR(__xludf.DUMMYFUNCTION("""COMPUTED_VALUE"""),34.0)</f>
        <v>34</v>
      </c>
      <c r="J130" s="1">
        <f>IFERROR(__xludf.DUMMYFUNCTION("""COMPUTED_VALUE"""),63.0)</f>
        <v>63</v>
      </c>
      <c r="K130" s="1">
        <f>IFERROR(__xludf.DUMMYFUNCTION("""COMPUTED_VALUE"""),73.0)</f>
        <v>73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 t="str">
        <f>IFERROR(__xludf.DUMMYFUNCTION("""COMPUTED_VALUE"""),"A")</f>
        <v>A</v>
      </c>
      <c r="E131" s="1" t="str">
        <f>IFERROR(__xludf.DUMMYFUNCTION("""COMPUTED_VALUE"""),"Male")</f>
        <v>Male</v>
      </c>
      <c r="F131" s="1">
        <f>IFERROR(__xludf.DUMMYFUNCTION("""COMPUTED_VALUE"""),73.0)</f>
        <v>73</v>
      </c>
      <c r="G131" s="1">
        <f>IFERROR(__xludf.DUMMYFUNCTION("""COMPUTED_VALUE"""),80.0)</f>
        <v>80</v>
      </c>
      <c r="H131" s="1">
        <f>IFERROR(__xludf.DUMMYFUNCTION("""COMPUTED_VALUE"""),49.0)</f>
        <v>49</v>
      </c>
      <c r="I131" s="1">
        <f>IFERROR(__xludf.DUMMYFUNCTION("""COMPUTED_VALUE"""),47.0)</f>
        <v>47</v>
      </c>
      <c r="J131" s="1">
        <f>IFERROR(__xludf.DUMMYFUNCTION("""COMPUTED_VALUE"""),42.0)</f>
        <v>42</v>
      </c>
      <c r="K131" s="1">
        <f>IFERROR(__xludf.DUMMYFUNCTION("""COMPUTED_VALUE"""),58.0)</f>
        <v>58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 t="str">
        <f>IFERROR(__xludf.DUMMYFUNCTION("""COMPUTED_VALUE"""),"C")</f>
        <v>C</v>
      </c>
      <c r="E132" s="1" t="str">
        <f>IFERROR(__xludf.DUMMYFUNCTION("""COMPUTED_VALUE"""),"Male")</f>
        <v>Male</v>
      </c>
      <c r="F132" s="1">
        <f>IFERROR(__xludf.DUMMYFUNCTION("""COMPUTED_VALUE"""),75.0)</f>
        <v>75</v>
      </c>
      <c r="G132" s="1">
        <f>IFERROR(__xludf.DUMMYFUNCTION("""COMPUTED_VALUE"""),72.0)</f>
        <v>72</v>
      </c>
      <c r="H132" s="1">
        <f>IFERROR(__xludf.DUMMYFUNCTION("""COMPUTED_VALUE"""),86.0)</f>
        <v>86</v>
      </c>
      <c r="I132" s="1">
        <f>IFERROR(__xludf.DUMMYFUNCTION("""COMPUTED_VALUE"""),54.0)</f>
        <v>54</v>
      </c>
      <c r="J132" s="1">
        <f>IFERROR(__xludf.DUMMYFUNCTION("""COMPUTED_VALUE"""),94.0)</f>
        <v>94</v>
      </c>
      <c r="K132" s="1">
        <f>IFERROR(__xludf.DUMMYFUNCTION("""COMPUTED_VALUE"""),72.0)</f>
        <v>72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 t="str">
        <f>IFERROR(__xludf.DUMMYFUNCTION("""COMPUTED_VALUE"""),"C")</f>
        <v>C</v>
      </c>
      <c r="E133" s="1" t="str">
        <f>IFERROR(__xludf.DUMMYFUNCTION("""COMPUTED_VALUE"""),"Female")</f>
        <v>Female</v>
      </c>
      <c r="F133" s="1">
        <f>IFERROR(__xludf.DUMMYFUNCTION("""COMPUTED_VALUE"""),86.0)</f>
        <v>86</v>
      </c>
      <c r="G133" s="1">
        <f>IFERROR(__xludf.DUMMYFUNCTION("""COMPUTED_VALUE"""),70.0)</f>
        <v>70</v>
      </c>
      <c r="H133" s="1">
        <f>IFERROR(__xludf.DUMMYFUNCTION("""COMPUTED_VALUE"""),65.0)</f>
        <v>65</v>
      </c>
      <c r="I133" s="1">
        <f>IFERROR(__xludf.DUMMYFUNCTION("""COMPUTED_VALUE"""),31.0)</f>
        <v>31</v>
      </c>
      <c r="J133" s="1">
        <f>IFERROR(__xludf.DUMMYFUNCTION("""COMPUTED_VALUE"""),88.0)</f>
        <v>88</v>
      </c>
      <c r="K133" s="1">
        <f>IFERROR(__xludf.DUMMYFUNCTION("""COMPUTED_VALUE"""),38.0)</f>
        <v>38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 t="str">
        <f>IFERROR(__xludf.DUMMYFUNCTION("""COMPUTED_VALUE"""),"C")</f>
        <v>C</v>
      </c>
      <c r="E134" s="1" t="str">
        <f>IFERROR(__xludf.DUMMYFUNCTION("""COMPUTED_VALUE"""),"Female")</f>
        <v>Female</v>
      </c>
      <c r="F134" s="1">
        <f>IFERROR(__xludf.DUMMYFUNCTION("""COMPUTED_VALUE"""),33.0)</f>
        <v>33</v>
      </c>
      <c r="G134" s="1">
        <f>IFERROR(__xludf.DUMMYFUNCTION("""COMPUTED_VALUE"""),70.0)</f>
        <v>70</v>
      </c>
      <c r="H134" s="1">
        <f>IFERROR(__xludf.DUMMYFUNCTION("""COMPUTED_VALUE"""),71.0)</f>
        <v>71</v>
      </c>
      <c r="I134" s="1">
        <f>IFERROR(__xludf.DUMMYFUNCTION("""COMPUTED_VALUE"""),55.0)</f>
        <v>55</v>
      </c>
      <c r="J134" s="1">
        <f>IFERROR(__xludf.DUMMYFUNCTION("""COMPUTED_VALUE"""),53.0)</f>
        <v>53</v>
      </c>
      <c r="K134" s="1">
        <f>IFERROR(__xludf.DUMMYFUNCTION("""COMPUTED_VALUE"""),80.0)</f>
        <v>80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 t="str">
        <f>IFERROR(__xludf.DUMMYFUNCTION("""COMPUTED_VALUE"""),"C")</f>
        <v>C</v>
      </c>
      <c r="E135" s="1" t="str">
        <f>IFERROR(__xludf.DUMMYFUNCTION("""COMPUTED_VALUE"""),"Male")</f>
        <v>Male</v>
      </c>
      <c r="F135" s="1">
        <f>IFERROR(__xludf.DUMMYFUNCTION("""COMPUTED_VALUE"""),29.0)</f>
        <v>29</v>
      </c>
      <c r="G135" s="1">
        <f>IFERROR(__xludf.DUMMYFUNCTION("""COMPUTED_VALUE"""),39.0)</f>
        <v>39</v>
      </c>
      <c r="H135" s="1">
        <f>IFERROR(__xludf.DUMMYFUNCTION("""COMPUTED_VALUE"""),94.0)</f>
        <v>94</v>
      </c>
      <c r="I135" s="1">
        <f>IFERROR(__xludf.DUMMYFUNCTION("""COMPUTED_VALUE"""),30.0)</f>
        <v>30</v>
      </c>
      <c r="J135" s="1">
        <f>IFERROR(__xludf.DUMMYFUNCTION("""COMPUTED_VALUE"""),53.0)</f>
        <v>53</v>
      </c>
      <c r="K135" s="1">
        <f>IFERROR(__xludf.DUMMYFUNCTION("""COMPUTED_VALUE"""),90.0)</f>
        <v>90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 t="str">
        <f>IFERROR(__xludf.DUMMYFUNCTION("""COMPUTED_VALUE"""),"B")</f>
        <v>B</v>
      </c>
      <c r="E136" s="1" t="str">
        <f>IFERROR(__xludf.DUMMYFUNCTION("""COMPUTED_VALUE"""),"Female")</f>
        <v>Female</v>
      </c>
      <c r="F136" s="1">
        <f>IFERROR(__xludf.DUMMYFUNCTION("""COMPUTED_VALUE"""),81.0)</f>
        <v>81</v>
      </c>
      <c r="G136" s="1">
        <f>IFERROR(__xludf.DUMMYFUNCTION("""COMPUTED_VALUE"""),85.0)</f>
        <v>85</v>
      </c>
      <c r="H136" s="1">
        <f>IFERROR(__xludf.DUMMYFUNCTION("""COMPUTED_VALUE"""),63.0)</f>
        <v>63</v>
      </c>
      <c r="I136" s="1">
        <f>IFERROR(__xludf.DUMMYFUNCTION("""COMPUTED_VALUE"""),56.0)</f>
        <v>56</v>
      </c>
      <c r="J136" s="1">
        <f>IFERROR(__xludf.DUMMYFUNCTION("""COMPUTED_VALUE"""),85.0)</f>
        <v>85</v>
      </c>
      <c r="K136" s="1">
        <f>IFERROR(__xludf.DUMMYFUNCTION("""COMPUTED_VALUE"""),46.0)</f>
        <v>46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 t="str">
        <f>IFERROR(__xludf.DUMMYFUNCTION("""COMPUTED_VALUE"""),"D")</f>
        <v>D</v>
      </c>
      <c r="E137" s="1" t="str">
        <f>IFERROR(__xludf.DUMMYFUNCTION("""COMPUTED_VALUE"""),"Male")</f>
        <v>Male</v>
      </c>
      <c r="F137" s="1">
        <f>IFERROR(__xludf.DUMMYFUNCTION("""COMPUTED_VALUE"""),97.0)</f>
        <v>97</v>
      </c>
      <c r="G137" s="1">
        <f>IFERROR(__xludf.DUMMYFUNCTION("""COMPUTED_VALUE"""),98.0)</f>
        <v>98</v>
      </c>
      <c r="H137" s="1">
        <f>IFERROR(__xludf.DUMMYFUNCTION("""COMPUTED_VALUE"""),39.0)</f>
        <v>39</v>
      </c>
      <c r="I137" s="1">
        <f>IFERROR(__xludf.DUMMYFUNCTION("""COMPUTED_VALUE"""),79.0)</f>
        <v>79</v>
      </c>
      <c r="J137" s="1">
        <f>IFERROR(__xludf.DUMMYFUNCTION("""COMPUTED_VALUE"""),43.0)</f>
        <v>43</v>
      </c>
      <c r="K137" s="1">
        <f>IFERROR(__xludf.DUMMYFUNCTION("""COMPUTED_VALUE"""),94.0)</f>
        <v>94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 t="str">
        <f>IFERROR(__xludf.DUMMYFUNCTION("""COMPUTED_VALUE"""),"A")</f>
        <v>A</v>
      </c>
      <c r="E138" s="1" t="str">
        <f>IFERROR(__xludf.DUMMYFUNCTION("""COMPUTED_VALUE"""),"Male")</f>
        <v>Male</v>
      </c>
      <c r="F138" s="1">
        <f>IFERROR(__xludf.DUMMYFUNCTION("""COMPUTED_VALUE"""),80.0)</f>
        <v>80</v>
      </c>
      <c r="G138" s="1">
        <f>IFERROR(__xludf.DUMMYFUNCTION("""COMPUTED_VALUE"""),35.0)</f>
        <v>35</v>
      </c>
      <c r="H138" s="1">
        <f>IFERROR(__xludf.DUMMYFUNCTION("""COMPUTED_VALUE"""),51.0)</f>
        <v>51</v>
      </c>
      <c r="I138" s="1">
        <f>IFERROR(__xludf.DUMMYFUNCTION("""COMPUTED_VALUE"""),50.0)</f>
        <v>50</v>
      </c>
      <c r="J138" s="1">
        <f>IFERROR(__xludf.DUMMYFUNCTION("""COMPUTED_VALUE"""),54.0)</f>
        <v>54</v>
      </c>
      <c r="K138" s="1">
        <f>IFERROR(__xludf.DUMMYFUNCTION("""COMPUTED_VALUE"""),48.0)</f>
        <v>48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 t="str">
        <f>IFERROR(__xludf.DUMMYFUNCTION("""COMPUTED_VALUE"""),"A")</f>
        <v>A</v>
      </c>
      <c r="E139" s="1" t="str">
        <f>IFERROR(__xludf.DUMMYFUNCTION("""COMPUTED_VALUE"""),"Male")</f>
        <v>Male</v>
      </c>
      <c r="F139" s="1">
        <f>IFERROR(__xludf.DUMMYFUNCTION("""COMPUTED_VALUE"""),35.0)</f>
        <v>35</v>
      </c>
      <c r="G139" s="1">
        <f>IFERROR(__xludf.DUMMYFUNCTION("""COMPUTED_VALUE"""),66.0)</f>
        <v>66</v>
      </c>
      <c r="H139" s="1">
        <f>IFERROR(__xludf.DUMMYFUNCTION("""COMPUTED_VALUE"""),84.0)</f>
        <v>84</v>
      </c>
      <c r="I139" s="1">
        <f>IFERROR(__xludf.DUMMYFUNCTION("""COMPUTED_VALUE"""),24.0)</f>
        <v>24</v>
      </c>
      <c r="J139" s="1">
        <f>IFERROR(__xludf.DUMMYFUNCTION("""COMPUTED_VALUE"""),41.0)</f>
        <v>41</v>
      </c>
      <c r="K139" s="1">
        <f>IFERROR(__xludf.DUMMYFUNCTION("""COMPUTED_VALUE"""),29.0)</f>
        <v>29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 t="str">
        <f>IFERROR(__xludf.DUMMYFUNCTION("""COMPUTED_VALUE"""),"C")</f>
        <v>C</v>
      </c>
      <c r="E140" s="1" t="str">
        <f>IFERROR(__xludf.DUMMYFUNCTION("""COMPUTED_VALUE"""),"Female")</f>
        <v>Female</v>
      </c>
      <c r="F140" s="1">
        <f>IFERROR(__xludf.DUMMYFUNCTION("""COMPUTED_VALUE"""),98.0)</f>
        <v>98</v>
      </c>
      <c r="G140" s="1">
        <f>IFERROR(__xludf.DUMMYFUNCTION("""COMPUTED_VALUE"""),91.0)</f>
        <v>91</v>
      </c>
      <c r="H140" s="1">
        <f>IFERROR(__xludf.DUMMYFUNCTION("""COMPUTED_VALUE"""),34.0)</f>
        <v>34</v>
      </c>
      <c r="I140" s="1">
        <f>IFERROR(__xludf.DUMMYFUNCTION("""COMPUTED_VALUE"""),99.0)</f>
        <v>99</v>
      </c>
      <c r="J140" s="1">
        <f>IFERROR(__xludf.DUMMYFUNCTION("""COMPUTED_VALUE"""),40.0)</f>
        <v>40</v>
      </c>
      <c r="K140" s="1">
        <f>IFERROR(__xludf.DUMMYFUNCTION("""COMPUTED_VALUE"""),90.0)</f>
        <v>90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 t="str">
        <f>IFERROR(__xludf.DUMMYFUNCTION("""COMPUTED_VALUE"""),"A")</f>
        <v>A</v>
      </c>
      <c r="E141" s="1" t="str">
        <f>IFERROR(__xludf.DUMMYFUNCTION("""COMPUTED_VALUE"""),"Male")</f>
        <v>Male</v>
      </c>
      <c r="F141" s="1">
        <f>IFERROR(__xludf.DUMMYFUNCTION("""COMPUTED_VALUE"""),80.0)</f>
        <v>80</v>
      </c>
      <c r="G141" s="1">
        <f>IFERROR(__xludf.DUMMYFUNCTION("""COMPUTED_VALUE"""),85.0)</f>
        <v>85</v>
      </c>
      <c r="H141" s="1">
        <f>IFERROR(__xludf.DUMMYFUNCTION("""COMPUTED_VALUE"""),84.0)</f>
        <v>84</v>
      </c>
      <c r="I141" s="1">
        <f>IFERROR(__xludf.DUMMYFUNCTION("""COMPUTED_VALUE"""),84.0)</f>
        <v>84</v>
      </c>
      <c r="J141" s="1">
        <f>IFERROR(__xludf.DUMMYFUNCTION("""COMPUTED_VALUE"""),22.0)</f>
        <v>22</v>
      </c>
      <c r="K141" s="1">
        <f>IFERROR(__xludf.DUMMYFUNCTION("""COMPUTED_VALUE"""),57.0)</f>
        <v>57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 t="str">
        <f>IFERROR(__xludf.DUMMYFUNCTION("""COMPUTED_VALUE"""),"C")</f>
        <v>C</v>
      </c>
      <c r="E142" s="1" t="str">
        <f>IFERROR(__xludf.DUMMYFUNCTION("""COMPUTED_VALUE"""),"Female")</f>
        <v>Female</v>
      </c>
      <c r="F142" s="1">
        <f>IFERROR(__xludf.DUMMYFUNCTION("""COMPUTED_VALUE"""),91.0)</f>
        <v>91</v>
      </c>
      <c r="G142" s="1">
        <f>IFERROR(__xludf.DUMMYFUNCTION("""COMPUTED_VALUE"""),99.0)</f>
        <v>99</v>
      </c>
      <c r="H142" s="1">
        <f>IFERROR(__xludf.DUMMYFUNCTION("""COMPUTED_VALUE"""),88.0)</f>
        <v>88</v>
      </c>
      <c r="I142" s="1">
        <f>IFERROR(__xludf.DUMMYFUNCTION("""COMPUTED_VALUE"""),68.0)</f>
        <v>68</v>
      </c>
      <c r="J142" s="1">
        <f>IFERROR(__xludf.DUMMYFUNCTION("""COMPUTED_VALUE"""),52.0)</f>
        <v>52</v>
      </c>
      <c r="K142" s="1">
        <f>IFERROR(__xludf.DUMMYFUNCTION("""COMPUTED_VALUE"""),41.0)</f>
        <v>41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 t="str">
        <f>IFERROR(__xludf.DUMMYFUNCTION("""COMPUTED_VALUE"""),"A")</f>
        <v>A</v>
      </c>
      <c r="E143" s="1" t="str">
        <f>IFERROR(__xludf.DUMMYFUNCTION("""COMPUTED_VALUE"""),"Female")</f>
        <v>Female</v>
      </c>
      <c r="F143" s="1">
        <f>IFERROR(__xludf.DUMMYFUNCTION("""COMPUTED_VALUE"""),92.0)</f>
        <v>92</v>
      </c>
      <c r="G143" s="1">
        <f>IFERROR(__xludf.DUMMYFUNCTION("""COMPUTED_VALUE"""),23.0)</f>
        <v>23</v>
      </c>
      <c r="H143" s="1">
        <f>IFERROR(__xludf.DUMMYFUNCTION("""COMPUTED_VALUE"""),26.0)</f>
        <v>26</v>
      </c>
      <c r="I143" s="1">
        <f>IFERROR(__xludf.DUMMYFUNCTION("""COMPUTED_VALUE"""),57.0)</f>
        <v>57</v>
      </c>
      <c r="J143" s="1">
        <f>IFERROR(__xludf.DUMMYFUNCTION("""COMPUTED_VALUE"""),82.0)</f>
        <v>82</v>
      </c>
      <c r="K143" s="1">
        <f>IFERROR(__xludf.DUMMYFUNCTION("""COMPUTED_VALUE"""),68.0)</f>
        <v>68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 t="str">
        <f>IFERROR(__xludf.DUMMYFUNCTION("""COMPUTED_VALUE"""),"A")</f>
        <v>A</v>
      </c>
      <c r="E144" s="1" t="str">
        <f>IFERROR(__xludf.DUMMYFUNCTION("""COMPUTED_VALUE"""),"Female")</f>
        <v>Female</v>
      </c>
      <c r="F144" s="1">
        <f>IFERROR(__xludf.DUMMYFUNCTION("""COMPUTED_VALUE"""),92.0)</f>
        <v>92</v>
      </c>
      <c r="G144" s="1">
        <f>IFERROR(__xludf.DUMMYFUNCTION("""COMPUTED_VALUE"""),83.0)</f>
        <v>83</v>
      </c>
      <c r="H144" s="1">
        <f>IFERROR(__xludf.DUMMYFUNCTION("""COMPUTED_VALUE"""),38.0)</f>
        <v>38</v>
      </c>
      <c r="I144" s="1">
        <f>IFERROR(__xludf.DUMMYFUNCTION("""COMPUTED_VALUE"""),23.0)</f>
        <v>23</v>
      </c>
      <c r="J144" s="1">
        <f>IFERROR(__xludf.DUMMYFUNCTION("""COMPUTED_VALUE"""),96.0)</f>
        <v>96</v>
      </c>
      <c r="K144" s="1">
        <f>IFERROR(__xludf.DUMMYFUNCTION("""COMPUTED_VALUE"""),37.0)</f>
        <v>37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 t="str">
        <f>IFERROR(__xludf.DUMMYFUNCTION("""COMPUTED_VALUE"""),"A")</f>
        <v>A</v>
      </c>
      <c r="E145" s="1" t="str">
        <f>IFERROR(__xludf.DUMMYFUNCTION("""COMPUTED_VALUE"""),"Male")</f>
        <v>Male</v>
      </c>
      <c r="F145" s="1">
        <f>IFERROR(__xludf.DUMMYFUNCTION("""COMPUTED_VALUE"""),51.0)</f>
        <v>51</v>
      </c>
      <c r="G145" s="1">
        <f>IFERROR(__xludf.DUMMYFUNCTION("""COMPUTED_VALUE"""),72.0)</f>
        <v>72</v>
      </c>
      <c r="H145" s="1">
        <f>IFERROR(__xludf.DUMMYFUNCTION("""COMPUTED_VALUE"""),63.0)</f>
        <v>63</v>
      </c>
      <c r="I145" s="1">
        <f>IFERROR(__xludf.DUMMYFUNCTION("""COMPUTED_VALUE"""),73.0)</f>
        <v>73</v>
      </c>
      <c r="J145" s="1">
        <f>IFERROR(__xludf.DUMMYFUNCTION("""COMPUTED_VALUE"""),74.0)</f>
        <v>74</v>
      </c>
      <c r="K145" s="1">
        <f>IFERROR(__xludf.DUMMYFUNCTION("""COMPUTED_VALUE"""),77.0)</f>
        <v>77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 t="str">
        <f>IFERROR(__xludf.DUMMYFUNCTION("""COMPUTED_VALUE"""),"B")</f>
        <v>B</v>
      </c>
      <c r="E146" s="1" t="str">
        <f>IFERROR(__xludf.DUMMYFUNCTION("""COMPUTED_VALUE"""),"Male")</f>
        <v>Male</v>
      </c>
      <c r="F146" s="1">
        <f>IFERROR(__xludf.DUMMYFUNCTION("""COMPUTED_VALUE"""),99.0)</f>
        <v>99</v>
      </c>
      <c r="G146" s="1">
        <f>IFERROR(__xludf.DUMMYFUNCTION("""COMPUTED_VALUE"""),63.0)</f>
        <v>63</v>
      </c>
      <c r="H146" s="1">
        <f>IFERROR(__xludf.DUMMYFUNCTION("""COMPUTED_VALUE"""),48.0)</f>
        <v>48</v>
      </c>
      <c r="I146" s="1">
        <f>IFERROR(__xludf.DUMMYFUNCTION("""COMPUTED_VALUE"""),50.0)</f>
        <v>50</v>
      </c>
      <c r="J146" s="1">
        <f>IFERROR(__xludf.DUMMYFUNCTION("""COMPUTED_VALUE"""),96.0)</f>
        <v>96</v>
      </c>
      <c r="K146" s="1">
        <f>IFERROR(__xludf.DUMMYFUNCTION("""COMPUTED_VALUE"""),94.0)</f>
        <v>94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 t="str">
        <f>IFERROR(__xludf.DUMMYFUNCTION("""COMPUTED_VALUE"""),"C")</f>
        <v>C</v>
      </c>
      <c r="E147" s="1" t="str">
        <f>IFERROR(__xludf.DUMMYFUNCTION("""COMPUTED_VALUE"""),"Male")</f>
        <v>Male</v>
      </c>
      <c r="F147" s="1">
        <f>IFERROR(__xludf.DUMMYFUNCTION("""COMPUTED_VALUE"""),51.0)</f>
        <v>51</v>
      </c>
      <c r="G147" s="1">
        <f>IFERROR(__xludf.DUMMYFUNCTION("""COMPUTED_VALUE"""),25.0)</f>
        <v>25</v>
      </c>
      <c r="H147" s="1">
        <f>IFERROR(__xludf.DUMMYFUNCTION("""COMPUTED_VALUE"""),93.0)</f>
        <v>93</v>
      </c>
      <c r="I147" s="1">
        <f>IFERROR(__xludf.DUMMYFUNCTION("""COMPUTED_VALUE"""),65.0)</f>
        <v>65</v>
      </c>
      <c r="J147" s="1">
        <f>IFERROR(__xludf.DUMMYFUNCTION("""COMPUTED_VALUE"""),66.0)</f>
        <v>66</v>
      </c>
      <c r="K147" s="1">
        <f>IFERROR(__xludf.DUMMYFUNCTION("""COMPUTED_VALUE"""),38.0)</f>
        <v>38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 t="str">
        <f>IFERROR(__xludf.DUMMYFUNCTION("""COMPUTED_VALUE"""),"C")</f>
        <v>C</v>
      </c>
      <c r="E148" s="1" t="str">
        <f>IFERROR(__xludf.DUMMYFUNCTION("""COMPUTED_VALUE"""),"Male")</f>
        <v>Male</v>
      </c>
      <c r="F148" s="1">
        <f>IFERROR(__xludf.DUMMYFUNCTION("""COMPUTED_VALUE"""),99.0)</f>
        <v>99</v>
      </c>
      <c r="G148" s="1">
        <f>IFERROR(__xludf.DUMMYFUNCTION("""COMPUTED_VALUE"""),68.0)</f>
        <v>68</v>
      </c>
      <c r="H148" s="1">
        <f>IFERROR(__xludf.DUMMYFUNCTION("""COMPUTED_VALUE"""),76.0)</f>
        <v>76</v>
      </c>
      <c r="I148" s="1">
        <f>IFERROR(__xludf.DUMMYFUNCTION("""COMPUTED_VALUE"""),91.0)</f>
        <v>91</v>
      </c>
      <c r="J148" s="1">
        <f>IFERROR(__xludf.DUMMYFUNCTION("""COMPUTED_VALUE"""),46.0)</f>
        <v>46</v>
      </c>
      <c r="K148" s="1">
        <f>IFERROR(__xludf.DUMMYFUNCTION("""COMPUTED_VALUE"""),28.0)</f>
        <v>28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 t="str">
        <f>IFERROR(__xludf.DUMMYFUNCTION("""COMPUTED_VALUE"""),"C")</f>
        <v>C</v>
      </c>
      <c r="E149" s="1" t="str">
        <f>IFERROR(__xludf.DUMMYFUNCTION("""COMPUTED_VALUE"""),"Female")</f>
        <v>Female</v>
      </c>
      <c r="F149" s="1">
        <f>IFERROR(__xludf.DUMMYFUNCTION("""COMPUTED_VALUE"""),59.0)</f>
        <v>59</v>
      </c>
      <c r="G149" s="1">
        <f>IFERROR(__xludf.DUMMYFUNCTION("""COMPUTED_VALUE"""),66.0)</f>
        <v>66</v>
      </c>
      <c r="H149" s="1">
        <f>IFERROR(__xludf.DUMMYFUNCTION("""COMPUTED_VALUE"""),35.0)</f>
        <v>35</v>
      </c>
      <c r="I149" s="1">
        <f>IFERROR(__xludf.DUMMYFUNCTION("""COMPUTED_VALUE"""),58.0)</f>
        <v>58</v>
      </c>
      <c r="J149" s="1">
        <f>IFERROR(__xludf.DUMMYFUNCTION("""COMPUTED_VALUE"""),28.0)</f>
        <v>28</v>
      </c>
      <c r="K149" s="1">
        <f>IFERROR(__xludf.DUMMYFUNCTION("""COMPUTED_VALUE"""),43.0)</f>
        <v>43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 t="str">
        <f>IFERROR(__xludf.DUMMYFUNCTION("""COMPUTED_VALUE"""),"A")</f>
        <v>A</v>
      </c>
      <c r="E150" s="1" t="str">
        <f>IFERROR(__xludf.DUMMYFUNCTION("""COMPUTED_VALUE"""),"Male")</f>
        <v>Male</v>
      </c>
      <c r="F150" s="1">
        <f>IFERROR(__xludf.DUMMYFUNCTION("""COMPUTED_VALUE"""),61.0)</f>
        <v>61</v>
      </c>
      <c r="G150" s="1">
        <f>IFERROR(__xludf.DUMMYFUNCTION("""COMPUTED_VALUE"""),71.0)</f>
        <v>71</v>
      </c>
      <c r="H150" s="1">
        <f>IFERROR(__xludf.DUMMYFUNCTION("""COMPUTED_VALUE"""),76.0)</f>
        <v>76</v>
      </c>
      <c r="I150" s="1">
        <f>IFERROR(__xludf.DUMMYFUNCTION("""COMPUTED_VALUE"""),89.0)</f>
        <v>89</v>
      </c>
      <c r="J150" s="1">
        <f>IFERROR(__xludf.DUMMYFUNCTION("""COMPUTED_VALUE"""),64.0)</f>
        <v>64</v>
      </c>
      <c r="K150" s="1">
        <f>IFERROR(__xludf.DUMMYFUNCTION("""COMPUTED_VALUE"""),42.0)</f>
        <v>42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 t="str">
        <f>IFERROR(__xludf.DUMMYFUNCTION("""COMPUTED_VALUE"""),"D")</f>
        <v>D</v>
      </c>
      <c r="E151" s="1" t="str">
        <f>IFERROR(__xludf.DUMMYFUNCTION("""COMPUTED_VALUE"""),"Female")</f>
        <v>Female</v>
      </c>
      <c r="F151" s="1">
        <f>IFERROR(__xludf.DUMMYFUNCTION("""COMPUTED_VALUE"""),91.0)</f>
        <v>91</v>
      </c>
      <c r="G151" s="1">
        <f>IFERROR(__xludf.DUMMYFUNCTION("""COMPUTED_VALUE"""),89.0)</f>
        <v>89</v>
      </c>
      <c r="H151" s="1">
        <f>IFERROR(__xludf.DUMMYFUNCTION("""COMPUTED_VALUE"""),86.0)</f>
        <v>86</v>
      </c>
      <c r="I151" s="1">
        <f>IFERROR(__xludf.DUMMYFUNCTION("""COMPUTED_VALUE"""),95.0)</f>
        <v>95</v>
      </c>
      <c r="J151" s="1">
        <f>IFERROR(__xludf.DUMMYFUNCTION("""COMPUTED_VALUE"""),67.0)</f>
        <v>67</v>
      </c>
      <c r="K151" s="1">
        <f>IFERROR(__xludf.DUMMYFUNCTION("""COMPUTED_VALUE"""),79.0)</f>
        <v>79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 t="str">
        <f>IFERROR(__xludf.DUMMYFUNCTION("""COMPUTED_VALUE"""),"D")</f>
        <v>D</v>
      </c>
      <c r="E152" s="1" t="str">
        <f>IFERROR(__xludf.DUMMYFUNCTION("""COMPUTED_VALUE"""),"Female")</f>
        <v>Female</v>
      </c>
      <c r="F152" s="1">
        <f>IFERROR(__xludf.DUMMYFUNCTION("""COMPUTED_VALUE"""),73.0)</f>
        <v>73</v>
      </c>
      <c r="G152" s="1">
        <f>IFERROR(__xludf.DUMMYFUNCTION("""COMPUTED_VALUE"""),61.0)</f>
        <v>61</v>
      </c>
      <c r="H152" s="1">
        <f>IFERROR(__xludf.DUMMYFUNCTION("""COMPUTED_VALUE"""),81.0)</f>
        <v>81</v>
      </c>
      <c r="I152" s="1">
        <f>IFERROR(__xludf.DUMMYFUNCTION("""COMPUTED_VALUE"""),91.0)</f>
        <v>91</v>
      </c>
      <c r="J152" s="1">
        <f>IFERROR(__xludf.DUMMYFUNCTION("""COMPUTED_VALUE"""),45.0)</f>
        <v>45</v>
      </c>
      <c r="K152" s="1">
        <f>IFERROR(__xludf.DUMMYFUNCTION("""COMPUTED_VALUE"""),54.0)</f>
        <v>54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 t="str">
        <f>IFERROR(__xludf.DUMMYFUNCTION("""COMPUTED_VALUE"""),"B")</f>
        <v>B</v>
      </c>
      <c r="E153" s="1" t="str">
        <f>IFERROR(__xludf.DUMMYFUNCTION("""COMPUTED_VALUE"""),"Male")</f>
        <v>Male</v>
      </c>
      <c r="F153" s="1">
        <f>IFERROR(__xludf.DUMMYFUNCTION("""COMPUTED_VALUE"""),25.0)</f>
        <v>25</v>
      </c>
      <c r="G153" s="1">
        <f>IFERROR(__xludf.DUMMYFUNCTION("""COMPUTED_VALUE"""),65.0)</f>
        <v>65</v>
      </c>
      <c r="H153" s="1">
        <f>IFERROR(__xludf.DUMMYFUNCTION("""COMPUTED_VALUE"""),86.0)</f>
        <v>86</v>
      </c>
      <c r="I153" s="1">
        <f>IFERROR(__xludf.DUMMYFUNCTION("""COMPUTED_VALUE"""),44.0)</f>
        <v>44</v>
      </c>
      <c r="J153" s="1">
        <f>IFERROR(__xludf.DUMMYFUNCTION("""COMPUTED_VALUE"""),89.0)</f>
        <v>89</v>
      </c>
      <c r="K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 t="str">
        <f>IFERROR(__xludf.DUMMYFUNCTION("""COMPUTED_VALUE"""),"D")</f>
        <v>D</v>
      </c>
      <c r="E154" s="1" t="str">
        <f>IFERROR(__xludf.DUMMYFUNCTION("""COMPUTED_VALUE"""),"Female")</f>
        <v>Female</v>
      </c>
      <c r="F154" s="1">
        <f>IFERROR(__xludf.DUMMYFUNCTION("""COMPUTED_VALUE"""),99.0)</f>
        <v>99</v>
      </c>
      <c r="G154" s="1">
        <f>IFERROR(__xludf.DUMMYFUNCTION("""COMPUTED_VALUE"""),81.0)</f>
        <v>81</v>
      </c>
      <c r="H154" s="1">
        <f>IFERROR(__xludf.DUMMYFUNCTION("""COMPUTED_VALUE"""),36.0)</f>
        <v>36</v>
      </c>
      <c r="I154" s="1">
        <f>IFERROR(__xludf.DUMMYFUNCTION("""COMPUTED_VALUE"""),41.0)</f>
        <v>41</v>
      </c>
      <c r="J154" s="1">
        <f>IFERROR(__xludf.DUMMYFUNCTION("""COMPUTED_VALUE"""),95.0)</f>
        <v>95</v>
      </c>
      <c r="K154" s="1">
        <f>IFERROR(__xludf.DUMMYFUNCTION("""COMPUTED_VALUE"""),55.0)</f>
        <v>55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 t="str">
        <f>IFERROR(__xludf.DUMMYFUNCTION("""COMPUTED_VALUE"""),"B")</f>
        <v>B</v>
      </c>
      <c r="E155" s="1" t="str">
        <f>IFERROR(__xludf.DUMMYFUNCTION("""COMPUTED_VALUE"""),"Male")</f>
        <v>Male</v>
      </c>
      <c r="F155" s="1">
        <f>IFERROR(__xludf.DUMMYFUNCTION("""COMPUTED_VALUE"""),49.0)</f>
        <v>49</v>
      </c>
      <c r="G155" s="1">
        <f>IFERROR(__xludf.DUMMYFUNCTION("""COMPUTED_VALUE"""),59.0)</f>
        <v>59</v>
      </c>
      <c r="H155" s="1">
        <f>IFERROR(__xludf.DUMMYFUNCTION("""COMPUTED_VALUE"""),82.0)</f>
        <v>82</v>
      </c>
      <c r="I155" s="1">
        <f>IFERROR(__xludf.DUMMYFUNCTION("""COMPUTED_VALUE"""),37.0)</f>
        <v>37</v>
      </c>
      <c r="J155" s="1">
        <f>IFERROR(__xludf.DUMMYFUNCTION("""COMPUTED_VALUE"""),69.0)</f>
        <v>69</v>
      </c>
      <c r="K155" s="1">
        <f>IFERROR(__xludf.DUMMYFUNCTION("""COMPUTED_VALUE"""),76.0)</f>
        <v>76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 t="str">
        <f>IFERROR(__xludf.DUMMYFUNCTION("""COMPUTED_VALUE"""),"B")</f>
        <v>B</v>
      </c>
      <c r="E156" s="1" t="str">
        <f>IFERROR(__xludf.DUMMYFUNCTION("""COMPUTED_VALUE"""),"Female")</f>
        <v>Female</v>
      </c>
      <c r="F156" s="1">
        <f>IFERROR(__xludf.DUMMYFUNCTION("""COMPUTED_VALUE"""),47.0)</f>
        <v>47</v>
      </c>
      <c r="G156" s="1">
        <f>IFERROR(__xludf.DUMMYFUNCTION("""COMPUTED_VALUE"""),51.0)</f>
        <v>51</v>
      </c>
      <c r="H156" s="1">
        <f>IFERROR(__xludf.DUMMYFUNCTION("""COMPUTED_VALUE"""),48.0)</f>
        <v>48</v>
      </c>
      <c r="I156" s="1">
        <f>IFERROR(__xludf.DUMMYFUNCTION("""COMPUTED_VALUE"""),25.0)</f>
        <v>25</v>
      </c>
      <c r="J156" s="1">
        <f>IFERROR(__xludf.DUMMYFUNCTION("""COMPUTED_VALUE"""),63.0)</f>
        <v>63</v>
      </c>
      <c r="K156" s="1">
        <f>IFERROR(__xludf.DUMMYFUNCTION("""COMPUTED_VALUE"""),21.0)</f>
        <v>21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 t="str">
        <f>IFERROR(__xludf.DUMMYFUNCTION("""COMPUTED_VALUE"""),"D")</f>
        <v>D</v>
      </c>
      <c r="E157" s="1" t="str">
        <f>IFERROR(__xludf.DUMMYFUNCTION("""COMPUTED_VALUE"""),"Male")</f>
        <v>Male</v>
      </c>
      <c r="F157" s="1">
        <f>IFERROR(__xludf.DUMMYFUNCTION("""COMPUTED_VALUE"""),96.0)</f>
        <v>96</v>
      </c>
      <c r="G157" s="1">
        <f>IFERROR(__xludf.DUMMYFUNCTION("""COMPUTED_VALUE"""),37.0)</f>
        <v>37</v>
      </c>
      <c r="H157" s="1">
        <f>IFERROR(__xludf.DUMMYFUNCTION("""COMPUTED_VALUE"""),66.0)</f>
        <v>66</v>
      </c>
      <c r="I157" s="1">
        <f>IFERROR(__xludf.DUMMYFUNCTION("""COMPUTED_VALUE"""),59.0)</f>
        <v>59</v>
      </c>
      <c r="J157" s="1">
        <f>IFERROR(__xludf.DUMMYFUNCTION("""COMPUTED_VALUE"""),29.0)</f>
        <v>29</v>
      </c>
      <c r="K157" s="1">
        <f>IFERROR(__xludf.DUMMYFUNCTION("""COMPUTED_VALUE"""),80.0)</f>
        <v>80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 t="str">
        <f>IFERROR(__xludf.DUMMYFUNCTION("""COMPUTED_VALUE"""),"C")</f>
        <v>C</v>
      </c>
      <c r="E158" s="1" t="str">
        <f>IFERROR(__xludf.DUMMYFUNCTION("""COMPUTED_VALUE"""),"Male")</f>
        <v>Male</v>
      </c>
      <c r="F158" s="1">
        <f>IFERROR(__xludf.DUMMYFUNCTION("""COMPUTED_VALUE"""),60.0)</f>
        <v>60</v>
      </c>
      <c r="G158" s="1">
        <f>IFERROR(__xludf.DUMMYFUNCTION("""COMPUTED_VALUE"""),66.0)</f>
        <v>66</v>
      </c>
      <c r="H158" s="1">
        <f>IFERROR(__xludf.DUMMYFUNCTION("""COMPUTED_VALUE"""),50.0)</f>
        <v>50</v>
      </c>
      <c r="I158" s="1">
        <f>IFERROR(__xludf.DUMMYFUNCTION("""COMPUTED_VALUE"""),31.0)</f>
        <v>31</v>
      </c>
      <c r="J158" s="1">
        <f>IFERROR(__xludf.DUMMYFUNCTION("""COMPUTED_VALUE"""),31.0)</f>
        <v>31</v>
      </c>
      <c r="K158" s="1">
        <f>IFERROR(__xludf.DUMMYFUNCTION("""COMPUTED_VALUE"""),92.0)</f>
        <v>92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 t="str">
        <f>IFERROR(__xludf.DUMMYFUNCTION("""COMPUTED_VALUE"""),"D")</f>
        <v>D</v>
      </c>
      <c r="E159" s="1" t="str">
        <f>IFERROR(__xludf.DUMMYFUNCTION("""COMPUTED_VALUE"""),"Male")</f>
        <v>Male</v>
      </c>
      <c r="F159" s="1">
        <f>IFERROR(__xludf.DUMMYFUNCTION("""COMPUTED_VALUE"""),16.0)</f>
        <v>16</v>
      </c>
      <c r="G159" s="1">
        <f>IFERROR(__xludf.DUMMYFUNCTION("""COMPUTED_VALUE"""),36.0)</f>
        <v>36</v>
      </c>
      <c r="H159" s="1">
        <f>IFERROR(__xludf.DUMMYFUNCTION("""COMPUTED_VALUE"""),59.0)</f>
        <v>59</v>
      </c>
      <c r="I159" s="1">
        <f>IFERROR(__xludf.DUMMYFUNCTION("""COMPUTED_VALUE"""),24.0)</f>
        <v>24</v>
      </c>
      <c r="J159" s="1">
        <f>IFERROR(__xludf.DUMMYFUNCTION("""COMPUTED_VALUE"""),94.0)</f>
        <v>94</v>
      </c>
      <c r="K159" s="1">
        <f>IFERROR(__xludf.DUMMYFUNCTION("""COMPUTED_VALUE"""),36.0)</f>
        <v>36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 t="str">
        <f>IFERROR(__xludf.DUMMYFUNCTION("""COMPUTED_VALUE"""),"A")</f>
        <v>A</v>
      </c>
      <c r="E160" s="1" t="str">
        <f>IFERROR(__xludf.DUMMYFUNCTION("""COMPUTED_VALUE"""),"Female")</f>
        <v>Female</v>
      </c>
      <c r="F160" s="1">
        <f>IFERROR(__xludf.DUMMYFUNCTION("""COMPUTED_VALUE"""),73.0)</f>
        <v>73</v>
      </c>
      <c r="G160" s="1">
        <f>IFERROR(__xludf.DUMMYFUNCTION("""COMPUTED_VALUE"""),82.0)</f>
        <v>82</v>
      </c>
      <c r="H160" s="1">
        <f>IFERROR(__xludf.DUMMYFUNCTION("""COMPUTED_VALUE"""),64.0)</f>
        <v>64</v>
      </c>
      <c r="I160" s="1">
        <f>IFERROR(__xludf.DUMMYFUNCTION("""COMPUTED_VALUE"""),78.0)</f>
        <v>78</v>
      </c>
      <c r="J160" s="1">
        <f>IFERROR(__xludf.DUMMYFUNCTION("""COMPUTED_VALUE"""),66.0)</f>
        <v>66</v>
      </c>
      <c r="K160" s="1">
        <f>IFERROR(__xludf.DUMMYFUNCTION("""COMPUTED_VALUE"""),29.0)</f>
        <v>29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 t="str">
        <f>IFERROR(__xludf.DUMMYFUNCTION("""COMPUTED_VALUE"""),"C")</f>
        <v>C</v>
      </c>
      <c r="E161" s="1" t="str">
        <f>IFERROR(__xludf.DUMMYFUNCTION("""COMPUTED_VALUE"""),"Male")</f>
        <v>Male</v>
      </c>
      <c r="F161" s="1">
        <f>IFERROR(__xludf.DUMMYFUNCTION("""COMPUTED_VALUE"""),45.0)</f>
        <v>45</v>
      </c>
      <c r="G161" s="1">
        <f>IFERROR(__xludf.DUMMYFUNCTION("""COMPUTED_VALUE"""),27.0)</f>
        <v>27</v>
      </c>
      <c r="H161" s="1">
        <f>IFERROR(__xludf.DUMMYFUNCTION("""COMPUTED_VALUE"""),28.0)</f>
        <v>28</v>
      </c>
      <c r="I161" s="1">
        <f>IFERROR(__xludf.DUMMYFUNCTION("""COMPUTED_VALUE"""),70.0)</f>
        <v>70</v>
      </c>
      <c r="J161" s="1">
        <f>IFERROR(__xludf.DUMMYFUNCTION("""COMPUTED_VALUE"""),42.0)</f>
        <v>42</v>
      </c>
      <c r="K161" s="1">
        <f>IFERROR(__xludf.DUMMYFUNCTION("""COMPUTED_VALUE"""),26.0)</f>
        <v>26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 t="str">
        <f>IFERROR(__xludf.DUMMYFUNCTION("""COMPUTED_VALUE"""),"B")</f>
        <v>B</v>
      </c>
      <c r="E162" s="1" t="str">
        <f>IFERROR(__xludf.DUMMYFUNCTION("""COMPUTED_VALUE"""),"Male")</f>
        <v>Male</v>
      </c>
      <c r="F162" s="1">
        <f>IFERROR(__xludf.DUMMYFUNCTION("""COMPUTED_VALUE"""),73.0)</f>
        <v>73</v>
      </c>
      <c r="G162" s="1">
        <f>IFERROR(__xludf.DUMMYFUNCTION("""COMPUTED_VALUE"""),51.0)</f>
        <v>51</v>
      </c>
      <c r="H162" s="1">
        <f>IFERROR(__xludf.DUMMYFUNCTION("""COMPUTED_VALUE"""),34.0)</f>
        <v>34</v>
      </c>
      <c r="I162" s="1">
        <f>IFERROR(__xludf.DUMMYFUNCTION("""COMPUTED_VALUE"""),50.0)</f>
        <v>50</v>
      </c>
      <c r="J162" s="1">
        <f>IFERROR(__xludf.DUMMYFUNCTION("""COMPUTED_VALUE"""),46.0)</f>
        <v>46</v>
      </c>
      <c r="K162" s="1">
        <f>IFERROR(__xludf.DUMMYFUNCTION("""COMPUTED_VALUE"""),48.0)</f>
        <v>48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 t="str">
        <f>IFERROR(__xludf.DUMMYFUNCTION("""COMPUTED_VALUE"""),"C")</f>
        <v>C</v>
      </c>
      <c r="E163" s="1" t="str">
        <f>IFERROR(__xludf.DUMMYFUNCTION("""COMPUTED_VALUE"""),"Female")</f>
        <v>Female</v>
      </c>
      <c r="F163" s="1">
        <f>IFERROR(__xludf.DUMMYFUNCTION("""COMPUTED_VALUE"""),22.0)</f>
        <v>22</v>
      </c>
      <c r="G163" s="1">
        <f>IFERROR(__xludf.DUMMYFUNCTION("""COMPUTED_VALUE"""),36.0)</f>
        <v>36</v>
      </c>
      <c r="H163" s="1">
        <f>IFERROR(__xludf.DUMMYFUNCTION("""COMPUTED_VALUE"""),45.0)</f>
        <v>45</v>
      </c>
      <c r="I163" s="1">
        <f>IFERROR(__xludf.DUMMYFUNCTION("""COMPUTED_VALUE"""),43.0)</f>
        <v>43</v>
      </c>
      <c r="J163" s="1">
        <f>IFERROR(__xludf.DUMMYFUNCTION("""COMPUTED_VALUE"""),80.0)</f>
        <v>80</v>
      </c>
      <c r="K163" s="1">
        <f>IFERROR(__xludf.DUMMYFUNCTION("""COMPUTED_VALUE"""),99.0)</f>
        <v>99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 t="str">
        <f>IFERROR(__xludf.DUMMYFUNCTION("""COMPUTED_VALUE"""),"A")</f>
        <v>A</v>
      </c>
      <c r="E164" s="1" t="str">
        <f>IFERROR(__xludf.DUMMYFUNCTION("""COMPUTED_VALUE"""),"Female")</f>
        <v>Female</v>
      </c>
      <c r="F164" s="1">
        <f>IFERROR(__xludf.DUMMYFUNCTION("""COMPUTED_VALUE"""),79.0)</f>
        <v>79</v>
      </c>
      <c r="G164" s="1">
        <f>IFERROR(__xludf.DUMMYFUNCTION("""COMPUTED_VALUE"""),23.0)</f>
        <v>23</v>
      </c>
      <c r="H164" s="1">
        <f>IFERROR(__xludf.DUMMYFUNCTION("""COMPUTED_VALUE"""),34.0)</f>
        <v>34</v>
      </c>
      <c r="I164" s="1">
        <f>IFERROR(__xludf.DUMMYFUNCTION("""COMPUTED_VALUE"""),42.0)</f>
        <v>42</v>
      </c>
      <c r="J164" s="1">
        <f>IFERROR(__xludf.DUMMYFUNCTION("""COMPUTED_VALUE"""),67.0)</f>
        <v>67</v>
      </c>
      <c r="K164" s="1">
        <f>IFERROR(__xludf.DUMMYFUNCTION("""COMPUTED_VALUE"""),71.0)</f>
        <v>71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 t="str">
        <f>IFERROR(__xludf.DUMMYFUNCTION("""COMPUTED_VALUE"""),"D")</f>
        <v>D</v>
      </c>
      <c r="E165" s="1" t="str">
        <f>IFERROR(__xludf.DUMMYFUNCTION("""COMPUTED_VALUE"""),"Male")</f>
        <v>Male</v>
      </c>
      <c r="F165" s="1">
        <f>IFERROR(__xludf.DUMMYFUNCTION("""COMPUTED_VALUE"""),34.0)</f>
        <v>34</v>
      </c>
      <c r="G165" s="1">
        <f>IFERROR(__xludf.DUMMYFUNCTION("""COMPUTED_VALUE"""),25.0)</f>
        <v>25</v>
      </c>
      <c r="H165" s="1">
        <f>IFERROR(__xludf.DUMMYFUNCTION("""COMPUTED_VALUE"""),90.0)</f>
        <v>90</v>
      </c>
      <c r="I165" s="1">
        <f>IFERROR(__xludf.DUMMYFUNCTION("""COMPUTED_VALUE"""),49.0)</f>
        <v>49</v>
      </c>
      <c r="J165" s="1">
        <f>IFERROR(__xludf.DUMMYFUNCTION("""COMPUTED_VALUE"""),96.0)</f>
        <v>96</v>
      </c>
      <c r="K165" s="1">
        <f>IFERROR(__xludf.DUMMYFUNCTION("""COMPUTED_VALUE"""),74.0)</f>
        <v>74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 t="str">
        <f>IFERROR(__xludf.DUMMYFUNCTION("""COMPUTED_VALUE"""),"B")</f>
        <v>B</v>
      </c>
      <c r="E166" s="1" t="str">
        <f>IFERROR(__xludf.DUMMYFUNCTION("""COMPUTED_VALUE"""),"Female")</f>
        <v>Female</v>
      </c>
      <c r="F166" s="1">
        <f>IFERROR(__xludf.DUMMYFUNCTION("""COMPUTED_VALUE"""),66.0)</f>
        <v>66</v>
      </c>
      <c r="G166" s="1">
        <f>IFERROR(__xludf.DUMMYFUNCTION("""COMPUTED_VALUE"""),71.0)</f>
        <v>71</v>
      </c>
      <c r="H166" s="1">
        <f>IFERROR(__xludf.DUMMYFUNCTION("""COMPUTED_VALUE"""),40.0)</f>
        <v>40</v>
      </c>
      <c r="I166" s="1">
        <f>IFERROR(__xludf.DUMMYFUNCTION("""COMPUTED_VALUE"""),32.0)</f>
        <v>32</v>
      </c>
      <c r="J166" s="1">
        <f>IFERROR(__xludf.DUMMYFUNCTION("""COMPUTED_VALUE"""),66.0)</f>
        <v>66</v>
      </c>
      <c r="K166" s="1">
        <f>IFERROR(__xludf.DUMMYFUNCTION("""COMPUTED_VALUE"""),28.0)</f>
        <v>28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 t="str">
        <f>IFERROR(__xludf.DUMMYFUNCTION("""COMPUTED_VALUE"""),"A")</f>
        <v>A</v>
      </c>
      <c r="E167" s="1" t="str">
        <f>IFERROR(__xludf.DUMMYFUNCTION("""COMPUTED_VALUE"""),"Male")</f>
        <v>Male</v>
      </c>
      <c r="F167" s="1">
        <f>IFERROR(__xludf.DUMMYFUNCTION("""COMPUTED_VALUE"""),62.0)</f>
        <v>62</v>
      </c>
      <c r="G167" s="1">
        <f>IFERROR(__xludf.DUMMYFUNCTION("""COMPUTED_VALUE"""),96.0)</f>
        <v>96</v>
      </c>
      <c r="H167" s="1">
        <f>IFERROR(__xludf.DUMMYFUNCTION("""COMPUTED_VALUE"""),72.0)</f>
        <v>72</v>
      </c>
      <c r="I167" s="1">
        <f>IFERROR(__xludf.DUMMYFUNCTION("""COMPUTED_VALUE"""),52.0)</f>
        <v>52</v>
      </c>
      <c r="J167" s="1">
        <f>IFERROR(__xludf.DUMMYFUNCTION("""COMPUTED_VALUE"""),67.0)</f>
        <v>67</v>
      </c>
      <c r="K167" s="1">
        <f>IFERROR(__xludf.DUMMYFUNCTION("""COMPUTED_VALUE"""),36.0)</f>
        <v>36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 t="str">
        <f>IFERROR(__xludf.DUMMYFUNCTION("""COMPUTED_VALUE"""),"C")</f>
        <v>C</v>
      </c>
      <c r="E168" s="1" t="str">
        <f>IFERROR(__xludf.DUMMYFUNCTION("""COMPUTED_VALUE"""),"Male")</f>
        <v>Male</v>
      </c>
      <c r="F168" s="1">
        <f>IFERROR(__xludf.DUMMYFUNCTION("""COMPUTED_VALUE"""),24.0)</f>
        <v>24</v>
      </c>
      <c r="G168" s="1">
        <f>IFERROR(__xludf.DUMMYFUNCTION("""COMPUTED_VALUE"""),76.0)</f>
        <v>76</v>
      </c>
      <c r="H168" s="1">
        <f>IFERROR(__xludf.DUMMYFUNCTION("""COMPUTED_VALUE"""),36.0)</f>
        <v>36</v>
      </c>
      <c r="I168" s="1">
        <f>IFERROR(__xludf.DUMMYFUNCTION("""COMPUTED_VALUE"""),51.0)</f>
        <v>51</v>
      </c>
      <c r="J168" s="1">
        <f>IFERROR(__xludf.DUMMYFUNCTION("""COMPUTED_VALUE"""),99.0)</f>
        <v>99</v>
      </c>
      <c r="K168" s="1">
        <f>IFERROR(__xludf.DUMMYFUNCTION("""COMPUTED_VALUE"""),69.0)</f>
        <v>69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 t="str">
        <f>IFERROR(__xludf.DUMMYFUNCTION("""COMPUTED_VALUE"""),"A")</f>
        <v>A</v>
      </c>
      <c r="E169" s="1" t="str">
        <f>IFERROR(__xludf.DUMMYFUNCTION("""COMPUTED_VALUE"""),"Male")</f>
        <v>Male</v>
      </c>
      <c r="F169" s="1">
        <f>IFERROR(__xludf.DUMMYFUNCTION("""COMPUTED_VALUE"""),96.0)</f>
        <v>96</v>
      </c>
      <c r="G169" s="1">
        <f>IFERROR(__xludf.DUMMYFUNCTION("""COMPUTED_VALUE"""),31.0)</f>
        <v>31</v>
      </c>
      <c r="H169" s="1">
        <f>IFERROR(__xludf.DUMMYFUNCTION("""COMPUTED_VALUE"""),31.0)</f>
        <v>31</v>
      </c>
      <c r="I169" s="1">
        <f>IFERROR(__xludf.DUMMYFUNCTION("""COMPUTED_VALUE"""),86.0)</f>
        <v>86</v>
      </c>
      <c r="J169" s="1">
        <f>IFERROR(__xludf.DUMMYFUNCTION("""COMPUTED_VALUE"""),86.0)</f>
        <v>86</v>
      </c>
      <c r="K169" s="1">
        <f>IFERROR(__xludf.DUMMYFUNCTION("""COMPUTED_VALUE"""),97.0)</f>
        <v>97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 t="str">
        <f>IFERROR(__xludf.DUMMYFUNCTION("""COMPUTED_VALUE"""),"A")</f>
        <v>A</v>
      </c>
      <c r="E170" s="1" t="str">
        <f>IFERROR(__xludf.DUMMYFUNCTION("""COMPUTED_VALUE"""),"Female")</f>
        <v>Female</v>
      </c>
      <c r="F170" s="1">
        <f>IFERROR(__xludf.DUMMYFUNCTION("""COMPUTED_VALUE"""),51.0)</f>
        <v>51</v>
      </c>
      <c r="G170" s="1">
        <f>IFERROR(__xludf.DUMMYFUNCTION("""COMPUTED_VALUE"""),59.0)</f>
        <v>59</v>
      </c>
      <c r="H170" s="1">
        <f>IFERROR(__xludf.DUMMYFUNCTION("""COMPUTED_VALUE"""),83.0)</f>
        <v>83</v>
      </c>
      <c r="I170" s="1">
        <f>IFERROR(__xludf.DUMMYFUNCTION("""COMPUTED_VALUE"""),38.0)</f>
        <v>38</v>
      </c>
      <c r="J170" s="1">
        <f>IFERROR(__xludf.DUMMYFUNCTION("""COMPUTED_VALUE"""),24.0)</f>
        <v>24</v>
      </c>
      <c r="K170" s="1">
        <f>IFERROR(__xludf.DUMMYFUNCTION("""COMPUTED_VALUE"""),22.0)</f>
        <v>22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 t="str">
        <f>IFERROR(__xludf.DUMMYFUNCTION("""COMPUTED_VALUE"""),"C")</f>
        <v>C</v>
      </c>
      <c r="E171" s="1" t="str">
        <f>IFERROR(__xludf.DUMMYFUNCTION("""COMPUTED_VALUE"""),"Female")</f>
        <v>Female</v>
      </c>
      <c r="F171" s="1">
        <f>IFERROR(__xludf.DUMMYFUNCTION("""COMPUTED_VALUE"""),75.0)</f>
        <v>75</v>
      </c>
      <c r="G171" s="1">
        <f>IFERROR(__xludf.DUMMYFUNCTION("""COMPUTED_VALUE"""),61.0)</f>
        <v>61</v>
      </c>
      <c r="H171" s="1">
        <f>IFERROR(__xludf.DUMMYFUNCTION("""COMPUTED_VALUE"""),96.0)</f>
        <v>96</v>
      </c>
      <c r="I171" s="1">
        <f>IFERROR(__xludf.DUMMYFUNCTION("""COMPUTED_VALUE"""),31.0)</f>
        <v>31</v>
      </c>
      <c r="J171" s="1">
        <f>IFERROR(__xludf.DUMMYFUNCTION("""COMPUTED_VALUE"""),24.0)</f>
        <v>24</v>
      </c>
      <c r="K171" s="1">
        <f>IFERROR(__xludf.DUMMYFUNCTION("""COMPUTED_VALUE"""),84.0)</f>
        <v>84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 t="str">
        <f>IFERROR(__xludf.DUMMYFUNCTION("""COMPUTED_VALUE"""),"D")</f>
        <v>D</v>
      </c>
      <c r="E172" s="1" t="str">
        <f>IFERROR(__xludf.DUMMYFUNCTION("""COMPUTED_VALUE"""),"Male")</f>
        <v>Male</v>
      </c>
      <c r="F172" s="1">
        <f>IFERROR(__xludf.DUMMYFUNCTION("""COMPUTED_VALUE"""),31.0)</f>
        <v>31</v>
      </c>
      <c r="G172" s="1">
        <f>IFERROR(__xludf.DUMMYFUNCTION("""COMPUTED_VALUE"""),64.0)</f>
        <v>64</v>
      </c>
      <c r="H172" s="1">
        <f>IFERROR(__xludf.DUMMYFUNCTION("""COMPUTED_VALUE"""),64.0)</f>
        <v>64</v>
      </c>
      <c r="I172" s="1">
        <f>IFERROR(__xludf.DUMMYFUNCTION("""COMPUTED_VALUE"""),60.0)</f>
        <v>60</v>
      </c>
      <c r="J172" s="1">
        <f>IFERROR(__xludf.DUMMYFUNCTION("""COMPUTED_VALUE"""),35.0)</f>
        <v>35</v>
      </c>
      <c r="K172" s="1">
        <f>IFERROR(__xludf.DUMMYFUNCTION("""COMPUTED_VALUE"""),83.0)</f>
        <v>83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 t="str">
        <f>IFERROR(__xludf.DUMMYFUNCTION("""COMPUTED_VALUE"""),"D")</f>
        <v>D</v>
      </c>
      <c r="E173" s="1" t="str">
        <f>IFERROR(__xludf.DUMMYFUNCTION("""COMPUTED_VALUE"""),"Female")</f>
        <v>Female</v>
      </c>
      <c r="F173" s="1">
        <f>IFERROR(__xludf.DUMMYFUNCTION("""COMPUTED_VALUE"""),19.0)</f>
        <v>19</v>
      </c>
      <c r="G173" s="1">
        <f>IFERROR(__xludf.DUMMYFUNCTION("""COMPUTED_VALUE"""),59.0)</f>
        <v>59</v>
      </c>
      <c r="H173" s="1">
        <f>IFERROR(__xludf.DUMMYFUNCTION("""COMPUTED_VALUE"""),66.0)</f>
        <v>66</v>
      </c>
      <c r="I173" s="1">
        <f>IFERROR(__xludf.DUMMYFUNCTION("""COMPUTED_VALUE"""),70.0)</f>
        <v>70</v>
      </c>
      <c r="J173" s="1">
        <f>IFERROR(__xludf.DUMMYFUNCTION("""COMPUTED_VALUE"""),48.0)</f>
        <v>48</v>
      </c>
      <c r="K173" s="1">
        <f>IFERROR(__xludf.DUMMYFUNCTION("""COMPUTED_VALUE"""),26.0)</f>
        <v>26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 t="str">
        <f>IFERROR(__xludf.DUMMYFUNCTION("""COMPUTED_VALUE"""),"B")</f>
        <v>B</v>
      </c>
      <c r="E174" s="1" t="str">
        <f>IFERROR(__xludf.DUMMYFUNCTION("""COMPUTED_VALUE"""),"Male")</f>
        <v>Male</v>
      </c>
      <c r="F174" s="1">
        <f>IFERROR(__xludf.DUMMYFUNCTION("""COMPUTED_VALUE"""),10.0)</f>
        <v>10</v>
      </c>
      <c r="G174" s="1">
        <f>IFERROR(__xludf.DUMMYFUNCTION("""COMPUTED_VALUE"""),71.0)</f>
        <v>71</v>
      </c>
      <c r="H174" s="1">
        <f>IFERROR(__xludf.DUMMYFUNCTION("""COMPUTED_VALUE"""),87.0)</f>
        <v>87</v>
      </c>
      <c r="I174" s="1">
        <f>IFERROR(__xludf.DUMMYFUNCTION("""COMPUTED_VALUE"""),69.0)</f>
        <v>69</v>
      </c>
      <c r="J174" s="1">
        <f>IFERROR(__xludf.DUMMYFUNCTION("""COMPUTED_VALUE"""),74.0)</f>
        <v>74</v>
      </c>
      <c r="K174" s="1">
        <f>IFERROR(__xludf.DUMMYFUNCTION("""COMPUTED_VALUE"""),26.0)</f>
        <v>26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 t="str">
        <f>IFERROR(__xludf.DUMMYFUNCTION("""COMPUTED_VALUE"""),"D")</f>
        <v>D</v>
      </c>
      <c r="E175" s="1" t="str">
        <f>IFERROR(__xludf.DUMMYFUNCTION("""COMPUTED_VALUE"""),"Male")</f>
        <v>Male</v>
      </c>
      <c r="F175" s="1">
        <f>IFERROR(__xludf.DUMMYFUNCTION("""COMPUTED_VALUE"""),90.0)</f>
        <v>90</v>
      </c>
      <c r="G175" s="1">
        <f>IFERROR(__xludf.DUMMYFUNCTION("""COMPUTED_VALUE"""),71.0)</f>
        <v>71</v>
      </c>
      <c r="H175" s="1">
        <f>IFERROR(__xludf.DUMMYFUNCTION("""COMPUTED_VALUE"""),90.0)</f>
        <v>90</v>
      </c>
      <c r="I175" s="1">
        <f>IFERROR(__xludf.DUMMYFUNCTION("""COMPUTED_VALUE"""),30.0)</f>
        <v>30</v>
      </c>
      <c r="J175" s="1">
        <f>IFERROR(__xludf.DUMMYFUNCTION("""COMPUTED_VALUE"""),70.0)</f>
        <v>70</v>
      </c>
      <c r="K175" s="1">
        <f>IFERROR(__xludf.DUMMYFUNCTION("""COMPUTED_VALUE"""),88.0)</f>
        <v>88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 t="str">
        <f>IFERROR(__xludf.DUMMYFUNCTION("""COMPUTED_VALUE"""),"A")</f>
        <v>A</v>
      </c>
      <c r="E176" s="1" t="str">
        <f>IFERROR(__xludf.DUMMYFUNCTION("""COMPUTED_VALUE"""),"Male")</f>
        <v>Male</v>
      </c>
      <c r="F176" s="1">
        <f>IFERROR(__xludf.DUMMYFUNCTION("""COMPUTED_VALUE"""),26.0)</f>
        <v>26</v>
      </c>
      <c r="G176" s="1">
        <f>IFERROR(__xludf.DUMMYFUNCTION("""COMPUTED_VALUE"""),23.0)</f>
        <v>23</v>
      </c>
      <c r="H176" s="1">
        <f>IFERROR(__xludf.DUMMYFUNCTION("""COMPUTED_VALUE"""),33.0)</f>
        <v>33</v>
      </c>
      <c r="I176" s="1">
        <f>IFERROR(__xludf.DUMMYFUNCTION("""COMPUTED_VALUE"""),23.0)</f>
        <v>23</v>
      </c>
      <c r="J176" s="1">
        <f>IFERROR(__xludf.DUMMYFUNCTION("""COMPUTED_VALUE"""),65.0)</f>
        <v>65</v>
      </c>
      <c r="K176" s="1">
        <f>IFERROR(__xludf.DUMMYFUNCTION("""COMPUTED_VALUE"""),79.0)</f>
        <v>79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 t="str">
        <f>IFERROR(__xludf.DUMMYFUNCTION("""COMPUTED_VALUE"""),"C")</f>
        <v>C</v>
      </c>
      <c r="E177" s="1" t="str">
        <f>IFERROR(__xludf.DUMMYFUNCTION("""COMPUTED_VALUE"""),"Male")</f>
        <v>Male</v>
      </c>
      <c r="F177" s="1">
        <f>IFERROR(__xludf.DUMMYFUNCTION("""COMPUTED_VALUE"""),20.0)</f>
        <v>20</v>
      </c>
      <c r="G177" s="1">
        <f>IFERROR(__xludf.DUMMYFUNCTION("""COMPUTED_VALUE"""),22.0)</f>
        <v>22</v>
      </c>
      <c r="H177" s="1">
        <f>IFERROR(__xludf.DUMMYFUNCTION("""COMPUTED_VALUE"""),76.0)</f>
        <v>76</v>
      </c>
      <c r="I177" s="1">
        <f>IFERROR(__xludf.DUMMYFUNCTION("""COMPUTED_VALUE"""),92.0)</f>
        <v>92</v>
      </c>
      <c r="J177" s="1">
        <f>IFERROR(__xludf.DUMMYFUNCTION("""COMPUTED_VALUE"""),92.0)</f>
        <v>92</v>
      </c>
      <c r="K177" s="1">
        <f>IFERROR(__xludf.DUMMYFUNCTION("""COMPUTED_VALUE"""),41.0)</f>
        <v>41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 t="str">
        <f>IFERROR(__xludf.DUMMYFUNCTION("""COMPUTED_VALUE"""),"A")</f>
        <v>A</v>
      </c>
      <c r="E178" s="1" t="str">
        <f>IFERROR(__xludf.DUMMYFUNCTION("""COMPUTED_VALUE"""),"Male")</f>
        <v>Male</v>
      </c>
      <c r="F178" s="1">
        <f>IFERROR(__xludf.DUMMYFUNCTION("""COMPUTED_VALUE"""),14.0)</f>
        <v>14</v>
      </c>
      <c r="G178" s="1">
        <f>IFERROR(__xludf.DUMMYFUNCTION("""COMPUTED_VALUE"""),60.0)</f>
        <v>60</v>
      </c>
      <c r="H178" s="1">
        <f>IFERROR(__xludf.DUMMYFUNCTION("""COMPUTED_VALUE"""),50.0)</f>
        <v>50</v>
      </c>
      <c r="I178" s="1">
        <f>IFERROR(__xludf.DUMMYFUNCTION("""COMPUTED_VALUE"""),78.0)</f>
        <v>78</v>
      </c>
      <c r="J178" s="1">
        <f>IFERROR(__xludf.DUMMYFUNCTION("""COMPUTED_VALUE"""),37.0)</f>
        <v>37</v>
      </c>
      <c r="K178" s="1">
        <f>IFERROR(__xludf.DUMMYFUNCTION("""COMPUTED_VALUE"""),56.0)</f>
        <v>56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 t="str">
        <f>IFERROR(__xludf.DUMMYFUNCTION("""COMPUTED_VALUE"""),"B")</f>
        <v>B</v>
      </c>
      <c r="E179" s="1" t="str">
        <f>IFERROR(__xludf.DUMMYFUNCTION("""COMPUTED_VALUE"""),"Female")</f>
        <v>Female</v>
      </c>
      <c r="F179" s="1">
        <f>IFERROR(__xludf.DUMMYFUNCTION("""COMPUTED_VALUE"""),71.0)</f>
        <v>71</v>
      </c>
      <c r="G179" s="1">
        <f>IFERROR(__xludf.DUMMYFUNCTION("""COMPUTED_VALUE"""),49.0)</f>
        <v>49</v>
      </c>
      <c r="H179" s="1">
        <f>IFERROR(__xludf.DUMMYFUNCTION("""COMPUTED_VALUE"""),76.0)</f>
        <v>76</v>
      </c>
      <c r="I179" s="1">
        <f>IFERROR(__xludf.DUMMYFUNCTION("""COMPUTED_VALUE"""),61.0)</f>
        <v>61</v>
      </c>
      <c r="J179" s="1">
        <f>IFERROR(__xludf.DUMMYFUNCTION("""COMPUTED_VALUE"""),94.0)</f>
        <v>94</v>
      </c>
      <c r="K179" s="1">
        <f>IFERROR(__xludf.DUMMYFUNCTION("""COMPUTED_VALUE"""),27.0)</f>
        <v>27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 t="str">
        <f>IFERROR(__xludf.DUMMYFUNCTION("""COMPUTED_VALUE"""),"D")</f>
        <v>D</v>
      </c>
      <c r="E180" s="1" t="str">
        <f>IFERROR(__xludf.DUMMYFUNCTION("""COMPUTED_VALUE"""),"Male")</f>
        <v>Male</v>
      </c>
      <c r="F180" s="1">
        <f>IFERROR(__xludf.DUMMYFUNCTION("""COMPUTED_VALUE"""),89.0)</f>
        <v>89</v>
      </c>
      <c r="G180" s="1">
        <f>IFERROR(__xludf.DUMMYFUNCTION("""COMPUTED_VALUE"""),43.0)</f>
        <v>43</v>
      </c>
      <c r="H180" s="1">
        <f>IFERROR(__xludf.DUMMYFUNCTION("""COMPUTED_VALUE"""),85.0)</f>
        <v>85</v>
      </c>
      <c r="I180" s="1">
        <f>IFERROR(__xludf.DUMMYFUNCTION("""COMPUTED_VALUE"""),91.0)</f>
        <v>91</v>
      </c>
      <c r="J180" s="1">
        <f>IFERROR(__xludf.DUMMYFUNCTION("""COMPUTED_VALUE"""),92.0)</f>
        <v>92</v>
      </c>
      <c r="K180" s="1">
        <f>IFERROR(__xludf.DUMMYFUNCTION("""COMPUTED_VALUE"""),62.0)</f>
        <v>62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 t="str">
        <f>IFERROR(__xludf.DUMMYFUNCTION("""COMPUTED_VALUE"""),"A")</f>
        <v>A</v>
      </c>
      <c r="E181" s="1" t="str">
        <f>IFERROR(__xludf.DUMMYFUNCTION("""COMPUTED_VALUE"""),"Male")</f>
        <v>Male</v>
      </c>
      <c r="F181" s="1">
        <f>IFERROR(__xludf.DUMMYFUNCTION("""COMPUTED_VALUE"""),10.0)</f>
        <v>10</v>
      </c>
      <c r="G181" s="1">
        <f>IFERROR(__xludf.DUMMYFUNCTION("""COMPUTED_VALUE"""),52.0)</f>
        <v>52</v>
      </c>
      <c r="H181" s="1">
        <f>IFERROR(__xludf.DUMMYFUNCTION("""COMPUTED_VALUE"""),94.0)</f>
        <v>94</v>
      </c>
      <c r="I181" s="1">
        <f>IFERROR(__xludf.DUMMYFUNCTION("""COMPUTED_VALUE"""),62.0)</f>
        <v>62</v>
      </c>
      <c r="J181" s="1">
        <f>IFERROR(__xludf.DUMMYFUNCTION("""COMPUTED_VALUE"""),74.0)</f>
        <v>74</v>
      </c>
      <c r="K181" s="1">
        <f>IFERROR(__xludf.DUMMYFUNCTION("""COMPUTED_VALUE"""),42.0)</f>
        <v>42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 t="str">
        <f>IFERROR(__xludf.DUMMYFUNCTION("""COMPUTED_VALUE"""),"C")</f>
        <v>C</v>
      </c>
      <c r="E182" s="1" t="str">
        <f>IFERROR(__xludf.DUMMYFUNCTION("""COMPUTED_VALUE"""),"Male")</f>
        <v>Male</v>
      </c>
      <c r="F182" s="1">
        <f>IFERROR(__xludf.DUMMYFUNCTION("""COMPUTED_VALUE"""),38.0)</f>
        <v>38</v>
      </c>
      <c r="G182" s="1">
        <f>IFERROR(__xludf.DUMMYFUNCTION("""COMPUTED_VALUE"""),97.0)</f>
        <v>97</v>
      </c>
      <c r="H182" s="1">
        <f>IFERROR(__xludf.DUMMYFUNCTION("""COMPUTED_VALUE"""),87.0)</f>
        <v>87</v>
      </c>
      <c r="I182" s="1">
        <f>IFERROR(__xludf.DUMMYFUNCTION("""COMPUTED_VALUE"""),20.0)</f>
        <v>20</v>
      </c>
      <c r="J182" s="1">
        <f>IFERROR(__xludf.DUMMYFUNCTION("""COMPUTED_VALUE"""),41.0)</f>
        <v>41</v>
      </c>
      <c r="K182" s="1">
        <f>IFERROR(__xludf.DUMMYFUNCTION("""COMPUTED_VALUE"""),73.0)</f>
        <v>73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 t="str">
        <f>IFERROR(__xludf.DUMMYFUNCTION("""COMPUTED_VALUE"""),"D")</f>
        <v>D</v>
      </c>
      <c r="E183" s="1" t="str">
        <f>IFERROR(__xludf.DUMMYFUNCTION("""COMPUTED_VALUE"""),"Male")</f>
        <v>Male</v>
      </c>
      <c r="F183" s="1">
        <f>IFERROR(__xludf.DUMMYFUNCTION("""COMPUTED_VALUE"""),21.0)</f>
        <v>21</v>
      </c>
      <c r="G183" s="1">
        <f>IFERROR(__xludf.DUMMYFUNCTION("""COMPUTED_VALUE"""),91.0)</f>
        <v>91</v>
      </c>
      <c r="H183" s="1">
        <f>IFERROR(__xludf.DUMMYFUNCTION("""COMPUTED_VALUE"""),66.0)</f>
        <v>66</v>
      </c>
      <c r="I183" s="1">
        <f>IFERROR(__xludf.DUMMYFUNCTION("""COMPUTED_VALUE"""),56.0)</f>
        <v>56</v>
      </c>
      <c r="J183" s="1">
        <f>IFERROR(__xludf.DUMMYFUNCTION("""COMPUTED_VALUE"""),87.0)</f>
        <v>87</v>
      </c>
      <c r="K183" s="1">
        <f>IFERROR(__xludf.DUMMYFUNCTION("""COMPUTED_VALUE"""),39.0)</f>
        <v>39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 t="str">
        <f>IFERROR(__xludf.DUMMYFUNCTION("""COMPUTED_VALUE"""),"C")</f>
        <v>C</v>
      </c>
      <c r="E184" s="1" t="str">
        <f>IFERROR(__xludf.DUMMYFUNCTION("""COMPUTED_VALUE"""),"Male")</f>
        <v>Male</v>
      </c>
      <c r="F184" s="1">
        <f>IFERROR(__xludf.DUMMYFUNCTION("""COMPUTED_VALUE"""),18.0)</f>
        <v>18</v>
      </c>
      <c r="G184" s="1">
        <f>IFERROR(__xludf.DUMMYFUNCTION("""COMPUTED_VALUE"""),53.0)</f>
        <v>53</v>
      </c>
      <c r="H184" s="1">
        <f>IFERROR(__xludf.DUMMYFUNCTION("""COMPUTED_VALUE"""),49.0)</f>
        <v>49</v>
      </c>
      <c r="I184" s="1">
        <f>IFERROR(__xludf.DUMMYFUNCTION("""COMPUTED_VALUE"""),46.0)</f>
        <v>46</v>
      </c>
      <c r="J184" s="1">
        <f>IFERROR(__xludf.DUMMYFUNCTION("""COMPUTED_VALUE"""),60.0)</f>
        <v>60</v>
      </c>
      <c r="K184" s="1">
        <f>IFERROR(__xludf.DUMMYFUNCTION("""COMPUTED_VALUE"""),63.0)</f>
        <v>63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 t="str">
        <f>IFERROR(__xludf.DUMMYFUNCTION("""COMPUTED_VALUE"""),"C")</f>
        <v>C</v>
      </c>
      <c r="E185" s="1" t="str">
        <f>IFERROR(__xludf.DUMMYFUNCTION("""COMPUTED_VALUE"""),"Male")</f>
        <v>Male</v>
      </c>
      <c r="F185" s="1">
        <f>IFERROR(__xludf.DUMMYFUNCTION("""COMPUTED_VALUE"""),24.0)</f>
        <v>24</v>
      </c>
      <c r="G185" s="1">
        <f>IFERROR(__xludf.DUMMYFUNCTION("""COMPUTED_VALUE"""),81.0)</f>
        <v>81</v>
      </c>
      <c r="H185" s="1">
        <f>IFERROR(__xludf.DUMMYFUNCTION("""COMPUTED_VALUE"""),72.0)</f>
        <v>72</v>
      </c>
      <c r="I185" s="1">
        <f>IFERROR(__xludf.DUMMYFUNCTION("""COMPUTED_VALUE"""),47.0)</f>
        <v>47</v>
      </c>
      <c r="J185" s="1">
        <f>IFERROR(__xludf.DUMMYFUNCTION("""COMPUTED_VALUE"""),73.0)</f>
        <v>73</v>
      </c>
      <c r="K185" s="1">
        <f>IFERROR(__xludf.DUMMYFUNCTION("""COMPUTED_VALUE"""),31.0)</f>
        <v>31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 t="str">
        <f>IFERROR(__xludf.DUMMYFUNCTION("""COMPUTED_VALUE"""),"C")</f>
        <v>C</v>
      </c>
      <c r="E186" s="1" t="str">
        <f>IFERROR(__xludf.DUMMYFUNCTION("""COMPUTED_VALUE"""),"Female")</f>
        <v>Female</v>
      </c>
      <c r="F186" s="1">
        <f>IFERROR(__xludf.DUMMYFUNCTION("""COMPUTED_VALUE"""),32.0)</f>
        <v>32</v>
      </c>
      <c r="G186" s="1">
        <f>IFERROR(__xludf.DUMMYFUNCTION("""COMPUTED_VALUE"""),73.0)</f>
        <v>73</v>
      </c>
      <c r="H186" s="1">
        <f>IFERROR(__xludf.DUMMYFUNCTION("""COMPUTED_VALUE"""),32.0)</f>
        <v>32</v>
      </c>
      <c r="I186" s="1">
        <f>IFERROR(__xludf.DUMMYFUNCTION("""COMPUTED_VALUE"""),21.0)</f>
        <v>21</v>
      </c>
      <c r="J186" s="1">
        <f>IFERROR(__xludf.DUMMYFUNCTION("""COMPUTED_VALUE"""),77.0)</f>
        <v>77</v>
      </c>
      <c r="K186" s="1">
        <f>IFERROR(__xludf.DUMMYFUNCTION("""COMPUTED_VALUE"""),62.0)</f>
        <v>62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 t="str">
        <f>IFERROR(__xludf.DUMMYFUNCTION("""COMPUTED_VALUE"""),"A")</f>
        <v>A</v>
      </c>
      <c r="E187" s="1" t="str">
        <f>IFERROR(__xludf.DUMMYFUNCTION("""COMPUTED_VALUE"""),"Female")</f>
        <v>Female</v>
      </c>
      <c r="F187" s="1">
        <f>IFERROR(__xludf.DUMMYFUNCTION("""COMPUTED_VALUE"""),63.0)</f>
        <v>63</v>
      </c>
      <c r="G187" s="1">
        <f>IFERROR(__xludf.DUMMYFUNCTION("""COMPUTED_VALUE"""),24.0)</f>
        <v>24</v>
      </c>
      <c r="H187" s="1">
        <f>IFERROR(__xludf.DUMMYFUNCTION("""COMPUTED_VALUE"""),31.0)</f>
        <v>31</v>
      </c>
      <c r="I187" s="1">
        <f>IFERROR(__xludf.DUMMYFUNCTION("""COMPUTED_VALUE"""),22.0)</f>
        <v>22</v>
      </c>
      <c r="J187" s="1">
        <f>IFERROR(__xludf.DUMMYFUNCTION("""COMPUTED_VALUE"""),26.0)</f>
        <v>26</v>
      </c>
      <c r="K187" s="1">
        <f>IFERROR(__xludf.DUMMYFUNCTION("""COMPUTED_VALUE"""),25.0)</f>
        <v>25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 t="str">
        <f>IFERROR(__xludf.DUMMYFUNCTION("""COMPUTED_VALUE"""),"A")</f>
        <v>A</v>
      </c>
      <c r="E188" s="1" t="str">
        <f>IFERROR(__xludf.DUMMYFUNCTION("""COMPUTED_VALUE"""),"Male")</f>
        <v>Male</v>
      </c>
      <c r="F188" s="1">
        <f>IFERROR(__xludf.DUMMYFUNCTION("""COMPUTED_VALUE"""),81.0)</f>
        <v>81</v>
      </c>
      <c r="G188" s="1">
        <f>IFERROR(__xludf.DUMMYFUNCTION("""COMPUTED_VALUE"""),64.0)</f>
        <v>64</v>
      </c>
      <c r="H188" s="1">
        <f>IFERROR(__xludf.DUMMYFUNCTION("""COMPUTED_VALUE"""),94.0)</f>
        <v>94</v>
      </c>
      <c r="I188" s="1">
        <f>IFERROR(__xludf.DUMMYFUNCTION("""COMPUTED_VALUE"""),96.0)</f>
        <v>96</v>
      </c>
      <c r="J188" s="1">
        <f>IFERROR(__xludf.DUMMYFUNCTION("""COMPUTED_VALUE"""),62.0)</f>
        <v>62</v>
      </c>
      <c r="K188" s="1">
        <f>IFERROR(__xludf.DUMMYFUNCTION("""COMPUTED_VALUE"""),60.0)</f>
        <v>60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 t="str">
        <f>IFERROR(__xludf.DUMMYFUNCTION("""COMPUTED_VALUE"""),"B")</f>
        <v>B</v>
      </c>
      <c r="E189" s="1" t="str">
        <f>IFERROR(__xludf.DUMMYFUNCTION("""COMPUTED_VALUE"""),"Male")</f>
        <v>Male</v>
      </c>
      <c r="F189" s="1">
        <f>IFERROR(__xludf.DUMMYFUNCTION("""COMPUTED_VALUE"""),89.0)</f>
        <v>89</v>
      </c>
      <c r="G189" s="1">
        <f>IFERROR(__xludf.DUMMYFUNCTION("""COMPUTED_VALUE"""),93.0)</f>
        <v>93</v>
      </c>
      <c r="H189" s="1">
        <f>IFERROR(__xludf.DUMMYFUNCTION("""COMPUTED_VALUE"""),40.0)</f>
        <v>40</v>
      </c>
      <c r="I189" s="1">
        <f>IFERROR(__xludf.DUMMYFUNCTION("""COMPUTED_VALUE"""),22.0)</f>
        <v>22</v>
      </c>
      <c r="J189" s="1">
        <f>IFERROR(__xludf.DUMMYFUNCTION("""COMPUTED_VALUE"""),34.0)</f>
        <v>34</v>
      </c>
      <c r="K189" s="1">
        <f>IFERROR(__xludf.DUMMYFUNCTION("""COMPUTED_VALUE"""),61.0)</f>
        <v>61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 t="str">
        <f>IFERROR(__xludf.DUMMYFUNCTION("""COMPUTED_VALUE"""),"D")</f>
        <v>D</v>
      </c>
      <c r="E190" s="1" t="str">
        <f>IFERROR(__xludf.DUMMYFUNCTION("""COMPUTED_VALUE"""),"Female")</f>
        <v>Female</v>
      </c>
      <c r="F190" s="1">
        <f>IFERROR(__xludf.DUMMYFUNCTION("""COMPUTED_VALUE"""),19.0)</f>
        <v>19</v>
      </c>
      <c r="G190" s="1">
        <f>IFERROR(__xludf.DUMMYFUNCTION("""COMPUTED_VALUE"""),48.0)</f>
        <v>48</v>
      </c>
      <c r="H190" s="1">
        <f>IFERROR(__xludf.DUMMYFUNCTION("""COMPUTED_VALUE"""),20.0)</f>
        <v>20</v>
      </c>
      <c r="I190" s="1">
        <f>IFERROR(__xludf.DUMMYFUNCTION("""COMPUTED_VALUE"""),77.0)</f>
        <v>77</v>
      </c>
      <c r="J190" s="1">
        <f>IFERROR(__xludf.DUMMYFUNCTION("""COMPUTED_VALUE"""),24.0)</f>
        <v>24</v>
      </c>
      <c r="K190" s="1">
        <f>IFERROR(__xludf.DUMMYFUNCTION("""COMPUTED_VALUE"""),72.0)</f>
        <v>72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 t="str">
        <f>IFERROR(__xludf.DUMMYFUNCTION("""COMPUTED_VALUE"""),"A")</f>
        <v>A</v>
      </c>
      <c r="E191" s="1" t="str">
        <f>IFERROR(__xludf.DUMMYFUNCTION("""COMPUTED_VALUE"""),"Female")</f>
        <v>Female</v>
      </c>
      <c r="F191" s="1">
        <f>IFERROR(__xludf.DUMMYFUNCTION("""COMPUTED_VALUE"""),11.0)</f>
        <v>11</v>
      </c>
      <c r="G191" s="1">
        <f>IFERROR(__xludf.DUMMYFUNCTION("""COMPUTED_VALUE"""),59.0)</f>
        <v>59</v>
      </c>
      <c r="H191" s="1">
        <f>IFERROR(__xludf.DUMMYFUNCTION("""COMPUTED_VALUE"""),43.0)</f>
        <v>43</v>
      </c>
      <c r="I191" s="1">
        <f>IFERROR(__xludf.DUMMYFUNCTION("""COMPUTED_VALUE"""),67.0)</f>
        <v>67</v>
      </c>
      <c r="J191" s="1">
        <f>IFERROR(__xludf.DUMMYFUNCTION("""COMPUTED_VALUE"""),35.0)</f>
        <v>35</v>
      </c>
      <c r="K191" s="1">
        <f>IFERROR(__xludf.DUMMYFUNCTION("""COMPUTED_VALUE"""),64.0)</f>
        <v>64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 t="str">
        <f>IFERROR(__xludf.DUMMYFUNCTION("""COMPUTED_VALUE"""),"C")</f>
        <v>C</v>
      </c>
      <c r="E192" s="1" t="str">
        <f>IFERROR(__xludf.DUMMYFUNCTION("""COMPUTED_VALUE"""),"Female")</f>
        <v>Female</v>
      </c>
      <c r="F192" s="1">
        <f>IFERROR(__xludf.DUMMYFUNCTION("""COMPUTED_VALUE"""),84.0)</f>
        <v>84</v>
      </c>
      <c r="G192" s="1">
        <f>IFERROR(__xludf.DUMMYFUNCTION("""COMPUTED_VALUE"""),97.0)</f>
        <v>97</v>
      </c>
      <c r="H192" s="1">
        <f>IFERROR(__xludf.DUMMYFUNCTION("""COMPUTED_VALUE"""),72.0)</f>
        <v>72</v>
      </c>
      <c r="I192" s="1">
        <f>IFERROR(__xludf.DUMMYFUNCTION("""COMPUTED_VALUE"""),67.0)</f>
        <v>67</v>
      </c>
      <c r="J192" s="1">
        <f>IFERROR(__xludf.DUMMYFUNCTION("""COMPUTED_VALUE"""),89.0)</f>
        <v>89</v>
      </c>
      <c r="K192" s="1">
        <f>IFERROR(__xludf.DUMMYFUNCTION("""COMPUTED_VALUE"""),58.0)</f>
        <v>58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 t="str">
        <f>IFERROR(__xludf.DUMMYFUNCTION("""COMPUTED_VALUE"""),"D")</f>
        <v>D</v>
      </c>
      <c r="E193" s="1" t="str">
        <f>IFERROR(__xludf.DUMMYFUNCTION("""COMPUTED_VALUE"""),"Female")</f>
        <v>Female</v>
      </c>
      <c r="F193" s="1">
        <f>IFERROR(__xludf.DUMMYFUNCTION("""COMPUTED_VALUE"""),21.0)</f>
        <v>21</v>
      </c>
      <c r="G193" s="1">
        <f>IFERROR(__xludf.DUMMYFUNCTION("""COMPUTED_VALUE"""),48.0)</f>
        <v>48</v>
      </c>
      <c r="H193" s="1">
        <f>IFERROR(__xludf.DUMMYFUNCTION("""COMPUTED_VALUE"""),80.0)</f>
        <v>80</v>
      </c>
      <c r="I193" s="1">
        <f>IFERROR(__xludf.DUMMYFUNCTION("""COMPUTED_VALUE"""),70.0)</f>
        <v>70</v>
      </c>
      <c r="J193" s="1">
        <f>IFERROR(__xludf.DUMMYFUNCTION("""COMPUTED_VALUE"""),37.0)</f>
        <v>37</v>
      </c>
      <c r="K193" s="1">
        <f>IFERROR(__xludf.DUMMYFUNCTION("""COMPUTED_VALUE"""),94.0)</f>
        <v>94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 t="str">
        <f>IFERROR(__xludf.DUMMYFUNCTION("""COMPUTED_VALUE"""),"A")</f>
        <v>A</v>
      </c>
      <c r="E194" s="1" t="str">
        <f>IFERROR(__xludf.DUMMYFUNCTION("""COMPUTED_VALUE"""),"Male")</f>
        <v>Male</v>
      </c>
      <c r="F194" s="1">
        <f>IFERROR(__xludf.DUMMYFUNCTION("""COMPUTED_VALUE"""),86.0)</f>
        <v>86</v>
      </c>
      <c r="G194" s="1">
        <f>IFERROR(__xludf.DUMMYFUNCTION("""COMPUTED_VALUE"""),58.0)</f>
        <v>58</v>
      </c>
      <c r="H194" s="1">
        <f>IFERROR(__xludf.DUMMYFUNCTION("""COMPUTED_VALUE"""),61.0)</f>
        <v>61</v>
      </c>
      <c r="I194" s="1">
        <f>IFERROR(__xludf.DUMMYFUNCTION("""COMPUTED_VALUE"""),27.0)</f>
        <v>27</v>
      </c>
      <c r="J194" s="1">
        <f>IFERROR(__xludf.DUMMYFUNCTION("""COMPUTED_VALUE"""),29.0)</f>
        <v>29</v>
      </c>
      <c r="K194" s="1">
        <f>IFERROR(__xludf.DUMMYFUNCTION("""COMPUTED_VALUE"""),84.0)</f>
        <v>84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 t="str">
        <f>IFERROR(__xludf.DUMMYFUNCTION("""COMPUTED_VALUE"""),"A")</f>
        <v>A</v>
      </c>
      <c r="E195" s="1" t="str">
        <f>IFERROR(__xludf.DUMMYFUNCTION("""COMPUTED_VALUE"""),"Female")</f>
        <v>Female</v>
      </c>
      <c r="F195" s="1">
        <f>IFERROR(__xludf.DUMMYFUNCTION("""COMPUTED_VALUE"""),18.0)</f>
        <v>18</v>
      </c>
      <c r="G195" s="1">
        <f>IFERROR(__xludf.DUMMYFUNCTION("""COMPUTED_VALUE"""),76.0)</f>
        <v>76</v>
      </c>
      <c r="H195" s="1">
        <f>IFERROR(__xludf.DUMMYFUNCTION("""COMPUTED_VALUE"""),79.0)</f>
        <v>79</v>
      </c>
      <c r="I195" s="1">
        <f>IFERROR(__xludf.DUMMYFUNCTION("""COMPUTED_VALUE"""),58.0)</f>
        <v>58</v>
      </c>
      <c r="J195" s="1">
        <f>IFERROR(__xludf.DUMMYFUNCTION("""COMPUTED_VALUE"""),23.0)</f>
        <v>23</v>
      </c>
      <c r="K195" s="1">
        <f>IFERROR(__xludf.DUMMYFUNCTION("""COMPUTED_VALUE"""),41.0)</f>
        <v>41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 t="str">
        <f>IFERROR(__xludf.DUMMYFUNCTION("""COMPUTED_VALUE"""),"D")</f>
        <v>D</v>
      </c>
      <c r="E196" s="1" t="str">
        <f>IFERROR(__xludf.DUMMYFUNCTION("""COMPUTED_VALUE"""),"Female")</f>
        <v>Female</v>
      </c>
      <c r="F196" s="1">
        <f>IFERROR(__xludf.DUMMYFUNCTION("""COMPUTED_VALUE"""),72.0)</f>
        <v>72</v>
      </c>
      <c r="G196" s="1">
        <f>IFERROR(__xludf.DUMMYFUNCTION("""COMPUTED_VALUE"""),54.0)</f>
        <v>54</v>
      </c>
      <c r="H196" s="1">
        <f>IFERROR(__xludf.DUMMYFUNCTION("""COMPUTED_VALUE"""),45.0)</f>
        <v>45</v>
      </c>
      <c r="I196" s="1">
        <f>IFERROR(__xludf.DUMMYFUNCTION("""COMPUTED_VALUE"""),60.0)</f>
        <v>60</v>
      </c>
      <c r="J196" s="1">
        <f>IFERROR(__xludf.DUMMYFUNCTION("""COMPUTED_VALUE"""),61.0)</f>
        <v>61</v>
      </c>
      <c r="K196" s="1">
        <f>IFERROR(__xludf.DUMMYFUNCTION("""COMPUTED_VALUE"""),98.0)</f>
        <v>98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 t="str">
        <f>IFERROR(__xludf.DUMMYFUNCTION("""COMPUTED_VALUE"""),"A")</f>
        <v>A</v>
      </c>
      <c r="E197" s="1" t="str">
        <f>IFERROR(__xludf.DUMMYFUNCTION("""COMPUTED_VALUE"""),"Female")</f>
        <v>Female</v>
      </c>
      <c r="F197" s="1">
        <f>IFERROR(__xludf.DUMMYFUNCTION("""COMPUTED_VALUE"""),14.0)</f>
        <v>14</v>
      </c>
      <c r="G197" s="1">
        <f>IFERROR(__xludf.DUMMYFUNCTION("""COMPUTED_VALUE"""),55.0)</f>
        <v>55</v>
      </c>
      <c r="H197" s="1">
        <f>IFERROR(__xludf.DUMMYFUNCTION("""COMPUTED_VALUE"""),83.0)</f>
        <v>83</v>
      </c>
      <c r="I197" s="1">
        <f>IFERROR(__xludf.DUMMYFUNCTION("""COMPUTED_VALUE"""),61.0)</f>
        <v>61</v>
      </c>
      <c r="J197" s="1">
        <f>IFERROR(__xludf.DUMMYFUNCTION("""COMPUTED_VALUE"""),64.0)</f>
        <v>64</v>
      </c>
      <c r="K197" s="1">
        <f>IFERROR(__xludf.DUMMYFUNCTION("""COMPUTED_VALUE"""),82.0)</f>
        <v>82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 t="str">
        <f>IFERROR(__xludf.DUMMYFUNCTION("""COMPUTED_VALUE"""),"A")</f>
        <v>A</v>
      </c>
      <c r="E198" s="1" t="str">
        <f>IFERROR(__xludf.DUMMYFUNCTION("""COMPUTED_VALUE"""),"Male")</f>
        <v>Male</v>
      </c>
      <c r="F198" s="1">
        <f>IFERROR(__xludf.DUMMYFUNCTION("""COMPUTED_VALUE"""),13.0)</f>
        <v>13</v>
      </c>
      <c r="G198" s="1">
        <f>IFERROR(__xludf.DUMMYFUNCTION("""COMPUTED_VALUE"""),87.0)</f>
        <v>87</v>
      </c>
      <c r="H198" s="1">
        <f>IFERROR(__xludf.DUMMYFUNCTION("""COMPUTED_VALUE"""),83.0)</f>
        <v>83</v>
      </c>
      <c r="I198" s="1">
        <f>IFERROR(__xludf.DUMMYFUNCTION("""COMPUTED_VALUE"""),52.0)</f>
        <v>52</v>
      </c>
      <c r="J198" s="1">
        <f>IFERROR(__xludf.DUMMYFUNCTION("""COMPUTED_VALUE"""),70.0)</f>
        <v>70</v>
      </c>
      <c r="K198" s="1">
        <f>IFERROR(__xludf.DUMMYFUNCTION("""COMPUTED_VALUE"""),83.0)</f>
        <v>83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 t="str">
        <f>IFERROR(__xludf.DUMMYFUNCTION("""COMPUTED_VALUE"""),"A")</f>
        <v>A</v>
      </c>
      <c r="E199" s="1" t="str">
        <f>IFERROR(__xludf.DUMMYFUNCTION("""COMPUTED_VALUE"""),"Female")</f>
        <v>Female</v>
      </c>
      <c r="F199" s="1">
        <f>IFERROR(__xludf.DUMMYFUNCTION("""COMPUTED_VALUE"""),27.0)</f>
        <v>27</v>
      </c>
      <c r="G199" s="1">
        <f>IFERROR(__xludf.DUMMYFUNCTION("""COMPUTED_VALUE"""),27.0)</f>
        <v>27</v>
      </c>
      <c r="H199" s="1">
        <f>IFERROR(__xludf.DUMMYFUNCTION("""COMPUTED_VALUE"""),63.0)</f>
        <v>63</v>
      </c>
      <c r="I199" s="1">
        <f>IFERROR(__xludf.DUMMYFUNCTION("""COMPUTED_VALUE"""),60.0)</f>
        <v>60</v>
      </c>
      <c r="J199" s="1">
        <f>IFERROR(__xludf.DUMMYFUNCTION("""COMPUTED_VALUE"""),43.0)</f>
        <v>43</v>
      </c>
      <c r="K199" s="1">
        <f>IFERROR(__xludf.DUMMYFUNCTION("""COMPUTED_VALUE"""),88.0)</f>
        <v>88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 t="str">
        <f>IFERROR(__xludf.DUMMYFUNCTION("""COMPUTED_VALUE"""),"C")</f>
        <v>C</v>
      </c>
      <c r="E200" s="1" t="str">
        <f>IFERROR(__xludf.DUMMYFUNCTION("""COMPUTED_VALUE"""),"Male")</f>
        <v>Male</v>
      </c>
      <c r="F200" s="1">
        <f>IFERROR(__xludf.DUMMYFUNCTION("""COMPUTED_VALUE"""),99.0)</f>
        <v>99</v>
      </c>
      <c r="G200" s="1">
        <f>IFERROR(__xludf.DUMMYFUNCTION("""COMPUTED_VALUE"""),80.0)</f>
        <v>80</v>
      </c>
      <c r="H200" s="1">
        <f>IFERROR(__xludf.DUMMYFUNCTION("""COMPUTED_VALUE"""),49.0)</f>
        <v>49</v>
      </c>
      <c r="I200" s="1">
        <f>IFERROR(__xludf.DUMMYFUNCTION("""COMPUTED_VALUE"""),37.0)</f>
        <v>37</v>
      </c>
      <c r="J200" s="1">
        <f>IFERROR(__xludf.DUMMYFUNCTION("""COMPUTED_VALUE"""),57.0)</f>
        <v>57</v>
      </c>
      <c r="K200" s="1">
        <f>IFERROR(__xludf.DUMMYFUNCTION("""COMPUTED_VALUE"""),73.0)</f>
        <v>73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 t="str">
        <f>IFERROR(__xludf.DUMMYFUNCTION("""COMPUTED_VALUE"""),"B")</f>
        <v>B</v>
      </c>
      <c r="E201" s="1" t="str">
        <f>IFERROR(__xludf.DUMMYFUNCTION("""COMPUTED_VALUE"""),"Female")</f>
        <v>Female</v>
      </c>
      <c r="F201" s="1">
        <f>IFERROR(__xludf.DUMMYFUNCTION("""COMPUTED_VALUE"""),84.0)</f>
        <v>84</v>
      </c>
      <c r="G201" s="1">
        <f>IFERROR(__xludf.DUMMYFUNCTION("""COMPUTED_VALUE"""),93.0)</f>
        <v>93</v>
      </c>
      <c r="H201" s="1">
        <f>IFERROR(__xludf.DUMMYFUNCTION("""COMPUTED_VALUE"""),24.0)</f>
        <v>24</v>
      </c>
      <c r="I201" s="1">
        <f>IFERROR(__xludf.DUMMYFUNCTION("""COMPUTED_VALUE"""),24.0)</f>
        <v>24</v>
      </c>
      <c r="J201" s="1">
        <f>IFERROR(__xludf.DUMMYFUNCTION("""COMPUTED_VALUE"""),86.0)</f>
        <v>86</v>
      </c>
      <c r="K201" s="1">
        <f>IFERROR(__xludf.DUMMYFUNCTION("""COMPUTED_VALUE"""),30.0)</f>
        <v>30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 t="str">
        <f>IFERROR(__xludf.DUMMYFUNCTION("""COMPUTED_VALUE"""),"A")</f>
        <v>A</v>
      </c>
      <c r="E202" s="1" t="str">
        <f>IFERROR(__xludf.DUMMYFUNCTION("""COMPUTED_VALUE"""),"Female")</f>
        <v>Female</v>
      </c>
      <c r="F202" s="1">
        <f>IFERROR(__xludf.DUMMYFUNCTION("""COMPUTED_VALUE"""),94.0)</f>
        <v>94</v>
      </c>
      <c r="G202" s="1">
        <f>IFERROR(__xludf.DUMMYFUNCTION("""COMPUTED_VALUE"""),58.0)</f>
        <v>58</v>
      </c>
      <c r="H202" s="1">
        <f>IFERROR(__xludf.DUMMYFUNCTION("""COMPUTED_VALUE"""),92.0)</f>
        <v>92</v>
      </c>
      <c r="I202" s="1">
        <f>IFERROR(__xludf.DUMMYFUNCTION("""COMPUTED_VALUE"""),73.0)</f>
        <v>73</v>
      </c>
      <c r="J202" s="1">
        <f>IFERROR(__xludf.DUMMYFUNCTION("""COMPUTED_VALUE"""),24.0)</f>
        <v>24</v>
      </c>
      <c r="K202" s="1">
        <f>IFERROR(__xludf.DUMMYFUNCTION("""COMPUTED_VALUE"""),67.0)</f>
        <v>67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 t="str">
        <f>IFERROR(__xludf.DUMMYFUNCTION("""COMPUTED_VALUE"""),"D")</f>
        <v>D</v>
      </c>
      <c r="E203" s="1" t="str">
        <f>IFERROR(__xludf.DUMMYFUNCTION("""COMPUTED_VALUE"""),"Male")</f>
        <v>Male</v>
      </c>
      <c r="F203" s="1">
        <f>IFERROR(__xludf.DUMMYFUNCTION("""COMPUTED_VALUE"""),73.0)</f>
        <v>73</v>
      </c>
      <c r="G203" s="1">
        <f>IFERROR(__xludf.DUMMYFUNCTION("""COMPUTED_VALUE"""),74.0)</f>
        <v>74</v>
      </c>
      <c r="H203" s="1">
        <f>IFERROR(__xludf.DUMMYFUNCTION("""COMPUTED_VALUE"""),67.0)</f>
        <v>67</v>
      </c>
      <c r="I203" s="1">
        <f>IFERROR(__xludf.DUMMYFUNCTION("""COMPUTED_VALUE"""),96.0)</f>
        <v>96</v>
      </c>
      <c r="J203" s="1">
        <f>IFERROR(__xludf.DUMMYFUNCTION("""COMPUTED_VALUE"""),73.0)</f>
        <v>73</v>
      </c>
      <c r="K203" s="1">
        <f>IFERROR(__xludf.DUMMYFUNCTION("""COMPUTED_VALUE"""),23.0)</f>
        <v>23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 t="str">
        <f>IFERROR(__xludf.DUMMYFUNCTION("""COMPUTED_VALUE"""),"D")</f>
        <v>D</v>
      </c>
      <c r="E204" s="1" t="str">
        <f>IFERROR(__xludf.DUMMYFUNCTION("""COMPUTED_VALUE"""),"Female")</f>
        <v>Female</v>
      </c>
      <c r="F204" s="1">
        <f>IFERROR(__xludf.DUMMYFUNCTION("""COMPUTED_VALUE"""),71.0)</f>
        <v>71</v>
      </c>
      <c r="G204" s="1">
        <f>IFERROR(__xludf.DUMMYFUNCTION("""COMPUTED_VALUE"""),72.0)</f>
        <v>72</v>
      </c>
      <c r="H204" s="1">
        <f>IFERROR(__xludf.DUMMYFUNCTION("""COMPUTED_VALUE"""),65.0)</f>
        <v>65</v>
      </c>
      <c r="I204" s="1">
        <f>IFERROR(__xludf.DUMMYFUNCTION("""COMPUTED_VALUE"""),52.0)</f>
        <v>52</v>
      </c>
      <c r="J204" s="1">
        <f>IFERROR(__xludf.DUMMYFUNCTION("""COMPUTED_VALUE"""),45.0)</f>
        <v>45</v>
      </c>
      <c r="K204" s="1">
        <f>IFERROR(__xludf.DUMMYFUNCTION("""COMPUTED_VALUE"""),98.0)</f>
        <v>98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 t="str">
        <f>IFERROR(__xludf.DUMMYFUNCTION("""COMPUTED_VALUE"""),"D")</f>
        <v>D</v>
      </c>
      <c r="E205" s="1" t="str">
        <f>IFERROR(__xludf.DUMMYFUNCTION("""COMPUTED_VALUE"""),"Female")</f>
        <v>Female</v>
      </c>
      <c r="F205" s="1">
        <f>IFERROR(__xludf.DUMMYFUNCTION("""COMPUTED_VALUE"""),29.0)</f>
        <v>29</v>
      </c>
      <c r="G205" s="1">
        <f>IFERROR(__xludf.DUMMYFUNCTION("""COMPUTED_VALUE"""),98.0)</f>
        <v>98</v>
      </c>
      <c r="H205" s="1">
        <f>IFERROR(__xludf.DUMMYFUNCTION("""COMPUTED_VALUE"""),74.0)</f>
        <v>74</v>
      </c>
      <c r="I205" s="1">
        <f>IFERROR(__xludf.DUMMYFUNCTION("""COMPUTED_VALUE"""),58.0)</f>
        <v>58</v>
      </c>
      <c r="J205" s="1">
        <f>IFERROR(__xludf.DUMMYFUNCTION("""COMPUTED_VALUE"""),20.0)</f>
        <v>20</v>
      </c>
      <c r="K205" s="1">
        <f>IFERROR(__xludf.DUMMYFUNCTION("""COMPUTED_VALUE"""),24.0)</f>
        <v>24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 t="str">
        <f>IFERROR(__xludf.DUMMYFUNCTION("""COMPUTED_VALUE"""),"D")</f>
        <v>D</v>
      </c>
      <c r="E206" s="1" t="str">
        <f>IFERROR(__xludf.DUMMYFUNCTION("""COMPUTED_VALUE"""),"Female")</f>
        <v>Female</v>
      </c>
      <c r="F206" s="1">
        <f>IFERROR(__xludf.DUMMYFUNCTION("""COMPUTED_VALUE"""),23.0)</f>
        <v>23</v>
      </c>
      <c r="G206" s="1">
        <f>IFERROR(__xludf.DUMMYFUNCTION("""COMPUTED_VALUE"""),28.0)</f>
        <v>28</v>
      </c>
      <c r="H206" s="1">
        <f>IFERROR(__xludf.DUMMYFUNCTION("""COMPUTED_VALUE"""),99.0)</f>
        <v>99</v>
      </c>
      <c r="I206" s="1">
        <f>IFERROR(__xludf.DUMMYFUNCTION("""COMPUTED_VALUE"""),34.0)</f>
        <v>34</v>
      </c>
      <c r="J206" s="1">
        <f>IFERROR(__xludf.DUMMYFUNCTION("""COMPUTED_VALUE"""),92.0)</f>
        <v>92</v>
      </c>
      <c r="K206" s="1">
        <f>IFERROR(__xludf.DUMMYFUNCTION("""COMPUTED_VALUE"""),55.0)</f>
        <v>55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 t="str">
        <f>IFERROR(__xludf.DUMMYFUNCTION("""COMPUTED_VALUE"""),"A")</f>
        <v>A</v>
      </c>
      <c r="E207" s="1" t="str">
        <f>IFERROR(__xludf.DUMMYFUNCTION("""COMPUTED_VALUE"""),"Female")</f>
        <v>Female</v>
      </c>
      <c r="F207" s="1">
        <f>IFERROR(__xludf.DUMMYFUNCTION("""COMPUTED_VALUE"""),99.0)</f>
        <v>99</v>
      </c>
      <c r="G207" s="1">
        <f>IFERROR(__xludf.DUMMYFUNCTION("""COMPUTED_VALUE"""),59.0)</f>
        <v>59</v>
      </c>
      <c r="H207" s="1">
        <f>IFERROR(__xludf.DUMMYFUNCTION("""COMPUTED_VALUE"""),39.0)</f>
        <v>39</v>
      </c>
      <c r="I207" s="1">
        <f>IFERROR(__xludf.DUMMYFUNCTION("""COMPUTED_VALUE"""),82.0)</f>
        <v>82</v>
      </c>
      <c r="J207" s="1">
        <f>IFERROR(__xludf.DUMMYFUNCTION("""COMPUTED_VALUE"""),32.0)</f>
        <v>32</v>
      </c>
      <c r="K207" s="1">
        <f>IFERROR(__xludf.DUMMYFUNCTION("""COMPUTED_VALUE"""),61.0)</f>
        <v>61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 t="str">
        <f>IFERROR(__xludf.DUMMYFUNCTION("""COMPUTED_VALUE"""),"D")</f>
        <v>D</v>
      </c>
      <c r="E208" s="1" t="str">
        <f>IFERROR(__xludf.DUMMYFUNCTION("""COMPUTED_VALUE"""),"Male")</f>
        <v>Male</v>
      </c>
      <c r="F208" s="1">
        <f>IFERROR(__xludf.DUMMYFUNCTION("""COMPUTED_VALUE"""),99.0)</f>
        <v>99</v>
      </c>
      <c r="G208" s="1">
        <f>IFERROR(__xludf.DUMMYFUNCTION("""COMPUTED_VALUE"""),95.0)</f>
        <v>95</v>
      </c>
      <c r="H208" s="1">
        <f>IFERROR(__xludf.DUMMYFUNCTION("""COMPUTED_VALUE"""),92.0)</f>
        <v>92</v>
      </c>
      <c r="I208" s="1">
        <f>IFERROR(__xludf.DUMMYFUNCTION("""COMPUTED_VALUE"""),58.0)</f>
        <v>58</v>
      </c>
      <c r="J208" s="1">
        <f>IFERROR(__xludf.DUMMYFUNCTION("""COMPUTED_VALUE"""),38.0)</f>
        <v>38</v>
      </c>
      <c r="K208" s="1">
        <f>IFERROR(__xludf.DUMMYFUNCTION("""COMPUTED_VALUE"""),36.0)</f>
        <v>36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 t="str">
        <f>IFERROR(__xludf.DUMMYFUNCTION("""COMPUTED_VALUE"""),"D")</f>
        <v>D</v>
      </c>
      <c r="E209" s="1" t="str">
        <f>IFERROR(__xludf.DUMMYFUNCTION("""COMPUTED_VALUE"""),"Male")</f>
        <v>Male</v>
      </c>
      <c r="F209" s="1">
        <f>IFERROR(__xludf.DUMMYFUNCTION("""COMPUTED_VALUE"""),36.0)</f>
        <v>36</v>
      </c>
      <c r="G209" s="1">
        <f>IFERROR(__xludf.DUMMYFUNCTION("""COMPUTED_VALUE"""),77.0)</f>
        <v>77</v>
      </c>
      <c r="H209" s="1">
        <f>IFERROR(__xludf.DUMMYFUNCTION("""COMPUTED_VALUE"""),62.0)</f>
        <v>62</v>
      </c>
      <c r="I209" s="1">
        <f>IFERROR(__xludf.DUMMYFUNCTION("""COMPUTED_VALUE"""),23.0)</f>
        <v>23</v>
      </c>
      <c r="J209" s="1">
        <f>IFERROR(__xludf.DUMMYFUNCTION("""COMPUTED_VALUE"""),92.0)</f>
        <v>92</v>
      </c>
      <c r="K209" s="1">
        <f>IFERROR(__xludf.DUMMYFUNCTION("""COMPUTED_VALUE"""),32.0)</f>
        <v>32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 t="str">
        <f>IFERROR(__xludf.DUMMYFUNCTION("""COMPUTED_VALUE"""),"D")</f>
        <v>D</v>
      </c>
      <c r="E210" s="1" t="str">
        <f>IFERROR(__xludf.DUMMYFUNCTION("""COMPUTED_VALUE"""),"Male")</f>
        <v>Male</v>
      </c>
      <c r="F210" s="1">
        <f>IFERROR(__xludf.DUMMYFUNCTION("""COMPUTED_VALUE"""),59.0)</f>
        <v>59</v>
      </c>
      <c r="G210" s="1">
        <f>IFERROR(__xludf.DUMMYFUNCTION("""COMPUTED_VALUE"""),94.0)</f>
        <v>94</v>
      </c>
      <c r="H210" s="1">
        <f>IFERROR(__xludf.DUMMYFUNCTION("""COMPUTED_VALUE"""),24.0)</f>
        <v>24</v>
      </c>
      <c r="I210" s="1">
        <f>IFERROR(__xludf.DUMMYFUNCTION("""COMPUTED_VALUE"""),52.0)</f>
        <v>52</v>
      </c>
      <c r="J210" s="1">
        <f>IFERROR(__xludf.DUMMYFUNCTION("""COMPUTED_VALUE"""),73.0)</f>
        <v>73</v>
      </c>
      <c r="K210" s="1">
        <f>IFERROR(__xludf.DUMMYFUNCTION("""COMPUTED_VALUE"""),69.0)</f>
        <v>69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 t="str">
        <f>IFERROR(__xludf.DUMMYFUNCTION("""COMPUTED_VALUE"""),"B")</f>
        <v>B</v>
      </c>
      <c r="E211" s="1" t="str">
        <f>IFERROR(__xludf.DUMMYFUNCTION("""COMPUTED_VALUE"""),"Male")</f>
        <v>Male</v>
      </c>
      <c r="F211" s="1">
        <f>IFERROR(__xludf.DUMMYFUNCTION("""COMPUTED_VALUE"""),78.0)</f>
        <v>78</v>
      </c>
      <c r="G211" s="1">
        <f>IFERROR(__xludf.DUMMYFUNCTION("""COMPUTED_VALUE"""),36.0)</f>
        <v>36</v>
      </c>
      <c r="H211" s="1">
        <f>IFERROR(__xludf.DUMMYFUNCTION("""COMPUTED_VALUE"""),62.0)</f>
        <v>62</v>
      </c>
      <c r="I211" s="1">
        <f>IFERROR(__xludf.DUMMYFUNCTION("""COMPUTED_VALUE"""),35.0)</f>
        <v>35</v>
      </c>
      <c r="J211" s="1">
        <f>IFERROR(__xludf.DUMMYFUNCTION("""COMPUTED_VALUE"""),20.0)</f>
        <v>20</v>
      </c>
      <c r="K211" s="1">
        <f>IFERROR(__xludf.DUMMYFUNCTION("""COMPUTED_VALUE"""),93.0)</f>
        <v>93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 t="str">
        <f>IFERROR(__xludf.DUMMYFUNCTION("""COMPUTED_VALUE"""),"B")</f>
        <v>B</v>
      </c>
      <c r="E212" s="1" t="str">
        <f>IFERROR(__xludf.DUMMYFUNCTION("""COMPUTED_VALUE"""),"Female")</f>
        <v>Female</v>
      </c>
      <c r="F212" s="1">
        <f>IFERROR(__xludf.DUMMYFUNCTION("""COMPUTED_VALUE"""),28.0)</f>
        <v>28</v>
      </c>
      <c r="G212" s="1">
        <f>IFERROR(__xludf.DUMMYFUNCTION("""COMPUTED_VALUE"""),45.0)</f>
        <v>45</v>
      </c>
      <c r="H212" s="1">
        <f>IFERROR(__xludf.DUMMYFUNCTION("""COMPUTED_VALUE"""),67.0)</f>
        <v>67</v>
      </c>
      <c r="I212" s="1">
        <f>IFERROR(__xludf.DUMMYFUNCTION("""COMPUTED_VALUE"""),97.0)</f>
        <v>97</v>
      </c>
      <c r="J212" s="1">
        <f>IFERROR(__xludf.DUMMYFUNCTION("""COMPUTED_VALUE"""),78.0)</f>
        <v>78</v>
      </c>
      <c r="K212" s="1">
        <f>IFERROR(__xludf.DUMMYFUNCTION("""COMPUTED_VALUE"""),38.0)</f>
        <v>38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 t="str">
        <f>IFERROR(__xludf.DUMMYFUNCTION("""COMPUTED_VALUE"""),"B")</f>
        <v>B</v>
      </c>
      <c r="E213" s="1" t="str">
        <f>IFERROR(__xludf.DUMMYFUNCTION("""COMPUTED_VALUE"""),"Female")</f>
        <v>Female</v>
      </c>
      <c r="F213" s="1">
        <f>IFERROR(__xludf.DUMMYFUNCTION("""COMPUTED_VALUE"""),60.0)</f>
        <v>60</v>
      </c>
      <c r="G213" s="1">
        <f>IFERROR(__xludf.DUMMYFUNCTION("""COMPUTED_VALUE"""),81.0)</f>
        <v>81</v>
      </c>
      <c r="H213" s="1">
        <f>IFERROR(__xludf.DUMMYFUNCTION("""COMPUTED_VALUE"""),98.0)</f>
        <v>98</v>
      </c>
      <c r="I213" s="1">
        <f>IFERROR(__xludf.DUMMYFUNCTION("""COMPUTED_VALUE"""),70.0)</f>
        <v>70</v>
      </c>
      <c r="J213" s="1">
        <f>IFERROR(__xludf.DUMMYFUNCTION("""COMPUTED_VALUE"""),72.0)</f>
        <v>72</v>
      </c>
      <c r="K213" s="1">
        <f>IFERROR(__xludf.DUMMYFUNCTION("""COMPUTED_VALUE"""),65.0)</f>
        <v>65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 t="str">
        <f>IFERROR(__xludf.DUMMYFUNCTION("""COMPUTED_VALUE"""),"C")</f>
        <v>C</v>
      </c>
      <c r="E214" s="1" t="str">
        <f>IFERROR(__xludf.DUMMYFUNCTION("""COMPUTED_VALUE"""),"Female")</f>
        <v>Female</v>
      </c>
      <c r="F214" s="1">
        <f>IFERROR(__xludf.DUMMYFUNCTION("""COMPUTED_VALUE"""),96.0)</f>
        <v>96</v>
      </c>
      <c r="G214" s="1">
        <f>IFERROR(__xludf.DUMMYFUNCTION("""COMPUTED_VALUE"""),84.0)</f>
        <v>84</v>
      </c>
      <c r="H214" s="1">
        <f>IFERROR(__xludf.DUMMYFUNCTION("""COMPUTED_VALUE"""),23.0)</f>
        <v>23</v>
      </c>
      <c r="I214" s="1">
        <f>IFERROR(__xludf.DUMMYFUNCTION("""COMPUTED_VALUE"""),27.0)</f>
        <v>27</v>
      </c>
      <c r="J214" s="1">
        <f>IFERROR(__xludf.DUMMYFUNCTION("""COMPUTED_VALUE"""),30.0)</f>
        <v>30</v>
      </c>
      <c r="K214" s="1">
        <f>IFERROR(__xludf.DUMMYFUNCTION("""COMPUTED_VALUE"""),83.0)</f>
        <v>83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 t="str">
        <f>IFERROR(__xludf.DUMMYFUNCTION("""COMPUTED_VALUE"""),"D")</f>
        <v>D</v>
      </c>
      <c r="E215" s="1" t="str">
        <f>IFERROR(__xludf.DUMMYFUNCTION("""COMPUTED_VALUE"""),"Female")</f>
        <v>Female</v>
      </c>
      <c r="F215" s="1">
        <f>IFERROR(__xludf.DUMMYFUNCTION("""COMPUTED_VALUE"""),90.0)</f>
        <v>90</v>
      </c>
      <c r="G215" s="1">
        <f>IFERROR(__xludf.DUMMYFUNCTION("""COMPUTED_VALUE"""),45.0)</f>
        <v>45</v>
      </c>
      <c r="H215" s="1">
        <f>IFERROR(__xludf.DUMMYFUNCTION("""COMPUTED_VALUE"""),94.0)</f>
        <v>94</v>
      </c>
      <c r="I215" s="1">
        <f>IFERROR(__xludf.DUMMYFUNCTION("""COMPUTED_VALUE"""),64.0)</f>
        <v>64</v>
      </c>
      <c r="J215" s="1">
        <f>IFERROR(__xludf.DUMMYFUNCTION("""COMPUTED_VALUE"""),97.0)</f>
        <v>97</v>
      </c>
      <c r="K215" s="1">
        <f>IFERROR(__xludf.DUMMYFUNCTION("""COMPUTED_VALUE"""),59.0)</f>
        <v>59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 t="str">
        <f>IFERROR(__xludf.DUMMYFUNCTION("""COMPUTED_VALUE"""),"B")</f>
        <v>B</v>
      </c>
      <c r="E216" s="1" t="str">
        <f>IFERROR(__xludf.DUMMYFUNCTION("""COMPUTED_VALUE"""),"Female")</f>
        <v>Female</v>
      </c>
      <c r="F216" s="1">
        <f>IFERROR(__xludf.DUMMYFUNCTION("""COMPUTED_VALUE"""),18.0)</f>
        <v>18</v>
      </c>
      <c r="G216" s="1">
        <f>IFERROR(__xludf.DUMMYFUNCTION("""COMPUTED_VALUE"""),53.0)</f>
        <v>53</v>
      </c>
      <c r="H216" s="1">
        <f>IFERROR(__xludf.DUMMYFUNCTION("""COMPUTED_VALUE"""),28.0)</f>
        <v>28</v>
      </c>
      <c r="I216" s="1">
        <f>IFERROR(__xludf.DUMMYFUNCTION("""COMPUTED_VALUE"""),71.0)</f>
        <v>71</v>
      </c>
      <c r="J216" s="1">
        <f>IFERROR(__xludf.DUMMYFUNCTION("""COMPUTED_VALUE"""),70.0)</f>
        <v>70</v>
      </c>
      <c r="K216" s="1">
        <f>IFERROR(__xludf.DUMMYFUNCTION("""COMPUTED_VALUE"""),36.0)</f>
        <v>36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 t="str">
        <f>IFERROR(__xludf.DUMMYFUNCTION("""COMPUTED_VALUE"""),"D")</f>
        <v>D</v>
      </c>
      <c r="E217" s="1" t="str">
        <f>IFERROR(__xludf.DUMMYFUNCTION("""COMPUTED_VALUE"""),"Male")</f>
        <v>Male</v>
      </c>
      <c r="F217" s="1">
        <f>IFERROR(__xludf.DUMMYFUNCTION("""COMPUTED_VALUE"""),65.0)</f>
        <v>65</v>
      </c>
      <c r="G217" s="1">
        <f>IFERROR(__xludf.DUMMYFUNCTION("""COMPUTED_VALUE"""),62.0)</f>
        <v>62</v>
      </c>
      <c r="H217" s="1">
        <f>IFERROR(__xludf.DUMMYFUNCTION("""COMPUTED_VALUE"""),60.0)</f>
        <v>60</v>
      </c>
      <c r="I217" s="1">
        <f>IFERROR(__xludf.DUMMYFUNCTION("""COMPUTED_VALUE"""),65.0)</f>
        <v>65</v>
      </c>
      <c r="J217" s="1">
        <f>IFERROR(__xludf.DUMMYFUNCTION("""COMPUTED_VALUE"""),65.0)</f>
        <v>65</v>
      </c>
      <c r="K217" s="1">
        <f>IFERROR(__xludf.DUMMYFUNCTION("""COMPUTED_VALUE"""),96.0)</f>
        <v>96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 t="str">
        <f>IFERROR(__xludf.DUMMYFUNCTION("""COMPUTED_VALUE"""),"B")</f>
        <v>B</v>
      </c>
      <c r="E218" s="1" t="str">
        <f>IFERROR(__xludf.DUMMYFUNCTION("""COMPUTED_VALUE"""),"Male")</f>
        <v>Male</v>
      </c>
      <c r="F218" s="1">
        <f>IFERROR(__xludf.DUMMYFUNCTION("""COMPUTED_VALUE"""),41.0)</f>
        <v>41</v>
      </c>
      <c r="G218" s="1">
        <f>IFERROR(__xludf.DUMMYFUNCTION("""COMPUTED_VALUE"""),78.0)</f>
        <v>78</v>
      </c>
      <c r="H218" s="1">
        <f>IFERROR(__xludf.DUMMYFUNCTION("""COMPUTED_VALUE"""),95.0)</f>
        <v>95</v>
      </c>
      <c r="I218" s="1">
        <f>IFERROR(__xludf.DUMMYFUNCTION("""COMPUTED_VALUE"""),77.0)</f>
        <v>77</v>
      </c>
      <c r="J218" s="1">
        <f>IFERROR(__xludf.DUMMYFUNCTION("""COMPUTED_VALUE"""),51.0)</f>
        <v>51</v>
      </c>
      <c r="K218" s="1">
        <f>IFERROR(__xludf.DUMMYFUNCTION("""COMPUTED_VALUE"""),38.0)</f>
        <v>38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 t="str">
        <f>IFERROR(__xludf.DUMMYFUNCTION("""COMPUTED_VALUE"""),"D")</f>
        <v>D</v>
      </c>
      <c r="E219" s="1" t="str">
        <f>IFERROR(__xludf.DUMMYFUNCTION("""COMPUTED_VALUE"""),"Male")</f>
        <v>Male</v>
      </c>
      <c r="F219" s="1">
        <f>IFERROR(__xludf.DUMMYFUNCTION("""COMPUTED_VALUE"""),65.0)</f>
        <v>65</v>
      </c>
      <c r="G219" s="1">
        <f>IFERROR(__xludf.DUMMYFUNCTION("""COMPUTED_VALUE"""),29.0)</f>
        <v>29</v>
      </c>
      <c r="H219" s="1">
        <f>IFERROR(__xludf.DUMMYFUNCTION("""COMPUTED_VALUE"""),61.0)</f>
        <v>61</v>
      </c>
      <c r="I219" s="1">
        <f>IFERROR(__xludf.DUMMYFUNCTION("""COMPUTED_VALUE"""),92.0)</f>
        <v>92</v>
      </c>
      <c r="J219" s="1">
        <f>IFERROR(__xludf.DUMMYFUNCTION("""COMPUTED_VALUE"""),45.0)</f>
        <v>45</v>
      </c>
      <c r="K219" s="1">
        <f>IFERROR(__xludf.DUMMYFUNCTION("""COMPUTED_VALUE"""),33.0)</f>
        <v>33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 t="str">
        <f>IFERROR(__xludf.DUMMYFUNCTION("""COMPUTED_VALUE"""),"C")</f>
        <v>C</v>
      </c>
      <c r="E220" s="1" t="str">
        <f>IFERROR(__xludf.DUMMYFUNCTION("""COMPUTED_VALUE"""),"Male")</f>
        <v>Male</v>
      </c>
      <c r="F220" s="1">
        <f>IFERROR(__xludf.DUMMYFUNCTION("""COMPUTED_VALUE"""),53.0)</f>
        <v>53</v>
      </c>
      <c r="G220" s="1">
        <f>IFERROR(__xludf.DUMMYFUNCTION("""COMPUTED_VALUE"""),63.0)</f>
        <v>63</v>
      </c>
      <c r="H220" s="1">
        <f>IFERROR(__xludf.DUMMYFUNCTION("""COMPUTED_VALUE"""),81.0)</f>
        <v>81</v>
      </c>
      <c r="I220" s="1">
        <f>IFERROR(__xludf.DUMMYFUNCTION("""COMPUTED_VALUE"""),87.0)</f>
        <v>87</v>
      </c>
      <c r="J220" s="1">
        <f>IFERROR(__xludf.DUMMYFUNCTION("""COMPUTED_VALUE"""),23.0)</f>
        <v>23</v>
      </c>
      <c r="K220" s="1">
        <f>IFERROR(__xludf.DUMMYFUNCTION("""COMPUTED_VALUE"""),74.0)</f>
        <v>74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 t="str">
        <f>IFERROR(__xludf.DUMMYFUNCTION("""COMPUTED_VALUE"""),"C")</f>
        <v>C</v>
      </c>
      <c r="E221" s="1" t="str">
        <f>IFERROR(__xludf.DUMMYFUNCTION("""COMPUTED_VALUE"""),"Male")</f>
        <v>Male</v>
      </c>
      <c r="F221" s="1">
        <f>IFERROR(__xludf.DUMMYFUNCTION("""COMPUTED_VALUE"""),25.0)</f>
        <v>25</v>
      </c>
      <c r="G221" s="1">
        <f>IFERROR(__xludf.DUMMYFUNCTION("""COMPUTED_VALUE"""),93.0)</f>
        <v>93</v>
      </c>
      <c r="H221" s="1">
        <f>IFERROR(__xludf.DUMMYFUNCTION("""COMPUTED_VALUE"""),23.0)</f>
        <v>23</v>
      </c>
      <c r="I221" s="1">
        <f>IFERROR(__xludf.DUMMYFUNCTION("""COMPUTED_VALUE"""),32.0)</f>
        <v>32</v>
      </c>
      <c r="J221" s="1">
        <f>IFERROR(__xludf.DUMMYFUNCTION("""COMPUTED_VALUE"""),74.0)</f>
        <v>74</v>
      </c>
      <c r="K221" s="1">
        <f>IFERROR(__xludf.DUMMYFUNCTION("""COMPUTED_VALUE"""),88.0)</f>
        <v>88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 t="str">
        <f>IFERROR(__xludf.DUMMYFUNCTION("""COMPUTED_VALUE"""),"D")</f>
        <v>D</v>
      </c>
      <c r="E222" s="1" t="str">
        <f>IFERROR(__xludf.DUMMYFUNCTION("""COMPUTED_VALUE"""),"Female")</f>
        <v>Female</v>
      </c>
      <c r="F222" s="1">
        <f>IFERROR(__xludf.DUMMYFUNCTION("""COMPUTED_VALUE"""),40.0)</f>
        <v>40</v>
      </c>
      <c r="G222" s="1">
        <f>IFERROR(__xludf.DUMMYFUNCTION("""COMPUTED_VALUE"""),45.0)</f>
        <v>45</v>
      </c>
      <c r="H222" s="1">
        <f>IFERROR(__xludf.DUMMYFUNCTION("""COMPUTED_VALUE"""),65.0)</f>
        <v>65</v>
      </c>
      <c r="I222" s="1">
        <f>IFERROR(__xludf.DUMMYFUNCTION("""COMPUTED_VALUE"""),76.0)</f>
        <v>76</v>
      </c>
      <c r="J222" s="1">
        <f>IFERROR(__xludf.DUMMYFUNCTION("""COMPUTED_VALUE"""),22.0)</f>
        <v>22</v>
      </c>
      <c r="K222" s="1">
        <f>IFERROR(__xludf.DUMMYFUNCTION("""COMPUTED_VALUE"""),62.0)</f>
        <v>62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 t="str">
        <f>IFERROR(__xludf.DUMMYFUNCTION("""COMPUTED_VALUE"""),"B")</f>
        <v>B</v>
      </c>
      <c r="E223" s="1" t="str">
        <f>IFERROR(__xludf.DUMMYFUNCTION("""COMPUTED_VALUE"""),"Female")</f>
        <v>Female</v>
      </c>
      <c r="F223" s="1">
        <f>IFERROR(__xludf.DUMMYFUNCTION("""COMPUTED_VALUE"""),58.0)</f>
        <v>58</v>
      </c>
      <c r="G223" s="1">
        <f>IFERROR(__xludf.DUMMYFUNCTION("""COMPUTED_VALUE"""),73.0)</f>
        <v>73</v>
      </c>
      <c r="H223" s="1">
        <f>IFERROR(__xludf.DUMMYFUNCTION("""COMPUTED_VALUE"""),79.0)</f>
        <v>79</v>
      </c>
      <c r="I223" s="1">
        <f>IFERROR(__xludf.DUMMYFUNCTION("""COMPUTED_VALUE"""),68.0)</f>
        <v>68</v>
      </c>
      <c r="J223" s="1">
        <f>IFERROR(__xludf.DUMMYFUNCTION("""COMPUTED_VALUE"""),93.0)</f>
        <v>93</v>
      </c>
      <c r="K223" s="1">
        <f>IFERROR(__xludf.DUMMYFUNCTION("""COMPUTED_VALUE"""),70.0)</f>
        <v>70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 t="str">
        <f>IFERROR(__xludf.DUMMYFUNCTION("""COMPUTED_VALUE"""),"D")</f>
        <v>D</v>
      </c>
      <c r="E224" s="1" t="str">
        <f>IFERROR(__xludf.DUMMYFUNCTION("""COMPUTED_VALUE"""),"Male")</f>
        <v>Male</v>
      </c>
      <c r="F224" s="1">
        <f>IFERROR(__xludf.DUMMYFUNCTION("""COMPUTED_VALUE"""),53.0)</f>
        <v>53</v>
      </c>
      <c r="G224" s="1">
        <f>IFERROR(__xludf.DUMMYFUNCTION("""COMPUTED_VALUE"""),87.0)</f>
        <v>87</v>
      </c>
      <c r="H224" s="1">
        <f>IFERROR(__xludf.DUMMYFUNCTION("""COMPUTED_VALUE"""),58.0)</f>
        <v>58</v>
      </c>
      <c r="I224" s="1">
        <f>IFERROR(__xludf.DUMMYFUNCTION("""COMPUTED_VALUE"""),55.0)</f>
        <v>55</v>
      </c>
      <c r="J224" s="1">
        <f>IFERROR(__xludf.DUMMYFUNCTION("""COMPUTED_VALUE"""),82.0)</f>
        <v>82</v>
      </c>
      <c r="K224" s="1">
        <f>IFERROR(__xludf.DUMMYFUNCTION("""COMPUTED_VALUE"""),23.0)</f>
        <v>23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 t="str">
        <f>IFERROR(__xludf.DUMMYFUNCTION("""COMPUTED_VALUE"""),"B")</f>
        <v>B</v>
      </c>
      <c r="E225" s="1" t="str">
        <f>IFERROR(__xludf.DUMMYFUNCTION("""COMPUTED_VALUE"""),"Female")</f>
        <v>Female</v>
      </c>
      <c r="F225" s="1">
        <f>IFERROR(__xludf.DUMMYFUNCTION("""COMPUTED_VALUE"""),43.0)</f>
        <v>43</v>
      </c>
      <c r="G225" s="1">
        <f>IFERROR(__xludf.DUMMYFUNCTION("""COMPUTED_VALUE"""),37.0)</f>
        <v>37</v>
      </c>
      <c r="H225" s="1">
        <f>IFERROR(__xludf.DUMMYFUNCTION("""COMPUTED_VALUE"""),23.0)</f>
        <v>23</v>
      </c>
      <c r="I225" s="1">
        <f>IFERROR(__xludf.DUMMYFUNCTION("""COMPUTED_VALUE"""),87.0)</f>
        <v>87</v>
      </c>
      <c r="J225" s="1">
        <f>IFERROR(__xludf.DUMMYFUNCTION("""COMPUTED_VALUE"""),99.0)</f>
        <v>99</v>
      </c>
      <c r="K225" s="1">
        <f>IFERROR(__xludf.DUMMYFUNCTION("""COMPUTED_VALUE"""),82.0)</f>
        <v>82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 t="str">
        <f>IFERROR(__xludf.DUMMYFUNCTION("""COMPUTED_VALUE"""),"B")</f>
        <v>B</v>
      </c>
      <c r="E226" s="1" t="str">
        <f>IFERROR(__xludf.DUMMYFUNCTION("""COMPUTED_VALUE"""),"Male")</f>
        <v>Male</v>
      </c>
      <c r="F226" s="1">
        <f>IFERROR(__xludf.DUMMYFUNCTION("""COMPUTED_VALUE"""),41.0)</f>
        <v>41</v>
      </c>
      <c r="G226" s="1">
        <f>IFERROR(__xludf.DUMMYFUNCTION("""COMPUTED_VALUE"""),68.0)</f>
        <v>68</v>
      </c>
      <c r="H226" s="1">
        <f>IFERROR(__xludf.DUMMYFUNCTION("""COMPUTED_VALUE"""),82.0)</f>
        <v>82</v>
      </c>
      <c r="I226" s="1">
        <f>IFERROR(__xludf.DUMMYFUNCTION("""COMPUTED_VALUE"""),46.0)</f>
        <v>46</v>
      </c>
      <c r="J226" s="1">
        <f>IFERROR(__xludf.DUMMYFUNCTION("""COMPUTED_VALUE"""),60.0)</f>
        <v>60</v>
      </c>
      <c r="K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 t="str">
        <f>IFERROR(__xludf.DUMMYFUNCTION("""COMPUTED_VALUE"""),"C")</f>
        <v>C</v>
      </c>
      <c r="E227" s="1" t="str">
        <f>IFERROR(__xludf.DUMMYFUNCTION("""COMPUTED_VALUE"""),"Male")</f>
        <v>Male</v>
      </c>
      <c r="F227" s="1">
        <f>IFERROR(__xludf.DUMMYFUNCTION("""COMPUTED_VALUE"""),45.0)</f>
        <v>45</v>
      </c>
      <c r="G227" s="1">
        <f>IFERROR(__xludf.DUMMYFUNCTION("""COMPUTED_VALUE"""),71.0)</f>
        <v>71</v>
      </c>
      <c r="H227" s="1">
        <f>IFERROR(__xludf.DUMMYFUNCTION("""COMPUTED_VALUE"""),86.0)</f>
        <v>86</v>
      </c>
      <c r="I227" s="1">
        <f>IFERROR(__xludf.DUMMYFUNCTION("""COMPUTED_VALUE"""),83.0)</f>
        <v>83</v>
      </c>
      <c r="J227" s="1">
        <f>IFERROR(__xludf.DUMMYFUNCTION("""COMPUTED_VALUE"""),96.0)</f>
        <v>96</v>
      </c>
      <c r="K227" s="1">
        <f>IFERROR(__xludf.DUMMYFUNCTION("""COMPUTED_VALUE"""),93.0)</f>
        <v>93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 t="str">
        <f>IFERROR(__xludf.DUMMYFUNCTION("""COMPUTED_VALUE"""),"C")</f>
        <v>C</v>
      </c>
      <c r="E228" s="1" t="str">
        <f>IFERROR(__xludf.DUMMYFUNCTION("""COMPUTED_VALUE"""),"Female")</f>
        <v>Female</v>
      </c>
      <c r="F228" s="1">
        <f>IFERROR(__xludf.DUMMYFUNCTION("""COMPUTED_VALUE"""),36.0)</f>
        <v>36</v>
      </c>
      <c r="G228" s="1">
        <f>IFERROR(__xludf.DUMMYFUNCTION("""COMPUTED_VALUE"""),80.0)</f>
        <v>80</v>
      </c>
      <c r="H228" s="1">
        <f>IFERROR(__xludf.DUMMYFUNCTION("""COMPUTED_VALUE"""),52.0)</f>
        <v>52</v>
      </c>
      <c r="I228" s="1">
        <f>IFERROR(__xludf.DUMMYFUNCTION("""COMPUTED_VALUE"""),24.0)</f>
        <v>24</v>
      </c>
      <c r="J228" s="1">
        <f>IFERROR(__xludf.DUMMYFUNCTION("""COMPUTED_VALUE"""),22.0)</f>
        <v>22</v>
      </c>
      <c r="K228" s="1">
        <f>IFERROR(__xludf.DUMMYFUNCTION("""COMPUTED_VALUE"""),24.0)</f>
        <v>24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 t="str">
        <f>IFERROR(__xludf.DUMMYFUNCTION("""COMPUTED_VALUE"""),"C")</f>
        <v>C</v>
      </c>
      <c r="E229" s="1" t="str">
        <f>IFERROR(__xludf.DUMMYFUNCTION("""COMPUTED_VALUE"""),"Female")</f>
        <v>Female</v>
      </c>
      <c r="F229" s="1">
        <f>IFERROR(__xludf.DUMMYFUNCTION("""COMPUTED_VALUE"""),64.0)</f>
        <v>64</v>
      </c>
      <c r="G229" s="1">
        <f>IFERROR(__xludf.DUMMYFUNCTION("""COMPUTED_VALUE"""),70.0)</f>
        <v>70</v>
      </c>
      <c r="H229" s="1">
        <f>IFERROR(__xludf.DUMMYFUNCTION("""COMPUTED_VALUE"""),44.0)</f>
        <v>44</v>
      </c>
      <c r="I229" s="1">
        <f>IFERROR(__xludf.DUMMYFUNCTION("""COMPUTED_VALUE"""),93.0)</f>
        <v>93</v>
      </c>
      <c r="J229" s="1">
        <f>IFERROR(__xludf.DUMMYFUNCTION("""COMPUTED_VALUE"""),29.0)</f>
        <v>29</v>
      </c>
      <c r="K229" s="1">
        <f>IFERROR(__xludf.DUMMYFUNCTION("""COMPUTED_VALUE"""),85.0)</f>
        <v>85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 t="str">
        <f>IFERROR(__xludf.DUMMYFUNCTION("""COMPUTED_VALUE"""),"A")</f>
        <v>A</v>
      </c>
      <c r="E230" s="1" t="str">
        <f>IFERROR(__xludf.DUMMYFUNCTION("""COMPUTED_VALUE"""),"Male")</f>
        <v>Male</v>
      </c>
      <c r="F230" s="1">
        <f>IFERROR(__xludf.DUMMYFUNCTION("""COMPUTED_VALUE"""),20.0)</f>
        <v>20</v>
      </c>
      <c r="G230" s="1">
        <f>IFERROR(__xludf.DUMMYFUNCTION("""COMPUTED_VALUE"""),23.0)</f>
        <v>23</v>
      </c>
      <c r="H230" s="1">
        <f>IFERROR(__xludf.DUMMYFUNCTION("""COMPUTED_VALUE"""),88.0)</f>
        <v>88</v>
      </c>
      <c r="I230" s="1">
        <f>IFERROR(__xludf.DUMMYFUNCTION("""COMPUTED_VALUE"""),43.0)</f>
        <v>43</v>
      </c>
      <c r="J230" s="1">
        <f>IFERROR(__xludf.DUMMYFUNCTION("""COMPUTED_VALUE"""),84.0)</f>
        <v>84</v>
      </c>
      <c r="K230" s="1">
        <f>IFERROR(__xludf.DUMMYFUNCTION("""COMPUTED_VALUE"""),84.0)</f>
        <v>84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 t="str">
        <f>IFERROR(__xludf.DUMMYFUNCTION("""COMPUTED_VALUE"""),"B")</f>
        <v>B</v>
      </c>
      <c r="E231" s="1" t="str">
        <f>IFERROR(__xludf.DUMMYFUNCTION("""COMPUTED_VALUE"""),"Male")</f>
        <v>Male</v>
      </c>
      <c r="F231" s="1">
        <f>IFERROR(__xludf.DUMMYFUNCTION("""COMPUTED_VALUE"""),57.0)</f>
        <v>57</v>
      </c>
      <c r="G231" s="1">
        <f>IFERROR(__xludf.DUMMYFUNCTION("""COMPUTED_VALUE"""),82.0)</f>
        <v>82</v>
      </c>
      <c r="H231" s="1">
        <f>IFERROR(__xludf.DUMMYFUNCTION("""COMPUTED_VALUE"""),54.0)</f>
        <v>54</v>
      </c>
      <c r="I231" s="1">
        <f>IFERROR(__xludf.DUMMYFUNCTION("""COMPUTED_VALUE"""),40.0)</f>
        <v>40</v>
      </c>
      <c r="J231" s="1">
        <f>IFERROR(__xludf.DUMMYFUNCTION("""COMPUTED_VALUE"""),47.0)</f>
        <v>47</v>
      </c>
      <c r="K231" s="1">
        <f>IFERROR(__xludf.DUMMYFUNCTION("""COMPUTED_VALUE"""),30.0)</f>
        <v>30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 t="str">
        <f>IFERROR(__xludf.DUMMYFUNCTION("""COMPUTED_VALUE"""),"B")</f>
        <v>B</v>
      </c>
      <c r="E232" s="1" t="str">
        <f>IFERROR(__xludf.DUMMYFUNCTION("""COMPUTED_VALUE"""),"Female")</f>
        <v>Female</v>
      </c>
      <c r="F232" s="1">
        <f>IFERROR(__xludf.DUMMYFUNCTION("""COMPUTED_VALUE"""),45.0)</f>
        <v>45</v>
      </c>
      <c r="G232" s="1">
        <f>IFERROR(__xludf.DUMMYFUNCTION("""COMPUTED_VALUE"""),86.0)</f>
        <v>86</v>
      </c>
      <c r="H232" s="1">
        <f>IFERROR(__xludf.DUMMYFUNCTION("""COMPUTED_VALUE"""),69.0)</f>
        <v>69</v>
      </c>
      <c r="I232" s="1">
        <f>IFERROR(__xludf.DUMMYFUNCTION("""COMPUTED_VALUE"""),69.0)</f>
        <v>69</v>
      </c>
      <c r="J232" s="1">
        <f>IFERROR(__xludf.DUMMYFUNCTION("""COMPUTED_VALUE"""),31.0)</f>
        <v>31</v>
      </c>
      <c r="K232" s="1">
        <f>IFERROR(__xludf.DUMMYFUNCTION("""COMPUTED_VALUE"""),88.0)</f>
        <v>88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 t="str">
        <f>IFERROR(__xludf.DUMMYFUNCTION("""COMPUTED_VALUE"""),"D")</f>
        <v>D</v>
      </c>
      <c r="E233" s="1" t="str">
        <f>IFERROR(__xludf.DUMMYFUNCTION("""COMPUTED_VALUE"""),"Male")</f>
        <v>Male</v>
      </c>
      <c r="F233" s="1">
        <f>IFERROR(__xludf.DUMMYFUNCTION("""COMPUTED_VALUE"""),20.0)</f>
        <v>20</v>
      </c>
      <c r="G233" s="1">
        <f>IFERROR(__xludf.DUMMYFUNCTION("""COMPUTED_VALUE"""),83.0)</f>
        <v>83</v>
      </c>
      <c r="H233" s="1">
        <f>IFERROR(__xludf.DUMMYFUNCTION("""COMPUTED_VALUE"""),84.0)</f>
        <v>84</v>
      </c>
      <c r="I233" s="1">
        <f>IFERROR(__xludf.DUMMYFUNCTION("""COMPUTED_VALUE"""),59.0)</f>
        <v>59</v>
      </c>
      <c r="J233" s="1">
        <f>IFERROR(__xludf.DUMMYFUNCTION("""COMPUTED_VALUE"""),45.0)</f>
        <v>45</v>
      </c>
      <c r="K233" s="1">
        <f>IFERROR(__xludf.DUMMYFUNCTION("""COMPUTED_VALUE"""),20.0)</f>
        <v>20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 t="str">
        <f>IFERROR(__xludf.DUMMYFUNCTION("""COMPUTED_VALUE"""),"B")</f>
        <v>B</v>
      </c>
      <c r="E234" s="1" t="str">
        <f>IFERROR(__xludf.DUMMYFUNCTION("""COMPUTED_VALUE"""),"Male")</f>
        <v>Male</v>
      </c>
      <c r="F234" s="1">
        <f>IFERROR(__xludf.DUMMYFUNCTION("""COMPUTED_VALUE"""),37.0)</f>
        <v>37</v>
      </c>
      <c r="G234" s="1">
        <f>IFERROR(__xludf.DUMMYFUNCTION("""COMPUTED_VALUE"""),28.0)</f>
        <v>28</v>
      </c>
      <c r="H234" s="1">
        <f>IFERROR(__xludf.DUMMYFUNCTION("""COMPUTED_VALUE"""),89.0)</f>
        <v>89</v>
      </c>
      <c r="I234" s="1">
        <f>IFERROR(__xludf.DUMMYFUNCTION("""COMPUTED_VALUE"""),61.0)</f>
        <v>61</v>
      </c>
      <c r="J234" s="1">
        <f>IFERROR(__xludf.DUMMYFUNCTION("""COMPUTED_VALUE"""),66.0)</f>
        <v>66</v>
      </c>
      <c r="K234" s="1">
        <f>IFERROR(__xludf.DUMMYFUNCTION("""COMPUTED_VALUE"""),76.0)</f>
        <v>76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 t="str">
        <f>IFERROR(__xludf.DUMMYFUNCTION("""COMPUTED_VALUE"""),"A")</f>
        <v>A</v>
      </c>
      <c r="E235" s="1" t="str">
        <f>IFERROR(__xludf.DUMMYFUNCTION("""COMPUTED_VALUE"""),"Female")</f>
        <v>Female</v>
      </c>
      <c r="F235" s="1">
        <f>IFERROR(__xludf.DUMMYFUNCTION("""COMPUTED_VALUE"""),89.0)</f>
        <v>89</v>
      </c>
      <c r="G235" s="1">
        <f>IFERROR(__xludf.DUMMYFUNCTION("""COMPUTED_VALUE"""),67.0)</f>
        <v>67</v>
      </c>
      <c r="H235" s="1">
        <f>IFERROR(__xludf.DUMMYFUNCTION("""COMPUTED_VALUE"""),94.0)</f>
        <v>94</v>
      </c>
      <c r="I235" s="1">
        <f>IFERROR(__xludf.DUMMYFUNCTION("""COMPUTED_VALUE"""),37.0)</f>
        <v>37</v>
      </c>
      <c r="J235" s="1">
        <f>IFERROR(__xludf.DUMMYFUNCTION("""COMPUTED_VALUE"""),65.0)</f>
        <v>65</v>
      </c>
      <c r="K235" s="1">
        <f>IFERROR(__xludf.DUMMYFUNCTION("""COMPUTED_VALUE"""),41.0)</f>
        <v>41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 t="str">
        <f>IFERROR(__xludf.DUMMYFUNCTION("""COMPUTED_VALUE"""),"C")</f>
        <v>C</v>
      </c>
      <c r="E236" s="1" t="str">
        <f>IFERROR(__xludf.DUMMYFUNCTION("""COMPUTED_VALUE"""),"Female")</f>
        <v>Female</v>
      </c>
      <c r="F236" s="1">
        <f>IFERROR(__xludf.DUMMYFUNCTION("""COMPUTED_VALUE"""),28.0)</f>
        <v>28</v>
      </c>
      <c r="G236" s="1">
        <f>IFERROR(__xludf.DUMMYFUNCTION("""COMPUTED_VALUE"""),92.0)</f>
        <v>92</v>
      </c>
      <c r="H236" s="1">
        <f>IFERROR(__xludf.DUMMYFUNCTION("""COMPUTED_VALUE"""),24.0)</f>
        <v>24</v>
      </c>
      <c r="I236" s="1">
        <f>IFERROR(__xludf.DUMMYFUNCTION("""COMPUTED_VALUE"""),72.0)</f>
        <v>72</v>
      </c>
      <c r="J236" s="1">
        <f>IFERROR(__xludf.DUMMYFUNCTION("""COMPUTED_VALUE"""),69.0)</f>
        <v>69</v>
      </c>
      <c r="K236" s="1">
        <f>IFERROR(__xludf.DUMMYFUNCTION("""COMPUTED_VALUE"""),33.0)</f>
        <v>33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 t="str">
        <f>IFERROR(__xludf.DUMMYFUNCTION("""COMPUTED_VALUE"""),"D")</f>
        <v>D</v>
      </c>
      <c r="E237" s="1" t="str">
        <f>IFERROR(__xludf.DUMMYFUNCTION("""COMPUTED_VALUE"""),"Female")</f>
        <v>Female</v>
      </c>
      <c r="F237" s="1">
        <f>IFERROR(__xludf.DUMMYFUNCTION("""COMPUTED_VALUE"""),98.0)</f>
        <v>98</v>
      </c>
      <c r="G237" s="1">
        <f>IFERROR(__xludf.DUMMYFUNCTION("""COMPUTED_VALUE"""),41.0)</f>
        <v>41</v>
      </c>
      <c r="H237" s="1">
        <f>IFERROR(__xludf.DUMMYFUNCTION("""COMPUTED_VALUE"""),35.0)</f>
        <v>35</v>
      </c>
      <c r="I237" s="1">
        <f>IFERROR(__xludf.DUMMYFUNCTION("""COMPUTED_VALUE"""),73.0)</f>
        <v>73</v>
      </c>
      <c r="J237" s="1">
        <f>IFERROR(__xludf.DUMMYFUNCTION("""COMPUTED_VALUE"""),94.0)</f>
        <v>94</v>
      </c>
      <c r="K237" s="1">
        <f>IFERROR(__xludf.DUMMYFUNCTION("""COMPUTED_VALUE"""),69.0)</f>
        <v>69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 t="str">
        <f>IFERROR(__xludf.DUMMYFUNCTION("""COMPUTED_VALUE"""),"C")</f>
        <v>C</v>
      </c>
      <c r="E238" s="1" t="str">
        <f>IFERROR(__xludf.DUMMYFUNCTION("""COMPUTED_VALUE"""),"Male")</f>
        <v>Male</v>
      </c>
      <c r="F238" s="1">
        <f>IFERROR(__xludf.DUMMYFUNCTION("""COMPUTED_VALUE"""),11.0)</f>
        <v>11</v>
      </c>
      <c r="G238" s="1">
        <f>IFERROR(__xludf.DUMMYFUNCTION("""COMPUTED_VALUE"""),42.0)</f>
        <v>42</v>
      </c>
      <c r="H238" s="1">
        <f>IFERROR(__xludf.DUMMYFUNCTION("""COMPUTED_VALUE"""),45.0)</f>
        <v>45</v>
      </c>
      <c r="I238" s="1">
        <f>IFERROR(__xludf.DUMMYFUNCTION("""COMPUTED_VALUE"""),28.0)</f>
        <v>28</v>
      </c>
      <c r="J238" s="1">
        <f>IFERROR(__xludf.DUMMYFUNCTION("""COMPUTED_VALUE"""),71.0)</f>
        <v>71</v>
      </c>
      <c r="K238" s="1">
        <f>IFERROR(__xludf.DUMMYFUNCTION("""COMPUTED_VALUE"""),39.0)</f>
        <v>39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 t="str">
        <f>IFERROR(__xludf.DUMMYFUNCTION("""COMPUTED_VALUE"""),"C")</f>
        <v>C</v>
      </c>
      <c r="E239" s="1" t="str">
        <f>IFERROR(__xludf.DUMMYFUNCTION("""COMPUTED_VALUE"""),"Female")</f>
        <v>Female</v>
      </c>
      <c r="F239" s="1">
        <f>IFERROR(__xludf.DUMMYFUNCTION("""COMPUTED_VALUE"""),68.0)</f>
        <v>68</v>
      </c>
      <c r="G239" s="1">
        <f>IFERROR(__xludf.DUMMYFUNCTION("""COMPUTED_VALUE"""),33.0)</f>
        <v>33</v>
      </c>
      <c r="H239" s="1">
        <f>IFERROR(__xludf.DUMMYFUNCTION("""COMPUTED_VALUE"""),28.0)</f>
        <v>28</v>
      </c>
      <c r="I239" s="1">
        <f>IFERROR(__xludf.DUMMYFUNCTION("""COMPUTED_VALUE"""),87.0)</f>
        <v>87</v>
      </c>
      <c r="J239" s="1">
        <f>IFERROR(__xludf.DUMMYFUNCTION("""COMPUTED_VALUE"""),22.0)</f>
        <v>22</v>
      </c>
      <c r="K239" s="1">
        <f>IFERROR(__xludf.DUMMYFUNCTION("""COMPUTED_VALUE"""),40.0)</f>
        <v>40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 t="str">
        <f>IFERROR(__xludf.DUMMYFUNCTION("""COMPUTED_VALUE"""),"C")</f>
        <v>C</v>
      </c>
      <c r="E240" s="1" t="str">
        <f>IFERROR(__xludf.DUMMYFUNCTION("""COMPUTED_VALUE"""),"Female")</f>
        <v>Female</v>
      </c>
      <c r="F240" s="1">
        <f>IFERROR(__xludf.DUMMYFUNCTION("""COMPUTED_VALUE"""),15.0)</f>
        <v>15</v>
      </c>
      <c r="G240" s="1">
        <f>IFERROR(__xludf.DUMMYFUNCTION("""COMPUTED_VALUE"""),33.0)</f>
        <v>33</v>
      </c>
      <c r="H240" s="1">
        <f>IFERROR(__xludf.DUMMYFUNCTION("""COMPUTED_VALUE"""),41.0)</f>
        <v>41</v>
      </c>
      <c r="I240" s="1">
        <f>IFERROR(__xludf.DUMMYFUNCTION("""COMPUTED_VALUE"""),74.0)</f>
        <v>74</v>
      </c>
      <c r="J240" s="1">
        <f>IFERROR(__xludf.DUMMYFUNCTION("""COMPUTED_VALUE"""),33.0)</f>
        <v>33</v>
      </c>
      <c r="K240" s="1">
        <f>IFERROR(__xludf.DUMMYFUNCTION("""COMPUTED_VALUE"""),36.0)</f>
        <v>36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 t="str">
        <f>IFERROR(__xludf.DUMMYFUNCTION("""COMPUTED_VALUE"""),"A")</f>
        <v>A</v>
      </c>
      <c r="E241" s="1" t="str">
        <f>IFERROR(__xludf.DUMMYFUNCTION("""COMPUTED_VALUE"""),"Female")</f>
        <v>Female</v>
      </c>
      <c r="F241" s="1">
        <f>IFERROR(__xludf.DUMMYFUNCTION("""COMPUTED_VALUE"""),74.0)</f>
        <v>74</v>
      </c>
      <c r="G241" s="1">
        <f>IFERROR(__xludf.DUMMYFUNCTION("""COMPUTED_VALUE"""),67.0)</f>
        <v>67</v>
      </c>
      <c r="H241" s="1">
        <f>IFERROR(__xludf.DUMMYFUNCTION("""COMPUTED_VALUE"""),43.0)</f>
        <v>43</v>
      </c>
      <c r="I241" s="1">
        <f>IFERROR(__xludf.DUMMYFUNCTION("""COMPUTED_VALUE"""),36.0)</f>
        <v>36</v>
      </c>
      <c r="J241" s="1">
        <f>IFERROR(__xludf.DUMMYFUNCTION("""COMPUTED_VALUE"""),54.0)</f>
        <v>54</v>
      </c>
      <c r="K241" s="1">
        <f>IFERROR(__xludf.DUMMYFUNCTION("""COMPUTED_VALUE"""),46.0)</f>
        <v>46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 t="str">
        <f>IFERROR(__xludf.DUMMYFUNCTION("""COMPUTED_VALUE"""),"C")</f>
        <v>C</v>
      </c>
      <c r="E242" s="1" t="str">
        <f>IFERROR(__xludf.DUMMYFUNCTION("""COMPUTED_VALUE"""),"Female")</f>
        <v>Female</v>
      </c>
      <c r="F242" s="1">
        <f>IFERROR(__xludf.DUMMYFUNCTION("""COMPUTED_VALUE"""),84.0)</f>
        <v>84</v>
      </c>
      <c r="G242" s="1">
        <f>IFERROR(__xludf.DUMMYFUNCTION("""COMPUTED_VALUE"""),62.0)</f>
        <v>62</v>
      </c>
      <c r="H242" s="1">
        <f>IFERROR(__xludf.DUMMYFUNCTION("""COMPUTED_VALUE"""),43.0)</f>
        <v>43</v>
      </c>
      <c r="I242" s="1">
        <f>IFERROR(__xludf.DUMMYFUNCTION("""COMPUTED_VALUE"""),28.0)</f>
        <v>28</v>
      </c>
      <c r="J242" s="1">
        <f>IFERROR(__xludf.DUMMYFUNCTION("""COMPUTED_VALUE"""),80.0)</f>
        <v>80</v>
      </c>
      <c r="K242" s="1">
        <f>IFERROR(__xludf.DUMMYFUNCTION("""COMPUTED_VALUE"""),47.0)</f>
        <v>47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 t="str">
        <f>IFERROR(__xludf.DUMMYFUNCTION("""COMPUTED_VALUE"""),"A")</f>
        <v>A</v>
      </c>
      <c r="E243" s="1" t="str">
        <f>IFERROR(__xludf.DUMMYFUNCTION("""COMPUTED_VALUE"""),"Female")</f>
        <v>Female</v>
      </c>
      <c r="F243" s="1">
        <f>IFERROR(__xludf.DUMMYFUNCTION("""COMPUTED_VALUE"""),73.0)</f>
        <v>73</v>
      </c>
      <c r="G243" s="1">
        <f>IFERROR(__xludf.DUMMYFUNCTION("""COMPUTED_VALUE"""),77.0)</f>
        <v>77</v>
      </c>
      <c r="H243" s="1">
        <f>IFERROR(__xludf.DUMMYFUNCTION("""COMPUTED_VALUE"""),64.0)</f>
        <v>64</v>
      </c>
      <c r="I243" s="1">
        <f>IFERROR(__xludf.DUMMYFUNCTION("""COMPUTED_VALUE"""),76.0)</f>
        <v>76</v>
      </c>
      <c r="J243" s="1">
        <f>IFERROR(__xludf.DUMMYFUNCTION("""COMPUTED_VALUE"""),56.0)</f>
        <v>56</v>
      </c>
      <c r="K243" s="1">
        <f>IFERROR(__xludf.DUMMYFUNCTION("""COMPUTED_VALUE"""),67.0)</f>
        <v>67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 t="str">
        <f>IFERROR(__xludf.DUMMYFUNCTION("""COMPUTED_VALUE"""),"C")</f>
        <v>C</v>
      </c>
      <c r="E244" s="1" t="str">
        <f>IFERROR(__xludf.DUMMYFUNCTION("""COMPUTED_VALUE"""),"Female")</f>
        <v>Female</v>
      </c>
      <c r="F244" s="1">
        <f>IFERROR(__xludf.DUMMYFUNCTION("""COMPUTED_VALUE"""),81.0)</f>
        <v>81</v>
      </c>
      <c r="G244" s="1">
        <f>IFERROR(__xludf.DUMMYFUNCTION("""COMPUTED_VALUE"""),50.0)</f>
        <v>50</v>
      </c>
      <c r="H244" s="1">
        <f>IFERROR(__xludf.DUMMYFUNCTION("""COMPUTED_VALUE"""),73.0)</f>
        <v>73</v>
      </c>
      <c r="I244" s="1">
        <f>IFERROR(__xludf.DUMMYFUNCTION("""COMPUTED_VALUE"""),48.0)</f>
        <v>48</v>
      </c>
      <c r="J244" s="1">
        <f>IFERROR(__xludf.DUMMYFUNCTION("""COMPUTED_VALUE"""),25.0)</f>
        <v>25</v>
      </c>
      <c r="K244" s="1">
        <f>IFERROR(__xludf.DUMMYFUNCTION("""COMPUTED_VALUE"""),42.0)</f>
        <v>42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 t="str">
        <f>IFERROR(__xludf.DUMMYFUNCTION("""COMPUTED_VALUE"""),"C")</f>
        <v>C</v>
      </c>
      <c r="E245" s="1" t="str">
        <f>IFERROR(__xludf.DUMMYFUNCTION("""COMPUTED_VALUE"""),"Male")</f>
        <v>Male</v>
      </c>
      <c r="F245" s="1">
        <f>IFERROR(__xludf.DUMMYFUNCTION("""COMPUTED_VALUE"""),87.0)</f>
        <v>87</v>
      </c>
      <c r="G245" s="1">
        <f>IFERROR(__xludf.DUMMYFUNCTION("""COMPUTED_VALUE"""),20.0)</f>
        <v>20</v>
      </c>
      <c r="H245" s="1">
        <f>IFERROR(__xludf.DUMMYFUNCTION("""COMPUTED_VALUE"""),99.0)</f>
        <v>99</v>
      </c>
      <c r="I245" s="1">
        <f>IFERROR(__xludf.DUMMYFUNCTION("""COMPUTED_VALUE"""),57.0)</f>
        <v>57</v>
      </c>
      <c r="J245" s="1">
        <f>IFERROR(__xludf.DUMMYFUNCTION("""COMPUTED_VALUE"""),58.0)</f>
        <v>58</v>
      </c>
      <c r="K245" s="1">
        <f>IFERROR(__xludf.DUMMYFUNCTION("""COMPUTED_VALUE"""),91.0)</f>
        <v>91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 t="str">
        <f>IFERROR(__xludf.DUMMYFUNCTION("""COMPUTED_VALUE"""),"A")</f>
        <v>A</v>
      </c>
      <c r="E246" s="1" t="str">
        <f>IFERROR(__xludf.DUMMYFUNCTION("""COMPUTED_VALUE"""),"Male")</f>
        <v>Male</v>
      </c>
      <c r="F246" s="1">
        <f>IFERROR(__xludf.DUMMYFUNCTION("""COMPUTED_VALUE"""),70.0)</f>
        <v>70</v>
      </c>
      <c r="G246" s="1">
        <f>IFERROR(__xludf.DUMMYFUNCTION("""COMPUTED_VALUE"""),81.0)</f>
        <v>81</v>
      </c>
      <c r="H246" s="1">
        <f>IFERROR(__xludf.DUMMYFUNCTION("""COMPUTED_VALUE"""),65.0)</f>
        <v>65</v>
      </c>
      <c r="I246" s="1">
        <f>IFERROR(__xludf.DUMMYFUNCTION("""COMPUTED_VALUE"""),56.0)</f>
        <v>56</v>
      </c>
      <c r="J246" s="1">
        <f>IFERROR(__xludf.DUMMYFUNCTION("""COMPUTED_VALUE"""),25.0)</f>
        <v>25</v>
      </c>
      <c r="K246" s="1">
        <f>IFERROR(__xludf.DUMMYFUNCTION("""COMPUTED_VALUE"""),76.0)</f>
        <v>76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 t="str">
        <f>IFERROR(__xludf.DUMMYFUNCTION("""COMPUTED_VALUE"""),"B")</f>
        <v>B</v>
      </c>
      <c r="E247" s="1" t="str">
        <f>IFERROR(__xludf.DUMMYFUNCTION("""COMPUTED_VALUE"""),"Female")</f>
        <v>Female</v>
      </c>
      <c r="F247" s="1">
        <f>IFERROR(__xludf.DUMMYFUNCTION("""COMPUTED_VALUE"""),42.0)</f>
        <v>42</v>
      </c>
      <c r="G247" s="1">
        <f>IFERROR(__xludf.DUMMYFUNCTION("""COMPUTED_VALUE"""),59.0)</f>
        <v>59</v>
      </c>
      <c r="H247" s="1">
        <f>IFERROR(__xludf.DUMMYFUNCTION("""COMPUTED_VALUE"""),25.0)</f>
        <v>25</v>
      </c>
      <c r="I247" s="1">
        <f>IFERROR(__xludf.DUMMYFUNCTION("""COMPUTED_VALUE"""),37.0)</f>
        <v>37</v>
      </c>
      <c r="J247" s="1">
        <f>IFERROR(__xludf.DUMMYFUNCTION("""COMPUTED_VALUE"""),49.0)</f>
        <v>49</v>
      </c>
      <c r="K247" s="1">
        <f>IFERROR(__xludf.DUMMYFUNCTION("""COMPUTED_VALUE"""),75.0)</f>
        <v>75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 t="str">
        <f>IFERROR(__xludf.DUMMYFUNCTION("""COMPUTED_VALUE"""),"C")</f>
        <v>C</v>
      </c>
      <c r="E248" s="1" t="str">
        <f>IFERROR(__xludf.DUMMYFUNCTION("""COMPUTED_VALUE"""),"Female")</f>
        <v>Female</v>
      </c>
      <c r="F248" s="1">
        <f>IFERROR(__xludf.DUMMYFUNCTION("""COMPUTED_VALUE"""),43.0)</f>
        <v>43</v>
      </c>
      <c r="G248" s="1">
        <f>IFERROR(__xludf.DUMMYFUNCTION("""COMPUTED_VALUE"""),48.0)</f>
        <v>48</v>
      </c>
      <c r="H248" s="1">
        <f>IFERROR(__xludf.DUMMYFUNCTION("""COMPUTED_VALUE"""),95.0)</f>
        <v>95</v>
      </c>
      <c r="I248" s="1">
        <f>IFERROR(__xludf.DUMMYFUNCTION("""COMPUTED_VALUE"""),85.0)</f>
        <v>85</v>
      </c>
      <c r="J248" s="1">
        <f>IFERROR(__xludf.DUMMYFUNCTION("""COMPUTED_VALUE"""),51.0)</f>
        <v>51</v>
      </c>
      <c r="K248" s="1">
        <f>IFERROR(__xludf.DUMMYFUNCTION("""COMPUTED_VALUE"""),51.0)</f>
        <v>51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 t="str">
        <f>IFERROR(__xludf.DUMMYFUNCTION("""COMPUTED_VALUE"""),"A")</f>
        <v>A</v>
      </c>
      <c r="E249" s="1" t="str">
        <f>IFERROR(__xludf.DUMMYFUNCTION("""COMPUTED_VALUE"""),"Male")</f>
        <v>Male</v>
      </c>
      <c r="F249" s="1">
        <f>IFERROR(__xludf.DUMMYFUNCTION("""COMPUTED_VALUE"""),85.0)</f>
        <v>85</v>
      </c>
      <c r="G249" s="1">
        <f>IFERROR(__xludf.DUMMYFUNCTION("""COMPUTED_VALUE"""),30.0)</f>
        <v>30</v>
      </c>
      <c r="H249" s="1">
        <f>IFERROR(__xludf.DUMMYFUNCTION("""COMPUTED_VALUE"""),30.0)</f>
        <v>30</v>
      </c>
      <c r="I249" s="1">
        <f>IFERROR(__xludf.DUMMYFUNCTION("""COMPUTED_VALUE"""),63.0)</f>
        <v>63</v>
      </c>
      <c r="J249" s="1">
        <f>IFERROR(__xludf.DUMMYFUNCTION("""COMPUTED_VALUE"""),30.0)</f>
        <v>30</v>
      </c>
      <c r="K249" s="1">
        <f>IFERROR(__xludf.DUMMYFUNCTION("""COMPUTED_VALUE"""),45.0)</f>
        <v>45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 t="str">
        <f>IFERROR(__xludf.DUMMYFUNCTION("""COMPUTED_VALUE"""),"B")</f>
        <v>B</v>
      </c>
      <c r="E250" s="1" t="str">
        <f>IFERROR(__xludf.DUMMYFUNCTION("""COMPUTED_VALUE"""),"Male")</f>
        <v>Male</v>
      </c>
      <c r="F250" s="1">
        <f>IFERROR(__xludf.DUMMYFUNCTION("""COMPUTED_VALUE"""),69.0)</f>
        <v>69</v>
      </c>
      <c r="G250" s="1">
        <f>IFERROR(__xludf.DUMMYFUNCTION("""COMPUTED_VALUE"""),37.0)</f>
        <v>37</v>
      </c>
      <c r="H250" s="1">
        <f>IFERROR(__xludf.DUMMYFUNCTION("""COMPUTED_VALUE"""),94.0)</f>
        <v>94</v>
      </c>
      <c r="I250" s="1">
        <f>IFERROR(__xludf.DUMMYFUNCTION("""COMPUTED_VALUE"""),82.0)</f>
        <v>82</v>
      </c>
      <c r="J250" s="1">
        <f>IFERROR(__xludf.DUMMYFUNCTION("""COMPUTED_VALUE"""),29.0)</f>
        <v>29</v>
      </c>
      <c r="K250" s="1">
        <f>IFERROR(__xludf.DUMMYFUNCTION("""COMPUTED_VALUE"""),28.0)</f>
        <v>28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 t="str">
        <f>IFERROR(__xludf.DUMMYFUNCTION("""COMPUTED_VALUE"""),"D")</f>
        <v>D</v>
      </c>
      <c r="E251" s="1" t="str">
        <f>IFERROR(__xludf.DUMMYFUNCTION("""COMPUTED_VALUE"""),"Female")</f>
        <v>Female</v>
      </c>
      <c r="F251" s="1">
        <f>IFERROR(__xludf.DUMMYFUNCTION("""COMPUTED_VALUE"""),27.0)</f>
        <v>27</v>
      </c>
      <c r="G251" s="1">
        <f>IFERROR(__xludf.DUMMYFUNCTION("""COMPUTED_VALUE"""),67.0)</f>
        <v>67</v>
      </c>
      <c r="H251" s="1">
        <f>IFERROR(__xludf.DUMMYFUNCTION("""COMPUTED_VALUE"""),55.0)</f>
        <v>55</v>
      </c>
      <c r="I251" s="1">
        <f>IFERROR(__xludf.DUMMYFUNCTION("""COMPUTED_VALUE"""),94.0)</f>
        <v>94</v>
      </c>
      <c r="J251" s="1">
        <f>IFERROR(__xludf.DUMMYFUNCTION("""COMPUTED_VALUE"""),82.0)</f>
        <v>82</v>
      </c>
      <c r="K251" s="1">
        <f>IFERROR(__xludf.DUMMYFUNCTION("""COMPUTED_VALUE"""),20.0)</f>
        <v>20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 t="str">
        <f>IFERROR(__xludf.DUMMYFUNCTION("""COMPUTED_VALUE"""),"A")</f>
        <v>A</v>
      </c>
      <c r="E252" s="1" t="str">
        <f>IFERROR(__xludf.DUMMYFUNCTION("""COMPUTED_VALUE"""),"Female")</f>
        <v>Female</v>
      </c>
      <c r="F252" s="1">
        <f>IFERROR(__xludf.DUMMYFUNCTION("""COMPUTED_VALUE"""),56.0)</f>
        <v>56</v>
      </c>
      <c r="G252" s="1">
        <f>IFERROR(__xludf.DUMMYFUNCTION("""COMPUTED_VALUE"""),35.0)</f>
        <v>35</v>
      </c>
      <c r="H252" s="1">
        <f>IFERROR(__xludf.DUMMYFUNCTION("""COMPUTED_VALUE"""),63.0)</f>
        <v>63</v>
      </c>
      <c r="I252" s="1">
        <f>IFERROR(__xludf.DUMMYFUNCTION("""COMPUTED_VALUE"""),76.0)</f>
        <v>76</v>
      </c>
      <c r="J252" s="1">
        <f>IFERROR(__xludf.DUMMYFUNCTION("""COMPUTED_VALUE"""),80.0)</f>
        <v>80</v>
      </c>
      <c r="K252" s="1">
        <f>IFERROR(__xludf.DUMMYFUNCTION("""COMPUTED_VALUE"""),45.0)</f>
        <v>45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 t="str">
        <f>IFERROR(__xludf.DUMMYFUNCTION("""COMPUTED_VALUE"""),"D")</f>
        <v>D</v>
      </c>
      <c r="E253" s="1" t="str">
        <f>IFERROR(__xludf.DUMMYFUNCTION("""COMPUTED_VALUE"""),"Female")</f>
        <v>Female</v>
      </c>
      <c r="F253" s="1">
        <f>IFERROR(__xludf.DUMMYFUNCTION("""COMPUTED_VALUE"""),25.0)</f>
        <v>25</v>
      </c>
      <c r="G253" s="1">
        <f>IFERROR(__xludf.DUMMYFUNCTION("""COMPUTED_VALUE"""),47.0)</f>
        <v>47</v>
      </c>
      <c r="H253" s="1">
        <f>IFERROR(__xludf.DUMMYFUNCTION("""COMPUTED_VALUE"""),53.0)</f>
        <v>53</v>
      </c>
      <c r="I253" s="1">
        <f>IFERROR(__xludf.DUMMYFUNCTION("""COMPUTED_VALUE"""),74.0)</f>
        <v>74</v>
      </c>
      <c r="J253" s="1">
        <f>IFERROR(__xludf.DUMMYFUNCTION("""COMPUTED_VALUE"""),57.0)</f>
        <v>57</v>
      </c>
      <c r="K253" s="1">
        <f>IFERROR(__xludf.DUMMYFUNCTION("""COMPUTED_VALUE"""),83.0)</f>
        <v>83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 t="str">
        <f>IFERROR(__xludf.DUMMYFUNCTION("""COMPUTED_VALUE"""),"C")</f>
        <v>C</v>
      </c>
      <c r="E254" s="1" t="str">
        <f>IFERROR(__xludf.DUMMYFUNCTION("""COMPUTED_VALUE"""),"Female")</f>
        <v>Female</v>
      </c>
      <c r="F254" s="1">
        <f>IFERROR(__xludf.DUMMYFUNCTION("""COMPUTED_VALUE"""),42.0)</f>
        <v>42</v>
      </c>
      <c r="G254" s="1">
        <f>IFERROR(__xludf.DUMMYFUNCTION("""COMPUTED_VALUE"""),43.0)</f>
        <v>43</v>
      </c>
      <c r="H254" s="1">
        <f>IFERROR(__xludf.DUMMYFUNCTION("""COMPUTED_VALUE"""),49.0)</f>
        <v>49</v>
      </c>
      <c r="I254" s="1">
        <f>IFERROR(__xludf.DUMMYFUNCTION("""COMPUTED_VALUE"""),49.0)</f>
        <v>49</v>
      </c>
      <c r="J254" s="1">
        <f>IFERROR(__xludf.DUMMYFUNCTION("""COMPUTED_VALUE"""),88.0)</f>
        <v>88</v>
      </c>
      <c r="K254" s="1">
        <f>IFERROR(__xludf.DUMMYFUNCTION("""COMPUTED_VALUE"""),96.0)</f>
        <v>96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 t="str">
        <f>IFERROR(__xludf.DUMMYFUNCTION("""COMPUTED_VALUE"""),"A")</f>
        <v>A</v>
      </c>
      <c r="E255" s="1" t="str">
        <f>IFERROR(__xludf.DUMMYFUNCTION("""COMPUTED_VALUE"""),"Female")</f>
        <v>Female</v>
      </c>
      <c r="F255" s="1">
        <f>IFERROR(__xludf.DUMMYFUNCTION("""COMPUTED_VALUE"""),97.0)</f>
        <v>97</v>
      </c>
      <c r="G255" s="1">
        <f>IFERROR(__xludf.DUMMYFUNCTION("""COMPUTED_VALUE"""),20.0)</f>
        <v>20</v>
      </c>
      <c r="H255" s="1">
        <f>IFERROR(__xludf.DUMMYFUNCTION("""COMPUTED_VALUE"""),64.0)</f>
        <v>64</v>
      </c>
      <c r="I255" s="1">
        <f>IFERROR(__xludf.DUMMYFUNCTION("""COMPUTED_VALUE"""),52.0)</f>
        <v>52</v>
      </c>
      <c r="J255" s="1">
        <f>IFERROR(__xludf.DUMMYFUNCTION("""COMPUTED_VALUE"""),58.0)</f>
        <v>58</v>
      </c>
      <c r="K255" s="1">
        <f>IFERROR(__xludf.DUMMYFUNCTION("""COMPUTED_VALUE"""),20.0)</f>
        <v>20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 t="str">
        <f>IFERROR(__xludf.DUMMYFUNCTION("""COMPUTED_VALUE"""),"A")</f>
        <v>A</v>
      </c>
      <c r="E256" s="1" t="str">
        <f>IFERROR(__xludf.DUMMYFUNCTION("""COMPUTED_VALUE"""),"Male")</f>
        <v>Male</v>
      </c>
      <c r="F256" s="1">
        <f>IFERROR(__xludf.DUMMYFUNCTION("""COMPUTED_VALUE"""),82.0)</f>
        <v>82</v>
      </c>
      <c r="G256" s="1">
        <f>IFERROR(__xludf.DUMMYFUNCTION("""COMPUTED_VALUE"""),86.0)</f>
        <v>86</v>
      </c>
      <c r="H256" s="1">
        <f>IFERROR(__xludf.DUMMYFUNCTION("""COMPUTED_VALUE"""),97.0)</f>
        <v>97</v>
      </c>
      <c r="I256" s="1">
        <f>IFERROR(__xludf.DUMMYFUNCTION("""COMPUTED_VALUE"""),74.0)</f>
        <v>74</v>
      </c>
      <c r="J256" s="1">
        <f>IFERROR(__xludf.DUMMYFUNCTION("""COMPUTED_VALUE"""),41.0)</f>
        <v>41</v>
      </c>
      <c r="K256" s="1">
        <f>IFERROR(__xludf.DUMMYFUNCTION("""COMPUTED_VALUE"""),83.0)</f>
        <v>83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 t="str">
        <f>IFERROR(__xludf.DUMMYFUNCTION("""COMPUTED_VALUE"""),"D")</f>
        <v>D</v>
      </c>
      <c r="E257" s="1" t="str">
        <f>IFERROR(__xludf.DUMMYFUNCTION("""COMPUTED_VALUE"""),"Male")</f>
        <v>Male</v>
      </c>
      <c r="F257" s="1">
        <f>IFERROR(__xludf.DUMMYFUNCTION("""COMPUTED_VALUE"""),75.0)</f>
        <v>75</v>
      </c>
      <c r="G257" s="1">
        <f>IFERROR(__xludf.DUMMYFUNCTION("""COMPUTED_VALUE"""),69.0)</f>
        <v>69</v>
      </c>
      <c r="H257" s="1">
        <f>IFERROR(__xludf.DUMMYFUNCTION("""COMPUTED_VALUE"""),66.0)</f>
        <v>66</v>
      </c>
      <c r="I257" s="1">
        <f>IFERROR(__xludf.DUMMYFUNCTION("""COMPUTED_VALUE"""),87.0)</f>
        <v>87</v>
      </c>
      <c r="J257" s="1">
        <f>IFERROR(__xludf.DUMMYFUNCTION("""COMPUTED_VALUE"""),82.0)</f>
        <v>82</v>
      </c>
      <c r="K257" s="1">
        <f>IFERROR(__xludf.DUMMYFUNCTION("""COMPUTED_VALUE"""),28.0)</f>
        <v>28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 t="str">
        <f>IFERROR(__xludf.DUMMYFUNCTION("""COMPUTED_VALUE"""),"D")</f>
        <v>D</v>
      </c>
      <c r="E258" s="1" t="str">
        <f>IFERROR(__xludf.DUMMYFUNCTION("""COMPUTED_VALUE"""),"Male")</f>
        <v>Male</v>
      </c>
      <c r="F258" s="1">
        <f>IFERROR(__xludf.DUMMYFUNCTION("""COMPUTED_VALUE"""),50.0)</f>
        <v>50</v>
      </c>
      <c r="G258" s="1">
        <f>IFERROR(__xludf.DUMMYFUNCTION("""COMPUTED_VALUE"""),78.0)</f>
        <v>78</v>
      </c>
      <c r="H258" s="1">
        <f>IFERROR(__xludf.DUMMYFUNCTION("""COMPUTED_VALUE"""),73.0)</f>
        <v>73</v>
      </c>
      <c r="I258" s="1">
        <f>IFERROR(__xludf.DUMMYFUNCTION("""COMPUTED_VALUE"""),20.0)</f>
        <v>20</v>
      </c>
      <c r="J258" s="1">
        <f>IFERROR(__xludf.DUMMYFUNCTION("""COMPUTED_VALUE"""),74.0)</f>
        <v>74</v>
      </c>
      <c r="K258" s="1">
        <f>IFERROR(__xludf.DUMMYFUNCTION("""COMPUTED_VALUE"""),42.0)</f>
        <v>42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 t="str">
        <f>IFERROR(__xludf.DUMMYFUNCTION("""COMPUTED_VALUE"""),"C")</f>
        <v>C</v>
      </c>
      <c r="E259" s="1" t="str">
        <f>IFERROR(__xludf.DUMMYFUNCTION("""COMPUTED_VALUE"""),"Female")</f>
        <v>Female</v>
      </c>
      <c r="F259" s="1">
        <f>IFERROR(__xludf.DUMMYFUNCTION("""COMPUTED_VALUE"""),90.0)</f>
        <v>90</v>
      </c>
      <c r="G259" s="1">
        <f>IFERROR(__xludf.DUMMYFUNCTION("""COMPUTED_VALUE"""),72.0)</f>
        <v>72</v>
      </c>
      <c r="H259" s="1">
        <f>IFERROR(__xludf.DUMMYFUNCTION("""COMPUTED_VALUE"""),92.0)</f>
        <v>92</v>
      </c>
      <c r="I259" s="1">
        <f>IFERROR(__xludf.DUMMYFUNCTION("""COMPUTED_VALUE"""),97.0)</f>
        <v>97</v>
      </c>
      <c r="J259" s="1">
        <f>IFERROR(__xludf.DUMMYFUNCTION("""COMPUTED_VALUE"""),28.0)</f>
        <v>28</v>
      </c>
      <c r="K259" s="1">
        <f>IFERROR(__xludf.DUMMYFUNCTION("""COMPUTED_VALUE"""),59.0)</f>
        <v>59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 t="str">
        <f>IFERROR(__xludf.DUMMYFUNCTION("""COMPUTED_VALUE"""),"D")</f>
        <v>D</v>
      </c>
      <c r="E260" s="1" t="str">
        <f>IFERROR(__xludf.DUMMYFUNCTION("""COMPUTED_VALUE"""),"Male")</f>
        <v>Male</v>
      </c>
      <c r="F260" s="1">
        <f>IFERROR(__xludf.DUMMYFUNCTION("""COMPUTED_VALUE"""),71.0)</f>
        <v>71</v>
      </c>
      <c r="G260" s="1">
        <f>IFERROR(__xludf.DUMMYFUNCTION("""COMPUTED_VALUE"""),49.0)</f>
        <v>49</v>
      </c>
      <c r="H260" s="1">
        <f>IFERROR(__xludf.DUMMYFUNCTION("""COMPUTED_VALUE"""),28.0)</f>
        <v>28</v>
      </c>
      <c r="I260" s="1">
        <f>IFERROR(__xludf.DUMMYFUNCTION("""COMPUTED_VALUE"""),97.0)</f>
        <v>97</v>
      </c>
      <c r="J260" s="1">
        <f>IFERROR(__xludf.DUMMYFUNCTION("""COMPUTED_VALUE"""),38.0)</f>
        <v>38</v>
      </c>
      <c r="K260" s="1">
        <f>IFERROR(__xludf.DUMMYFUNCTION("""COMPUTED_VALUE"""),46.0)</f>
        <v>46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 t="str">
        <f>IFERROR(__xludf.DUMMYFUNCTION("""COMPUTED_VALUE"""),"D")</f>
        <v>D</v>
      </c>
      <c r="E261" s="1" t="str">
        <f>IFERROR(__xludf.DUMMYFUNCTION("""COMPUTED_VALUE"""),"Male")</f>
        <v>Male</v>
      </c>
      <c r="F261" s="1">
        <f>IFERROR(__xludf.DUMMYFUNCTION("""COMPUTED_VALUE"""),53.0)</f>
        <v>53</v>
      </c>
      <c r="G261" s="1">
        <f>IFERROR(__xludf.DUMMYFUNCTION("""COMPUTED_VALUE"""),61.0)</f>
        <v>61</v>
      </c>
      <c r="H261" s="1">
        <f>IFERROR(__xludf.DUMMYFUNCTION("""COMPUTED_VALUE"""),56.0)</f>
        <v>56</v>
      </c>
      <c r="I261" s="1">
        <f>IFERROR(__xludf.DUMMYFUNCTION("""COMPUTED_VALUE"""),59.0)</f>
        <v>59</v>
      </c>
      <c r="J261" s="1">
        <f>IFERROR(__xludf.DUMMYFUNCTION("""COMPUTED_VALUE"""),55.0)</f>
        <v>55</v>
      </c>
      <c r="K261" s="1">
        <f>IFERROR(__xludf.DUMMYFUNCTION("""COMPUTED_VALUE"""),72.0)</f>
        <v>72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 t="str">
        <f>IFERROR(__xludf.DUMMYFUNCTION("""COMPUTED_VALUE"""),"B")</f>
        <v>B</v>
      </c>
      <c r="E262" s="1" t="str">
        <f>IFERROR(__xludf.DUMMYFUNCTION("""COMPUTED_VALUE"""),"Male")</f>
        <v>Male</v>
      </c>
      <c r="F262" s="1">
        <f>IFERROR(__xludf.DUMMYFUNCTION("""COMPUTED_VALUE"""),46.0)</f>
        <v>46</v>
      </c>
      <c r="G262" s="1">
        <f>IFERROR(__xludf.DUMMYFUNCTION("""COMPUTED_VALUE"""),24.0)</f>
        <v>24</v>
      </c>
      <c r="H262" s="1">
        <f>IFERROR(__xludf.DUMMYFUNCTION("""COMPUTED_VALUE"""),87.0)</f>
        <v>87</v>
      </c>
      <c r="I262" s="1">
        <f>IFERROR(__xludf.DUMMYFUNCTION("""COMPUTED_VALUE"""),23.0)</f>
        <v>23</v>
      </c>
      <c r="J262" s="1">
        <f>IFERROR(__xludf.DUMMYFUNCTION("""COMPUTED_VALUE"""),77.0)</f>
        <v>77</v>
      </c>
      <c r="K262" s="1">
        <f>IFERROR(__xludf.DUMMYFUNCTION("""COMPUTED_VALUE"""),46.0)</f>
        <v>46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 t="str">
        <f>IFERROR(__xludf.DUMMYFUNCTION("""COMPUTED_VALUE"""),"A")</f>
        <v>A</v>
      </c>
      <c r="E263" s="1" t="str">
        <f>IFERROR(__xludf.DUMMYFUNCTION("""COMPUTED_VALUE"""),"Male")</f>
        <v>Male</v>
      </c>
      <c r="F263" s="1">
        <f>IFERROR(__xludf.DUMMYFUNCTION("""COMPUTED_VALUE"""),15.0)</f>
        <v>15</v>
      </c>
      <c r="G263" s="1">
        <f>IFERROR(__xludf.DUMMYFUNCTION("""COMPUTED_VALUE"""),36.0)</f>
        <v>36</v>
      </c>
      <c r="H263" s="1">
        <f>IFERROR(__xludf.DUMMYFUNCTION("""COMPUTED_VALUE"""),48.0)</f>
        <v>48</v>
      </c>
      <c r="I263" s="1">
        <f>IFERROR(__xludf.DUMMYFUNCTION("""COMPUTED_VALUE"""),30.0)</f>
        <v>30</v>
      </c>
      <c r="J263" s="1">
        <f>IFERROR(__xludf.DUMMYFUNCTION("""COMPUTED_VALUE"""),50.0)</f>
        <v>50</v>
      </c>
      <c r="K263" s="1">
        <f>IFERROR(__xludf.DUMMYFUNCTION("""COMPUTED_VALUE"""),82.0)</f>
        <v>82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 t="str">
        <f>IFERROR(__xludf.DUMMYFUNCTION("""COMPUTED_VALUE"""),"D")</f>
        <v>D</v>
      </c>
      <c r="E264" s="1" t="str">
        <f>IFERROR(__xludf.DUMMYFUNCTION("""COMPUTED_VALUE"""),"Female")</f>
        <v>Female</v>
      </c>
      <c r="F264" s="1">
        <f>IFERROR(__xludf.DUMMYFUNCTION("""COMPUTED_VALUE"""),100.0)</f>
        <v>100</v>
      </c>
      <c r="G264" s="1">
        <f>IFERROR(__xludf.DUMMYFUNCTION("""COMPUTED_VALUE"""),41.0)</f>
        <v>41</v>
      </c>
      <c r="H264" s="1">
        <f>IFERROR(__xludf.DUMMYFUNCTION("""COMPUTED_VALUE"""),81.0)</f>
        <v>81</v>
      </c>
      <c r="I264" s="1">
        <f>IFERROR(__xludf.DUMMYFUNCTION("""COMPUTED_VALUE"""),95.0)</f>
        <v>95</v>
      </c>
      <c r="J264" s="1">
        <f>IFERROR(__xludf.DUMMYFUNCTION("""COMPUTED_VALUE"""),31.0)</f>
        <v>31</v>
      </c>
      <c r="K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 t="str">
        <f>IFERROR(__xludf.DUMMYFUNCTION("""COMPUTED_VALUE"""),"C")</f>
        <v>C</v>
      </c>
      <c r="E265" s="1" t="str">
        <f>IFERROR(__xludf.DUMMYFUNCTION("""COMPUTED_VALUE"""),"Male")</f>
        <v>Male</v>
      </c>
      <c r="F265" s="1">
        <f>IFERROR(__xludf.DUMMYFUNCTION("""COMPUTED_VALUE"""),33.0)</f>
        <v>33</v>
      </c>
      <c r="G265" s="1">
        <f>IFERROR(__xludf.DUMMYFUNCTION("""COMPUTED_VALUE"""),62.0)</f>
        <v>62</v>
      </c>
      <c r="H265" s="1">
        <f>IFERROR(__xludf.DUMMYFUNCTION("""COMPUTED_VALUE"""),51.0)</f>
        <v>51</v>
      </c>
      <c r="I265" s="1">
        <f>IFERROR(__xludf.DUMMYFUNCTION("""COMPUTED_VALUE"""),75.0)</f>
        <v>75</v>
      </c>
      <c r="J265" s="1">
        <f>IFERROR(__xludf.DUMMYFUNCTION("""COMPUTED_VALUE"""),28.0)</f>
        <v>28</v>
      </c>
      <c r="K265" s="1">
        <f>IFERROR(__xludf.DUMMYFUNCTION("""COMPUTED_VALUE"""),92.0)</f>
        <v>92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 t="str">
        <f>IFERROR(__xludf.DUMMYFUNCTION("""COMPUTED_VALUE"""),"C")</f>
        <v>C</v>
      </c>
      <c r="E266" s="1" t="str">
        <f>IFERROR(__xludf.DUMMYFUNCTION("""COMPUTED_VALUE"""),"Male")</f>
        <v>Male</v>
      </c>
      <c r="F266" s="1">
        <f>IFERROR(__xludf.DUMMYFUNCTION("""COMPUTED_VALUE"""),21.0)</f>
        <v>21</v>
      </c>
      <c r="G266" s="1">
        <f>IFERROR(__xludf.DUMMYFUNCTION("""COMPUTED_VALUE"""),81.0)</f>
        <v>81</v>
      </c>
      <c r="H266" s="1">
        <f>IFERROR(__xludf.DUMMYFUNCTION("""COMPUTED_VALUE"""),20.0)</f>
        <v>20</v>
      </c>
      <c r="I266" s="1">
        <f>IFERROR(__xludf.DUMMYFUNCTION("""COMPUTED_VALUE"""),48.0)</f>
        <v>48</v>
      </c>
      <c r="J266" s="1">
        <f>IFERROR(__xludf.DUMMYFUNCTION("""COMPUTED_VALUE"""),65.0)</f>
        <v>65</v>
      </c>
      <c r="K266" s="1">
        <f>IFERROR(__xludf.DUMMYFUNCTION("""COMPUTED_VALUE"""),67.0)</f>
        <v>67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 t="str">
        <f>IFERROR(__xludf.DUMMYFUNCTION("""COMPUTED_VALUE"""),"B")</f>
        <v>B</v>
      </c>
      <c r="E267" s="1" t="str">
        <f>IFERROR(__xludf.DUMMYFUNCTION("""COMPUTED_VALUE"""),"Male")</f>
        <v>Male</v>
      </c>
      <c r="F267" s="1">
        <f>IFERROR(__xludf.DUMMYFUNCTION("""COMPUTED_VALUE"""),21.0)</f>
        <v>21</v>
      </c>
      <c r="G267" s="1">
        <f>IFERROR(__xludf.DUMMYFUNCTION("""COMPUTED_VALUE"""),32.0)</f>
        <v>32</v>
      </c>
      <c r="H267" s="1">
        <f>IFERROR(__xludf.DUMMYFUNCTION("""COMPUTED_VALUE"""),90.0)</f>
        <v>90</v>
      </c>
      <c r="I267" s="1">
        <f>IFERROR(__xludf.DUMMYFUNCTION("""COMPUTED_VALUE"""),92.0)</f>
        <v>92</v>
      </c>
      <c r="J267" s="1">
        <f>IFERROR(__xludf.DUMMYFUNCTION("""COMPUTED_VALUE"""),24.0)</f>
        <v>24</v>
      </c>
      <c r="K267" s="1">
        <f>IFERROR(__xludf.DUMMYFUNCTION("""COMPUTED_VALUE"""),73.0)</f>
        <v>73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 t="str">
        <f>IFERROR(__xludf.DUMMYFUNCTION("""COMPUTED_VALUE"""),"C")</f>
        <v>C</v>
      </c>
      <c r="E268" s="1" t="str">
        <f>IFERROR(__xludf.DUMMYFUNCTION("""COMPUTED_VALUE"""),"Female")</f>
        <v>Female</v>
      </c>
      <c r="F268" s="1">
        <f>IFERROR(__xludf.DUMMYFUNCTION("""COMPUTED_VALUE"""),57.0)</f>
        <v>57</v>
      </c>
      <c r="G268" s="1">
        <f>IFERROR(__xludf.DUMMYFUNCTION("""COMPUTED_VALUE"""),42.0)</f>
        <v>42</v>
      </c>
      <c r="H268" s="1">
        <f>IFERROR(__xludf.DUMMYFUNCTION("""COMPUTED_VALUE"""),65.0)</f>
        <v>65</v>
      </c>
      <c r="I268" s="1">
        <f>IFERROR(__xludf.DUMMYFUNCTION("""COMPUTED_VALUE"""),69.0)</f>
        <v>69</v>
      </c>
      <c r="J268" s="1">
        <f>IFERROR(__xludf.DUMMYFUNCTION("""COMPUTED_VALUE"""),35.0)</f>
        <v>35</v>
      </c>
      <c r="K268" s="1">
        <f>IFERROR(__xludf.DUMMYFUNCTION("""COMPUTED_VALUE"""),95.0)</f>
        <v>95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 t="str">
        <f>IFERROR(__xludf.DUMMYFUNCTION("""COMPUTED_VALUE"""),"C")</f>
        <v>C</v>
      </c>
      <c r="E269" s="1" t="str">
        <f>IFERROR(__xludf.DUMMYFUNCTION("""COMPUTED_VALUE"""),"Female")</f>
        <v>Female</v>
      </c>
      <c r="F269" s="1">
        <f>IFERROR(__xludf.DUMMYFUNCTION("""COMPUTED_VALUE"""),70.0)</f>
        <v>70</v>
      </c>
      <c r="G269" s="1">
        <f>IFERROR(__xludf.DUMMYFUNCTION("""COMPUTED_VALUE"""),51.0)</f>
        <v>51</v>
      </c>
      <c r="H269" s="1">
        <f>IFERROR(__xludf.DUMMYFUNCTION("""COMPUTED_VALUE"""),96.0)</f>
        <v>96</v>
      </c>
      <c r="I269" s="1">
        <f>IFERROR(__xludf.DUMMYFUNCTION("""COMPUTED_VALUE"""),65.0)</f>
        <v>65</v>
      </c>
      <c r="J269" s="1">
        <f>IFERROR(__xludf.DUMMYFUNCTION("""COMPUTED_VALUE"""),49.0)</f>
        <v>49</v>
      </c>
      <c r="K269" s="1">
        <f>IFERROR(__xludf.DUMMYFUNCTION("""COMPUTED_VALUE"""),95.0)</f>
        <v>95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 t="str">
        <f>IFERROR(__xludf.DUMMYFUNCTION("""COMPUTED_VALUE"""),"C")</f>
        <v>C</v>
      </c>
      <c r="E270" s="1" t="str">
        <f>IFERROR(__xludf.DUMMYFUNCTION("""COMPUTED_VALUE"""),"Male")</f>
        <v>Male</v>
      </c>
      <c r="F270" s="1">
        <f>IFERROR(__xludf.DUMMYFUNCTION("""COMPUTED_VALUE"""),22.0)</f>
        <v>22</v>
      </c>
      <c r="G270" s="1">
        <f>IFERROR(__xludf.DUMMYFUNCTION("""COMPUTED_VALUE"""),32.0)</f>
        <v>32</v>
      </c>
      <c r="H270" s="1">
        <f>IFERROR(__xludf.DUMMYFUNCTION("""COMPUTED_VALUE"""),47.0)</f>
        <v>47</v>
      </c>
      <c r="I270" s="1">
        <f>IFERROR(__xludf.DUMMYFUNCTION("""COMPUTED_VALUE"""),41.0)</f>
        <v>41</v>
      </c>
      <c r="J270" s="1">
        <f>IFERROR(__xludf.DUMMYFUNCTION("""COMPUTED_VALUE"""),76.0)</f>
        <v>76</v>
      </c>
      <c r="K270" s="1">
        <f>IFERROR(__xludf.DUMMYFUNCTION("""COMPUTED_VALUE"""),26.0)</f>
        <v>26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 t="str">
        <f>IFERROR(__xludf.DUMMYFUNCTION("""COMPUTED_VALUE"""),"B")</f>
        <v>B</v>
      </c>
      <c r="E271" s="1" t="str">
        <f>IFERROR(__xludf.DUMMYFUNCTION("""COMPUTED_VALUE"""),"Male")</f>
        <v>Male</v>
      </c>
      <c r="F271" s="1">
        <f>IFERROR(__xludf.DUMMYFUNCTION("""COMPUTED_VALUE"""),30.0)</f>
        <v>30</v>
      </c>
      <c r="G271" s="1">
        <f>IFERROR(__xludf.DUMMYFUNCTION("""COMPUTED_VALUE"""),88.0)</f>
        <v>88</v>
      </c>
      <c r="H271" s="1">
        <f>IFERROR(__xludf.DUMMYFUNCTION("""COMPUTED_VALUE"""),75.0)</f>
        <v>75</v>
      </c>
      <c r="I271" s="1">
        <f>IFERROR(__xludf.DUMMYFUNCTION("""COMPUTED_VALUE"""),85.0)</f>
        <v>85</v>
      </c>
      <c r="J271" s="1">
        <f>IFERROR(__xludf.DUMMYFUNCTION("""COMPUTED_VALUE"""),93.0)</f>
        <v>93</v>
      </c>
      <c r="K271" s="1">
        <f>IFERROR(__xludf.DUMMYFUNCTION("""COMPUTED_VALUE"""),80.0)</f>
        <v>80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 t="str">
        <f>IFERROR(__xludf.DUMMYFUNCTION("""COMPUTED_VALUE"""),"B")</f>
        <v>B</v>
      </c>
      <c r="E272" s="1" t="str">
        <f>IFERROR(__xludf.DUMMYFUNCTION("""COMPUTED_VALUE"""),"Female")</f>
        <v>Female</v>
      </c>
      <c r="F272" s="1">
        <f>IFERROR(__xludf.DUMMYFUNCTION("""COMPUTED_VALUE"""),58.0)</f>
        <v>58</v>
      </c>
      <c r="G272" s="1">
        <f>IFERROR(__xludf.DUMMYFUNCTION("""COMPUTED_VALUE"""),35.0)</f>
        <v>35</v>
      </c>
      <c r="H272" s="1">
        <f>IFERROR(__xludf.DUMMYFUNCTION("""COMPUTED_VALUE"""),57.0)</f>
        <v>57</v>
      </c>
      <c r="I272" s="1">
        <f>IFERROR(__xludf.DUMMYFUNCTION("""COMPUTED_VALUE"""),40.0)</f>
        <v>40</v>
      </c>
      <c r="J272" s="1">
        <f>IFERROR(__xludf.DUMMYFUNCTION("""COMPUTED_VALUE"""),99.0)</f>
        <v>99</v>
      </c>
      <c r="K272" s="1">
        <f>IFERROR(__xludf.DUMMYFUNCTION("""COMPUTED_VALUE"""),63.0)</f>
        <v>63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 t="str">
        <f>IFERROR(__xludf.DUMMYFUNCTION("""COMPUTED_VALUE"""),"A")</f>
        <v>A</v>
      </c>
      <c r="E273" s="1" t="str">
        <f>IFERROR(__xludf.DUMMYFUNCTION("""COMPUTED_VALUE"""),"Female")</f>
        <v>Female</v>
      </c>
      <c r="F273" s="1">
        <f>IFERROR(__xludf.DUMMYFUNCTION("""COMPUTED_VALUE"""),19.0)</f>
        <v>19</v>
      </c>
      <c r="G273" s="1">
        <f>IFERROR(__xludf.DUMMYFUNCTION("""COMPUTED_VALUE"""),52.0)</f>
        <v>52</v>
      </c>
      <c r="H273" s="1">
        <f>IFERROR(__xludf.DUMMYFUNCTION("""COMPUTED_VALUE"""),83.0)</f>
        <v>83</v>
      </c>
      <c r="I273" s="1">
        <f>IFERROR(__xludf.DUMMYFUNCTION("""COMPUTED_VALUE"""),90.0)</f>
        <v>90</v>
      </c>
      <c r="J273" s="1">
        <f>IFERROR(__xludf.DUMMYFUNCTION("""COMPUTED_VALUE"""),93.0)</f>
        <v>93</v>
      </c>
      <c r="K273" s="1">
        <f>IFERROR(__xludf.DUMMYFUNCTION("""COMPUTED_VALUE"""),54.0)</f>
        <v>54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 t="str">
        <f>IFERROR(__xludf.DUMMYFUNCTION("""COMPUTED_VALUE"""),"B")</f>
        <v>B</v>
      </c>
      <c r="E274" s="1" t="str">
        <f>IFERROR(__xludf.DUMMYFUNCTION("""COMPUTED_VALUE"""),"Female")</f>
        <v>Female</v>
      </c>
      <c r="F274" s="1">
        <f>IFERROR(__xludf.DUMMYFUNCTION("""COMPUTED_VALUE"""),10.0)</f>
        <v>10</v>
      </c>
      <c r="G274" s="1">
        <f>IFERROR(__xludf.DUMMYFUNCTION("""COMPUTED_VALUE"""),47.0)</f>
        <v>47</v>
      </c>
      <c r="H274" s="1">
        <f>IFERROR(__xludf.DUMMYFUNCTION("""COMPUTED_VALUE"""),55.0)</f>
        <v>55</v>
      </c>
      <c r="I274" s="1">
        <f>IFERROR(__xludf.DUMMYFUNCTION("""COMPUTED_VALUE"""),56.0)</f>
        <v>56</v>
      </c>
      <c r="J274" s="1">
        <f>IFERROR(__xludf.DUMMYFUNCTION("""COMPUTED_VALUE"""),98.0)</f>
        <v>98</v>
      </c>
      <c r="K274" s="1">
        <f>IFERROR(__xludf.DUMMYFUNCTION("""COMPUTED_VALUE"""),77.0)</f>
        <v>77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 t="str">
        <f>IFERROR(__xludf.DUMMYFUNCTION("""COMPUTED_VALUE"""),"C")</f>
        <v>C</v>
      </c>
      <c r="E275" s="1" t="str">
        <f>IFERROR(__xludf.DUMMYFUNCTION("""COMPUTED_VALUE"""),"Male")</f>
        <v>Male</v>
      </c>
      <c r="F275" s="1">
        <f>IFERROR(__xludf.DUMMYFUNCTION("""COMPUTED_VALUE"""),22.0)</f>
        <v>22</v>
      </c>
      <c r="G275" s="1">
        <f>IFERROR(__xludf.DUMMYFUNCTION("""COMPUTED_VALUE"""),36.0)</f>
        <v>36</v>
      </c>
      <c r="H275" s="1">
        <f>IFERROR(__xludf.DUMMYFUNCTION("""COMPUTED_VALUE"""),74.0)</f>
        <v>74</v>
      </c>
      <c r="I275" s="1">
        <f>IFERROR(__xludf.DUMMYFUNCTION("""COMPUTED_VALUE"""),23.0)</f>
        <v>23</v>
      </c>
      <c r="J275" s="1">
        <f>IFERROR(__xludf.DUMMYFUNCTION("""COMPUTED_VALUE"""),37.0)</f>
        <v>37</v>
      </c>
      <c r="K275" s="1">
        <f>IFERROR(__xludf.DUMMYFUNCTION("""COMPUTED_VALUE"""),94.0)</f>
        <v>94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 t="str">
        <f>IFERROR(__xludf.DUMMYFUNCTION("""COMPUTED_VALUE"""),"A")</f>
        <v>A</v>
      </c>
      <c r="E276" s="1" t="str">
        <f>IFERROR(__xludf.DUMMYFUNCTION("""COMPUTED_VALUE"""),"Female")</f>
        <v>Female</v>
      </c>
      <c r="F276" s="1">
        <f>IFERROR(__xludf.DUMMYFUNCTION("""COMPUTED_VALUE"""),19.0)</f>
        <v>19</v>
      </c>
      <c r="G276" s="1">
        <f>IFERROR(__xludf.DUMMYFUNCTION("""COMPUTED_VALUE"""),56.0)</f>
        <v>56</v>
      </c>
      <c r="H276" s="1">
        <f>IFERROR(__xludf.DUMMYFUNCTION("""COMPUTED_VALUE"""),88.0)</f>
        <v>88</v>
      </c>
      <c r="I276" s="1">
        <f>IFERROR(__xludf.DUMMYFUNCTION("""COMPUTED_VALUE"""),30.0)</f>
        <v>30</v>
      </c>
      <c r="J276" s="1">
        <f>IFERROR(__xludf.DUMMYFUNCTION("""COMPUTED_VALUE"""),54.0)</f>
        <v>54</v>
      </c>
      <c r="K276" s="1">
        <f>IFERROR(__xludf.DUMMYFUNCTION("""COMPUTED_VALUE"""),62.0)</f>
        <v>62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 t="str">
        <f>IFERROR(__xludf.DUMMYFUNCTION("""COMPUTED_VALUE"""),"B")</f>
        <v>B</v>
      </c>
      <c r="E277" s="1" t="str">
        <f>IFERROR(__xludf.DUMMYFUNCTION("""COMPUTED_VALUE"""),"Male")</f>
        <v>Male</v>
      </c>
      <c r="F277" s="1">
        <f>IFERROR(__xludf.DUMMYFUNCTION("""COMPUTED_VALUE"""),63.0)</f>
        <v>63</v>
      </c>
      <c r="G277" s="1">
        <f>IFERROR(__xludf.DUMMYFUNCTION("""COMPUTED_VALUE"""),75.0)</f>
        <v>75</v>
      </c>
      <c r="H277" s="1">
        <f>IFERROR(__xludf.DUMMYFUNCTION("""COMPUTED_VALUE"""),55.0)</f>
        <v>55</v>
      </c>
      <c r="I277" s="1">
        <f>IFERROR(__xludf.DUMMYFUNCTION("""COMPUTED_VALUE"""),48.0)</f>
        <v>48</v>
      </c>
      <c r="J277" s="1">
        <f>IFERROR(__xludf.DUMMYFUNCTION("""COMPUTED_VALUE"""),79.0)</f>
        <v>79</v>
      </c>
      <c r="K277" s="1">
        <f>IFERROR(__xludf.DUMMYFUNCTION("""COMPUTED_VALUE"""),78.0)</f>
        <v>78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 t="str">
        <f>IFERROR(__xludf.DUMMYFUNCTION("""COMPUTED_VALUE"""),"D")</f>
        <v>D</v>
      </c>
      <c r="E278" s="1" t="str">
        <f>IFERROR(__xludf.DUMMYFUNCTION("""COMPUTED_VALUE"""),"Female")</f>
        <v>Female</v>
      </c>
      <c r="F278" s="1">
        <f>IFERROR(__xludf.DUMMYFUNCTION("""COMPUTED_VALUE"""),83.0)</f>
        <v>83</v>
      </c>
      <c r="G278" s="1">
        <f>IFERROR(__xludf.DUMMYFUNCTION("""COMPUTED_VALUE"""),37.0)</f>
        <v>37</v>
      </c>
      <c r="H278" s="1">
        <f>IFERROR(__xludf.DUMMYFUNCTION("""COMPUTED_VALUE"""),28.0)</f>
        <v>28</v>
      </c>
      <c r="I278" s="1">
        <f>IFERROR(__xludf.DUMMYFUNCTION("""COMPUTED_VALUE"""),39.0)</f>
        <v>39</v>
      </c>
      <c r="J278" s="1">
        <f>IFERROR(__xludf.DUMMYFUNCTION("""COMPUTED_VALUE"""),39.0)</f>
        <v>39</v>
      </c>
      <c r="K278" s="1">
        <f>IFERROR(__xludf.DUMMYFUNCTION("""COMPUTED_VALUE"""),38.0)</f>
        <v>38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 t="str">
        <f>IFERROR(__xludf.DUMMYFUNCTION("""COMPUTED_VALUE"""),"A")</f>
        <v>A</v>
      </c>
      <c r="E279" s="1" t="str">
        <f>IFERROR(__xludf.DUMMYFUNCTION("""COMPUTED_VALUE"""),"Male")</f>
        <v>Male</v>
      </c>
      <c r="F279" s="1">
        <f>IFERROR(__xludf.DUMMYFUNCTION("""COMPUTED_VALUE"""),86.0)</f>
        <v>86</v>
      </c>
      <c r="G279" s="1">
        <f>IFERROR(__xludf.DUMMYFUNCTION("""COMPUTED_VALUE"""),62.0)</f>
        <v>62</v>
      </c>
      <c r="H279" s="1">
        <f>IFERROR(__xludf.DUMMYFUNCTION("""COMPUTED_VALUE"""),68.0)</f>
        <v>68</v>
      </c>
      <c r="I279" s="1">
        <f>IFERROR(__xludf.DUMMYFUNCTION("""COMPUTED_VALUE"""),60.0)</f>
        <v>60</v>
      </c>
      <c r="J279" s="1">
        <f>IFERROR(__xludf.DUMMYFUNCTION("""COMPUTED_VALUE"""),88.0)</f>
        <v>88</v>
      </c>
      <c r="K279" s="1">
        <f>IFERROR(__xludf.DUMMYFUNCTION("""COMPUTED_VALUE"""),25.0)</f>
        <v>25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 t="str">
        <f>IFERROR(__xludf.DUMMYFUNCTION("""COMPUTED_VALUE"""),"D")</f>
        <v>D</v>
      </c>
      <c r="E280" s="1" t="str">
        <f>IFERROR(__xludf.DUMMYFUNCTION("""COMPUTED_VALUE"""),"Male")</f>
        <v>Male</v>
      </c>
      <c r="F280" s="1">
        <f>IFERROR(__xludf.DUMMYFUNCTION("""COMPUTED_VALUE"""),12.0)</f>
        <v>12</v>
      </c>
      <c r="G280" s="1">
        <f>IFERROR(__xludf.DUMMYFUNCTION("""COMPUTED_VALUE"""),93.0)</f>
        <v>93</v>
      </c>
      <c r="H280" s="1">
        <f>IFERROR(__xludf.DUMMYFUNCTION("""COMPUTED_VALUE"""),58.0)</f>
        <v>58</v>
      </c>
      <c r="I280" s="1">
        <f>IFERROR(__xludf.DUMMYFUNCTION("""COMPUTED_VALUE"""),69.0)</f>
        <v>69</v>
      </c>
      <c r="J280" s="1">
        <f>IFERROR(__xludf.DUMMYFUNCTION("""COMPUTED_VALUE"""),20.0)</f>
        <v>20</v>
      </c>
      <c r="K280" s="1">
        <f>IFERROR(__xludf.DUMMYFUNCTION("""COMPUTED_VALUE"""),89.0)</f>
        <v>89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 t="str">
        <f>IFERROR(__xludf.DUMMYFUNCTION("""COMPUTED_VALUE"""),"C")</f>
        <v>C</v>
      </c>
      <c r="E281" s="1" t="str">
        <f>IFERROR(__xludf.DUMMYFUNCTION("""COMPUTED_VALUE"""),"Male")</f>
        <v>Male</v>
      </c>
      <c r="F281" s="1">
        <f>IFERROR(__xludf.DUMMYFUNCTION("""COMPUTED_VALUE"""),80.0)</f>
        <v>80</v>
      </c>
      <c r="G281" s="1">
        <f>IFERROR(__xludf.DUMMYFUNCTION("""COMPUTED_VALUE"""),92.0)</f>
        <v>92</v>
      </c>
      <c r="H281" s="1">
        <f>IFERROR(__xludf.DUMMYFUNCTION("""COMPUTED_VALUE"""),49.0)</f>
        <v>49</v>
      </c>
      <c r="I281" s="1">
        <f>IFERROR(__xludf.DUMMYFUNCTION("""COMPUTED_VALUE"""),21.0)</f>
        <v>21</v>
      </c>
      <c r="J281" s="1">
        <f>IFERROR(__xludf.DUMMYFUNCTION("""COMPUTED_VALUE"""),60.0)</f>
        <v>60</v>
      </c>
      <c r="K281" s="1">
        <f>IFERROR(__xludf.DUMMYFUNCTION("""COMPUTED_VALUE"""),30.0)</f>
        <v>30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 t="str">
        <f>IFERROR(__xludf.DUMMYFUNCTION("""COMPUTED_VALUE"""),"A")</f>
        <v>A</v>
      </c>
      <c r="E282" s="1" t="str">
        <f>IFERROR(__xludf.DUMMYFUNCTION("""COMPUTED_VALUE"""),"Female")</f>
        <v>Female</v>
      </c>
      <c r="F282" s="1">
        <f>IFERROR(__xludf.DUMMYFUNCTION("""COMPUTED_VALUE"""),43.0)</f>
        <v>43</v>
      </c>
      <c r="G282" s="1">
        <f>IFERROR(__xludf.DUMMYFUNCTION("""COMPUTED_VALUE"""),63.0)</f>
        <v>63</v>
      </c>
      <c r="H282" s="1">
        <f>IFERROR(__xludf.DUMMYFUNCTION("""COMPUTED_VALUE"""),23.0)</f>
        <v>23</v>
      </c>
      <c r="I282" s="1">
        <f>IFERROR(__xludf.DUMMYFUNCTION("""COMPUTED_VALUE"""),36.0)</f>
        <v>36</v>
      </c>
      <c r="J282" s="1">
        <f>IFERROR(__xludf.DUMMYFUNCTION("""COMPUTED_VALUE"""),37.0)</f>
        <v>37</v>
      </c>
      <c r="K282" s="1">
        <f>IFERROR(__xludf.DUMMYFUNCTION("""COMPUTED_VALUE"""),56.0)</f>
        <v>56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 t="str">
        <f>IFERROR(__xludf.DUMMYFUNCTION("""COMPUTED_VALUE"""),"C")</f>
        <v>C</v>
      </c>
      <c r="E283" s="1" t="str">
        <f>IFERROR(__xludf.DUMMYFUNCTION("""COMPUTED_VALUE"""),"Female")</f>
        <v>Female</v>
      </c>
      <c r="F283" s="1">
        <f>IFERROR(__xludf.DUMMYFUNCTION("""COMPUTED_VALUE"""),32.0)</f>
        <v>32</v>
      </c>
      <c r="G283" s="1">
        <f>IFERROR(__xludf.DUMMYFUNCTION("""COMPUTED_VALUE"""),85.0)</f>
        <v>85</v>
      </c>
      <c r="H283" s="1">
        <f>IFERROR(__xludf.DUMMYFUNCTION("""COMPUTED_VALUE"""),59.0)</f>
        <v>59</v>
      </c>
      <c r="I283" s="1">
        <f>IFERROR(__xludf.DUMMYFUNCTION("""COMPUTED_VALUE"""),29.0)</f>
        <v>29</v>
      </c>
      <c r="J283" s="1">
        <f>IFERROR(__xludf.DUMMYFUNCTION("""COMPUTED_VALUE"""),53.0)</f>
        <v>53</v>
      </c>
      <c r="K283" s="1">
        <f>IFERROR(__xludf.DUMMYFUNCTION("""COMPUTED_VALUE"""),81.0)</f>
        <v>81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 t="str">
        <f>IFERROR(__xludf.DUMMYFUNCTION("""COMPUTED_VALUE"""),"B")</f>
        <v>B</v>
      </c>
      <c r="E284" s="1" t="str">
        <f>IFERROR(__xludf.DUMMYFUNCTION("""COMPUTED_VALUE"""),"Male")</f>
        <v>Male</v>
      </c>
      <c r="F284" s="1">
        <f>IFERROR(__xludf.DUMMYFUNCTION("""COMPUTED_VALUE"""),38.0)</f>
        <v>38</v>
      </c>
      <c r="G284" s="1">
        <f>IFERROR(__xludf.DUMMYFUNCTION("""COMPUTED_VALUE"""),58.0)</f>
        <v>58</v>
      </c>
      <c r="H284" s="1">
        <f>IFERROR(__xludf.DUMMYFUNCTION("""COMPUTED_VALUE"""),72.0)</f>
        <v>72</v>
      </c>
      <c r="I284" s="1">
        <f>IFERROR(__xludf.DUMMYFUNCTION("""COMPUTED_VALUE"""),96.0)</f>
        <v>96</v>
      </c>
      <c r="J284" s="1">
        <f>IFERROR(__xludf.DUMMYFUNCTION("""COMPUTED_VALUE"""),30.0)</f>
        <v>30</v>
      </c>
      <c r="K284" s="1">
        <f>IFERROR(__xludf.DUMMYFUNCTION("""COMPUTED_VALUE"""),93.0)</f>
        <v>93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 t="str">
        <f>IFERROR(__xludf.DUMMYFUNCTION("""COMPUTED_VALUE"""),"C")</f>
        <v>C</v>
      </c>
      <c r="E285" s="1" t="str">
        <f>IFERROR(__xludf.DUMMYFUNCTION("""COMPUTED_VALUE"""),"Female")</f>
        <v>Female</v>
      </c>
      <c r="F285" s="1">
        <f>IFERROR(__xludf.DUMMYFUNCTION("""COMPUTED_VALUE"""),12.0)</f>
        <v>12</v>
      </c>
      <c r="G285" s="1">
        <f>IFERROR(__xludf.DUMMYFUNCTION("""COMPUTED_VALUE"""),53.0)</f>
        <v>53</v>
      </c>
      <c r="H285" s="1">
        <f>IFERROR(__xludf.DUMMYFUNCTION("""COMPUTED_VALUE"""),33.0)</f>
        <v>33</v>
      </c>
      <c r="I285" s="1">
        <f>IFERROR(__xludf.DUMMYFUNCTION("""COMPUTED_VALUE"""),54.0)</f>
        <v>54</v>
      </c>
      <c r="J285" s="1">
        <f>IFERROR(__xludf.DUMMYFUNCTION("""COMPUTED_VALUE"""),24.0)</f>
        <v>24</v>
      </c>
      <c r="K285" s="1">
        <f>IFERROR(__xludf.DUMMYFUNCTION("""COMPUTED_VALUE"""),33.0)</f>
        <v>33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 t="str">
        <f>IFERROR(__xludf.DUMMYFUNCTION("""COMPUTED_VALUE"""),"A")</f>
        <v>A</v>
      </c>
      <c r="E286" s="1" t="str">
        <f>IFERROR(__xludf.DUMMYFUNCTION("""COMPUTED_VALUE"""),"Male")</f>
        <v>Male</v>
      </c>
      <c r="F286" s="1">
        <f>IFERROR(__xludf.DUMMYFUNCTION("""COMPUTED_VALUE"""),88.0)</f>
        <v>88</v>
      </c>
      <c r="G286" s="1">
        <f>IFERROR(__xludf.DUMMYFUNCTION("""COMPUTED_VALUE"""),25.0)</f>
        <v>25</v>
      </c>
      <c r="H286" s="1">
        <f>IFERROR(__xludf.DUMMYFUNCTION("""COMPUTED_VALUE"""),87.0)</f>
        <v>87</v>
      </c>
      <c r="I286" s="1">
        <f>IFERROR(__xludf.DUMMYFUNCTION("""COMPUTED_VALUE"""),97.0)</f>
        <v>97</v>
      </c>
      <c r="J286" s="1">
        <f>IFERROR(__xludf.DUMMYFUNCTION("""COMPUTED_VALUE"""),29.0)</f>
        <v>29</v>
      </c>
      <c r="K286" s="1">
        <f>IFERROR(__xludf.DUMMYFUNCTION("""COMPUTED_VALUE"""),49.0)</f>
        <v>49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 t="str">
        <f>IFERROR(__xludf.DUMMYFUNCTION("""COMPUTED_VALUE"""),"A")</f>
        <v>A</v>
      </c>
      <c r="E287" s="1" t="str">
        <f>IFERROR(__xludf.DUMMYFUNCTION("""COMPUTED_VALUE"""),"Female")</f>
        <v>Female</v>
      </c>
      <c r="F287" s="1">
        <f>IFERROR(__xludf.DUMMYFUNCTION("""COMPUTED_VALUE"""),66.0)</f>
        <v>66</v>
      </c>
      <c r="G287" s="1">
        <f>IFERROR(__xludf.DUMMYFUNCTION("""COMPUTED_VALUE"""),77.0)</f>
        <v>77</v>
      </c>
      <c r="H287" s="1">
        <f>IFERROR(__xludf.DUMMYFUNCTION("""COMPUTED_VALUE"""),71.0)</f>
        <v>71</v>
      </c>
      <c r="I287" s="1">
        <f>IFERROR(__xludf.DUMMYFUNCTION("""COMPUTED_VALUE"""),78.0)</f>
        <v>78</v>
      </c>
      <c r="J287" s="1">
        <f>IFERROR(__xludf.DUMMYFUNCTION("""COMPUTED_VALUE"""),88.0)</f>
        <v>88</v>
      </c>
      <c r="K287" s="1">
        <f>IFERROR(__xludf.DUMMYFUNCTION("""COMPUTED_VALUE"""),20.0)</f>
        <v>20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 t="str">
        <f>IFERROR(__xludf.DUMMYFUNCTION("""COMPUTED_VALUE"""),"D")</f>
        <v>D</v>
      </c>
      <c r="E288" s="1" t="str">
        <f>IFERROR(__xludf.DUMMYFUNCTION("""COMPUTED_VALUE"""),"Male")</f>
        <v>Male</v>
      </c>
      <c r="F288" s="1">
        <f>IFERROR(__xludf.DUMMYFUNCTION("""COMPUTED_VALUE"""),75.0)</f>
        <v>75</v>
      </c>
      <c r="G288" s="1">
        <f>IFERROR(__xludf.DUMMYFUNCTION("""COMPUTED_VALUE"""),28.0)</f>
        <v>28</v>
      </c>
      <c r="H288" s="1">
        <f>IFERROR(__xludf.DUMMYFUNCTION("""COMPUTED_VALUE"""),37.0)</f>
        <v>37</v>
      </c>
      <c r="I288" s="1">
        <f>IFERROR(__xludf.DUMMYFUNCTION("""COMPUTED_VALUE"""),40.0)</f>
        <v>40</v>
      </c>
      <c r="J288" s="1">
        <f>IFERROR(__xludf.DUMMYFUNCTION("""COMPUTED_VALUE"""),25.0)</f>
        <v>25</v>
      </c>
      <c r="K288" s="1">
        <f>IFERROR(__xludf.DUMMYFUNCTION("""COMPUTED_VALUE"""),89.0)</f>
        <v>89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 t="str">
        <f>IFERROR(__xludf.DUMMYFUNCTION("""COMPUTED_VALUE"""),"B")</f>
        <v>B</v>
      </c>
      <c r="E289" s="1" t="str">
        <f>IFERROR(__xludf.DUMMYFUNCTION("""COMPUTED_VALUE"""),"Female")</f>
        <v>Female</v>
      </c>
      <c r="F289" s="1">
        <f>IFERROR(__xludf.DUMMYFUNCTION("""COMPUTED_VALUE"""),44.0)</f>
        <v>44</v>
      </c>
      <c r="G289" s="1">
        <f>IFERROR(__xludf.DUMMYFUNCTION("""COMPUTED_VALUE"""),23.0)</f>
        <v>23</v>
      </c>
      <c r="H289" s="1">
        <f>IFERROR(__xludf.DUMMYFUNCTION("""COMPUTED_VALUE"""),83.0)</f>
        <v>83</v>
      </c>
      <c r="I289" s="1">
        <f>IFERROR(__xludf.DUMMYFUNCTION("""COMPUTED_VALUE"""),87.0)</f>
        <v>87</v>
      </c>
      <c r="J289" s="1">
        <f>IFERROR(__xludf.DUMMYFUNCTION("""COMPUTED_VALUE"""),41.0)</f>
        <v>41</v>
      </c>
      <c r="K289" s="1">
        <f>IFERROR(__xludf.DUMMYFUNCTION("""COMPUTED_VALUE"""),55.0)</f>
        <v>55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 t="str">
        <f>IFERROR(__xludf.DUMMYFUNCTION("""COMPUTED_VALUE"""),"C")</f>
        <v>C</v>
      </c>
      <c r="E290" s="1" t="str">
        <f>IFERROR(__xludf.DUMMYFUNCTION("""COMPUTED_VALUE"""),"Female")</f>
        <v>Female</v>
      </c>
      <c r="F290" s="1">
        <f>IFERROR(__xludf.DUMMYFUNCTION("""COMPUTED_VALUE"""),74.0)</f>
        <v>74</v>
      </c>
      <c r="G290" s="1">
        <f>IFERROR(__xludf.DUMMYFUNCTION("""COMPUTED_VALUE"""),81.0)</f>
        <v>81</v>
      </c>
      <c r="H290" s="1">
        <f>IFERROR(__xludf.DUMMYFUNCTION("""COMPUTED_VALUE"""),71.0)</f>
        <v>71</v>
      </c>
      <c r="I290" s="1">
        <f>IFERROR(__xludf.DUMMYFUNCTION("""COMPUTED_VALUE"""),75.0)</f>
        <v>75</v>
      </c>
      <c r="J290" s="1">
        <f>IFERROR(__xludf.DUMMYFUNCTION("""COMPUTED_VALUE"""),81.0)</f>
        <v>81</v>
      </c>
      <c r="K290" s="1">
        <f>IFERROR(__xludf.DUMMYFUNCTION("""COMPUTED_VALUE"""),83.0)</f>
        <v>83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 t="str">
        <f>IFERROR(__xludf.DUMMYFUNCTION("""COMPUTED_VALUE"""),"C")</f>
        <v>C</v>
      </c>
      <c r="E291" s="1" t="str">
        <f>IFERROR(__xludf.DUMMYFUNCTION("""COMPUTED_VALUE"""),"Male")</f>
        <v>Male</v>
      </c>
      <c r="F291" s="1">
        <f>IFERROR(__xludf.DUMMYFUNCTION("""COMPUTED_VALUE"""),92.0)</f>
        <v>92</v>
      </c>
      <c r="G291" s="1">
        <f>IFERROR(__xludf.DUMMYFUNCTION("""COMPUTED_VALUE"""),35.0)</f>
        <v>35</v>
      </c>
      <c r="H291" s="1">
        <f>IFERROR(__xludf.DUMMYFUNCTION("""COMPUTED_VALUE"""),81.0)</f>
        <v>81</v>
      </c>
      <c r="I291" s="1">
        <f>IFERROR(__xludf.DUMMYFUNCTION("""COMPUTED_VALUE"""),46.0)</f>
        <v>46</v>
      </c>
      <c r="J291" s="1">
        <f>IFERROR(__xludf.DUMMYFUNCTION("""COMPUTED_VALUE"""),85.0)</f>
        <v>85</v>
      </c>
      <c r="K291" s="1">
        <f>IFERROR(__xludf.DUMMYFUNCTION("""COMPUTED_VALUE"""),31.0)</f>
        <v>31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 t="str">
        <f>IFERROR(__xludf.DUMMYFUNCTION("""COMPUTED_VALUE"""),"C")</f>
        <v>C</v>
      </c>
      <c r="E292" s="1" t="str">
        <f>IFERROR(__xludf.DUMMYFUNCTION("""COMPUTED_VALUE"""),"Male")</f>
        <v>Male</v>
      </c>
      <c r="F292" s="1">
        <f>IFERROR(__xludf.DUMMYFUNCTION("""COMPUTED_VALUE"""),28.0)</f>
        <v>28</v>
      </c>
      <c r="G292" s="1">
        <f>IFERROR(__xludf.DUMMYFUNCTION("""COMPUTED_VALUE"""),94.0)</f>
        <v>94</v>
      </c>
      <c r="H292" s="1">
        <f>IFERROR(__xludf.DUMMYFUNCTION("""COMPUTED_VALUE"""),90.0)</f>
        <v>90</v>
      </c>
      <c r="I292" s="1">
        <f>IFERROR(__xludf.DUMMYFUNCTION("""COMPUTED_VALUE"""),91.0)</f>
        <v>91</v>
      </c>
      <c r="J292" s="1">
        <f>IFERROR(__xludf.DUMMYFUNCTION("""COMPUTED_VALUE"""),36.0)</f>
        <v>36</v>
      </c>
      <c r="K292" s="1">
        <f>IFERROR(__xludf.DUMMYFUNCTION("""COMPUTED_VALUE"""),79.0)</f>
        <v>79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 t="str">
        <f>IFERROR(__xludf.DUMMYFUNCTION("""COMPUTED_VALUE"""),"A")</f>
        <v>A</v>
      </c>
      <c r="E293" s="1" t="str">
        <f>IFERROR(__xludf.DUMMYFUNCTION("""COMPUTED_VALUE"""),"Female")</f>
        <v>Female</v>
      </c>
      <c r="F293" s="1">
        <f>IFERROR(__xludf.DUMMYFUNCTION("""COMPUTED_VALUE"""),87.0)</f>
        <v>87</v>
      </c>
      <c r="G293" s="1">
        <f>IFERROR(__xludf.DUMMYFUNCTION("""COMPUTED_VALUE"""),89.0)</f>
        <v>89</v>
      </c>
      <c r="H293" s="1">
        <f>IFERROR(__xludf.DUMMYFUNCTION("""COMPUTED_VALUE"""),39.0)</f>
        <v>39</v>
      </c>
      <c r="I293" s="1">
        <f>IFERROR(__xludf.DUMMYFUNCTION("""COMPUTED_VALUE"""),60.0)</f>
        <v>60</v>
      </c>
      <c r="J293" s="1">
        <f>IFERROR(__xludf.DUMMYFUNCTION("""COMPUTED_VALUE"""),85.0)</f>
        <v>85</v>
      </c>
      <c r="K293" s="1">
        <f>IFERROR(__xludf.DUMMYFUNCTION("""COMPUTED_VALUE"""),51.0)</f>
        <v>51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 t="str">
        <f>IFERROR(__xludf.DUMMYFUNCTION("""COMPUTED_VALUE"""),"A")</f>
        <v>A</v>
      </c>
      <c r="E294" s="1" t="str">
        <f>IFERROR(__xludf.DUMMYFUNCTION("""COMPUTED_VALUE"""),"Male")</f>
        <v>Male</v>
      </c>
      <c r="F294" s="1">
        <f>IFERROR(__xludf.DUMMYFUNCTION("""COMPUTED_VALUE"""),96.0)</f>
        <v>96</v>
      </c>
      <c r="G294" s="1">
        <f>IFERROR(__xludf.DUMMYFUNCTION("""COMPUTED_VALUE"""),49.0)</f>
        <v>49</v>
      </c>
      <c r="H294" s="1">
        <f>IFERROR(__xludf.DUMMYFUNCTION("""COMPUTED_VALUE"""),65.0)</f>
        <v>65</v>
      </c>
      <c r="I294" s="1">
        <f>IFERROR(__xludf.DUMMYFUNCTION("""COMPUTED_VALUE"""),64.0)</f>
        <v>64</v>
      </c>
      <c r="J294" s="1">
        <f>IFERROR(__xludf.DUMMYFUNCTION("""COMPUTED_VALUE"""),75.0)</f>
        <v>75</v>
      </c>
      <c r="K294" s="1">
        <f>IFERROR(__xludf.DUMMYFUNCTION("""COMPUTED_VALUE"""),39.0)</f>
        <v>39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 t="str">
        <f>IFERROR(__xludf.DUMMYFUNCTION("""COMPUTED_VALUE"""),"D")</f>
        <v>D</v>
      </c>
      <c r="E295" s="1" t="str">
        <f>IFERROR(__xludf.DUMMYFUNCTION("""COMPUTED_VALUE"""),"Male")</f>
        <v>Male</v>
      </c>
      <c r="F295" s="1">
        <f>IFERROR(__xludf.DUMMYFUNCTION("""COMPUTED_VALUE"""),62.0)</f>
        <v>62</v>
      </c>
      <c r="G295" s="1">
        <f>IFERROR(__xludf.DUMMYFUNCTION("""COMPUTED_VALUE"""),98.0)</f>
        <v>98</v>
      </c>
      <c r="H295" s="1">
        <f>IFERROR(__xludf.DUMMYFUNCTION("""COMPUTED_VALUE"""),66.0)</f>
        <v>66</v>
      </c>
      <c r="I295" s="1">
        <f>IFERROR(__xludf.DUMMYFUNCTION("""COMPUTED_VALUE"""),49.0)</f>
        <v>49</v>
      </c>
      <c r="J295" s="1">
        <f>IFERROR(__xludf.DUMMYFUNCTION("""COMPUTED_VALUE"""),24.0)</f>
        <v>24</v>
      </c>
      <c r="K295" s="1">
        <f>IFERROR(__xludf.DUMMYFUNCTION("""COMPUTED_VALUE"""),62.0)</f>
        <v>62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 t="str">
        <f>IFERROR(__xludf.DUMMYFUNCTION("""COMPUTED_VALUE"""),"A")</f>
        <v>A</v>
      </c>
      <c r="E296" s="1" t="str">
        <f>IFERROR(__xludf.DUMMYFUNCTION("""COMPUTED_VALUE"""),"Female")</f>
        <v>Female</v>
      </c>
      <c r="F296" s="1">
        <f>IFERROR(__xludf.DUMMYFUNCTION("""COMPUTED_VALUE"""),83.0)</f>
        <v>83</v>
      </c>
      <c r="G296" s="1">
        <f>IFERROR(__xludf.DUMMYFUNCTION("""COMPUTED_VALUE"""),49.0)</f>
        <v>49</v>
      </c>
      <c r="H296" s="1">
        <f>IFERROR(__xludf.DUMMYFUNCTION("""COMPUTED_VALUE"""),23.0)</f>
        <v>23</v>
      </c>
      <c r="I296" s="1">
        <f>IFERROR(__xludf.DUMMYFUNCTION("""COMPUTED_VALUE"""),85.0)</f>
        <v>85</v>
      </c>
      <c r="J296" s="1">
        <f>IFERROR(__xludf.DUMMYFUNCTION("""COMPUTED_VALUE"""),20.0)</f>
        <v>20</v>
      </c>
      <c r="K296" s="1">
        <f>IFERROR(__xludf.DUMMYFUNCTION("""COMPUTED_VALUE"""),68.0)</f>
        <v>68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 t="str">
        <f>IFERROR(__xludf.DUMMYFUNCTION("""COMPUTED_VALUE"""),"D")</f>
        <v>D</v>
      </c>
      <c r="E297" s="1" t="str">
        <f>IFERROR(__xludf.DUMMYFUNCTION("""COMPUTED_VALUE"""),"Male")</f>
        <v>Male</v>
      </c>
      <c r="F297" s="1">
        <f>IFERROR(__xludf.DUMMYFUNCTION("""COMPUTED_VALUE"""),10.0)</f>
        <v>10</v>
      </c>
      <c r="G297" s="1">
        <f>IFERROR(__xludf.DUMMYFUNCTION("""COMPUTED_VALUE"""),30.0)</f>
        <v>30</v>
      </c>
      <c r="H297" s="1">
        <f>IFERROR(__xludf.DUMMYFUNCTION("""COMPUTED_VALUE"""),53.0)</f>
        <v>53</v>
      </c>
      <c r="I297" s="1">
        <f>IFERROR(__xludf.DUMMYFUNCTION("""COMPUTED_VALUE"""),39.0)</f>
        <v>39</v>
      </c>
      <c r="J297" s="1">
        <f>IFERROR(__xludf.DUMMYFUNCTION("""COMPUTED_VALUE"""),64.0)</f>
        <v>64</v>
      </c>
      <c r="K297" s="1">
        <f>IFERROR(__xludf.DUMMYFUNCTION("""COMPUTED_VALUE"""),37.0)</f>
        <v>37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 t="str">
        <f>IFERROR(__xludf.DUMMYFUNCTION("""COMPUTED_VALUE"""),"C")</f>
        <v>C</v>
      </c>
      <c r="E298" s="1" t="str">
        <f>IFERROR(__xludf.DUMMYFUNCTION("""COMPUTED_VALUE"""),"Female")</f>
        <v>Female</v>
      </c>
      <c r="F298" s="1">
        <f>IFERROR(__xludf.DUMMYFUNCTION("""COMPUTED_VALUE"""),49.0)</f>
        <v>49</v>
      </c>
      <c r="G298" s="1">
        <f>IFERROR(__xludf.DUMMYFUNCTION("""COMPUTED_VALUE"""),71.0)</f>
        <v>71</v>
      </c>
      <c r="H298" s="1">
        <f>IFERROR(__xludf.DUMMYFUNCTION("""COMPUTED_VALUE"""),23.0)</f>
        <v>23</v>
      </c>
      <c r="I298" s="1">
        <f>IFERROR(__xludf.DUMMYFUNCTION("""COMPUTED_VALUE"""),54.0)</f>
        <v>54</v>
      </c>
      <c r="J298" s="1">
        <f>IFERROR(__xludf.DUMMYFUNCTION("""COMPUTED_VALUE"""),56.0)</f>
        <v>56</v>
      </c>
      <c r="K298" s="1">
        <f>IFERROR(__xludf.DUMMYFUNCTION("""COMPUTED_VALUE"""),28.0)</f>
        <v>28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 t="str">
        <f>IFERROR(__xludf.DUMMYFUNCTION("""COMPUTED_VALUE"""),"A")</f>
        <v>A</v>
      </c>
      <c r="E299" s="1" t="str">
        <f>IFERROR(__xludf.DUMMYFUNCTION("""COMPUTED_VALUE"""),"Female")</f>
        <v>Female</v>
      </c>
      <c r="F299" s="1">
        <f>IFERROR(__xludf.DUMMYFUNCTION("""COMPUTED_VALUE"""),23.0)</f>
        <v>23</v>
      </c>
      <c r="G299" s="1">
        <f>IFERROR(__xludf.DUMMYFUNCTION("""COMPUTED_VALUE"""),35.0)</f>
        <v>35</v>
      </c>
      <c r="H299" s="1">
        <f>IFERROR(__xludf.DUMMYFUNCTION("""COMPUTED_VALUE"""),97.0)</f>
        <v>97</v>
      </c>
      <c r="I299" s="1">
        <f>IFERROR(__xludf.DUMMYFUNCTION("""COMPUTED_VALUE"""),60.0)</f>
        <v>60</v>
      </c>
      <c r="J299" s="1">
        <f>IFERROR(__xludf.DUMMYFUNCTION("""COMPUTED_VALUE"""),87.0)</f>
        <v>87</v>
      </c>
      <c r="K299" s="1">
        <f>IFERROR(__xludf.DUMMYFUNCTION("""COMPUTED_VALUE"""),67.0)</f>
        <v>67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 t="str">
        <f>IFERROR(__xludf.DUMMYFUNCTION("""COMPUTED_VALUE"""),"A")</f>
        <v>A</v>
      </c>
      <c r="E300" s="1" t="str">
        <f>IFERROR(__xludf.DUMMYFUNCTION("""COMPUTED_VALUE"""),"Female")</f>
        <v>Female</v>
      </c>
      <c r="F300" s="1">
        <f>IFERROR(__xludf.DUMMYFUNCTION("""COMPUTED_VALUE"""),69.0)</f>
        <v>69</v>
      </c>
      <c r="G300" s="1">
        <f>IFERROR(__xludf.DUMMYFUNCTION("""COMPUTED_VALUE"""),84.0)</f>
        <v>84</v>
      </c>
      <c r="H300" s="1">
        <f>IFERROR(__xludf.DUMMYFUNCTION("""COMPUTED_VALUE"""),45.0)</f>
        <v>45</v>
      </c>
      <c r="I300" s="1">
        <f>IFERROR(__xludf.DUMMYFUNCTION("""COMPUTED_VALUE"""),54.0)</f>
        <v>54</v>
      </c>
      <c r="J300" s="1">
        <f>IFERROR(__xludf.DUMMYFUNCTION("""COMPUTED_VALUE"""),74.0)</f>
        <v>74</v>
      </c>
      <c r="K300" s="1">
        <f>IFERROR(__xludf.DUMMYFUNCTION("""COMPUTED_VALUE"""),35.0)</f>
        <v>35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 t="str">
        <f>IFERROR(__xludf.DUMMYFUNCTION("""COMPUTED_VALUE"""),"D")</f>
        <v>D</v>
      </c>
      <c r="E301" s="1" t="str">
        <f>IFERROR(__xludf.DUMMYFUNCTION("""COMPUTED_VALUE"""),"Male")</f>
        <v>Male</v>
      </c>
      <c r="F301" s="1">
        <f>IFERROR(__xludf.DUMMYFUNCTION("""COMPUTED_VALUE"""),34.0)</f>
        <v>34</v>
      </c>
      <c r="G301" s="1">
        <f>IFERROR(__xludf.DUMMYFUNCTION("""COMPUTED_VALUE"""),50.0)</f>
        <v>50</v>
      </c>
      <c r="H301" s="1">
        <f>IFERROR(__xludf.DUMMYFUNCTION("""COMPUTED_VALUE"""),81.0)</f>
        <v>81</v>
      </c>
      <c r="I301" s="1">
        <f>IFERROR(__xludf.DUMMYFUNCTION("""COMPUTED_VALUE"""),94.0)</f>
        <v>94</v>
      </c>
      <c r="J301" s="1">
        <f>IFERROR(__xludf.DUMMYFUNCTION("""COMPUTED_VALUE"""),71.0)</f>
        <v>71</v>
      </c>
      <c r="K301" s="1">
        <f>IFERROR(__xludf.DUMMYFUNCTION("""COMPUTED_VALUE"""),67.0)</f>
        <v>67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 t="str">
        <f>IFERROR(__xludf.DUMMYFUNCTION("""COMPUTED_VALUE"""),"D")</f>
        <v>D</v>
      </c>
      <c r="E302" s="1" t="str">
        <f>IFERROR(__xludf.DUMMYFUNCTION("""COMPUTED_VALUE"""),"Male")</f>
        <v>Male</v>
      </c>
      <c r="F302" s="1">
        <f>IFERROR(__xludf.DUMMYFUNCTION("""COMPUTED_VALUE"""),85.0)</f>
        <v>85</v>
      </c>
      <c r="G302" s="1">
        <f>IFERROR(__xludf.DUMMYFUNCTION("""COMPUTED_VALUE"""),60.0)</f>
        <v>60</v>
      </c>
      <c r="H302" s="1">
        <f>IFERROR(__xludf.DUMMYFUNCTION("""COMPUTED_VALUE"""),65.0)</f>
        <v>65</v>
      </c>
      <c r="I302" s="1">
        <f>IFERROR(__xludf.DUMMYFUNCTION("""COMPUTED_VALUE"""),93.0)</f>
        <v>93</v>
      </c>
      <c r="J302" s="1">
        <f>IFERROR(__xludf.DUMMYFUNCTION("""COMPUTED_VALUE"""),95.0)</f>
        <v>95</v>
      </c>
      <c r="K302" s="1">
        <f>IFERROR(__xludf.DUMMYFUNCTION("""COMPUTED_VALUE"""),94.0)</f>
        <v>94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 t="str">
        <f>IFERROR(__xludf.DUMMYFUNCTION("""COMPUTED_VALUE"""),"D")</f>
        <v>D</v>
      </c>
      <c r="E303" s="1" t="str">
        <f>IFERROR(__xludf.DUMMYFUNCTION("""COMPUTED_VALUE"""),"Male")</f>
        <v>Male</v>
      </c>
      <c r="F303" s="1">
        <f>IFERROR(__xludf.DUMMYFUNCTION("""COMPUTED_VALUE"""),52.0)</f>
        <v>52</v>
      </c>
      <c r="G303" s="1">
        <f>IFERROR(__xludf.DUMMYFUNCTION("""COMPUTED_VALUE"""),83.0)</f>
        <v>83</v>
      </c>
      <c r="H303" s="1">
        <f>IFERROR(__xludf.DUMMYFUNCTION("""COMPUTED_VALUE"""),76.0)</f>
        <v>76</v>
      </c>
      <c r="I303" s="1">
        <f>IFERROR(__xludf.DUMMYFUNCTION("""COMPUTED_VALUE"""),52.0)</f>
        <v>52</v>
      </c>
      <c r="J303" s="1">
        <f>IFERROR(__xludf.DUMMYFUNCTION("""COMPUTED_VALUE"""),93.0)</f>
        <v>93</v>
      </c>
      <c r="K303" s="1">
        <f>IFERROR(__xludf.DUMMYFUNCTION("""COMPUTED_VALUE"""),66.0)</f>
        <v>66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 t="str">
        <f>IFERROR(__xludf.DUMMYFUNCTION("""COMPUTED_VALUE"""),"D")</f>
        <v>D</v>
      </c>
      <c r="E304" s="1" t="str">
        <f>IFERROR(__xludf.DUMMYFUNCTION("""COMPUTED_VALUE"""),"Male")</f>
        <v>Male</v>
      </c>
      <c r="F304" s="1">
        <f>IFERROR(__xludf.DUMMYFUNCTION("""COMPUTED_VALUE"""),63.0)</f>
        <v>63</v>
      </c>
      <c r="G304" s="1">
        <f>IFERROR(__xludf.DUMMYFUNCTION("""COMPUTED_VALUE"""),93.0)</f>
        <v>93</v>
      </c>
      <c r="H304" s="1">
        <f>IFERROR(__xludf.DUMMYFUNCTION("""COMPUTED_VALUE"""),41.0)</f>
        <v>41</v>
      </c>
      <c r="I304" s="1">
        <f>IFERROR(__xludf.DUMMYFUNCTION("""COMPUTED_VALUE"""),85.0)</f>
        <v>85</v>
      </c>
      <c r="J304" s="1">
        <f>IFERROR(__xludf.DUMMYFUNCTION("""COMPUTED_VALUE"""),91.0)</f>
        <v>91</v>
      </c>
      <c r="K304" s="1">
        <f>IFERROR(__xludf.DUMMYFUNCTION("""COMPUTED_VALUE"""),47.0)</f>
        <v>47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 t="str">
        <f>IFERROR(__xludf.DUMMYFUNCTION("""COMPUTED_VALUE"""),"C")</f>
        <v>C</v>
      </c>
      <c r="E305" s="1" t="str">
        <f>IFERROR(__xludf.DUMMYFUNCTION("""COMPUTED_VALUE"""),"Male")</f>
        <v>Male</v>
      </c>
      <c r="F305" s="1">
        <f>IFERROR(__xludf.DUMMYFUNCTION("""COMPUTED_VALUE"""),22.0)</f>
        <v>22</v>
      </c>
      <c r="G305" s="1">
        <f>IFERROR(__xludf.DUMMYFUNCTION("""COMPUTED_VALUE"""),48.0)</f>
        <v>48</v>
      </c>
      <c r="H305" s="1">
        <f>IFERROR(__xludf.DUMMYFUNCTION("""COMPUTED_VALUE"""),93.0)</f>
        <v>93</v>
      </c>
      <c r="I305" s="1">
        <f>IFERROR(__xludf.DUMMYFUNCTION("""COMPUTED_VALUE"""),63.0)</f>
        <v>63</v>
      </c>
      <c r="J305" s="1">
        <f>IFERROR(__xludf.DUMMYFUNCTION("""COMPUTED_VALUE"""),38.0)</f>
        <v>38</v>
      </c>
      <c r="K305" s="1">
        <f>IFERROR(__xludf.DUMMYFUNCTION("""COMPUTED_VALUE"""),87.0)</f>
        <v>87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 t="str">
        <f>IFERROR(__xludf.DUMMYFUNCTION("""COMPUTED_VALUE"""),"B")</f>
        <v>B</v>
      </c>
      <c r="E306" s="1" t="str">
        <f>IFERROR(__xludf.DUMMYFUNCTION("""COMPUTED_VALUE"""),"Male")</f>
        <v>Male</v>
      </c>
      <c r="F306" s="1">
        <f>IFERROR(__xludf.DUMMYFUNCTION("""COMPUTED_VALUE"""),11.0)</f>
        <v>11</v>
      </c>
      <c r="G306" s="1">
        <f>IFERROR(__xludf.DUMMYFUNCTION("""COMPUTED_VALUE"""),33.0)</f>
        <v>33</v>
      </c>
      <c r="H306" s="1">
        <f>IFERROR(__xludf.DUMMYFUNCTION("""COMPUTED_VALUE"""),41.0)</f>
        <v>41</v>
      </c>
      <c r="I306" s="1">
        <f>IFERROR(__xludf.DUMMYFUNCTION("""COMPUTED_VALUE"""),52.0)</f>
        <v>52</v>
      </c>
      <c r="J306" s="1">
        <f>IFERROR(__xludf.DUMMYFUNCTION("""COMPUTED_VALUE"""),71.0)</f>
        <v>71</v>
      </c>
      <c r="K306" s="1">
        <f>IFERROR(__xludf.DUMMYFUNCTION("""COMPUTED_VALUE"""),74.0)</f>
        <v>74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 t="str">
        <f>IFERROR(__xludf.DUMMYFUNCTION("""COMPUTED_VALUE"""),"D")</f>
        <v>D</v>
      </c>
      <c r="E307" s="1" t="str">
        <f>IFERROR(__xludf.DUMMYFUNCTION("""COMPUTED_VALUE"""),"Female")</f>
        <v>Female</v>
      </c>
      <c r="F307" s="1">
        <f>IFERROR(__xludf.DUMMYFUNCTION("""COMPUTED_VALUE"""),21.0)</f>
        <v>21</v>
      </c>
      <c r="G307" s="1">
        <f>IFERROR(__xludf.DUMMYFUNCTION("""COMPUTED_VALUE"""),98.0)</f>
        <v>98</v>
      </c>
      <c r="H307" s="1">
        <f>IFERROR(__xludf.DUMMYFUNCTION("""COMPUTED_VALUE"""),28.0)</f>
        <v>28</v>
      </c>
      <c r="I307" s="1">
        <f>IFERROR(__xludf.DUMMYFUNCTION("""COMPUTED_VALUE"""),46.0)</f>
        <v>46</v>
      </c>
      <c r="J307" s="1">
        <f>IFERROR(__xludf.DUMMYFUNCTION("""COMPUTED_VALUE"""),25.0)</f>
        <v>25</v>
      </c>
      <c r="K307" s="1">
        <f>IFERROR(__xludf.DUMMYFUNCTION("""COMPUTED_VALUE"""),25.0)</f>
        <v>25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 t="str">
        <f>IFERROR(__xludf.DUMMYFUNCTION("""COMPUTED_VALUE"""),"D")</f>
        <v>D</v>
      </c>
      <c r="E308" s="1" t="str">
        <f>IFERROR(__xludf.DUMMYFUNCTION("""COMPUTED_VALUE"""),"Female")</f>
        <v>Female</v>
      </c>
      <c r="F308" s="1">
        <f>IFERROR(__xludf.DUMMYFUNCTION("""COMPUTED_VALUE"""),77.0)</f>
        <v>77</v>
      </c>
      <c r="G308" s="1">
        <f>IFERROR(__xludf.DUMMYFUNCTION("""COMPUTED_VALUE"""),36.0)</f>
        <v>36</v>
      </c>
      <c r="H308" s="1">
        <f>IFERROR(__xludf.DUMMYFUNCTION("""COMPUTED_VALUE"""),25.0)</f>
        <v>25</v>
      </c>
      <c r="I308" s="1">
        <f>IFERROR(__xludf.DUMMYFUNCTION("""COMPUTED_VALUE"""),27.0)</f>
        <v>27</v>
      </c>
      <c r="J308" s="1">
        <f>IFERROR(__xludf.DUMMYFUNCTION("""COMPUTED_VALUE"""),66.0)</f>
        <v>66</v>
      </c>
      <c r="K308" s="1">
        <f>IFERROR(__xludf.DUMMYFUNCTION("""COMPUTED_VALUE"""),35.0)</f>
        <v>35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 t="str">
        <f>IFERROR(__xludf.DUMMYFUNCTION("""COMPUTED_VALUE"""),"C")</f>
        <v>C</v>
      </c>
      <c r="E309" s="1" t="str">
        <f>IFERROR(__xludf.DUMMYFUNCTION("""COMPUTED_VALUE"""),"Male")</f>
        <v>Male</v>
      </c>
      <c r="F309" s="1">
        <f>IFERROR(__xludf.DUMMYFUNCTION("""COMPUTED_VALUE"""),30.0)</f>
        <v>30</v>
      </c>
      <c r="G309" s="1">
        <f>IFERROR(__xludf.DUMMYFUNCTION("""COMPUTED_VALUE"""),46.0)</f>
        <v>46</v>
      </c>
      <c r="H309" s="1">
        <f>IFERROR(__xludf.DUMMYFUNCTION("""COMPUTED_VALUE"""),21.0)</f>
        <v>21</v>
      </c>
      <c r="I309" s="1">
        <f>IFERROR(__xludf.DUMMYFUNCTION("""COMPUTED_VALUE"""),24.0)</f>
        <v>24</v>
      </c>
      <c r="J309" s="1">
        <f>IFERROR(__xludf.DUMMYFUNCTION("""COMPUTED_VALUE"""),70.0)</f>
        <v>70</v>
      </c>
      <c r="K309" s="1">
        <f>IFERROR(__xludf.DUMMYFUNCTION("""COMPUTED_VALUE"""),84.0)</f>
        <v>84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 t="str">
        <f>IFERROR(__xludf.DUMMYFUNCTION("""COMPUTED_VALUE"""),"A")</f>
        <v>A</v>
      </c>
      <c r="E310" s="1" t="str">
        <f>IFERROR(__xludf.DUMMYFUNCTION("""COMPUTED_VALUE"""),"Female")</f>
        <v>Female</v>
      </c>
      <c r="F310" s="1">
        <f>IFERROR(__xludf.DUMMYFUNCTION("""COMPUTED_VALUE"""),42.0)</f>
        <v>42</v>
      </c>
      <c r="G310" s="1">
        <f>IFERROR(__xludf.DUMMYFUNCTION("""COMPUTED_VALUE"""),78.0)</f>
        <v>78</v>
      </c>
      <c r="H310" s="1">
        <f>IFERROR(__xludf.DUMMYFUNCTION("""COMPUTED_VALUE"""),93.0)</f>
        <v>93</v>
      </c>
      <c r="I310" s="1">
        <f>IFERROR(__xludf.DUMMYFUNCTION("""COMPUTED_VALUE"""),48.0)</f>
        <v>48</v>
      </c>
      <c r="J310" s="1">
        <f>IFERROR(__xludf.DUMMYFUNCTION("""COMPUTED_VALUE"""),93.0)</f>
        <v>93</v>
      </c>
      <c r="K310" s="1">
        <f>IFERROR(__xludf.DUMMYFUNCTION("""COMPUTED_VALUE"""),76.0)</f>
        <v>76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 t="str">
        <f>IFERROR(__xludf.DUMMYFUNCTION("""COMPUTED_VALUE"""),"D")</f>
        <v>D</v>
      </c>
      <c r="E311" s="1" t="str">
        <f>IFERROR(__xludf.DUMMYFUNCTION("""COMPUTED_VALUE"""),"Male")</f>
        <v>Male</v>
      </c>
      <c r="F311" s="1">
        <f>IFERROR(__xludf.DUMMYFUNCTION("""COMPUTED_VALUE"""),70.0)</f>
        <v>70</v>
      </c>
      <c r="G311" s="1">
        <f>IFERROR(__xludf.DUMMYFUNCTION("""COMPUTED_VALUE"""),99.0)</f>
        <v>99</v>
      </c>
      <c r="H311" s="1">
        <f>IFERROR(__xludf.DUMMYFUNCTION("""COMPUTED_VALUE"""),37.0)</f>
        <v>37</v>
      </c>
      <c r="I311" s="1">
        <f>IFERROR(__xludf.DUMMYFUNCTION("""COMPUTED_VALUE"""),55.0)</f>
        <v>55</v>
      </c>
      <c r="J311" s="1">
        <f>IFERROR(__xludf.DUMMYFUNCTION("""COMPUTED_VALUE"""),96.0)</f>
        <v>96</v>
      </c>
      <c r="K311" s="1">
        <f>IFERROR(__xludf.DUMMYFUNCTION("""COMPUTED_VALUE"""),46.0)</f>
        <v>46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 t="str">
        <f>IFERROR(__xludf.DUMMYFUNCTION("""COMPUTED_VALUE"""),"A")</f>
        <v>A</v>
      </c>
      <c r="E312" s="1" t="str">
        <f>IFERROR(__xludf.DUMMYFUNCTION("""COMPUTED_VALUE"""),"Male")</f>
        <v>Male</v>
      </c>
      <c r="F312" s="1">
        <f>IFERROR(__xludf.DUMMYFUNCTION("""COMPUTED_VALUE"""),61.0)</f>
        <v>61</v>
      </c>
      <c r="G312" s="1">
        <f>IFERROR(__xludf.DUMMYFUNCTION("""COMPUTED_VALUE"""),24.0)</f>
        <v>24</v>
      </c>
      <c r="H312" s="1">
        <f>IFERROR(__xludf.DUMMYFUNCTION("""COMPUTED_VALUE"""),95.0)</f>
        <v>95</v>
      </c>
      <c r="I312" s="1">
        <f>IFERROR(__xludf.DUMMYFUNCTION("""COMPUTED_VALUE"""),78.0)</f>
        <v>78</v>
      </c>
      <c r="J312" s="1">
        <f>IFERROR(__xludf.DUMMYFUNCTION("""COMPUTED_VALUE"""),22.0)</f>
        <v>22</v>
      </c>
      <c r="K312" s="1">
        <f>IFERROR(__xludf.DUMMYFUNCTION("""COMPUTED_VALUE"""),24.0)</f>
        <v>24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 t="str">
        <f>IFERROR(__xludf.DUMMYFUNCTION("""COMPUTED_VALUE"""),"B")</f>
        <v>B</v>
      </c>
      <c r="E313" s="1" t="str">
        <f>IFERROR(__xludf.DUMMYFUNCTION("""COMPUTED_VALUE"""),"Female")</f>
        <v>Female</v>
      </c>
      <c r="F313" s="1">
        <f>IFERROR(__xludf.DUMMYFUNCTION("""COMPUTED_VALUE"""),99.0)</f>
        <v>99</v>
      </c>
      <c r="G313" s="1">
        <f>IFERROR(__xludf.DUMMYFUNCTION("""COMPUTED_VALUE"""),77.0)</f>
        <v>77</v>
      </c>
      <c r="H313" s="1">
        <f>IFERROR(__xludf.DUMMYFUNCTION("""COMPUTED_VALUE"""),28.0)</f>
        <v>28</v>
      </c>
      <c r="I313" s="1">
        <f>IFERROR(__xludf.DUMMYFUNCTION("""COMPUTED_VALUE"""),94.0)</f>
        <v>94</v>
      </c>
      <c r="J313" s="1">
        <f>IFERROR(__xludf.DUMMYFUNCTION("""COMPUTED_VALUE"""),25.0)</f>
        <v>25</v>
      </c>
      <c r="K313" s="1">
        <f>IFERROR(__xludf.DUMMYFUNCTION("""COMPUTED_VALUE"""),24.0)</f>
        <v>24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 t="str">
        <f>IFERROR(__xludf.DUMMYFUNCTION("""COMPUTED_VALUE"""),"B")</f>
        <v>B</v>
      </c>
      <c r="E314" s="1" t="str">
        <f>IFERROR(__xludf.DUMMYFUNCTION("""COMPUTED_VALUE"""),"Male")</f>
        <v>Male</v>
      </c>
      <c r="F314" s="1">
        <f>IFERROR(__xludf.DUMMYFUNCTION("""COMPUTED_VALUE"""),33.0)</f>
        <v>33</v>
      </c>
      <c r="G314" s="1">
        <f>IFERROR(__xludf.DUMMYFUNCTION("""COMPUTED_VALUE"""),29.0)</f>
        <v>29</v>
      </c>
      <c r="H314" s="1">
        <f>IFERROR(__xludf.DUMMYFUNCTION("""COMPUTED_VALUE"""),74.0)</f>
        <v>74</v>
      </c>
      <c r="I314" s="1">
        <f>IFERROR(__xludf.DUMMYFUNCTION("""COMPUTED_VALUE"""),78.0)</f>
        <v>78</v>
      </c>
      <c r="J314" s="1">
        <f>IFERROR(__xludf.DUMMYFUNCTION("""COMPUTED_VALUE"""),66.0)</f>
        <v>66</v>
      </c>
      <c r="K314" s="1">
        <f>IFERROR(__xludf.DUMMYFUNCTION("""COMPUTED_VALUE"""),56.0)</f>
        <v>56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 t="str">
        <f>IFERROR(__xludf.DUMMYFUNCTION("""COMPUTED_VALUE"""),"A")</f>
        <v>A</v>
      </c>
      <c r="E315" s="1" t="str">
        <f>IFERROR(__xludf.DUMMYFUNCTION("""COMPUTED_VALUE"""),"Female")</f>
        <v>Female</v>
      </c>
      <c r="F315" s="1">
        <f>IFERROR(__xludf.DUMMYFUNCTION("""COMPUTED_VALUE"""),26.0)</f>
        <v>26</v>
      </c>
      <c r="G315" s="1">
        <f>IFERROR(__xludf.DUMMYFUNCTION("""COMPUTED_VALUE"""),21.0)</f>
        <v>21</v>
      </c>
      <c r="H315" s="1">
        <f>IFERROR(__xludf.DUMMYFUNCTION("""COMPUTED_VALUE"""),97.0)</f>
        <v>97</v>
      </c>
      <c r="I315" s="1">
        <f>IFERROR(__xludf.DUMMYFUNCTION("""COMPUTED_VALUE"""),67.0)</f>
        <v>67</v>
      </c>
      <c r="J315" s="1">
        <f>IFERROR(__xludf.DUMMYFUNCTION("""COMPUTED_VALUE"""),81.0)</f>
        <v>81</v>
      </c>
      <c r="K315" s="1">
        <f>IFERROR(__xludf.DUMMYFUNCTION("""COMPUTED_VALUE"""),72.0)</f>
        <v>72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 t="str">
        <f>IFERROR(__xludf.DUMMYFUNCTION("""COMPUTED_VALUE"""),"B")</f>
        <v>B</v>
      </c>
      <c r="E316" s="1" t="str">
        <f>IFERROR(__xludf.DUMMYFUNCTION("""COMPUTED_VALUE"""),"Male")</f>
        <v>Male</v>
      </c>
      <c r="F316" s="1">
        <f>IFERROR(__xludf.DUMMYFUNCTION("""COMPUTED_VALUE"""),37.0)</f>
        <v>37</v>
      </c>
      <c r="G316" s="1">
        <f>IFERROR(__xludf.DUMMYFUNCTION("""COMPUTED_VALUE"""),39.0)</f>
        <v>39</v>
      </c>
      <c r="H316" s="1">
        <f>IFERROR(__xludf.DUMMYFUNCTION("""COMPUTED_VALUE"""),28.0)</f>
        <v>28</v>
      </c>
      <c r="I316" s="1">
        <f>IFERROR(__xludf.DUMMYFUNCTION("""COMPUTED_VALUE"""),54.0)</f>
        <v>54</v>
      </c>
      <c r="J316" s="1">
        <f>IFERROR(__xludf.DUMMYFUNCTION("""COMPUTED_VALUE"""),51.0)</f>
        <v>51</v>
      </c>
      <c r="K316" s="1">
        <f>IFERROR(__xludf.DUMMYFUNCTION("""COMPUTED_VALUE"""),61.0)</f>
        <v>61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 t="str">
        <f>IFERROR(__xludf.DUMMYFUNCTION("""COMPUTED_VALUE"""),"A")</f>
        <v>A</v>
      </c>
      <c r="E317" s="1" t="str">
        <f>IFERROR(__xludf.DUMMYFUNCTION("""COMPUTED_VALUE"""),"Male")</f>
        <v>Male</v>
      </c>
      <c r="F317" s="1">
        <f>IFERROR(__xludf.DUMMYFUNCTION("""COMPUTED_VALUE"""),46.0)</f>
        <v>46</v>
      </c>
      <c r="G317" s="1">
        <f>IFERROR(__xludf.DUMMYFUNCTION("""COMPUTED_VALUE"""),73.0)</f>
        <v>73</v>
      </c>
      <c r="H317" s="1">
        <f>IFERROR(__xludf.DUMMYFUNCTION("""COMPUTED_VALUE"""),50.0)</f>
        <v>50</v>
      </c>
      <c r="I317" s="1">
        <f>IFERROR(__xludf.DUMMYFUNCTION("""COMPUTED_VALUE"""),75.0)</f>
        <v>75</v>
      </c>
      <c r="J317" s="1">
        <f>IFERROR(__xludf.DUMMYFUNCTION("""COMPUTED_VALUE"""),21.0)</f>
        <v>21</v>
      </c>
      <c r="K317" s="1">
        <f>IFERROR(__xludf.DUMMYFUNCTION("""COMPUTED_VALUE"""),92.0)</f>
        <v>92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 t="str">
        <f>IFERROR(__xludf.DUMMYFUNCTION("""COMPUTED_VALUE"""),"B")</f>
        <v>B</v>
      </c>
      <c r="E318" s="1" t="str">
        <f>IFERROR(__xludf.DUMMYFUNCTION("""COMPUTED_VALUE"""),"Female")</f>
        <v>Female</v>
      </c>
      <c r="F318" s="1">
        <f>IFERROR(__xludf.DUMMYFUNCTION("""COMPUTED_VALUE"""),73.0)</f>
        <v>73</v>
      </c>
      <c r="G318" s="1">
        <f>IFERROR(__xludf.DUMMYFUNCTION("""COMPUTED_VALUE"""),95.0)</f>
        <v>95</v>
      </c>
      <c r="H318" s="1">
        <f>IFERROR(__xludf.DUMMYFUNCTION("""COMPUTED_VALUE"""),41.0)</f>
        <v>41</v>
      </c>
      <c r="I318" s="1">
        <f>IFERROR(__xludf.DUMMYFUNCTION("""COMPUTED_VALUE"""),26.0)</f>
        <v>26</v>
      </c>
      <c r="J318" s="1">
        <f>IFERROR(__xludf.DUMMYFUNCTION("""COMPUTED_VALUE"""),32.0)</f>
        <v>32</v>
      </c>
      <c r="K318" s="1">
        <f>IFERROR(__xludf.DUMMYFUNCTION("""COMPUTED_VALUE"""),52.0)</f>
        <v>52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 t="str">
        <f>IFERROR(__xludf.DUMMYFUNCTION("""COMPUTED_VALUE"""),"A")</f>
        <v>A</v>
      </c>
      <c r="E319" s="1" t="str">
        <f>IFERROR(__xludf.DUMMYFUNCTION("""COMPUTED_VALUE"""),"Male")</f>
        <v>Male</v>
      </c>
      <c r="F319" s="1">
        <f>IFERROR(__xludf.DUMMYFUNCTION("""COMPUTED_VALUE"""),11.0)</f>
        <v>11</v>
      </c>
      <c r="G319" s="1">
        <f>IFERROR(__xludf.DUMMYFUNCTION("""COMPUTED_VALUE"""),23.0)</f>
        <v>23</v>
      </c>
      <c r="H319" s="1">
        <f>IFERROR(__xludf.DUMMYFUNCTION("""COMPUTED_VALUE"""),75.0)</f>
        <v>75</v>
      </c>
      <c r="I319" s="1">
        <f>IFERROR(__xludf.DUMMYFUNCTION("""COMPUTED_VALUE"""),73.0)</f>
        <v>73</v>
      </c>
      <c r="J319" s="1">
        <f>IFERROR(__xludf.DUMMYFUNCTION("""COMPUTED_VALUE"""),34.0)</f>
        <v>34</v>
      </c>
      <c r="K319" s="1">
        <f>IFERROR(__xludf.DUMMYFUNCTION("""COMPUTED_VALUE"""),85.0)</f>
        <v>85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 t="str">
        <f>IFERROR(__xludf.DUMMYFUNCTION("""COMPUTED_VALUE"""),"D")</f>
        <v>D</v>
      </c>
      <c r="E320" s="1" t="str">
        <f>IFERROR(__xludf.DUMMYFUNCTION("""COMPUTED_VALUE"""),"Female")</f>
        <v>Female</v>
      </c>
      <c r="F320" s="1">
        <f>IFERROR(__xludf.DUMMYFUNCTION("""COMPUTED_VALUE"""),60.0)</f>
        <v>60</v>
      </c>
      <c r="G320" s="1">
        <f>IFERROR(__xludf.DUMMYFUNCTION("""COMPUTED_VALUE"""),45.0)</f>
        <v>45</v>
      </c>
      <c r="H320" s="1">
        <f>IFERROR(__xludf.DUMMYFUNCTION("""COMPUTED_VALUE"""),51.0)</f>
        <v>51</v>
      </c>
      <c r="I320" s="1">
        <f>IFERROR(__xludf.DUMMYFUNCTION("""COMPUTED_VALUE"""),72.0)</f>
        <v>72</v>
      </c>
      <c r="J320" s="1">
        <f>IFERROR(__xludf.DUMMYFUNCTION("""COMPUTED_VALUE"""),95.0)</f>
        <v>95</v>
      </c>
      <c r="K320" s="1">
        <f>IFERROR(__xludf.DUMMYFUNCTION("""COMPUTED_VALUE"""),49.0)</f>
        <v>49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 t="str">
        <f>IFERROR(__xludf.DUMMYFUNCTION("""COMPUTED_VALUE"""),"A")</f>
        <v>A</v>
      </c>
      <c r="E321" s="1" t="str">
        <f>IFERROR(__xludf.DUMMYFUNCTION("""COMPUTED_VALUE"""),"Male")</f>
        <v>Male</v>
      </c>
      <c r="F321" s="1">
        <f>IFERROR(__xludf.DUMMYFUNCTION("""COMPUTED_VALUE"""),84.0)</f>
        <v>84</v>
      </c>
      <c r="G321" s="1">
        <f>IFERROR(__xludf.DUMMYFUNCTION("""COMPUTED_VALUE"""),95.0)</f>
        <v>95</v>
      </c>
      <c r="H321" s="1">
        <f>IFERROR(__xludf.DUMMYFUNCTION("""COMPUTED_VALUE"""),61.0)</f>
        <v>61</v>
      </c>
      <c r="I321" s="1">
        <f>IFERROR(__xludf.DUMMYFUNCTION("""COMPUTED_VALUE"""),95.0)</f>
        <v>95</v>
      </c>
      <c r="J321" s="1">
        <f>IFERROR(__xludf.DUMMYFUNCTION("""COMPUTED_VALUE"""),35.0)</f>
        <v>35</v>
      </c>
      <c r="K321" s="1">
        <f>IFERROR(__xludf.DUMMYFUNCTION("""COMPUTED_VALUE"""),35.0)</f>
        <v>35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 t="str">
        <f>IFERROR(__xludf.DUMMYFUNCTION("""COMPUTED_VALUE"""),"B")</f>
        <v>B</v>
      </c>
      <c r="E322" s="1" t="str">
        <f>IFERROR(__xludf.DUMMYFUNCTION("""COMPUTED_VALUE"""),"Female")</f>
        <v>Female</v>
      </c>
      <c r="F322" s="1">
        <f>IFERROR(__xludf.DUMMYFUNCTION("""COMPUTED_VALUE"""),52.0)</f>
        <v>52</v>
      </c>
      <c r="G322" s="1">
        <f>IFERROR(__xludf.DUMMYFUNCTION("""COMPUTED_VALUE"""),96.0)</f>
        <v>96</v>
      </c>
      <c r="H322" s="1">
        <f>IFERROR(__xludf.DUMMYFUNCTION("""COMPUTED_VALUE"""),24.0)</f>
        <v>24</v>
      </c>
      <c r="I322" s="1">
        <f>IFERROR(__xludf.DUMMYFUNCTION("""COMPUTED_VALUE"""),69.0)</f>
        <v>69</v>
      </c>
      <c r="J322" s="1">
        <f>IFERROR(__xludf.DUMMYFUNCTION("""COMPUTED_VALUE"""),55.0)</f>
        <v>55</v>
      </c>
      <c r="K322" s="1">
        <f>IFERROR(__xludf.DUMMYFUNCTION("""COMPUTED_VALUE"""),66.0)</f>
        <v>66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 t="str">
        <f>IFERROR(__xludf.DUMMYFUNCTION("""COMPUTED_VALUE"""),"C")</f>
        <v>C</v>
      </c>
      <c r="E323" s="1" t="str">
        <f>IFERROR(__xludf.DUMMYFUNCTION("""COMPUTED_VALUE"""),"Female")</f>
        <v>Female</v>
      </c>
      <c r="F323" s="1">
        <f>IFERROR(__xludf.DUMMYFUNCTION("""COMPUTED_VALUE"""),58.0)</f>
        <v>58</v>
      </c>
      <c r="G323" s="1">
        <f>IFERROR(__xludf.DUMMYFUNCTION("""COMPUTED_VALUE"""),33.0)</f>
        <v>33</v>
      </c>
      <c r="H323" s="1">
        <f>IFERROR(__xludf.DUMMYFUNCTION("""COMPUTED_VALUE"""),89.0)</f>
        <v>89</v>
      </c>
      <c r="I323" s="1">
        <f>IFERROR(__xludf.DUMMYFUNCTION("""COMPUTED_VALUE"""),63.0)</f>
        <v>63</v>
      </c>
      <c r="J323" s="1">
        <f>IFERROR(__xludf.DUMMYFUNCTION("""COMPUTED_VALUE"""),81.0)</f>
        <v>81</v>
      </c>
      <c r="K323" s="1">
        <f>IFERROR(__xludf.DUMMYFUNCTION("""COMPUTED_VALUE"""),24.0)</f>
        <v>24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 t="str">
        <f>IFERROR(__xludf.DUMMYFUNCTION("""COMPUTED_VALUE"""),"C")</f>
        <v>C</v>
      </c>
      <c r="E324" s="1" t="str">
        <f>IFERROR(__xludf.DUMMYFUNCTION("""COMPUTED_VALUE"""),"Male")</f>
        <v>Male</v>
      </c>
      <c r="F324" s="1">
        <f>IFERROR(__xludf.DUMMYFUNCTION("""COMPUTED_VALUE"""),85.0)</f>
        <v>85</v>
      </c>
      <c r="G324" s="1">
        <f>IFERROR(__xludf.DUMMYFUNCTION("""COMPUTED_VALUE"""),34.0)</f>
        <v>34</v>
      </c>
      <c r="H324" s="1">
        <f>IFERROR(__xludf.DUMMYFUNCTION("""COMPUTED_VALUE"""),55.0)</f>
        <v>55</v>
      </c>
      <c r="I324" s="1">
        <f>IFERROR(__xludf.DUMMYFUNCTION("""COMPUTED_VALUE"""),29.0)</f>
        <v>29</v>
      </c>
      <c r="J324" s="1">
        <f>IFERROR(__xludf.DUMMYFUNCTION("""COMPUTED_VALUE"""),66.0)</f>
        <v>66</v>
      </c>
      <c r="K324" s="1">
        <f>IFERROR(__xludf.DUMMYFUNCTION("""COMPUTED_VALUE"""),68.0)</f>
        <v>68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 t="str">
        <f>IFERROR(__xludf.DUMMYFUNCTION("""COMPUTED_VALUE"""),"C")</f>
        <v>C</v>
      </c>
      <c r="E325" s="1" t="str">
        <f>IFERROR(__xludf.DUMMYFUNCTION("""COMPUTED_VALUE"""),"Male")</f>
        <v>Male</v>
      </c>
      <c r="F325" s="1">
        <f>IFERROR(__xludf.DUMMYFUNCTION("""COMPUTED_VALUE"""),76.0)</f>
        <v>76</v>
      </c>
      <c r="G325" s="1">
        <f>IFERROR(__xludf.DUMMYFUNCTION("""COMPUTED_VALUE"""),32.0)</f>
        <v>32</v>
      </c>
      <c r="H325" s="1">
        <f>IFERROR(__xludf.DUMMYFUNCTION("""COMPUTED_VALUE"""),28.0)</f>
        <v>28</v>
      </c>
      <c r="I325" s="1">
        <f>IFERROR(__xludf.DUMMYFUNCTION("""COMPUTED_VALUE"""),36.0)</f>
        <v>36</v>
      </c>
      <c r="J325" s="1">
        <f>IFERROR(__xludf.DUMMYFUNCTION("""COMPUTED_VALUE"""),29.0)</f>
        <v>29</v>
      </c>
      <c r="K325" s="1">
        <f>IFERROR(__xludf.DUMMYFUNCTION("""COMPUTED_VALUE"""),24.0)</f>
        <v>24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 t="str">
        <f>IFERROR(__xludf.DUMMYFUNCTION("""COMPUTED_VALUE"""),"D")</f>
        <v>D</v>
      </c>
      <c r="E326" s="1" t="str">
        <f>IFERROR(__xludf.DUMMYFUNCTION("""COMPUTED_VALUE"""),"Male")</f>
        <v>Male</v>
      </c>
      <c r="F326" s="1">
        <f>IFERROR(__xludf.DUMMYFUNCTION("""COMPUTED_VALUE"""),37.0)</f>
        <v>37</v>
      </c>
      <c r="G326" s="1">
        <f>IFERROR(__xludf.DUMMYFUNCTION("""COMPUTED_VALUE"""),21.0)</f>
        <v>21</v>
      </c>
      <c r="H326" s="1">
        <f>IFERROR(__xludf.DUMMYFUNCTION("""COMPUTED_VALUE"""),84.0)</f>
        <v>84</v>
      </c>
      <c r="I326" s="1">
        <f>IFERROR(__xludf.DUMMYFUNCTION("""COMPUTED_VALUE"""),60.0)</f>
        <v>60</v>
      </c>
      <c r="J326" s="1">
        <f>IFERROR(__xludf.DUMMYFUNCTION("""COMPUTED_VALUE"""),25.0)</f>
        <v>25</v>
      </c>
      <c r="K326" s="1">
        <f>IFERROR(__xludf.DUMMYFUNCTION("""COMPUTED_VALUE"""),81.0)</f>
        <v>81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 t="str">
        <f>IFERROR(__xludf.DUMMYFUNCTION("""COMPUTED_VALUE"""),"C")</f>
        <v>C</v>
      </c>
      <c r="E327" s="1" t="str">
        <f>IFERROR(__xludf.DUMMYFUNCTION("""COMPUTED_VALUE"""),"Male")</f>
        <v>Male</v>
      </c>
      <c r="F327" s="1">
        <f>IFERROR(__xludf.DUMMYFUNCTION("""COMPUTED_VALUE"""),65.0)</f>
        <v>65</v>
      </c>
      <c r="G327" s="1">
        <f>IFERROR(__xludf.DUMMYFUNCTION("""COMPUTED_VALUE"""),22.0)</f>
        <v>22</v>
      </c>
      <c r="H327" s="1">
        <f>IFERROR(__xludf.DUMMYFUNCTION("""COMPUTED_VALUE"""),75.0)</f>
        <v>75</v>
      </c>
      <c r="I327" s="1">
        <f>IFERROR(__xludf.DUMMYFUNCTION("""COMPUTED_VALUE"""),58.0)</f>
        <v>58</v>
      </c>
      <c r="J327" s="1">
        <f>IFERROR(__xludf.DUMMYFUNCTION("""COMPUTED_VALUE"""),80.0)</f>
        <v>80</v>
      </c>
      <c r="K327" s="1">
        <f>IFERROR(__xludf.DUMMYFUNCTION("""COMPUTED_VALUE"""),95.0)</f>
        <v>95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 t="str">
        <f>IFERROR(__xludf.DUMMYFUNCTION("""COMPUTED_VALUE"""),"A")</f>
        <v>A</v>
      </c>
      <c r="E328" s="1" t="str">
        <f>IFERROR(__xludf.DUMMYFUNCTION("""COMPUTED_VALUE"""),"Male")</f>
        <v>Male</v>
      </c>
      <c r="F328" s="1">
        <f>IFERROR(__xludf.DUMMYFUNCTION("""COMPUTED_VALUE"""),87.0)</f>
        <v>87</v>
      </c>
      <c r="G328" s="1">
        <f>IFERROR(__xludf.DUMMYFUNCTION("""COMPUTED_VALUE"""),46.0)</f>
        <v>46</v>
      </c>
      <c r="H328" s="1">
        <f>IFERROR(__xludf.DUMMYFUNCTION("""COMPUTED_VALUE"""),99.0)</f>
        <v>99</v>
      </c>
      <c r="I328" s="1">
        <f>IFERROR(__xludf.DUMMYFUNCTION("""COMPUTED_VALUE"""),70.0)</f>
        <v>70</v>
      </c>
      <c r="J328" s="1">
        <f>IFERROR(__xludf.DUMMYFUNCTION("""COMPUTED_VALUE"""),93.0)</f>
        <v>93</v>
      </c>
      <c r="K328" s="1">
        <f>IFERROR(__xludf.DUMMYFUNCTION("""COMPUTED_VALUE"""),89.0)</f>
        <v>89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 t="str">
        <f>IFERROR(__xludf.DUMMYFUNCTION("""COMPUTED_VALUE"""),"A")</f>
        <v>A</v>
      </c>
      <c r="E329" s="1" t="str">
        <f>IFERROR(__xludf.DUMMYFUNCTION("""COMPUTED_VALUE"""),"Male")</f>
        <v>Male</v>
      </c>
      <c r="F329" s="1">
        <f>IFERROR(__xludf.DUMMYFUNCTION("""COMPUTED_VALUE"""),17.0)</f>
        <v>17</v>
      </c>
      <c r="G329" s="1">
        <f>IFERROR(__xludf.DUMMYFUNCTION("""COMPUTED_VALUE"""),27.0)</f>
        <v>27</v>
      </c>
      <c r="H329" s="1">
        <f>IFERROR(__xludf.DUMMYFUNCTION("""COMPUTED_VALUE"""),64.0)</f>
        <v>64</v>
      </c>
      <c r="I329" s="1">
        <f>IFERROR(__xludf.DUMMYFUNCTION("""COMPUTED_VALUE"""),72.0)</f>
        <v>72</v>
      </c>
      <c r="J329" s="1">
        <f>IFERROR(__xludf.DUMMYFUNCTION("""COMPUTED_VALUE"""),41.0)</f>
        <v>41</v>
      </c>
      <c r="K329" s="1">
        <f>IFERROR(__xludf.DUMMYFUNCTION("""COMPUTED_VALUE"""),60.0)</f>
        <v>60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 t="str">
        <f>IFERROR(__xludf.DUMMYFUNCTION("""COMPUTED_VALUE"""),"C")</f>
        <v>C</v>
      </c>
      <c r="E330" s="1" t="str">
        <f>IFERROR(__xludf.DUMMYFUNCTION("""COMPUTED_VALUE"""),"Male")</f>
        <v>Male</v>
      </c>
      <c r="F330" s="1">
        <f>IFERROR(__xludf.DUMMYFUNCTION("""COMPUTED_VALUE"""),13.0)</f>
        <v>13</v>
      </c>
      <c r="G330" s="1">
        <f>IFERROR(__xludf.DUMMYFUNCTION("""COMPUTED_VALUE"""),73.0)</f>
        <v>73</v>
      </c>
      <c r="H330" s="1">
        <f>IFERROR(__xludf.DUMMYFUNCTION("""COMPUTED_VALUE"""),73.0)</f>
        <v>73</v>
      </c>
      <c r="I330" s="1">
        <f>IFERROR(__xludf.DUMMYFUNCTION("""COMPUTED_VALUE"""),68.0)</f>
        <v>68</v>
      </c>
      <c r="J330" s="1">
        <f>IFERROR(__xludf.DUMMYFUNCTION("""COMPUTED_VALUE"""),33.0)</f>
        <v>33</v>
      </c>
      <c r="K330" s="1">
        <f>IFERROR(__xludf.DUMMYFUNCTION("""COMPUTED_VALUE"""),76.0)</f>
        <v>76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 t="str">
        <f>IFERROR(__xludf.DUMMYFUNCTION("""COMPUTED_VALUE"""),"A")</f>
        <v>A</v>
      </c>
      <c r="E331" s="1" t="str">
        <f>IFERROR(__xludf.DUMMYFUNCTION("""COMPUTED_VALUE"""),"Male")</f>
        <v>Male</v>
      </c>
      <c r="F331" s="1">
        <f>IFERROR(__xludf.DUMMYFUNCTION("""COMPUTED_VALUE"""),91.0)</f>
        <v>91</v>
      </c>
      <c r="G331" s="1">
        <f>IFERROR(__xludf.DUMMYFUNCTION("""COMPUTED_VALUE"""),64.0)</f>
        <v>64</v>
      </c>
      <c r="H331" s="1">
        <f>IFERROR(__xludf.DUMMYFUNCTION("""COMPUTED_VALUE"""),86.0)</f>
        <v>86</v>
      </c>
      <c r="I331" s="1">
        <f>IFERROR(__xludf.DUMMYFUNCTION("""COMPUTED_VALUE"""),59.0)</f>
        <v>59</v>
      </c>
      <c r="J331" s="1">
        <f>IFERROR(__xludf.DUMMYFUNCTION("""COMPUTED_VALUE"""),63.0)</f>
        <v>63</v>
      </c>
      <c r="K331" s="1">
        <f>IFERROR(__xludf.DUMMYFUNCTION("""COMPUTED_VALUE"""),28.0)</f>
        <v>28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 t="str">
        <f>IFERROR(__xludf.DUMMYFUNCTION("""COMPUTED_VALUE"""),"A")</f>
        <v>A</v>
      </c>
      <c r="E332" s="1" t="str">
        <f>IFERROR(__xludf.DUMMYFUNCTION("""COMPUTED_VALUE"""),"Female")</f>
        <v>Female</v>
      </c>
      <c r="F332" s="1">
        <f>IFERROR(__xludf.DUMMYFUNCTION("""COMPUTED_VALUE"""),35.0)</f>
        <v>35</v>
      </c>
      <c r="G332" s="1">
        <f>IFERROR(__xludf.DUMMYFUNCTION("""COMPUTED_VALUE"""),79.0)</f>
        <v>79</v>
      </c>
      <c r="H332" s="1">
        <f>IFERROR(__xludf.DUMMYFUNCTION("""COMPUTED_VALUE"""),34.0)</f>
        <v>34</v>
      </c>
      <c r="I332" s="1">
        <f>IFERROR(__xludf.DUMMYFUNCTION("""COMPUTED_VALUE"""),98.0)</f>
        <v>98</v>
      </c>
      <c r="J332" s="1">
        <f>IFERROR(__xludf.DUMMYFUNCTION("""COMPUTED_VALUE"""),41.0)</f>
        <v>41</v>
      </c>
      <c r="K332" s="1">
        <f>IFERROR(__xludf.DUMMYFUNCTION("""COMPUTED_VALUE"""),55.0)</f>
        <v>55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 t="str">
        <f>IFERROR(__xludf.DUMMYFUNCTION("""COMPUTED_VALUE"""),"C")</f>
        <v>C</v>
      </c>
      <c r="E333" s="1" t="str">
        <f>IFERROR(__xludf.DUMMYFUNCTION("""COMPUTED_VALUE"""),"Male")</f>
        <v>Male</v>
      </c>
      <c r="F333" s="1">
        <f>IFERROR(__xludf.DUMMYFUNCTION("""COMPUTED_VALUE"""),61.0)</f>
        <v>61</v>
      </c>
      <c r="G333" s="1">
        <f>IFERROR(__xludf.DUMMYFUNCTION("""COMPUTED_VALUE"""),74.0)</f>
        <v>74</v>
      </c>
      <c r="H333" s="1">
        <f>IFERROR(__xludf.DUMMYFUNCTION("""COMPUTED_VALUE"""),48.0)</f>
        <v>48</v>
      </c>
      <c r="I333" s="1">
        <f>IFERROR(__xludf.DUMMYFUNCTION("""COMPUTED_VALUE"""),95.0)</f>
        <v>95</v>
      </c>
      <c r="J333" s="1">
        <f>IFERROR(__xludf.DUMMYFUNCTION("""COMPUTED_VALUE"""),90.0)</f>
        <v>90</v>
      </c>
      <c r="K333" s="1">
        <f>IFERROR(__xludf.DUMMYFUNCTION("""COMPUTED_VALUE"""),21.0)</f>
        <v>21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 t="str">
        <f>IFERROR(__xludf.DUMMYFUNCTION("""COMPUTED_VALUE"""),"C")</f>
        <v>C</v>
      </c>
      <c r="E334" s="1" t="str">
        <f>IFERROR(__xludf.DUMMYFUNCTION("""COMPUTED_VALUE"""),"Female")</f>
        <v>Female</v>
      </c>
      <c r="F334" s="1">
        <f>IFERROR(__xludf.DUMMYFUNCTION("""COMPUTED_VALUE"""),35.0)</f>
        <v>35</v>
      </c>
      <c r="G334" s="1">
        <f>IFERROR(__xludf.DUMMYFUNCTION("""COMPUTED_VALUE"""),31.0)</f>
        <v>31</v>
      </c>
      <c r="H334" s="1">
        <f>IFERROR(__xludf.DUMMYFUNCTION("""COMPUTED_VALUE"""),99.0)</f>
        <v>99</v>
      </c>
      <c r="I334" s="1">
        <f>IFERROR(__xludf.DUMMYFUNCTION("""COMPUTED_VALUE"""),62.0)</f>
        <v>62</v>
      </c>
      <c r="J334" s="1">
        <f>IFERROR(__xludf.DUMMYFUNCTION("""COMPUTED_VALUE"""),47.0)</f>
        <v>47</v>
      </c>
      <c r="K334" s="1">
        <f>IFERROR(__xludf.DUMMYFUNCTION("""COMPUTED_VALUE"""),77.0)</f>
        <v>77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 t="str">
        <f>IFERROR(__xludf.DUMMYFUNCTION("""COMPUTED_VALUE"""),"B")</f>
        <v>B</v>
      </c>
      <c r="E335" s="1" t="str">
        <f>IFERROR(__xludf.DUMMYFUNCTION("""COMPUTED_VALUE"""),"Female")</f>
        <v>Female</v>
      </c>
      <c r="F335" s="1">
        <f>IFERROR(__xludf.DUMMYFUNCTION("""COMPUTED_VALUE"""),38.0)</f>
        <v>38</v>
      </c>
      <c r="G335" s="1">
        <f>IFERROR(__xludf.DUMMYFUNCTION("""COMPUTED_VALUE"""),29.0)</f>
        <v>29</v>
      </c>
      <c r="H335" s="1">
        <f>IFERROR(__xludf.DUMMYFUNCTION("""COMPUTED_VALUE"""),73.0)</f>
        <v>73</v>
      </c>
      <c r="I335" s="1">
        <f>IFERROR(__xludf.DUMMYFUNCTION("""COMPUTED_VALUE"""),59.0)</f>
        <v>59</v>
      </c>
      <c r="J335" s="1">
        <f>IFERROR(__xludf.DUMMYFUNCTION("""COMPUTED_VALUE"""),87.0)</f>
        <v>87</v>
      </c>
      <c r="K335" s="1">
        <f>IFERROR(__xludf.DUMMYFUNCTION("""COMPUTED_VALUE"""),39.0)</f>
        <v>39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 t="str">
        <f>IFERROR(__xludf.DUMMYFUNCTION("""COMPUTED_VALUE"""),"D")</f>
        <v>D</v>
      </c>
      <c r="E336" s="1" t="str">
        <f>IFERROR(__xludf.DUMMYFUNCTION("""COMPUTED_VALUE"""),"Male")</f>
        <v>Male</v>
      </c>
      <c r="F336" s="1">
        <f>IFERROR(__xludf.DUMMYFUNCTION("""COMPUTED_VALUE"""),18.0)</f>
        <v>18</v>
      </c>
      <c r="G336" s="1">
        <f>IFERROR(__xludf.DUMMYFUNCTION("""COMPUTED_VALUE"""),59.0)</f>
        <v>59</v>
      </c>
      <c r="H336" s="1">
        <f>IFERROR(__xludf.DUMMYFUNCTION("""COMPUTED_VALUE"""),79.0)</f>
        <v>79</v>
      </c>
      <c r="I336" s="1">
        <f>IFERROR(__xludf.DUMMYFUNCTION("""COMPUTED_VALUE"""),49.0)</f>
        <v>49</v>
      </c>
      <c r="J336" s="1">
        <f>IFERROR(__xludf.DUMMYFUNCTION("""COMPUTED_VALUE"""),34.0)</f>
        <v>34</v>
      </c>
      <c r="K336" s="1">
        <f>IFERROR(__xludf.DUMMYFUNCTION("""COMPUTED_VALUE"""),90.0)</f>
        <v>90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 t="str">
        <f>IFERROR(__xludf.DUMMYFUNCTION("""COMPUTED_VALUE"""),"B")</f>
        <v>B</v>
      </c>
      <c r="E337" s="1" t="str">
        <f>IFERROR(__xludf.DUMMYFUNCTION("""COMPUTED_VALUE"""),"Female")</f>
        <v>Female</v>
      </c>
      <c r="F337" s="1">
        <f>IFERROR(__xludf.DUMMYFUNCTION("""COMPUTED_VALUE"""),68.0)</f>
        <v>68</v>
      </c>
      <c r="G337" s="1">
        <f>IFERROR(__xludf.DUMMYFUNCTION("""COMPUTED_VALUE"""),99.0)</f>
        <v>99</v>
      </c>
      <c r="H337" s="1">
        <f>IFERROR(__xludf.DUMMYFUNCTION("""COMPUTED_VALUE"""),55.0)</f>
        <v>55</v>
      </c>
      <c r="I337" s="1">
        <f>IFERROR(__xludf.DUMMYFUNCTION("""COMPUTED_VALUE"""),27.0)</f>
        <v>27</v>
      </c>
      <c r="J337" s="1">
        <f>IFERROR(__xludf.DUMMYFUNCTION("""COMPUTED_VALUE"""),86.0)</f>
        <v>86</v>
      </c>
      <c r="K337" s="1">
        <f>IFERROR(__xludf.DUMMYFUNCTION("""COMPUTED_VALUE"""),29.0)</f>
        <v>29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 t="str">
        <f>IFERROR(__xludf.DUMMYFUNCTION("""COMPUTED_VALUE"""),"C")</f>
        <v>C</v>
      </c>
      <c r="E338" s="1" t="str">
        <f>IFERROR(__xludf.DUMMYFUNCTION("""COMPUTED_VALUE"""),"Female")</f>
        <v>Female</v>
      </c>
      <c r="F338" s="1">
        <f>IFERROR(__xludf.DUMMYFUNCTION("""COMPUTED_VALUE"""),43.0)</f>
        <v>43</v>
      </c>
      <c r="G338" s="1">
        <f>IFERROR(__xludf.DUMMYFUNCTION("""COMPUTED_VALUE"""),40.0)</f>
        <v>40</v>
      </c>
      <c r="H338" s="1">
        <f>IFERROR(__xludf.DUMMYFUNCTION("""COMPUTED_VALUE"""),39.0)</f>
        <v>39</v>
      </c>
      <c r="I338" s="1">
        <f>IFERROR(__xludf.DUMMYFUNCTION("""COMPUTED_VALUE"""),25.0)</f>
        <v>25</v>
      </c>
      <c r="J338" s="1">
        <f>IFERROR(__xludf.DUMMYFUNCTION("""COMPUTED_VALUE"""),36.0)</f>
        <v>36</v>
      </c>
      <c r="K338" s="1">
        <f>IFERROR(__xludf.DUMMYFUNCTION("""COMPUTED_VALUE"""),81.0)</f>
        <v>81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 t="str">
        <f>IFERROR(__xludf.DUMMYFUNCTION("""COMPUTED_VALUE"""),"B")</f>
        <v>B</v>
      </c>
      <c r="E339" s="1" t="str">
        <f>IFERROR(__xludf.DUMMYFUNCTION("""COMPUTED_VALUE"""),"Male")</f>
        <v>Male</v>
      </c>
      <c r="F339" s="1">
        <f>IFERROR(__xludf.DUMMYFUNCTION("""COMPUTED_VALUE"""),41.0)</f>
        <v>41</v>
      </c>
      <c r="G339" s="1">
        <f>IFERROR(__xludf.DUMMYFUNCTION("""COMPUTED_VALUE"""),54.0)</f>
        <v>54</v>
      </c>
      <c r="H339" s="1">
        <f>IFERROR(__xludf.DUMMYFUNCTION("""COMPUTED_VALUE"""),55.0)</f>
        <v>55</v>
      </c>
      <c r="I339" s="1">
        <f>IFERROR(__xludf.DUMMYFUNCTION("""COMPUTED_VALUE"""),65.0)</f>
        <v>65</v>
      </c>
      <c r="J339" s="1">
        <f>IFERROR(__xludf.DUMMYFUNCTION("""COMPUTED_VALUE"""),98.0)</f>
        <v>98</v>
      </c>
      <c r="K339" s="1">
        <f>IFERROR(__xludf.DUMMYFUNCTION("""COMPUTED_VALUE"""),34.0)</f>
        <v>34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 t="str">
        <f>IFERROR(__xludf.DUMMYFUNCTION("""COMPUTED_VALUE"""),"A")</f>
        <v>A</v>
      </c>
      <c r="E340" s="1" t="str">
        <f>IFERROR(__xludf.DUMMYFUNCTION("""COMPUTED_VALUE"""),"Male")</f>
        <v>Male</v>
      </c>
      <c r="F340" s="1">
        <f>IFERROR(__xludf.DUMMYFUNCTION("""COMPUTED_VALUE"""),72.0)</f>
        <v>72</v>
      </c>
      <c r="G340" s="1">
        <f>IFERROR(__xludf.DUMMYFUNCTION("""COMPUTED_VALUE"""),40.0)</f>
        <v>40</v>
      </c>
      <c r="H340" s="1">
        <f>IFERROR(__xludf.DUMMYFUNCTION("""COMPUTED_VALUE"""),38.0)</f>
        <v>38</v>
      </c>
      <c r="I340" s="1">
        <f>IFERROR(__xludf.DUMMYFUNCTION("""COMPUTED_VALUE"""),78.0)</f>
        <v>78</v>
      </c>
      <c r="J340" s="1">
        <f>IFERROR(__xludf.DUMMYFUNCTION("""COMPUTED_VALUE"""),29.0)</f>
        <v>29</v>
      </c>
      <c r="K340" s="1">
        <f>IFERROR(__xludf.DUMMYFUNCTION("""COMPUTED_VALUE"""),83.0)</f>
        <v>83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 t="str">
        <f>IFERROR(__xludf.DUMMYFUNCTION("""COMPUTED_VALUE"""),"A")</f>
        <v>A</v>
      </c>
      <c r="E341" s="1" t="str">
        <f>IFERROR(__xludf.DUMMYFUNCTION("""COMPUTED_VALUE"""),"Female")</f>
        <v>Female</v>
      </c>
      <c r="F341" s="1">
        <f>IFERROR(__xludf.DUMMYFUNCTION("""COMPUTED_VALUE"""),77.0)</f>
        <v>77</v>
      </c>
      <c r="G341" s="1">
        <f>IFERROR(__xludf.DUMMYFUNCTION("""COMPUTED_VALUE"""),26.0)</f>
        <v>26</v>
      </c>
      <c r="H341" s="1">
        <f>IFERROR(__xludf.DUMMYFUNCTION("""COMPUTED_VALUE"""),91.0)</f>
        <v>91</v>
      </c>
      <c r="I341" s="1">
        <f>IFERROR(__xludf.DUMMYFUNCTION("""COMPUTED_VALUE"""),79.0)</f>
        <v>79</v>
      </c>
      <c r="J341" s="1">
        <f>IFERROR(__xludf.DUMMYFUNCTION("""COMPUTED_VALUE"""),64.0)</f>
        <v>64</v>
      </c>
      <c r="K341" s="1">
        <f>IFERROR(__xludf.DUMMYFUNCTION("""COMPUTED_VALUE"""),68.0)</f>
        <v>68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 t="str">
        <f>IFERROR(__xludf.DUMMYFUNCTION("""COMPUTED_VALUE"""),"C")</f>
        <v>C</v>
      </c>
      <c r="E342" s="1" t="str">
        <f>IFERROR(__xludf.DUMMYFUNCTION("""COMPUTED_VALUE"""),"Male")</f>
        <v>Male</v>
      </c>
      <c r="F342" s="1">
        <f>IFERROR(__xludf.DUMMYFUNCTION("""COMPUTED_VALUE"""),95.0)</f>
        <v>95</v>
      </c>
      <c r="G342" s="1">
        <f>IFERROR(__xludf.DUMMYFUNCTION("""COMPUTED_VALUE"""),73.0)</f>
        <v>73</v>
      </c>
      <c r="H342" s="1">
        <f>IFERROR(__xludf.DUMMYFUNCTION("""COMPUTED_VALUE"""),42.0)</f>
        <v>42</v>
      </c>
      <c r="I342" s="1">
        <f>IFERROR(__xludf.DUMMYFUNCTION("""COMPUTED_VALUE"""),59.0)</f>
        <v>59</v>
      </c>
      <c r="J342" s="1">
        <f>IFERROR(__xludf.DUMMYFUNCTION("""COMPUTED_VALUE"""),52.0)</f>
        <v>52</v>
      </c>
      <c r="K342" s="1">
        <f>IFERROR(__xludf.DUMMYFUNCTION("""COMPUTED_VALUE"""),44.0)</f>
        <v>44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 t="str">
        <f>IFERROR(__xludf.DUMMYFUNCTION("""COMPUTED_VALUE"""),"D")</f>
        <v>D</v>
      </c>
      <c r="E343" s="1" t="str">
        <f>IFERROR(__xludf.DUMMYFUNCTION("""COMPUTED_VALUE"""),"Female")</f>
        <v>Female</v>
      </c>
      <c r="F343" s="1">
        <f>IFERROR(__xludf.DUMMYFUNCTION("""COMPUTED_VALUE"""),58.0)</f>
        <v>58</v>
      </c>
      <c r="G343" s="1">
        <f>IFERROR(__xludf.DUMMYFUNCTION("""COMPUTED_VALUE"""),82.0)</f>
        <v>82</v>
      </c>
      <c r="H343" s="1">
        <f>IFERROR(__xludf.DUMMYFUNCTION("""COMPUTED_VALUE"""),71.0)</f>
        <v>71</v>
      </c>
      <c r="I343" s="1">
        <f>IFERROR(__xludf.DUMMYFUNCTION("""COMPUTED_VALUE"""),83.0)</f>
        <v>83</v>
      </c>
      <c r="J343" s="1">
        <f>IFERROR(__xludf.DUMMYFUNCTION("""COMPUTED_VALUE"""),39.0)</f>
        <v>39</v>
      </c>
      <c r="K343" s="1">
        <f>IFERROR(__xludf.DUMMYFUNCTION("""COMPUTED_VALUE"""),45.0)</f>
        <v>45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 t="str">
        <f>IFERROR(__xludf.DUMMYFUNCTION("""COMPUTED_VALUE"""),"D")</f>
        <v>D</v>
      </c>
      <c r="E344" s="1" t="str">
        <f>IFERROR(__xludf.DUMMYFUNCTION("""COMPUTED_VALUE"""),"Male")</f>
        <v>Male</v>
      </c>
      <c r="F344" s="1">
        <f>IFERROR(__xludf.DUMMYFUNCTION("""COMPUTED_VALUE"""),46.0)</f>
        <v>46</v>
      </c>
      <c r="G344" s="1">
        <f>IFERROR(__xludf.DUMMYFUNCTION("""COMPUTED_VALUE"""),97.0)</f>
        <v>97</v>
      </c>
      <c r="H344" s="1">
        <f>IFERROR(__xludf.DUMMYFUNCTION("""COMPUTED_VALUE"""),26.0)</f>
        <v>26</v>
      </c>
      <c r="I344" s="1">
        <f>IFERROR(__xludf.DUMMYFUNCTION("""COMPUTED_VALUE"""),47.0)</f>
        <v>47</v>
      </c>
      <c r="J344" s="1">
        <f>IFERROR(__xludf.DUMMYFUNCTION("""COMPUTED_VALUE"""),74.0)</f>
        <v>74</v>
      </c>
      <c r="K344" s="1">
        <f>IFERROR(__xludf.DUMMYFUNCTION("""COMPUTED_VALUE"""),89.0)</f>
        <v>89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 t="str">
        <f>IFERROR(__xludf.DUMMYFUNCTION("""COMPUTED_VALUE"""),"B")</f>
        <v>B</v>
      </c>
      <c r="E345" s="1" t="str">
        <f>IFERROR(__xludf.DUMMYFUNCTION("""COMPUTED_VALUE"""),"Female")</f>
        <v>Female</v>
      </c>
      <c r="F345" s="1">
        <f>IFERROR(__xludf.DUMMYFUNCTION("""COMPUTED_VALUE"""),31.0)</f>
        <v>31</v>
      </c>
      <c r="G345" s="1">
        <f>IFERROR(__xludf.DUMMYFUNCTION("""COMPUTED_VALUE"""),40.0)</f>
        <v>40</v>
      </c>
      <c r="H345" s="1">
        <f>IFERROR(__xludf.DUMMYFUNCTION("""COMPUTED_VALUE"""),40.0)</f>
        <v>40</v>
      </c>
      <c r="I345" s="1">
        <f>IFERROR(__xludf.DUMMYFUNCTION("""COMPUTED_VALUE"""),85.0)</f>
        <v>85</v>
      </c>
      <c r="J345" s="1">
        <f>IFERROR(__xludf.DUMMYFUNCTION("""COMPUTED_VALUE"""),87.0)</f>
        <v>87</v>
      </c>
      <c r="K345" s="1">
        <f>IFERROR(__xludf.DUMMYFUNCTION("""COMPUTED_VALUE"""),41.0)</f>
        <v>41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 t="str">
        <f>IFERROR(__xludf.DUMMYFUNCTION("""COMPUTED_VALUE"""),"B")</f>
        <v>B</v>
      </c>
      <c r="E346" s="1" t="str">
        <f>IFERROR(__xludf.DUMMYFUNCTION("""COMPUTED_VALUE"""),"Male")</f>
        <v>Male</v>
      </c>
      <c r="F346" s="1">
        <f>IFERROR(__xludf.DUMMYFUNCTION("""COMPUTED_VALUE"""),80.0)</f>
        <v>80</v>
      </c>
      <c r="G346" s="1">
        <f>IFERROR(__xludf.DUMMYFUNCTION("""COMPUTED_VALUE"""),78.0)</f>
        <v>78</v>
      </c>
      <c r="H346" s="1">
        <f>IFERROR(__xludf.DUMMYFUNCTION("""COMPUTED_VALUE"""),61.0)</f>
        <v>61</v>
      </c>
      <c r="I346" s="1">
        <f>IFERROR(__xludf.DUMMYFUNCTION("""COMPUTED_VALUE"""),87.0)</f>
        <v>87</v>
      </c>
      <c r="J346" s="1">
        <f>IFERROR(__xludf.DUMMYFUNCTION("""COMPUTED_VALUE"""),32.0)</f>
        <v>32</v>
      </c>
      <c r="K346" s="1">
        <f>IFERROR(__xludf.DUMMYFUNCTION("""COMPUTED_VALUE"""),61.0)</f>
        <v>61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 t="str">
        <f>IFERROR(__xludf.DUMMYFUNCTION("""COMPUTED_VALUE"""),"B")</f>
        <v>B</v>
      </c>
      <c r="E347" s="1" t="str">
        <f>IFERROR(__xludf.DUMMYFUNCTION("""COMPUTED_VALUE"""),"Male")</f>
        <v>Male</v>
      </c>
      <c r="F347" s="1">
        <f>IFERROR(__xludf.DUMMYFUNCTION("""COMPUTED_VALUE"""),24.0)</f>
        <v>24</v>
      </c>
      <c r="G347" s="1">
        <f>IFERROR(__xludf.DUMMYFUNCTION("""COMPUTED_VALUE"""),37.0)</f>
        <v>37</v>
      </c>
      <c r="H347" s="1">
        <f>IFERROR(__xludf.DUMMYFUNCTION("""COMPUTED_VALUE"""),86.0)</f>
        <v>86</v>
      </c>
      <c r="I347" s="1">
        <f>IFERROR(__xludf.DUMMYFUNCTION("""COMPUTED_VALUE"""),93.0)</f>
        <v>93</v>
      </c>
      <c r="J347" s="1">
        <f>IFERROR(__xludf.DUMMYFUNCTION("""COMPUTED_VALUE"""),50.0)</f>
        <v>50</v>
      </c>
      <c r="K347" s="1">
        <f>IFERROR(__xludf.DUMMYFUNCTION("""COMPUTED_VALUE"""),26.0)</f>
        <v>26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 t="str">
        <f>IFERROR(__xludf.DUMMYFUNCTION("""COMPUTED_VALUE"""),"A")</f>
        <v>A</v>
      </c>
      <c r="E348" s="1" t="str">
        <f>IFERROR(__xludf.DUMMYFUNCTION("""COMPUTED_VALUE"""),"Female")</f>
        <v>Female</v>
      </c>
      <c r="F348" s="1">
        <f>IFERROR(__xludf.DUMMYFUNCTION("""COMPUTED_VALUE"""),89.0)</f>
        <v>89</v>
      </c>
      <c r="G348" s="1">
        <f>IFERROR(__xludf.DUMMYFUNCTION("""COMPUTED_VALUE"""),42.0)</f>
        <v>42</v>
      </c>
      <c r="H348" s="1">
        <f>IFERROR(__xludf.DUMMYFUNCTION("""COMPUTED_VALUE"""),84.0)</f>
        <v>84</v>
      </c>
      <c r="I348" s="1">
        <f>IFERROR(__xludf.DUMMYFUNCTION("""COMPUTED_VALUE"""),58.0)</f>
        <v>58</v>
      </c>
      <c r="J348" s="1">
        <f>IFERROR(__xludf.DUMMYFUNCTION("""COMPUTED_VALUE"""),46.0)</f>
        <v>46</v>
      </c>
      <c r="K348" s="1">
        <f>IFERROR(__xludf.DUMMYFUNCTION("""COMPUTED_VALUE"""),53.0)</f>
        <v>53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 t="str">
        <f>IFERROR(__xludf.DUMMYFUNCTION("""COMPUTED_VALUE"""),"D")</f>
        <v>D</v>
      </c>
      <c r="E349" s="1" t="str">
        <f>IFERROR(__xludf.DUMMYFUNCTION("""COMPUTED_VALUE"""),"Female")</f>
        <v>Female</v>
      </c>
      <c r="F349" s="1">
        <f>IFERROR(__xludf.DUMMYFUNCTION("""COMPUTED_VALUE"""),29.0)</f>
        <v>29</v>
      </c>
      <c r="G349" s="1">
        <f>IFERROR(__xludf.DUMMYFUNCTION("""COMPUTED_VALUE"""),66.0)</f>
        <v>66</v>
      </c>
      <c r="H349" s="1">
        <f>IFERROR(__xludf.DUMMYFUNCTION("""COMPUTED_VALUE"""),66.0)</f>
        <v>66</v>
      </c>
      <c r="I349" s="1">
        <f>IFERROR(__xludf.DUMMYFUNCTION("""COMPUTED_VALUE"""),72.0)</f>
        <v>72</v>
      </c>
      <c r="J349" s="1">
        <f>IFERROR(__xludf.DUMMYFUNCTION("""COMPUTED_VALUE"""),46.0)</f>
        <v>46</v>
      </c>
      <c r="K349" s="1">
        <f>IFERROR(__xludf.DUMMYFUNCTION("""COMPUTED_VALUE"""),88.0)</f>
        <v>88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 t="str">
        <f>IFERROR(__xludf.DUMMYFUNCTION("""COMPUTED_VALUE"""),"D")</f>
        <v>D</v>
      </c>
      <c r="E350" s="1" t="str">
        <f>IFERROR(__xludf.DUMMYFUNCTION("""COMPUTED_VALUE"""),"Female")</f>
        <v>Female</v>
      </c>
      <c r="F350" s="1">
        <f>IFERROR(__xludf.DUMMYFUNCTION("""COMPUTED_VALUE"""),18.0)</f>
        <v>18</v>
      </c>
      <c r="G350" s="1">
        <f>IFERROR(__xludf.DUMMYFUNCTION("""COMPUTED_VALUE"""),38.0)</f>
        <v>38</v>
      </c>
      <c r="H350" s="1">
        <f>IFERROR(__xludf.DUMMYFUNCTION("""COMPUTED_VALUE"""),80.0)</f>
        <v>80</v>
      </c>
      <c r="I350" s="1">
        <f>IFERROR(__xludf.DUMMYFUNCTION("""COMPUTED_VALUE"""),22.0)</f>
        <v>22</v>
      </c>
      <c r="J350" s="1">
        <f>IFERROR(__xludf.DUMMYFUNCTION("""COMPUTED_VALUE"""),40.0)</f>
        <v>40</v>
      </c>
      <c r="K350" s="1">
        <f>IFERROR(__xludf.DUMMYFUNCTION("""COMPUTED_VALUE"""),24.0)</f>
        <v>24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 t="str">
        <f>IFERROR(__xludf.DUMMYFUNCTION("""COMPUTED_VALUE"""),"B")</f>
        <v>B</v>
      </c>
      <c r="E351" s="1" t="str">
        <f>IFERROR(__xludf.DUMMYFUNCTION("""COMPUTED_VALUE"""),"Male")</f>
        <v>Male</v>
      </c>
      <c r="F351" s="1">
        <f>IFERROR(__xludf.DUMMYFUNCTION("""COMPUTED_VALUE"""),74.0)</f>
        <v>74</v>
      </c>
      <c r="G351" s="1">
        <f>IFERROR(__xludf.DUMMYFUNCTION("""COMPUTED_VALUE"""),79.0)</f>
        <v>79</v>
      </c>
      <c r="H351" s="1">
        <f>IFERROR(__xludf.DUMMYFUNCTION("""COMPUTED_VALUE"""),75.0)</f>
        <v>75</v>
      </c>
      <c r="I351" s="1">
        <f>IFERROR(__xludf.DUMMYFUNCTION("""COMPUTED_VALUE"""),60.0)</f>
        <v>60</v>
      </c>
      <c r="J351" s="1">
        <f>IFERROR(__xludf.DUMMYFUNCTION("""COMPUTED_VALUE"""),70.0)</f>
        <v>70</v>
      </c>
      <c r="K351" s="1">
        <f>IFERROR(__xludf.DUMMYFUNCTION("""COMPUTED_VALUE"""),85.0)</f>
        <v>85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 t="str">
        <f>IFERROR(__xludf.DUMMYFUNCTION("""COMPUTED_VALUE"""),"B")</f>
        <v>B</v>
      </c>
      <c r="E352" s="1" t="str">
        <f>IFERROR(__xludf.DUMMYFUNCTION("""COMPUTED_VALUE"""),"Female")</f>
        <v>Female</v>
      </c>
      <c r="F352" s="1">
        <f>IFERROR(__xludf.DUMMYFUNCTION("""COMPUTED_VALUE"""),49.0)</f>
        <v>49</v>
      </c>
      <c r="G352" s="1">
        <f>IFERROR(__xludf.DUMMYFUNCTION("""COMPUTED_VALUE"""),84.0)</f>
        <v>84</v>
      </c>
      <c r="H352" s="1">
        <f>IFERROR(__xludf.DUMMYFUNCTION("""COMPUTED_VALUE"""),42.0)</f>
        <v>42</v>
      </c>
      <c r="I352" s="1">
        <f>IFERROR(__xludf.DUMMYFUNCTION("""COMPUTED_VALUE"""),50.0)</f>
        <v>50</v>
      </c>
      <c r="J352" s="1">
        <f>IFERROR(__xludf.DUMMYFUNCTION("""COMPUTED_VALUE"""),27.0)</f>
        <v>27</v>
      </c>
      <c r="K352" s="1">
        <f>IFERROR(__xludf.DUMMYFUNCTION("""COMPUTED_VALUE"""),92.0)</f>
        <v>92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 t="str">
        <f>IFERROR(__xludf.DUMMYFUNCTION("""COMPUTED_VALUE"""),"D")</f>
        <v>D</v>
      </c>
      <c r="E353" s="1" t="str">
        <f>IFERROR(__xludf.DUMMYFUNCTION("""COMPUTED_VALUE"""),"Male")</f>
        <v>Male</v>
      </c>
      <c r="F353" s="1">
        <f>IFERROR(__xludf.DUMMYFUNCTION("""COMPUTED_VALUE"""),92.0)</f>
        <v>92</v>
      </c>
      <c r="G353" s="1">
        <f>IFERROR(__xludf.DUMMYFUNCTION("""COMPUTED_VALUE"""),83.0)</f>
        <v>83</v>
      </c>
      <c r="H353" s="1">
        <f>IFERROR(__xludf.DUMMYFUNCTION("""COMPUTED_VALUE"""),61.0)</f>
        <v>61</v>
      </c>
      <c r="I353" s="1">
        <f>IFERROR(__xludf.DUMMYFUNCTION("""COMPUTED_VALUE"""),67.0)</f>
        <v>67</v>
      </c>
      <c r="J353" s="1">
        <f>IFERROR(__xludf.DUMMYFUNCTION("""COMPUTED_VALUE"""),21.0)</f>
        <v>21</v>
      </c>
      <c r="K353" s="1">
        <f>IFERROR(__xludf.DUMMYFUNCTION("""COMPUTED_VALUE"""),69.0)</f>
        <v>69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 t="str">
        <f>IFERROR(__xludf.DUMMYFUNCTION("""COMPUTED_VALUE"""),"D")</f>
        <v>D</v>
      </c>
      <c r="E354" s="1" t="str">
        <f>IFERROR(__xludf.DUMMYFUNCTION("""COMPUTED_VALUE"""),"Male")</f>
        <v>Male</v>
      </c>
      <c r="F354" s="1">
        <f>IFERROR(__xludf.DUMMYFUNCTION("""COMPUTED_VALUE"""),56.0)</f>
        <v>56</v>
      </c>
      <c r="G354" s="1">
        <f>IFERROR(__xludf.DUMMYFUNCTION("""COMPUTED_VALUE"""),24.0)</f>
        <v>24</v>
      </c>
      <c r="H354" s="1">
        <f>IFERROR(__xludf.DUMMYFUNCTION("""COMPUTED_VALUE"""),77.0)</f>
        <v>77</v>
      </c>
      <c r="I354" s="1">
        <f>IFERROR(__xludf.DUMMYFUNCTION("""COMPUTED_VALUE"""),52.0)</f>
        <v>52</v>
      </c>
      <c r="J354" s="1">
        <f>IFERROR(__xludf.DUMMYFUNCTION("""COMPUTED_VALUE"""),86.0)</f>
        <v>86</v>
      </c>
      <c r="K354" s="1">
        <f>IFERROR(__xludf.DUMMYFUNCTION("""COMPUTED_VALUE"""),80.0)</f>
        <v>80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 t="str">
        <f>IFERROR(__xludf.DUMMYFUNCTION("""COMPUTED_VALUE"""),"A")</f>
        <v>A</v>
      </c>
      <c r="E355" s="1" t="str">
        <f>IFERROR(__xludf.DUMMYFUNCTION("""COMPUTED_VALUE"""),"Male")</f>
        <v>Male</v>
      </c>
      <c r="F355" s="1">
        <f>IFERROR(__xludf.DUMMYFUNCTION("""COMPUTED_VALUE"""),100.0)</f>
        <v>100</v>
      </c>
      <c r="G355" s="1">
        <f>IFERROR(__xludf.DUMMYFUNCTION("""COMPUTED_VALUE"""),88.0)</f>
        <v>88</v>
      </c>
      <c r="H355" s="1">
        <f>IFERROR(__xludf.DUMMYFUNCTION("""COMPUTED_VALUE"""),25.0)</f>
        <v>25</v>
      </c>
      <c r="I355" s="1">
        <f>IFERROR(__xludf.DUMMYFUNCTION("""COMPUTED_VALUE"""),50.0)</f>
        <v>50</v>
      </c>
      <c r="J355" s="1">
        <f>IFERROR(__xludf.DUMMYFUNCTION("""COMPUTED_VALUE"""),27.0)</f>
        <v>27</v>
      </c>
      <c r="K355" s="1">
        <f>IFERROR(__xludf.DUMMYFUNCTION("""COMPUTED_VALUE"""),94.0)</f>
        <v>94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 t="str">
        <f>IFERROR(__xludf.DUMMYFUNCTION("""COMPUTED_VALUE"""),"C")</f>
        <v>C</v>
      </c>
      <c r="E356" s="1" t="str">
        <f>IFERROR(__xludf.DUMMYFUNCTION("""COMPUTED_VALUE"""),"Male")</f>
        <v>Male</v>
      </c>
      <c r="F356" s="1">
        <f>IFERROR(__xludf.DUMMYFUNCTION("""COMPUTED_VALUE"""),36.0)</f>
        <v>36</v>
      </c>
      <c r="G356" s="1">
        <f>IFERROR(__xludf.DUMMYFUNCTION("""COMPUTED_VALUE"""),86.0)</f>
        <v>86</v>
      </c>
      <c r="H356" s="1">
        <f>IFERROR(__xludf.DUMMYFUNCTION("""COMPUTED_VALUE"""),75.0)</f>
        <v>75</v>
      </c>
      <c r="I356" s="1">
        <f>IFERROR(__xludf.DUMMYFUNCTION("""COMPUTED_VALUE"""),76.0)</f>
        <v>76</v>
      </c>
      <c r="J356" s="1">
        <f>IFERROR(__xludf.DUMMYFUNCTION("""COMPUTED_VALUE"""),33.0)</f>
        <v>33</v>
      </c>
      <c r="K356" s="1">
        <f>IFERROR(__xludf.DUMMYFUNCTION("""COMPUTED_VALUE"""),49.0)</f>
        <v>49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 t="str">
        <f>IFERROR(__xludf.DUMMYFUNCTION("""COMPUTED_VALUE"""),"D")</f>
        <v>D</v>
      </c>
      <c r="E357" s="1" t="str">
        <f>IFERROR(__xludf.DUMMYFUNCTION("""COMPUTED_VALUE"""),"Female")</f>
        <v>Female</v>
      </c>
      <c r="F357" s="1">
        <f>IFERROR(__xludf.DUMMYFUNCTION("""COMPUTED_VALUE"""),11.0)</f>
        <v>11</v>
      </c>
      <c r="G357" s="1">
        <f>IFERROR(__xludf.DUMMYFUNCTION("""COMPUTED_VALUE"""),99.0)</f>
        <v>99</v>
      </c>
      <c r="H357" s="1">
        <f>IFERROR(__xludf.DUMMYFUNCTION("""COMPUTED_VALUE"""),80.0)</f>
        <v>80</v>
      </c>
      <c r="I357" s="1">
        <f>IFERROR(__xludf.DUMMYFUNCTION("""COMPUTED_VALUE"""),93.0)</f>
        <v>93</v>
      </c>
      <c r="J357" s="1">
        <f>IFERROR(__xludf.DUMMYFUNCTION("""COMPUTED_VALUE"""),55.0)</f>
        <v>55</v>
      </c>
      <c r="K357" s="1">
        <f>IFERROR(__xludf.DUMMYFUNCTION("""COMPUTED_VALUE"""),75.0)</f>
        <v>75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 t="str">
        <f>IFERROR(__xludf.DUMMYFUNCTION("""COMPUTED_VALUE"""),"B")</f>
        <v>B</v>
      </c>
      <c r="E358" s="1" t="str">
        <f>IFERROR(__xludf.DUMMYFUNCTION("""COMPUTED_VALUE"""),"Male")</f>
        <v>Male</v>
      </c>
      <c r="F358" s="1">
        <f>IFERROR(__xludf.DUMMYFUNCTION("""COMPUTED_VALUE"""),59.0)</f>
        <v>59</v>
      </c>
      <c r="G358" s="1">
        <f>IFERROR(__xludf.DUMMYFUNCTION("""COMPUTED_VALUE"""),51.0)</f>
        <v>51</v>
      </c>
      <c r="H358" s="1">
        <f>IFERROR(__xludf.DUMMYFUNCTION("""COMPUTED_VALUE"""),36.0)</f>
        <v>36</v>
      </c>
      <c r="I358" s="1">
        <f>IFERROR(__xludf.DUMMYFUNCTION("""COMPUTED_VALUE"""),89.0)</f>
        <v>89</v>
      </c>
      <c r="J358" s="1">
        <f>IFERROR(__xludf.DUMMYFUNCTION("""COMPUTED_VALUE"""),72.0)</f>
        <v>72</v>
      </c>
      <c r="K358" s="1">
        <f>IFERROR(__xludf.DUMMYFUNCTION("""COMPUTED_VALUE"""),37.0)</f>
        <v>37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 t="str">
        <f>IFERROR(__xludf.DUMMYFUNCTION("""COMPUTED_VALUE"""),"D")</f>
        <v>D</v>
      </c>
      <c r="E359" s="1" t="str">
        <f>IFERROR(__xludf.DUMMYFUNCTION("""COMPUTED_VALUE"""),"Female")</f>
        <v>Female</v>
      </c>
      <c r="F359" s="1">
        <f>IFERROR(__xludf.DUMMYFUNCTION("""COMPUTED_VALUE"""),39.0)</f>
        <v>39</v>
      </c>
      <c r="G359" s="1">
        <f>IFERROR(__xludf.DUMMYFUNCTION("""COMPUTED_VALUE"""),32.0)</f>
        <v>32</v>
      </c>
      <c r="H359" s="1">
        <f>IFERROR(__xludf.DUMMYFUNCTION("""COMPUTED_VALUE"""),20.0)</f>
        <v>20</v>
      </c>
      <c r="I359" s="1">
        <f>IFERROR(__xludf.DUMMYFUNCTION("""COMPUTED_VALUE"""),69.0)</f>
        <v>69</v>
      </c>
      <c r="J359" s="1">
        <f>IFERROR(__xludf.DUMMYFUNCTION("""COMPUTED_VALUE"""),83.0)</f>
        <v>83</v>
      </c>
      <c r="K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 t="str">
        <f>IFERROR(__xludf.DUMMYFUNCTION("""COMPUTED_VALUE"""),"C")</f>
        <v>C</v>
      </c>
      <c r="E360" s="1" t="str">
        <f>IFERROR(__xludf.DUMMYFUNCTION("""COMPUTED_VALUE"""),"Male")</f>
        <v>Male</v>
      </c>
      <c r="F360" s="1">
        <f>IFERROR(__xludf.DUMMYFUNCTION("""COMPUTED_VALUE"""),57.0)</f>
        <v>57</v>
      </c>
      <c r="G360" s="1">
        <f>IFERROR(__xludf.DUMMYFUNCTION("""COMPUTED_VALUE"""),32.0)</f>
        <v>32</v>
      </c>
      <c r="H360" s="1">
        <f>IFERROR(__xludf.DUMMYFUNCTION("""COMPUTED_VALUE"""),25.0)</f>
        <v>25</v>
      </c>
      <c r="I360" s="1">
        <f>IFERROR(__xludf.DUMMYFUNCTION("""COMPUTED_VALUE"""),92.0)</f>
        <v>92</v>
      </c>
      <c r="J360" s="1">
        <f>IFERROR(__xludf.DUMMYFUNCTION("""COMPUTED_VALUE"""),41.0)</f>
        <v>41</v>
      </c>
      <c r="K360" s="1">
        <f>IFERROR(__xludf.DUMMYFUNCTION("""COMPUTED_VALUE"""),94.0)</f>
        <v>94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 t="str">
        <f>IFERROR(__xludf.DUMMYFUNCTION("""COMPUTED_VALUE"""),"D")</f>
        <v>D</v>
      </c>
      <c r="E361" s="1" t="str">
        <f>IFERROR(__xludf.DUMMYFUNCTION("""COMPUTED_VALUE"""),"Female")</f>
        <v>Female</v>
      </c>
      <c r="F361" s="1">
        <f>IFERROR(__xludf.DUMMYFUNCTION("""COMPUTED_VALUE"""),16.0)</f>
        <v>16</v>
      </c>
      <c r="G361" s="1">
        <f>IFERROR(__xludf.DUMMYFUNCTION("""COMPUTED_VALUE"""),96.0)</f>
        <v>96</v>
      </c>
      <c r="H361" s="1">
        <f>IFERROR(__xludf.DUMMYFUNCTION("""COMPUTED_VALUE"""),29.0)</f>
        <v>29</v>
      </c>
      <c r="I361" s="1">
        <f>IFERROR(__xludf.DUMMYFUNCTION("""COMPUTED_VALUE"""),59.0)</f>
        <v>59</v>
      </c>
      <c r="J361" s="1">
        <f>IFERROR(__xludf.DUMMYFUNCTION("""COMPUTED_VALUE"""),46.0)</f>
        <v>46</v>
      </c>
      <c r="K361" s="1">
        <f>IFERROR(__xludf.DUMMYFUNCTION("""COMPUTED_VALUE"""),70.0)</f>
        <v>70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 t="str">
        <f>IFERROR(__xludf.DUMMYFUNCTION("""COMPUTED_VALUE"""),"A")</f>
        <v>A</v>
      </c>
      <c r="E362" s="1" t="str">
        <f>IFERROR(__xludf.DUMMYFUNCTION("""COMPUTED_VALUE"""),"Female")</f>
        <v>Female</v>
      </c>
      <c r="F362" s="1">
        <f>IFERROR(__xludf.DUMMYFUNCTION("""COMPUTED_VALUE"""),22.0)</f>
        <v>22</v>
      </c>
      <c r="G362" s="1">
        <f>IFERROR(__xludf.DUMMYFUNCTION("""COMPUTED_VALUE"""),83.0)</f>
        <v>83</v>
      </c>
      <c r="H362" s="1">
        <f>IFERROR(__xludf.DUMMYFUNCTION("""COMPUTED_VALUE"""),35.0)</f>
        <v>35</v>
      </c>
      <c r="I362" s="1">
        <f>IFERROR(__xludf.DUMMYFUNCTION("""COMPUTED_VALUE"""),90.0)</f>
        <v>90</v>
      </c>
      <c r="J362" s="1">
        <f>IFERROR(__xludf.DUMMYFUNCTION("""COMPUTED_VALUE"""),39.0)</f>
        <v>39</v>
      </c>
      <c r="K362" s="1">
        <f>IFERROR(__xludf.DUMMYFUNCTION("""COMPUTED_VALUE"""),72.0)</f>
        <v>72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 t="str">
        <f>IFERROR(__xludf.DUMMYFUNCTION("""COMPUTED_VALUE"""),"C")</f>
        <v>C</v>
      </c>
      <c r="E363" s="1" t="str">
        <f>IFERROR(__xludf.DUMMYFUNCTION("""COMPUTED_VALUE"""),"Male")</f>
        <v>Male</v>
      </c>
      <c r="F363" s="1">
        <f>IFERROR(__xludf.DUMMYFUNCTION("""COMPUTED_VALUE"""),86.0)</f>
        <v>86</v>
      </c>
      <c r="G363" s="1">
        <f>IFERROR(__xludf.DUMMYFUNCTION("""COMPUTED_VALUE"""),74.0)</f>
        <v>74</v>
      </c>
      <c r="H363" s="1">
        <f>IFERROR(__xludf.DUMMYFUNCTION("""COMPUTED_VALUE"""),65.0)</f>
        <v>65</v>
      </c>
      <c r="I363" s="1">
        <f>IFERROR(__xludf.DUMMYFUNCTION("""COMPUTED_VALUE"""),68.0)</f>
        <v>68</v>
      </c>
      <c r="J363" s="1">
        <f>IFERROR(__xludf.DUMMYFUNCTION("""COMPUTED_VALUE"""),31.0)</f>
        <v>31</v>
      </c>
      <c r="K363" s="1">
        <f>IFERROR(__xludf.DUMMYFUNCTION("""COMPUTED_VALUE"""),39.0)</f>
        <v>39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 t="str">
        <f>IFERROR(__xludf.DUMMYFUNCTION("""COMPUTED_VALUE"""),"B")</f>
        <v>B</v>
      </c>
      <c r="E364" s="1" t="str">
        <f>IFERROR(__xludf.DUMMYFUNCTION("""COMPUTED_VALUE"""),"Female")</f>
        <v>Female</v>
      </c>
      <c r="F364" s="1">
        <f>IFERROR(__xludf.DUMMYFUNCTION("""COMPUTED_VALUE"""),56.0)</f>
        <v>56</v>
      </c>
      <c r="G364" s="1">
        <f>IFERROR(__xludf.DUMMYFUNCTION("""COMPUTED_VALUE"""),28.0)</f>
        <v>28</v>
      </c>
      <c r="H364" s="1">
        <f>IFERROR(__xludf.DUMMYFUNCTION("""COMPUTED_VALUE"""),39.0)</f>
        <v>39</v>
      </c>
      <c r="I364" s="1">
        <f>IFERROR(__xludf.DUMMYFUNCTION("""COMPUTED_VALUE"""),39.0)</f>
        <v>39</v>
      </c>
      <c r="J364" s="1">
        <f>IFERROR(__xludf.DUMMYFUNCTION("""COMPUTED_VALUE"""),61.0)</f>
        <v>61</v>
      </c>
      <c r="K364" s="1">
        <f>IFERROR(__xludf.DUMMYFUNCTION("""COMPUTED_VALUE"""),97.0)</f>
        <v>97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 t="str">
        <f>IFERROR(__xludf.DUMMYFUNCTION("""COMPUTED_VALUE"""),"B")</f>
        <v>B</v>
      </c>
      <c r="E365" s="1" t="str">
        <f>IFERROR(__xludf.DUMMYFUNCTION("""COMPUTED_VALUE"""),"Male")</f>
        <v>Male</v>
      </c>
      <c r="F365" s="1">
        <f>IFERROR(__xludf.DUMMYFUNCTION("""COMPUTED_VALUE"""),29.0)</f>
        <v>29</v>
      </c>
      <c r="G365" s="1">
        <f>IFERROR(__xludf.DUMMYFUNCTION("""COMPUTED_VALUE"""),70.0)</f>
        <v>70</v>
      </c>
      <c r="H365" s="1">
        <f>IFERROR(__xludf.DUMMYFUNCTION("""COMPUTED_VALUE"""),32.0)</f>
        <v>32</v>
      </c>
      <c r="I365" s="1">
        <f>IFERROR(__xludf.DUMMYFUNCTION("""COMPUTED_VALUE"""),59.0)</f>
        <v>59</v>
      </c>
      <c r="J365" s="1">
        <f>IFERROR(__xludf.DUMMYFUNCTION("""COMPUTED_VALUE"""),93.0)</f>
        <v>93</v>
      </c>
      <c r="K365" s="1">
        <f>IFERROR(__xludf.DUMMYFUNCTION("""COMPUTED_VALUE"""),45.0)</f>
        <v>45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 t="str">
        <f>IFERROR(__xludf.DUMMYFUNCTION("""COMPUTED_VALUE"""),"C")</f>
        <v>C</v>
      </c>
      <c r="E366" s="1" t="str">
        <f>IFERROR(__xludf.DUMMYFUNCTION("""COMPUTED_VALUE"""),"Female")</f>
        <v>Female</v>
      </c>
      <c r="F366" s="1">
        <f>IFERROR(__xludf.DUMMYFUNCTION("""COMPUTED_VALUE"""),32.0)</f>
        <v>32</v>
      </c>
      <c r="G366" s="1">
        <f>IFERROR(__xludf.DUMMYFUNCTION("""COMPUTED_VALUE"""),52.0)</f>
        <v>52</v>
      </c>
      <c r="H366" s="1">
        <f>IFERROR(__xludf.DUMMYFUNCTION("""COMPUTED_VALUE"""),57.0)</f>
        <v>57</v>
      </c>
      <c r="I366" s="1">
        <f>IFERROR(__xludf.DUMMYFUNCTION("""COMPUTED_VALUE"""),48.0)</f>
        <v>48</v>
      </c>
      <c r="J366" s="1">
        <f>IFERROR(__xludf.DUMMYFUNCTION("""COMPUTED_VALUE"""),25.0)</f>
        <v>25</v>
      </c>
      <c r="K366" s="1">
        <f>IFERROR(__xludf.DUMMYFUNCTION("""COMPUTED_VALUE"""),50.0)</f>
        <v>50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 t="str">
        <f>IFERROR(__xludf.DUMMYFUNCTION("""COMPUTED_VALUE"""),"D")</f>
        <v>D</v>
      </c>
      <c r="E367" s="1" t="str">
        <f>IFERROR(__xludf.DUMMYFUNCTION("""COMPUTED_VALUE"""),"Female")</f>
        <v>Female</v>
      </c>
      <c r="F367" s="1">
        <f>IFERROR(__xludf.DUMMYFUNCTION("""COMPUTED_VALUE"""),84.0)</f>
        <v>84</v>
      </c>
      <c r="G367" s="1">
        <f>IFERROR(__xludf.DUMMYFUNCTION("""COMPUTED_VALUE"""),63.0)</f>
        <v>63</v>
      </c>
      <c r="H367" s="1">
        <f>IFERROR(__xludf.DUMMYFUNCTION("""COMPUTED_VALUE"""),98.0)</f>
        <v>98</v>
      </c>
      <c r="I367" s="1">
        <f>IFERROR(__xludf.DUMMYFUNCTION("""COMPUTED_VALUE"""),33.0)</f>
        <v>33</v>
      </c>
      <c r="J367" s="1">
        <f>IFERROR(__xludf.DUMMYFUNCTION("""COMPUTED_VALUE"""),38.0)</f>
        <v>38</v>
      </c>
      <c r="K367" s="1">
        <f>IFERROR(__xludf.DUMMYFUNCTION("""COMPUTED_VALUE"""),40.0)</f>
        <v>40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 t="str">
        <f>IFERROR(__xludf.DUMMYFUNCTION("""COMPUTED_VALUE"""),"A")</f>
        <v>A</v>
      </c>
      <c r="E368" s="1" t="str">
        <f>IFERROR(__xludf.DUMMYFUNCTION("""COMPUTED_VALUE"""),"Female")</f>
        <v>Female</v>
      </c>
      <c r="F368" s="1">
        <f>IFERROR(__xludf.DUMMYFUNCTION("""COMPUTED_VALUE"""),81.0)</f>
        <v>81</v>
      </c>
      <c r="G368" s="1">
        <f>IFERROR(__xludf.DUMMYFUNCTION("""COMPUTED_VALUE"""),98.0)</f>
        <v>98</v>
      </c>
      <c r="H368" s="1">
        <f>IFERROR(__xludf.DUMMYFUNCTION("""COMPUTED_VALUE"""),57.0)</f>
        <v>57</v>
      </c>
      <c r="I368" s="1">
        <f>IFERROR(__xludf.DUMMYFUNCTION("""COMPUTED_VALUE"""),30.0)</f>
        <v>30</v>
      </c>
      <c r="J368" s="1">
        <f>IFERROR(__xludf.DUMMYFUNCTION("""COMPUTED_VALUE"""),50.0)</f>
        <v>50</v>
      </c>
      <c r="K368" s="1">
        <f>IFERROR(__xludf.DUMMYFUNCTION("""COMPUTED_VALUE"""),35.0)</f>
        <v>35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 t="str">
        <f>IFERROR(__xludf.DUMMYFUNCTION("""COMPUTED_VALUE"""),"C")</f>
        <v>C</v>
      </c>
      <c r="E369" s="1" t="str">
        <f>IFERROR(__xludf.DUMMYFUNCTION("""COMPUTED_VALUE"""),"Female")</f>
        <v>Female</v>
      </c>
      <c r="F369" s="1">
        <f>IFERROR(__xludf.DUMMYFUNCTION("""COMPUTED_VALUE"""),81.0)</f>
        <v>81</v>
      </c>
      <c r="G369" s="1">
        <f>IFERROR(__xludf.DUMMYFUNCTION("""COMPUTED_VALUE"""),38.0)</f>
        <v>38</v>
      </c>
      <c r="H369" s="1">
        <f>IFERROR(__xludf.DUMMYFUNCTION("""COMPUTED_VALUE"""),61.0)</f>
        <v>61</v>
      </c>
      <c r="I369" s="1">
        <f>IFERROR(__xludf.DUMMYFUNCTION("""COMPUTED_VALUE"""),51.0)</f>
        <v>51</v>
      </c>
      <c r="J369" s="1">
        <f>IFERROR(__xludf.DUMMYFUNCTION("""COMPUTED_VALUE"""),24.0)</f>
        <v>24</v>
      </c>
      <c r="K369" s="1">
        <f>IFERROR(__xludf.DUMMYFUNCTION("""COMPUTED_VALUE"""),83.0)</f>
        <v>83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 t="str">
        <f>IFERROR(__xludf.DUMMYFUNCTION("""COMPUTED_VALUE"""),"B")</f>
        <v>B</v>
      </c>
      <c r="E370" s="1" t="str">
        <f>IFERROR(__xludf.DUMMYFUNCTION("""COMPUTED_VALUE"""),"Male")</f>
        <v>Male</v>
      </c>
      <c r="F370" s="1">
        <f>IFERROR(__xludf.DUMMYFUNCTION("""COMPUTED_VALUE"""),15.0)</f>
        <v>15</v>
      </c>
      <c r="G370" s="1">
        <f>IFERROR(__xludf.DUMMYFUNCTION("""COMPUTED_VALUE"""),77.0)</f>
        <v>77</v>
      </c>
      <c r="H370" s="1">
        <f>IFERROR(__xludf.DUMMYFUNCTION("""COMPUTED_VALUE"""),56.0)</f>
        <v>56</v>
      </c>
      <c r="I370" s="1">
        <f>IFERROR(__xludf.DUMMYFUNCTION("""COMPUTED_VALUE"""),83.0)</f>
        <v>83</v>
      </c>
      <c r="J370" s="1">
        <f>IFERROR(__xludf.DUMMYFUNCTION("""COMPUTED_VALUE"""),95.0)</f>
        <v>95</v>
      </c>
      <c r="K370" s="1">
        <f>IFERROR(__xludf.DUMMYFUNCTION("""COMPUTED_VALUE"""),84.0)</f>
        <v>84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 t="str">
        <f>IFERROR(__xludf.DUMMYFUNCTION("""COMPUTED_VALUE"""),"B")</f>
        <v>B</v>
      </c>
      <c r="E371" s="1" t="str">
        <f>IFERROR(__xludf.DUMMYFUNCTION("""COMPUTED_VALUE"""),"Male")</f>
        <v>Male</v>
      </c>
      <c r="F371" s="1">
        <f>IFERROR(__xludf.DUMMYFUNCTION("""COMPUTED_VALUE"""),96.0)</f>
        <v>96</v>
      </c>
      <c r="G371" s="1">
        <f>IFERROR(__xludf.DUMMYFUNCTION("""COMPUTED_VALUE"""),80.0)</f>
        <v>80</v>
      </c>
      <c r="H371" s="1">
        <f>IFERROR(__xludf.DUMMYFUNCTION("""COMPUTED_VALUE"""),49.0)</f>
        <v>49</v>
      </c>
      <c r="I371" s="1">
        <f>IFERROR(__xludf.DUMMYFUNCTION("""COMPUTED_VALUE"""),43.0)</f>
        <v>43</v>
      </c>
      <c r="J371" s="1">
        <f>IFERROR(__xludf.DUMMYFUNCTION("""COMPUTED_VALUE"""),50.0)</f>
        <v>50</v>
      </c>
      <c r="K371" s="1">
        <f>IFERROR(__xludf.DUMMYFUNCTION("""COMPUTED_VALUE"""),49.0)</f>
        <v>49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 t="str">
        <f>IFERROR(__xludf.DUMMYFUNCTION("""COMPUTED_VALUE"""),"B")</f>
        <v>B</v>
      </c>
      <c r="E372" s="1" t="str">
        <f>IFERROR(__xludf.DUMMYFUNCTION("""COMPUTED_VALUE"""),"Female")</f>
        <v>Female</v>
      </c>
      <c r="F372" s="1">
        <f>IFERROR(__xludf.DUMMYFUNCTION("""COMPUTED_VALUE"""),87.0)</f>
        <v>87</v>
      </c>
      <c r="G372" s="1">
        <f>IFERROR(__xludf.DUMMYFUNCTION("""COMPUTED_VALUE"""),51.0)</f>
        <v>51</v>
      </c>
      <c r="H372" s="1">
        <f>IFERROR(__xludf.DUMMYFUNCTION("""COMPUTED_VALUE"""),90.0)</f>
        <v>90</v>
      </c>
      <c r="I372" s="1">
        <f>IFERROR(__xludf.DUMMYFUNCTION("""COMPUTED_VALUE"""),37.0)</f>
        <v>37</v>
      </c>
      <c r="J372" s="1">
        <f>IFERROR(__xludf.DUMMYFUNCTION("""COMPUTED_VALUE"""),83.0)</f>
        <v>83</v>
      </c>
      <c r="K372" s="1">
        <f>IFERROR(__xludf.DUMMYFUNCTION("""COMPUTED_VALUE"""),34.0)</f>
        <v>34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 t="str">
        <f>IFERROR(__xludf.DUMMYFUNCTION("""COMPUTED_VALUE"""),"B")</f>
        <v>B</v>
      </c>
      <c r="E373" s="1" t="str">
        <f>IFERROR(__xludf.DUMMYFUNCTION("""COMPUTED_VALUE"""),"Male")</f>
        <v>Male</v>
      </c>
      <c r="F373" s="1">
        <f>IFERROR(__xludf.DUMMYFUNCTION("""COMPUTED_VALUE"""),97.0)</f>
        <v>97</v>
      </c>
      <c r="G373" s="1">
        <f>IFERROR(__xludf.DUMMYFUNCTION("""COMPUTED_VALUE"""),29.0)</f>
        <v>29</v>
      </c>
      <c r="H373" s="1">
        <f>IFERROR(__xludf.DUMMYFUNCTION("""COMPUTED_VALUE"""),39.0)</f>
        <v>39</v>
      </c>
      <c r="I373" s="1">
        <f>IFERROR(__xludf.DUMMYFUNCTION("""COMPUTED_VALUE"""),39.0)</f>
        <v>39</v>
      </c>
      <c r="J373" s="1">
        <f>IFERROR(__xludf.DUMMYFUNCTION("""COMPUTED_VALUE"""),33.0)</f>
        <v>33</v>
      </c>
      <c r="K373" s="1">
        <f>IFERROR(__xludf.DUMMYFUNCTION("""COMPUTED_VALUE"""),45.0)</f>
        <v>45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 t="str">
        <f>IFERROR(__xludf.DUMMYFUNCTION("""COMPUTED_VALUE"""),"A")</f>
        <v>A</v>
      </c>
      <c r="E374" s="1" t="str">
        <f>IFERROR(__xludf.DUMMYFUNCTION("""COMPUTED_VALUE"""),"Male")</f>
        <v>Male</v>
      </c>
      <c r="F374" s="1">
        <f>IFERROR(__xludf.DUMMYFUNCTION("""COMPUTED_VALUE"""),18.0)</f>
        <v>18</v>
      </c>
      <c r="G374" s="1">
        <f>IFERROR(__xludf.DUMMYFUNCTION("""COMPUTED_VALUE"""),92.0)</f>
        <v>92</v>
      </c>
      <c r="H374" s="1">
        <f>IFERROR(__xludf.DUMMYFUNCTION("""COMPUTED_VALUE"""),36.0)</f>
        <v>36</v>
      </c>
      <c r="I374" s="1">
        <f>IFERROR(__xludf.DUMMYFUNCTION("""COMPUTED_VALUE"""),32.0)</f>
        <v>32</v>
      </c>
      <c r="J374" s="1">
        <f>IFERROR(__xludf.DUMMYFUNCTION("""COMPUTED_VALUE"""),92.0)</f>
        <v>92</v>
      </c>
      <c r="K374" s="1">
        <f>IFERROR(__xludf.DUMMYFUNCTION("""COMPUTED_VALUE"""),91.0)</f>
        <v>91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 t="str">
        <f>IFERROR(__xludf.DUMMYFUNCTION("""COMPUTED_VALUE"""),"A")</f>
        <v>A</v>
      </c>
      <c r="E375" s="1" t="str">
        <f>IFERROR(__xludf.DUMMYFUNCTION("""COMPUTED_VALUE"""),"Female")</f>
        <v>Female</v>
      </c>
      <c r="F375" s="1">
        <f>IFERROR(__xludf.DUMMYFUNCTION("""COMPUTED_VALUE"""),34.0)</f>
        <v>34</v>
      </c>
      <c r="G375" s="1">
        <f>IFERROR(__xludf.DUMMYFUNCTION("""COMPUTED_VALUE"""),66.0)</f>
        <v>66</v>
      </c>
      <c r="H375" s="1">
        <f>IFERROR(__xludf.DUMMYFUNCTION("""COMPUTED_VALUE"""),69.0)</f>
        <v>69</v>
      </c>
      <c r="I375" s="1">
        <f>IFERROR(__xludf.DUMMYFUNCTION("""COMPUTED_VALUE"""),46.0)</f>
        <v>46</v>
      </c>
      <c r="J375" s="1">
        <f>IFERROR(__xludf.DUMMYFUNCTION("""COMPUTED_VALUE"""),45.0)</f>
        <v>45</v>
      </c>
      <c r="K375" s="1">
        <f>IFERROR(__xludf.DUMMYFUNCTION("""COMPUTED_VALUE"""),51.0)</f>
        <v>51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 t="str">
        <f>IFERROR(__xludf.DUMMYFUNCTION("""COMPUTED_VALUE"""),"C")</f>
        <v>C</v>
      </c>
      <c r="E376" s="1" t="str">
        <f>IFERROR(__xludf.DUMMYFUNCTION("""COMPUTED_VALUE"""),"Female")</f>
        <v>Female</v>
      </c>
      <c r="F376" s="1">
        <f>IFERROR(__xludf.DUMMYFUNCTION("""COMPUTED_VALUE"""),89.0)</f>
        <v>89</v>
      </c>
      <c r="G376" s="1">
        <f>IFERROR(__xludf.DUMMYFUNCTION("""COMPUTED_VALUE"""),60.0)</f>
        <v>60</v>
      </c>
      <c r="H376" s="1">
        <f>IFERROR(__xludf.DUMMYFUNCTION("""COMPUTED_VALUE"""),55.0)</f>
        <v>55</v>
      </c>
      <c r="I376" s="1">
        <f>IFERROR(__xludf.DUMMYFUNCTION("""COMPUTED_VALUE"""),80.0)</f>
        <v>80</v>
      </c>
      <c r="J376" s="1">
        <f>IFERROR(__xludf.DUMMYFUNCTION("""COMPUTED_VALUE"""),22.0)</f>
        <v>22</v>
      </c>
      <c r="K376" s="1">
        <f>IFERROR(__xludf.DUMMYFUNCTION("""COMPUTED_VALUE"""),79.0)</f>
        <v>79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 t="str">
        <f>IFERROR(__xludf.DUMMYFUNCTION("""COMPUTED_VALUE"""),"D")</f>
        <v>D</v>
      </c>
      <c r="E377" s="1" t="str">
        <f>IFERROR(__xludf.DUMMYFUNCTION("""COMPUTED_VALUE"""),"Male")</f>
        <v>Male</v>
      </c>
      <c r="F377" s="1">
        <f>IFERROR(__xludf.DUMMYFUNCTION("""COMPUTED_VALUE"""),73.0)</f>
        <v>73</v>
      </c>
      <c r="G377" s="1">
        <f>IFERROR(__xludf.DUMMYFUNCTION("""COMPUTED_VALUE"""),97.0)</f>
        <v>97</v>
      </c>
      <c r="H377" s="1">
        <f>IFERROR(__xludf.DUMMYFUNCTION("""COMPUTED_VALUE"""),93.0)</f>
        <v>93</v>
      </c>
      <c r="I377" s="1">
        <f>IFERROR(__xludf.DUMMYFUNCTION("""COMPUTED_VALUE"""),28.0)</f>
        <v>28</v>
      </c>
      <c r="J377" s="1">
        <f>IFERROR(__xludf.DUMMYFUNCTION("""COMPUTED_VALUE"""),98.0)</f>
        <v>98</v>
      </c>
      <c r="K377" s="1">
        <f>IFERROR(__xludf.DUMMYFUNCTION("""COMPUTED_VALUE"""),53.0)</f>
        <v>53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 t="str">
        <f>IFERROR(__xludf.DUMMYFUNCTION("""COMPUTED_VALUE"""),"C")</f>
        <v>C</v>
      </c>
      <c r="E378" s="1" t="str">
        <f>IFERROR(__xludf.DUMMYFUNCTION("""COMPUTED_VALUE"""),"Male")</f>
        <v>Male</v>
      </c>
      <c r="F378" s="1">
        <f>IFERROR(__xludf.DUMMYFUNCTION("""COMPUTED_VALUE"""),48.0)</f>
        <v>48</v>
      </c>
      <c r="G378" s="1">
        <f>IFERROR(__xludf.DUMMYFUNCTION("""COMPUTED_VALUE"""),89.0)</f>
        <v>89</v>
      </c>
      <c r="H378" s="1">
        <f>IFERROR(__xludf.DUMMYFUNCTION("""COMPUTED_VALUE"""),94.0)</f>
        <v>94</v>
      </c>
      <c r="I378" s="1">
        <f>IFERROR(__xludf.DUMMYFUNCTION("""COMPUTED_VALUE"""),42.0)</f>
        <v>42</v>
      </c>
      <c r="J378" s="1">
        <f>IFERROR(__xludf.DUMMYFUNCTION("""COMPUTED_VALUE"""),94.0)</f>
        <v>94</v>
      </c>
      <c r="K378" s="1">
        <f>IFERROR(__xludf.DUMMYFUNCTION("""COMPUTED_VALUE"""),72.0)</f>
        <v>72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 t="str">
        <f>IFERROR(__xludf.DUMMYFUNCTION("""COMPUTED_VALUE"""),"A")</f>
        <v>A</v>
      </c>
      <c r="E379" s="1" t="str">
        <f>IFERROR(__xludf.DUMMYFUNCTION("""COMPUTED_VALUE"""),"Female")</f>
        <v>Female</v>
      </c>
      <c r="F379" s="1">
        <f>IFERROR(__xludf.DUMMYFUNCTION("""COMPUTED_VALUE"""),54.0)</f>
        <v>54</v>
      </c>
      <c r="G379" s="1">
        <f>IFERROR(__xludf.DUMMYFUNCTION("""COMPUTED_VALUE"""),54.0)</f>
        <v>54</v>
      </c>
      <c r="H379" s="1">
        <f>IFERROR(__xludf.DUMMYFUNCTION("""COMPUTED_VALUE"""),49.0)</f>
        <v>49</v>
      </c>
      <c r="I379" s="1">
        <f>IFERROR(__xludf.DUMMYFUNCTION("""COMPUTED_VALUE"""),67.0)</f>
        <v>67</v>
      </c>
      <c r="J379" s="1">
        <f>IFERROR(__xludf.DUMMYFUNCTION("""COMPUTED_VALUE"""),97.0)</f>
        <v>97</v>
      </c>
      <c r="K379" s="1">
        <f>IFERROR(__xludf.DUMMYFUNCTION("""COMPUTED_VALUE"""),67.0)</f>
        <v>67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 t="str">
        <f>IFERROR(__xludf.DUMMYFUNCTION("""COMPUTED_VALUE"""),"D")</f>
        <v>D</v>
      </c>
      <c r="E380" s="1" t="str">
        <f>IFERROR(__xludf.DUMMYFUNCTION("""COMPUTED_VALUE"""),"Female")</f>
        <v>Female</v>
      </c>
      <c r="F380" s="1">
        <f>IFERROR(__xludf.DUMMYFUNCTION("""COMPUTED_VALUE"""),21.0)</f>
        <v>21</v>
      </c>
      <c r="G380" s="1">
        <f>IFERROR(__xludf.DUMMYFUNCTION("""COMPUTED_VALUE"""),21.0)</f>
        <v>21</v>
      </c>
      <c r="H380" s="1">
        <f>IFERROR(__xludf.DUMMYFUNCTION("""COMPUTED_VALUE"""),81.0)</f>
        <v>81</v>
      </c>
      <c r="I380" s="1">
        <f>IFERROR(__xludf.DUMMYFUNCTION("""COMPUTED_VALUE"""),48.0)</f>
        <v>48</v>
      </c>
      <c r="J380" s="1">
        <f>IFERROR(__xludf.DUMMYFUNCTION("""COMPUTED_VALUE"""),35.0)</f>
        <v>35</v>
      </c>
      <c r="K380" s="1">
        <f>IFERROR(__xludf.DUMMYFUNCTION("""COMPUTED_VALUE"""),72.0)</f>
        <v>72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 t="str">
        <f>IFERROR(__xludf.DUMMYFUNCTION("""COMPUTED_VALUE"""),"B")</f>
        <v>B</v>
      </c>
      <c r="E381" s="1" t="str">
        <f>IFERROR(__xludf.DUMMYFUNCTION("""COMPUTED_VALUE"""),"Female")</f>
        <v>Female</v>
      </c>
      <c r="F381" s="1">
        <f>IFERROR(__xludf.DUMMYFUNCTION("""COMPUTED_VALUE"""),99.0)</f>
        <v>99</v>
      </c>
      <c r="G381" s="1">
        <f>IFERROR(__xludf.DUMMYFUNCTION("""COMPUTED_VALUE"""),31.0)</f>
        <v>31</v>
      </c>
      <c r="H381" s="1">
        <f>IFERROR(__xludf.DUMMYFUNCTION("""COMPUTED_VALUE"""),59.0)</f>
        <v>59</v>
      </c>
      <c r="I381" s="1">
        <f>IFERROR(__xludf.DUMMYFUNCTION("""COMPUTED_VALUE"""),89.0)</f>
        <v>89</v>
      </c>
      <c r="J381" s="1">
        <f>IFERROR(__xludf.DUMMYFUNCTION("""COMPUTED_VALUE"""),62.0)</f>
        <v>62</v>
      </c>
      <c r="K381" s="1">
        <f>IFERROR(__xludf.DUMMYFUNCTION("""COMPUTED_VALUE"""),71.0)</f>
        <v>71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 t="str">
        <f>IFERROR(__xludf.DUMMYFUNCTION("""COMPUTED_VALUE"""),"B")</f>
        <v>B</v>
      </c>
      <c r="E382" s="1" t="str">
        <f>IFERROR(__xludf.DUMMYFUNCTION("""COMPUTED_VALUE"""),"Male")</f>
        <v>Male</v>
      </c>
      <c r="F382" s="1">
        <f>IFERROR(__xludf.DUMMYFUNCTION("""COMPUTED_VALUE"""),56.0)</f>
        <v>56</v>
      </c>
      <c r="G382" s="1">
        <f>IFERROR(__xludf.DUMMYFUNCTION("""COMPUTED_VALUE"""),63.0)</f>
        <v>63</v>
      </c>
      <c r="H382" s="1">
        <f>IFERROR(__xludf.DUMMYFUNCTION("""COMPUTED_VALUE"""),58.0)</f>
        <v>58</v>
      </c>
      <c r="I382" s="1">
        <f>IFERROR(__xludf.DUMMYFUNCTION("""COMPUTED_VALUE"""),54.0)</f>
        <v>54</v>
      </c>
      <c r="J382" s="1">
        <f>IFERROR(__xludf.DUMMYFUNCTION("""COMPUTED_VALUE"""),59.0)</f>
        <v>59</v>
      </c>
      <c r="K382" s="1">
        <f>IFERROR(__xludf.DUMMYFUNCTION("""COMPUTED_VALUE"""),71.0)</f>
        <v>71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 t="str">
        <f>IFERROR(__xludf.DUMMYFUNCTION("""COMPUTED_VALUE"""),"D")</f>
        <v>D</v>
      </c>
      <c r="E383" s="1" t="str">
        <f>IFERROR(__xludf.DUMMYFUNCTION("""COMPUTED_VALUE"""),"Male")</f>
        <v>Male</v>
      </c>
      <c r="F383" s="1">
        <f>IFERROR(__xludf.DUMMYFUNCTION("""COMPUTED_VALUE"""),100.0)</f>
        <v>100</v>
      </c>
      <c r="G383" s="1">
        <f>IFERROR(__xludf.DUMMYFUNCTION("""COMPUTED_VALUE"""),68.0)</f>
        <v>68</v>
      </c>
      <c r="H383" s="1">
        <f>IFERROR(__xludf.DUMMYFUNCTION("""COMPUTED_VALUE"""),79.0)</f>
        <v>79</v>
      </c>
      <c r="I383" s="1">
        <f>IFERROR(__xludf.DUMMYFUNCTION("""COMPUTED_VALUE"""),91.0)</f>
        <v>91</v>
      </c>
      <c r="J383" s="1">
        <f>IFERROR(__xludf.DUMMYFUNCTION("""COMPUTED_VALUE"""),72.0)</f>
        <v>72</v>
      </c>
      <c r="K383" s="1">
        <f>IFERROR(__xludf.DUMMYFUNCTION("""COMPUTED_VALUE"""),81.0)</f>
        <v>81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 t="str">
        <f>IFERROR(__xludf.DUMMYFUNCTION("""COMPUTED_VALUE"""),"B")</f>
        <v>B</v>
      </c>
      <c r="E384" s="1" t="str">
        <f>IFERROR(__xludf.DUMMYFUNCTION("""COMPUTED_VALUE"""),"Female")</f>
        <v>Female</v>
      </c>
      <c r="F384" s="1">
        <f>IFERROR(__xludf.DUMMYFUNCTION("""COMPUTED_VALUE"""),14.0)</f>
        <v>14</v>
      </c>
      <c r="G384" s="1">
        <f>IFERROR(__xludf.DUMMYFUNCTION("""COMPUTED_VALUE"""),34.0)</f>
        <v>34</v>
      </c>
      <c r="H384" s="1">
        <f>IFERROR(__xludf.DUMMYFUNCTION("""COMPUTED_VALUE"""),81.0)</f>
        <v>81</v>
      </c>
      <c r="I384" s="1">
        <f>IFERROR(__xludf.DUMMYFUNCTION("""COMPUTED_VALUE"""),56.0)</f>
        <v>56</v>
      </c>
      <c r="J384" s="1">
        <f>IFERROR(__xludf.DUMMYFUNCTION("""COMPUTED_VALUE"""),41.0)</f>
        <v>41</v>
      </c>
      <c r="K384" s="1">
        <f>IFERROR(__xludf.DUMMYFUNCTION("""COMPUTED_VALUE"""),94.0)</f>
        <v>94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 t="str">
        <f>IFERROR(__xludf.DUMMYFUNCTION("""COMPUTED_VALUE"""),"A")</f>
        <v>A</v>
      </c>
      <c r="E385" s="1" t="str">
        <f>IFERROR(__xludf.DUMMYFUNCTION("""COMPUTED_VALUE"""),"Female")</f>
        <v>Female</v>
      </c>
      <c r="F385" s="1">
        <f>IFERROR(__xludf.DUMMYFUNCTION("""COMPUTED_VALUE"""),76.0)</f>
        <v>76</v>
      </c>
      <c r="G385" s="1">
        <f>IFERROR(__xludf.DUMMYFUNCTION("""COMPUTED_VALUE"""),29.0)</f>
        <v>29</v>
      </c>
      <c r="H385" s="1">
        <f>IFERROR(__xludf.DUMMYFUNCTION("""COMPUTED_VALUE"""),82.0)</f>
        <v>82</v>
      </c>
      <c r="I385" s="1">
        <f>IFERROR(__xludf.DUMMYFUNCTION("""COMPUTED_VALUE"""),35.0)</f>
        <v>35</v>
      </c>
      <c r="J385" s="1">
        <f>IFERROR(__xludf.DUMMYFUNCTION("""COMPUTED_VALUE"""),44.0)</f>
        <v>44</v>
      </c>
      <c r="K385" s="1">
        <f>IFERROR(__xludf.DUMMYFUNCTION("""COMPUTED_VALUE"""),46.0)</f>
        <v>46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 t="str">
        <f>IFERROR(__xludf.DUMMYFUNCTION("""COMPUTED_VALUE"""),"B")</f>
        <v>B</v>
      </c>
      <c r="E386" s="1" t="str">
        <f>IFERROR(__xludf.DUMMYFUNCTION("""COMPUTED_VALUE"""),"Male")</f>
        <v>Male</v>
      </c>
      <c r="F386" s="1">
        <f>IFERROR(__xludf.DUMMYFUNCTION("""COMPUTED_VALUE"""),30.0)</f>
        <v>30</v>
      </c>
      <c r="G386" s="1">
        <f>IFERROR(__xludf.DUMMYFUNCTION("""COMPUTED_VALUE"""),51.0)</f>
        <v>51</v>
      </c>
      <c r="H386" s="1">
        <f>IFERROR(__xludf.DUMMYFUNCTION("""COMPUTED_VALUE"""),37.0)</f>
        <v>37</v>
      </c>
      <c r="I386" s="1">
        <f>IFERROR(__xludf.DUMMYFUNCTION("""COMPUTED_VALUE"""),91.0)</f>
        <v>91</v>
      </c>
      <c r="J386" s="1">
        <f>IFERROR(__xludf.DUMMYFUNCTION("""COMPUTED_VALUE"""),78.0)</f>
        <v>78</v>
      </c>
      <c r="K386" s="1">
        <f>IFERROR(__xludf.DUMMYFUNCTION("""COMPUTED_VALUE"""),26.0)</f>
        <v>26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 t="str">
        <f>IFERROR(__xludf.DUMMYFUNCTION("""COMPUTED_VALUE"""),"C")</f>
        <v>C</v>
      </c>
      <c r="E387" s="1" t="str">
        <f>IFERROR(__xludf.DUMMYFUNCTION("""COMPUTED_VALUE"""),"Female")</f>
        <v>Female</v>
      </c>
      <c r="F387" s="1">
        <f>IFERROR(__xludf.DUMMYFUNCTION("""COMPUTED_VALUE"""),19.0)</f>
        <v>19</v>
      </c>
      <c r="G387" s="1">
        <f>IFERROR(__xludf.DUMMYFUNCTION("""COMPUTED_VALUE"""),89.0)</f>
        <v>89</v>
      </c>
      <c r="H387" s="1">
        <f>IFERROR(__xludf.DUMMYFUNCTION("""COMPUTED_VALUE"""),36.0)</f>
        <v>36</v>
      </c>
      <c r="I387" s="1">
        <f>IFERROR(__xludf.DUMMYFUNCTION("""COMPUTED_VALUE"""),34.0)</f>
        <v>34</v>
      </c>
      <c r="J387" s="1">
        <f>IFERROR(__xludf.DUMMYFUNCTION("""COMPUTED_VALUE"""),82.0)</f>
        <v>82</v>
      </c>
      <c r="K387" s="1">
        <f>IFERROR(__xludf.DUMMYFUNCTION("""COMPUTED_VALUE"""),77.0)</f>
        <v>77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 t="str">
        <f>IFERROR(__xludf.DUMMYFUNCTION("""COMPUTED_VALUE"""),"A")</f>
        <v>A</v>
      </c>
      <c r="E388" s="1" t="str">
        <f>IFERROR(__xludf.DUMMYFUNCTION("""COMPUTED_VALUE"""),"Male")</f>
        <v>Male</v>
      </c>
      <c r="F388" s="1">
        <f>IFERROR(__xludf.DUMMYFUNCTION("""COMPUTED_VALUE"""),88.0)</f>
        <v>88</v>
      </c>
      <c r="G388" s="1">
        <f>IFERROR(__xludf.DUMMYFUNCTION("""COMPUTED_VALUE"""),69.0)</f>
        <v>69</v>
      </c>
      <c r="H388" s="1">
        <f>IFERROR(__xludf.DUMMYFUNCTION("""COMPUTED_VALUE"""),27.0)</f>
        <v>27</v>
      </c>
      <c r="I388" s="1">
        <f>IFERROR(__xludf.DUMMYFUNCTION("""COMPUTED_VALUE"""),78.0)</f>
        <v>78</v>
      </c>
      <c r="J388" s="1">
        <f>IFERROR(__xludf.DUMMYFUNCTION("""COMPUTED_VALUE"""),65.0)</f>
        <v>65</v>
      </c>
      <c r="K388" s="1">
        <f>IFERROR(__xludf.DUMMYFUNCTION("""COMPUTED_VALUE"""),24.0)</f>
        <v>24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 t="str">
        <f>IFERROR(__xludf.DUMMYFUNCTION("""COMPUTED_VALUE"""),"A")</f>
        <v>A</v>
      </c>
      <c r="E389" s="1" t="str">
        <f>IFERROR(__xludf.DUMMYFUNCTION("""COMPUTED_VALUE"""),"Male")</f>
        <v>Male</v>
      </c>
      <c r="F389" s="1">
        <f>IFERROR(__xludf.DUMMYFUNCTION("""COMPUTED_VALUE"""),62.0)</f>
        <v>62</v>
      </c>
      <c r="G389" s="1">
        <f>IFERROR(__xludf.DUMMYFUNCTION("""COMPUTED_VALUE"""),49.0)</f>
        <v>49</v>
      </c>
      <c r="H389" s="1">
        <f>IFERROR(__xludf.DUMMYFUNCTION("""COMPUTED_VALUE"""),60.0)</f>
        <v>60</v>
      </c>
      <c r="I389" s="1">
        <f>IFERROR(__xludf.DUMMYFUNCTION("""COMPUTED_VALUE"""),21.0)</f>
        <v>21</v>
      </c>
      <c r="J389" s="1">
        <f>IFERROR(__xludf.DUMMYFUNCTION("""COMPUTED_VALUE"""),69.0)</f>
        <v>69</v>
      </c>
      <c r="K389" s="1">
        <f>IFERROR(__xludf.DUMMYFUNCTION("""COMPUTED_VALUE"""),94.0)</f>
        <v>94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 t="str">
        <f>IFERROR(__xludf.DUMMYFUNCTION("""COMPUTED_VALUE"""),"B")</f>
        <v>B</v>
      </c>
      <c r="E390" s="1" t="str">
        <f>IFERROR(__xludf.DUMMYFUNCTION("""COMPUTED_VALUE"""),"Female")</f>
        <v>Female</v>
      </c>
      <c r="F390" s="1">
        <f>IFERROR(__xludf.DUMMYFUNCTION("""COMPUTED_VALUE"""),26.0)</f>
        <v>26</v>
      </c>
      <c r="G390" s="1">
        <f>IFERROR(__xludf.DUMMYFUNCTION("""COMPUTED_VALUE"""),52.0)</f>
        <v>52</v>
      </c>
      <c r="H390" s="1">
        <f>IFERROR(__xludf.DUMMYFUNCTION("""COMPUTED_VALUE"""),32.0)</f>
        <v>32</v>
      </c>
      <c r="I390" s="1">
        <f>IFERROR(__xludf.DUMMYFUNCTION("""COMPUTED_VALUE"""),27.0)</f>
        <v>27</v>
      </c>
      <c r="J390" s="1">
        <f>IFERROR(__xludf.DUMMYFUNCTION("""COMPUTED_VALUE"""),60.0)</f>
        <v>60</v>
      </c>
      <c r="K390" s="1">
        <f>IFERROR(__xludf.DUMMYFUNCTION("""COMPUTED_VALUE"""),64.0)</f>
        <v>64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 t="str">
        <f>IFERROR(__xludf.DUMMYFUNCTION("""COMPUTED_VALUE"""),"C")</f>
        <v>C</v>
      </c>
      <c r="E391" s="1" t="str">
        <f>IFERROR(__xludf.DUMMYFUNCTION("""COMPUTED_VALUE"""),"Male")</f>
        <v>Male</v>
      </c>
      <c r="F391" s="1">
        <f>IFERROR(__xludf.DUMMYFUNCTION("""COMPUTED_VALUE"""),28.0)</f>
        <v>28</v>
      </c>
      <c r="G391" s="1">
        <f>IFERROR(__xludf.DUMMYFUNCTION("""COMPUTED_VALUE"""),81.0)</f>
        <v>81</v>
      </c>
      <c r="H391" s="1">
        <f>IFERROR(__xludf.DUMMYFUNCTION("""COMPUTED_VALUE"""),43.0)</f>
        <v>43</v>
      </c>
      <c r="I391" s="1">
        <f>IFERROR(__xludf.DUMMYFUNCTION("""COMPUTED_VALUE"""),30.0)</f>
        <v>30</v>
      </c>
      <c r="J391" s="1">
        <f>IFERROR(__xludf.DUMMYFUNCTION("""COMPUTED_VALUE"""),91.0)</f>
        <v>91</v>
      </c>
      <c r="K391" s="1">
        <f>IFERROR(__xludf.DUMMYFUNCTION("""COMPUTED_VALUE"""),96.0)</f>
        <v>96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 t="str">
        <f>IFERROR(__xludf.DUMMYFUNCTION("""COMPUTED_VALUE"""),"B")</f>
        <v>B</v>
      </c>
      <c r="E392" s="1" t="str">
        <f>IFERROR(__xludf.DUMMYFUNCTION("""COMPUTED_VALUE"""),"Male")</f>
        <v>Male</v>
      </c>
      <c r="F392" s="1">
        <f>IFERROR(__xludf.DUMMYFUNCTION("""COMPUTED_VALUE"""),44.0)</f>
        <v>44</v>
      </c>
      <c r="G392" s="1">
        <f>IFERROR(__xludf.DUMMYFUNCTION("""COMPUTED_VALUE"""),98.0)</f>
        <v>98</v>
      </c>
      <c r="H392" s="1">
        <f>IFERROR(__xludf.DUMMYFUNCTION("""COMPUTED_VALUE"""),48.0)</f>
        <v>48</v>
      </c>
      <c r="I392" s="1">
        <f>IFERROR(__xludf.DUMMYFUNCTION("""COMPUTED_VALUE"""),26.0)</f>
        <v>26</v>
      </c>
      <c r="J392" s="1">
        <f>IFERROR(__xludf.DUMMYFUNCTION("""COMPUTED_VALUE"""),31.0)</f>
        <v>31</v>
      </c>
      <c r="K392" s="1">
        <f>IFERROR(__xludf.DUMMYFUNCTION("""COMPUTED_VALUE"""),77.0)</f>
        <v>77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 t="str">
        <f>IFERROR(__xludf.DUMMYFUNCTION("""COMPUTED_VALUE"""),"C")</f>
        <v>C</v>
      </c>
      <c r="E393" s="1" t="str">
        <f>IFERROR(__xludf.DUMMYFUNCTION("""COMPUTED_VALUE"""),"Female")</f>
        <v>Female</v>
      </c>
      <c r="F393" s="1">
        <f>IFERROR(__xludf.DUMMYFUNCTION("""COMPUTED_VALUE"""),96.0)</f>
        <v>96</v>
      </c>
      <c r="G393" s="1">
        <f>IFERROR(__xludf.DUMMYFUNCTION("""COMPUTED_VALUE"""),95.0)</f>
        <v>95</v>
      </c>
      <c r="H393" s="1">
        <f>IFERROR(__xludf.DUMMYFUNCTION("""COMPUTED_VALUE"""),42.0)</f>
        <v>42</v>
      </c>
      <c r="I393" s="1">
        <f>IFERROR(__xludf.DUMMYFUNCTION("""COMPUTED_VALUE"""),87.0)</f>
        <v>87</v>
      </c>
      <c r="J393" s="1">
        <f>IFERROR(__xludf.DUMMYFUNCTION("""COMPUTED_VALUE"""),60.0)</f>
        <v>60</v>
      </c>
      <c r="K393" s="1">
        <f>IFERROR(__xludf.DUMMYFUNCTION("""COMPUTED_VALUE"""),30.0)</f>
        <v>30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 t="str">
        <f>IFERROR(__xludf.DUMMYFUNCTION("""COMPUTED_VALUE"""),"C")</f>
        <v>C</v>
      </c>
      <c r="E394" s="1" t="str">
        <f>IFERROR(__xludf.DUMMYFUNCTION("""COMPUTED_VALUE"""),"Male")</f>
        <v>Male</v>
      </c>
      <c r="F394" s="1">
        <f>IFERROR(__xludf.DUMMYFUNCTION("""COMPUTED_VALUE"""),38.0)</f>
        <v>38</v>
      </c>
      <c r="G394" s="1">
        <f>IFERROR(__xludf.DUMMYFUNCTION("""COMPUTED_VALUE"""),81.0)</f>
        <v>81</v>
      </c>
      <c r="H394" s="1">
        <f>IFERROR(__xludf.DUMMYFUNCTION("""COMPUTED_VALUE"""),99.0)</f>
        <v>99</v>
      </c>
      <c r="I394" s="1">
        <f>IFERROR(__xludf.DUMMYFUNCTION("""COMPUTED_VALUE"""),96.0)</f>
        <v>96</v>
      </c>
      <c r="J394" s="1">
        <f>IFERROR(__xludf.DUMMYFUNCTION("""COMPUTED_VALUE"""),49.0)</f>
        <v>49</v>
      </c>
      <c r="K394" s="1">
        <f>IFERROR(__xludf.DUMMYFUNCTION("""COMPUTED_VALUE"""),62.0)</f>
        <v>62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 t="str">
        <f>IFERROR(__xludf.DUMMYFUNCTION("""COMPUTED_VALUE"""),"A")</f>
        <v>A</v>
      </c>
      <c r="E395" s="1" t="str">
        <f>IFERROR(__xludf.DUMMYFUNCTION("""COMPUTED_VALUE"""),"Male")</f>
        <v>Male</v>
      </c>
      <c r="F395" s="1">
        <f>IFERROR(__xludf.DUMMYFUNCTION("""COMPUTED_VALUE"""),14.0)</f>
        <v>14</v>
      </c>
      <c r="G395" s="1">
        <f>IFERROR(__xludf.DUMMYFUNCTION("""COMPUTED_VALUE"""),89.0)</f>
        <v>89</v>
      </c>
      <c r="H395" s="1">
        <f>IFERROR(__xludf.DUMMYFUNCTION("""COMPUTED_VALUE"""),63.0)</f>
        <v>63</v>
      </c>
      <c r="I395" s="1">
        <f>IFERROR(__xludf.DUMMYFUNCTION("""COMPUTED_VALUE"""),48.0)</f>
        <v>48</v>
      </c>
      <c r="J395" s="1">
        <f>IFERROR(__xludf.DUMMYFUNCTION("""COMPUTED_VALUE"""),62.0)</f>
        <v>62</v>
      </c>
      <c r="K395" s="1">
        <f>IFERROR(__xludf.DUMMYFUNCTION("""COMPUTED_VALUE"""),73.0)</f>
        <v>73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 t="str">
        <f>IFERROR(__xludf.DUMMYFUNCTION("""COMPUTED_VALUE"""),"B")</f>
        <v>B</v>
      </c>
      <c r="E396" s="1" t="str">
        <f>IFERROR(__xludf.DUMMYFUNCTION("""COMPUTED_VALUE"""),"Female")</f>
        <v>Female</v>
      </c>
      <c r="F396" s="1">
        <f>IFERROR(__xludf.DUMMYFUNCTION("""COMPUTED_VALUE"""),28.0)</f>
        <v>28</v>
      </c>
      <c r="G396" s="1">
        <f>IFERROR(__xludf.DUMMYFUNCTION("""COMPUTED_VALUE"""),56.0)</f>
        <v>56</v>
      </c>
      <c r="H396" s="1">
        <f>IFERROR(__xludf.DUMMYFUNCTION("""COMPUTED_VALUE"""),92.0)</f>
        <v>92</v>
      </c>
      <c r="I396" s="1">
        <f>IFERROR(__xludf.DUMMYFUNCTION("""COMPUTED_VALUE"""),98.0)</f>
        <v>98</v>
      </c>
      <c r="J396" s="1">
        <f>IFERROR(__xludf.DUMMYFUNCTION("""COMPUTED_VALUE"""),96.0)</f>
        <v>96</v>
      </c>
      <c r="K396" s="1">
        <f>IFERROR(__xludf.DUMMYFUNCTION("""COMPUTED_VALUE"""),88.0)</f>
        <v>88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 t="str">
        <f>IFERROR(__xludf.DUMMYFUNCTION("""COMPUTED_VALUE"""),"A")</f>
        <v>A</v>
      </c>
      <c r="E397" s="1" t="str">
        <f>IFERROR(__xludf.DUMMYFUNCTION("""COMPUTED_VALUE"""),"Male")</f>
        <v>Male</v>
      </c>
      <c r="F397" s="1">
        <f>IFERROR(__xludf.DUMMYFUNCTION("""COMPUTED_VALUE"""),82.0)</f>
        <v>82</v>
      </c>
      <c r="G397" s="1">
        <f>IFERROR(__xludf.DUMMYFUNCTION("""COMPUTED_VALUE"""),40.0)</f>
        <v>40</v>
      </c>
      <c r="H397" s="1">
        <f>IFERROR(__xludf.DUMMYFUNCTION("""COMPUTED_VALUE"""),45.0)</f>
        <v>45</v>
      </c>
      <c r="I397" s="1">
        <f>IFERROR(__xludf.DUMMYFUNCTION("""COMPUTED_VALUE"""),78.0)</f>
        <v>78</v>
      </c>
      <c r="J397" s="1">
        <f>IFERROR(__xludf.DUMMYFUNCTION("""COMPUTED_VALUE"""),86.0)</f>
        <v>86</v>
      </c>
      <c r="K397" s="1">
        <f>IFERROR(__xludf.DUMMYFUNCTION("""COMPUTED_VALUE"""),25.0)</f>
        <v>25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 t="str">
        <f>IFERROR(__xludf.DUMMYFUNCTION("""COMPUTED_VALUE"""),"B")</f>
        <v>B</v>
      </c>
      <c r="E398" s="1" t="str">
        <f>IFERROR(__xludf.DUMMYFUNCTION("""COMPUTED_VALUE"""),"Male")</f>
        <v>Male</v>
      </c>
      <c r="F398" s="1">
        <f>IFERROR(__xludf.DUMMYFUNCTION("""COMPUTED_VALUE"""),14.0)</f>
        <v>14</v>
      </c>
      <c r="G398" s="1">
        <f>IFERROR(__xludf.DUMMYFUNCTION("""COMPUTED_VALUE"""),61.0)</f>
        <v>61</v>
      </c>
      <c r="H398" s="1">
        <f>IFERROR(__xludf.DUMMYFUNCTION("""COMPUTED_VALUE"""),37.0)</f>
        <v>37</v>
      </c>
      <c r="I398" s="1">
        <f>IFERROR(__xludf.DUMMYFUNCTION("""COMPUTED_VALUE"""),25.0)</f>
        <v>25</v>
      </c>
      <c r="J398" s="1">
        <f>IFERROR(__xludf.DUMMYFUNCTION("""COMPUTED_VALUE"""),45.0)</f>
        <v>45</v>
      </c>
      <c r="K398" s="1">
        <f>IFERROR(__xludf.DUMMYFUNCTION("""COMPUTED_VALUE"""),44.0)</f>
        <v>44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 t="str">
        <f>IFERROR(__xludf.DUMMYFUNCTION("""COMPUTED_VALUE"""),"C")</f>
        <v>C</v>
      </c>
      <c r="E399" s="1" t="str">
        <f>IFERROR(__xludf.DUMMYFUNCTION("""COMPUTED_VALUE"""),"Male")</f>
        <v>Male</v>
      </c>
      <c r="F399" s="1">
        <f>IFERROR(__xludf.DUMMYFUNCTION("""COMPUTED_VALUE"""),62.0)</f>
        <v>62</v>
      </c>
      <c r="G399" s="1">
        <f>IFERROR(__xludf.DUMMYFUNCTION("""COMPUTED_VALUE"""),43.0)</f>
        <v>43</v>
      </c>
      <c r="H399" s="1">
        <f>IFERROR(__xludf.DUMMYFUNCTION("""COMPUTED_VALUE"""),63.0)</f>
        <v>63</v>
      </c>
      <c r="I399" s="1">
        <f>IFERROR(__xludf.DUMMYFUNCTION("""COMPUTED_VALUE"""),83.0)</f>
        <v>83</v>
      </c>
      <c r="J399" s="1">
        <f>IFERROR(__xludf.DUMMYFUNCTION("""COMPUTED_VALUE"""),24.0)</f>
        <v>24</v>
      </c>
      <c r="K399" s="1">
        <f>IFERROR(__xludf.DUMMYFUNCTION("""COMPUTED_VALUE"""),43.0)</f>
        <v>43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 t="str">
        <f>IFERROR(__xludf.DUMMYFUNCTION("""COMPUTED_VALUE"""),"A")</f>
        <v>A</v>
      </c>
      <c r="E400" s="1" t="str">
        <f>IFERROR(__xludf.DUMMYFUNCTION("""COMPUTED_VALUE"""),"Male")</f>
        <v>Male</v>
      </c>
      <c r="F400" s="1">
        <f>IFERROR(__xludf.DUMMYFUNCTION("""COMPUTED_VALUE"""),50.0)</f>
        <v>50</v>
      </c>
      <c r="G400" s="1">
        <f>IFERROR(__xludf.DUMMYFUNCTION("""COMPUTED_VALUE"""),45.0)</f>
        <v>45</v>
      </c>
      <c r="H400" s="1">
        <f>IFERROR(__xludf.DUMMYFUNCTION("""COMPUTED_VALUE"""),69.0)</f>
        <v>69</v>
      </c>
      <c r="I400" s="1">
        <f>IFERROR(__xludf.DUMMYFUNCTION("""COMPUTED_VALUE"""),73.0)</f>
        <v>73</v>
      </c>
      <c r="J400" s="1">
        <f>IFERROR(__xludf.DUMMYFUNCTION("""COMPUTED_VALUE"""),80.0)</f>
        <v>80</v>
      </c>
      <c r="K400" s="1">
        <f>IFERROR(__xludf.DUMMYFUNCTION("""COMPUTED_VALUE"""),36.0)</f>
        <v>36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 t="str">
        <f>IFERROR(__xludf.DUMMYFUNCTION("""COMPUTED_VALUE"""),"D")</f>
        <v>D</v>
      </c>
      <c r="E401" s="1" t="str">
        <f>IFERROR(__xludf.DUMMYFUNCTION("""COMPUTED_VALUE"""),"Female")</f>
        <v>Female</v>
      </c>
      <c r="F401" s="1">
        <f>IFERROR(__xludf.DUMMYFUNCTION("""COMPUTED_VALUE"""),74.0)</f>
        <v>74</v>
      </c>
      <c r="G401" s="1">
        <f>IFERROR(__xludf.DUMMYFUNCTION("""COMPUTED_VALUE"""),68.0)</f>
        <v>68</v>
      </c>
      <c r="H401" s="1">
        <f>IFERROR(__xludf.DUMMYFUNCTION("""COMPUTED_VALUE"""),65.0)</f>
        <v>65</v>
      </c>
      <c r="I401" s="1">
        <f>IFERROR(__xludf.DUMMYFUNCTION("""COMPUTED_VALUE"""),80.0)</f>
        <v>80</v>
      </c>
      <c r="J401" s="1">
        <f>IFERROR(__xludf.DUMMYFUNCTION("""COMPUTED_VALUE"""),24.0)</f>
        <v>24</v>
      </c>
      <c r="K401" s="1">
        <f>IFERROR(__xludf.DUMMYFUNCTION("""COMPUTED_VALUE"""),93.0)</f>
        <v>93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 t="str">
        <f>IFERROR(__xludf.DUMMYFUNCTION("""COMPUTED_VALUE"""),"A")</f>
        <v>A</v>
      </c>
      <c r="E402" s="1" t="str">
        <f>IFERROR(__xludf.DUMMYFUNCTION("""COMPUTED_VALUE"""),"Female")</f>
        <v>Female</v>
      </c>
      <c r="F402" s="1">
        <f>IFERROR(__xludf.DUMMYFUNCTION("""COMPUTED_VALUE"""),30.0)</f>
        <v>30</v>
      </c>
      <c r="G402" s="1">
        <f>IFERROR(__xludf.DUMMYFUNCTION("""COMPUTED_VALUE"""),96.0)</f>
        <v>96</v>
      </c>
      <c r="H402" s="1">
        <f>IFERROR(__xludf.DUMMYFUNCTION("""COMPUTED_VALUE"""),22.0)</f>
        <v>22</v>
      </c>
      <c r="I402" s="1">
        <f>IFERROR(__xludf.DUMMYFUNCTION("""COMPUTED_VALUE"""),88.0)</f>
        <v>88</v>
      </c>
      <c r="J402" s="1">
        <f>IFERROR(__xludf.DUMMYFUNCTION("""COMPUTED_VALUE"""),42.0)</f>
        <v>42</v>
      </c>
      <c r="K402" s="1">
        <f>IFERROR(__xludf.DUMMYFUNCTION("""COMPUTED_VALUE"""),79.0)</f>
        <v>79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 t="str">
        <f>IFERROR(__xludf.DUMMYFUNCTION("""COMPUTED_VALUE"""),"C")</f>
        <v>C</v>
      </c>
      <c r="E403" s="1" t="str">
        <f>IFERROR(__xludf.DUMMYFUNCTION("""COMPUTED_VALUE"""),"Female")</f>
        <v>Female</v>
      </c>
      <c r="F403" s="1">
        <f>IFERROR(__xludf.DUMMYFUNCTION("""COMPUTED_VALUE"""),99.0)</f>
        <v>99</v>
      </c>
      <c r="G403" s="1">
        <f>IFERROR(__xludf.DUMMYFUNCTION("""COMPUTED_VALUE"""),69.0)</f>
        <v>69</v>
      </c>
      <c r="H403" s="1">
        <f>IFERROR(__xludf.DUMMYFUNCTION("""COMPUTED_VALUE"""),68.0)</f>
        <v>68</v>
      </c>
      <c r="I403" s="1">
        <f>IFERROR(__xludf.DUMMYFUNCTION("""COMPUTED_VALUE"""),95.0)</f>
        <v>95</v>
      </c>
      <c r="J403" s="1">
        <f>IFERROR(__xludf.DUMMYFUNCTION("""COMPUTED_VALUE"""),32.0)</f>
        <v>32</v>
      </c>
      <c r="K403" s="1">
        <f>IFERROR(__xludf.DUMMYFUNCTION("""COMPUTED_VALUE"""),73.0)</f>
        <v>73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 t="str">
        <f>IFERROR(__xludf.DUMMYFUNCTION("""COMPUTED_VALUE"""),"D")</f>
        <v>D</v>
      </c>
      <c r="E404" s="1" t="str">
        <f>IFERROR(__xludf.DUMMYFUNCTION("""COMPUTED_VALUE"""),"Female")</f>
        <v>Female</v>
      </c>
      <c r="F404" s="1">
        <f>IFERROR(__xludf.DUMMYFUNCTION("""COMPUTED_VALUE"""),60.0)</f>
        <v>60</v>
      </c>
      <c r="G404" s="1">
        <f>IFERROR(__xludf.DUMMYFUNCTION("""COMPUTED_VALUE"""),54.0)</f>
        <v>54</v>
      </c>
      <c r="H404" s="1">
        <f>IFERROR(__xludf.DUMMYFUNCTION("""COMPUTED_VALUE"""),37.0)</f>
        <v>37</v>
      </c>
      <c r="I404" s="1">
        <f>IFERROR(__xludf.DUMMYFUNCTION("""COMPUTED_VALUE"""),72.0)</f>
        <v>72</v>
      </c>
      <c r="J404" s="1">
        <f>IFERROR(__xludf.DUMMYFUNCTION("""COMPUTED_VALUE"""),51.0)</f>
        <v>51</v>
      </c>
      <c r="K404" s="1">
        <f>IFERROR(__xludf.DUMMYFUNCTION("""COMPUTED_VALUE"""),93.0)</f>
        <v>93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 t="str">
        <f>IFERROR(__xludf.DUMMYFUNCTION("""COMPUTED_VALUE"""),"D")</f>
        <v>D</v>
      </c>
      <c r="E405" s="1" t="str">
        <f>IFERROR(__xludf.DUMMYFUNCTION("""COMPUTED_VALUE"""),"Male")</f>
        <v>Male</v>
      </c>
      <c r="F405" s="1">
        <f>IFERROR(__xludf.DUMMYFUNCTION("""COMPUTED_VALUE"""),87.0)</f>
        <v>87</v>
      </c>
      <c r="G405" s="1">
        <f>IFERROR(__xludf.DUMMYFUNCTION("""COMPUTED_VALUE"""),31.0)</f>
        <v>31</v>
      </c>
      <c r="H405" s="1">
        <f>IFERROR(__xludf.DUMMYFUNCTION("""COMPUTED_VALUE"""),92.0)</f>
        <v>92</v>
      </c>
      <c r="I405" s="1">
        <f>IFERROR(__xludf.DUMMYFUNCTION("""COMPUTED_VALUE"""),47.0)</f>
        <v>47</v>
      </c>
      <c r="J405" s="1">
        <f>IFERROR(__xludf.DUMMYFUNCTION("""COMPUTED_VALUE"""),93.0)</f>
        <v>93</v>
      </c>
      <c r="K405" s="1">
        <f>IFERROR(__xludf.DUMMYFUNCTION("""COMPUTED_VALUE"""),71.0)</f>
        <v>71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 t="str">
        <f>IFERROR(__xludf.DUMMYFUNCTION("""COMPUTED_VALUE"""),"B")</f>
        <v>B</v>
      </c>
      <c r="E406" s="1" t="str">
        <f>IFERROR(__xludf.DUMMYFUNCTION("""COMPUTED_VALUE"""),"Male")</f>
        <v>Male</v>
      </c>
      <c r="F406" s="1">
        <f>IFERROR(__xludf.DUMMYFUNCTION("""COMPUTED_VALUE"""),38.0)</f>
        <v>38</v>
      </c>
      <c r="G406" s="1">
        <f>IFERROR(__xludf.DUMMYFUNCTION("""COMPUTED_VALUE"""),94.0)</f>
        <v>94</v>
      </c>
      <c r="H406" s="1">
        <f>IFERROR(__xludf.DUMMYFUNCTION("""COMPUTED_VALUE"""),94.0)</f>
        <v>94</v>
      </c>
      <c r="I406" s="1">
        <f>IFERROR(__xludf.DUMMYFUNCTION("""COMPUTED_VALUE"""),43.0)</f>
        <v>43</v>
      </c>
      <c r="J406" s="1">
        <f>IFERROR(__xludf.DUMMYFUNCTION("""COMPUTED_VALUE"""),73.0)</f>
        <v>73</v>
      </c>
      <c r="K406" s="1">
        <f>IFERROR(__xludf.DUMMYFUNCTION("""COMPUTED_VALUE"""),83.0)</f>
        <v>83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 t="str">
        <f>IFERROR(__xludf.DUMMYFUNCTION("""COMPUTED_VALUE"""),"B")</f>
        <v>B</v>
      </c>
      <c r="E407" s="1" t="str">
        <f>IFERROR(__xludf.DUMMYFUNCTION("""COMPUTED_VALUE"""),"Male")</f>
        <v>Male</v>
      </c>
      <c r="F407" s="1">
        <f>IFERROR(__xludf.DUMMYFUNCTION("""COMPUTED_VALUE"""),100.0)</f>
        <v>100</v>
      </c>
      <c r="G407" s="1">
        <f>IFERROR(__xludf.DUMMYFUNCTION("""COMPUTED_VALUE"""),65.0)</f>
        <v>65</v>
      </c>
      <c r="H407" s="1">
        <f>IFERROR(__xludf.DUMMYFUNCTION("""COMPUTED_VALUE"""),35.0)</f>
        <v>35</v>
      </c>
      <c r="I407" s="1">
        <f>IFERROR(__xludf.DUMMYFUNCTION("""COMPUTED_VALUE"""),64.0)</f>
        <v>64</v>
      </c>
      <c r="J407" s="1">
        <f>IFERROR(__xludf.DUMMYFUNCTION("""COMPUTED_VALUE"""),49.0)</f>
        <v>49</v>
      </c>
      <c r="K407" s="1">
        <f>IFERROR(__xludf.DUMMYFUNCTION("""COMPUTED_VALUE"""),68.0)</f>
        <v>68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 t="str">
        <f>IFERROR(__xludf.DUMMYFUNCTION("""COMPUTED_VALUE"""),"A")</f>
        <v>A</v>
      </c>
      <c r="E408" s="1" t="str">
        <f>IFERROR(__xludf.DUMMYFUNCTION("""COMPUTED_VALUE"""),"Male")</f>
        <v>Male</v>
      </c>
      <c r="F408" s="1">
        <f>IFERROR(__xludf.DUMMYFUNCTION("""COMPUTED_VALUE"""),67.0)</f>
        <v>67</v>
      </c>
      <c r="G408" s="1">
        <f>IFERROR(__xludf.DUMMYFUNCTION("""COMPUTED_VALUE"""),61.0)</f>
        <v>61</v>
      </c>
      <c r="H408" s="1">
        <f>IFERROR(__xludf.DUMMYFUNCTION("""COMPUTED_VALUE"""),91.0)</f>
        <v>91</v>
      </c>
      <c r="I408" s="1">
        <f>IFERROR(__xludf.DUMMYFUNCTION("""COMPUTED_VALUE"""),25.0)</f>
        <v>25</v>
      </c>
      <c r="J408" s="1">
        <f>IFERROR(__xludf.DUMMYFUNCTION("""COMPUTED_VALUE"""),22.0)</f>
        <v>22</v>
      </c>
      <c r="K408" s="1">
        <f>IFERROR(__xludf.DUMMYFUNCTION("""COMPUTED_VALUE"""),71.0)</f>
        <v>71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 t="str">
        <f>IFERROR(__xludf.DUMMYFUNCTION("""COMPUTED_VALUE"""),"D")</f>
        <v>D</v>
      </c>
      <c r="E409" s="1" t="str">
        <f>IFERROR(__xludf.DUMMYFUNCTION("""COMPUTED_VALUE"""),"Male")</f>
        <v>Male</v>
      </c>
      <c r="F409" s="1">
        <f>IFERROR(__xludf.DUMMYFUNCTION("""COMPUTED_VALUE"""),45.0)</f>
        <v>45</v>
      </c>
      <c r="G409" s="1">
        <f>IFERROR(__xludf.DUMMYFUNCTION("""COMPUTED_VALUE"""),91.0)</f>
        <v>91</v>
      </c>
      <c r="H409" s="1">
        <f>IFERROR(__xludf.DUMMYFUNCTION("""COMPUTED_VALUE"""),38.0)</f>
        <v>38</v>
      </c>
      <c r="I409" s="1">
        <f>IFERROR(__xludf.DUMMYFUNCTION("""COMPUTED_VALUE"""),63.0)</f>
        <v>63</v>
      </c>
      <c r="J409" s="1">
        <f>IFERROR(__xludf.DUMMYFUNCTION("""COMPUTED_VALUE"""),87.0)</f>
        <v>87</v>
      </c>
      <c r="K409" s="1">
        <f>IFERROR(__xludf.DUMMYFUNCTION("""COMPUTED_VALUE"""),78.0)</f>
        <v>78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 t="str">
        <f>IFERROR(__xludf.DUMMYFUNCTION("""COMPUTED_VALUE"""),"C")</f>
        <v>C</v>
      </c>
      <c r="E410" s="1" t="str">
        <f>IFERROR(__xludf.DUMMYFUNCTION("""COMPUTED_VALUE"""),"Female")</f>
        <v>Female</v>
      </c>
      <c r="F410" s="1">
        <f>IFERROR(__xludf.DUMMYFUNCTION("""COMPUTED_VALUE"""),37.0)</f>
        <v>37</v>
      </c>
      <c r="G410" s="1">
        <f>IFERROR(__xludf.DUMMYFUNCTION("""COMPUTED_VALUE"""),65.0)</f>
        <v>65</v>
      </c>
      <c r="H410" s="1">
        <f>IFERROR(__xludf.DUMMYFUNCTION("""COMPUTED_VALUE"""),68.0)</f>
        <v>68</v>
      </c>
      <c r="I410" s="1">
        <f>IFERROR(__xludf.DUMMYFUNCTION("""COMPUTED_VALUE"""),75.0)</f>
        <v>75</v>
      </c>
      <c r="J410" s="1">
        <f>IFERROR(__xludf.DUMMYFUNCTION("""COMPUTED_VALUE"""),57.0)</f>
        <v>57</v>
      </c>
      <c r="K410" s="1">
        <f>IFERROR(__xludf.DUMMYFUNCTION("""COMPUTED_VALUE"""),72.0)</f>
        <v>72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 t="str">
        <f>IFERROR(__xludf.DUMMYFUNCTION("""COMPUTED_VALUE"""),"D")</f>
        <v>D</v>
      </c>
      <c r="E411" s="1" t="str">
        <f>IFERROR(__xludf.DUMMYFUNCTION("""COMPUTED_VALUE"""),"Male")</f>
        <v>Male</v>
      </c>
      <c r="F411" s="1">
        <f>IFERROR(__xludf.DUMMYFUNCTION("""COMPUTED_VALUE"""),39.0)</f>
        <v>39</v>
      </c>
      <c r="G411" s="1">
        <f>IFERROR(__xludf.DUMMYFUNCTION("""COMPUTED_VALUE"""),78.0)</f>
        <v>78</v>
      </c>
      <c r="H411" s="1">
        <f>IFERROR(__xludf.DUMMYFUNCTION("""COMPUTED_VALUE"""),37.0)</f>
        <v>37</v>
      </c>
      <c r="I411" s="1">
        <f>IFERROR(__xludf.DUMMYFUNCTION("""COMPUTED_VALUE"""),53.0)</f>
        <v>53</v>
      </c>
      <c r="J411" s="1">
        <f>IFERROR(__xludf.DUMMYFUNCTION("""COMPUTED_VALUE"""),98.0)</f>
        <v>98</v>
      </c>
      <c r="K411" s="1">
        <f>IFERROR(__xludf.DUMMYFUNCTION("""COMPUTED_VALUE"""),87.0)</f>
        <v>87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 t="str">
        <f>IFERROR(__xludf.DUMMYFUNCTION("""COMPUTED_VALUE"""),"A")</f>
        <v>A</v>
      </c>
      <c r="E412" s="1" t="str">
        <f>IFERROR(__xludf.DUMMYFUNCTION("""COMPUTED_VALUE"""),"Female")</f>
        <v>Female</v>
      </c>
      <c r="F412" s="1">
        <f>IFERROR(__xludf.DUMMYFUNCTION("""COMPUTED_VALUE"""),73.0)</f>
        <v>73</v>
      </c>
      <c r="G412" s="1">
        <f>IFERROR(__xludf.DUMMYFUNCTION("""COMPUTED_VALUE"""),83.0)</f>
        <v>83</v>
      </c>
      <c r="H412" s="1">
        <f>IFERROR(__xludf.DUMMYFUNCTION("""COMPUTED_VALUE"""),52.0)</f>
        <v>52</v>
      </c>
      <c r="I412" s="1">
        <f>IFERROR(__xludf.DUMMYFUNCTION("""COMPUTED_VALUE"""),64.0)</f>
        <v>64</v>
      </c>
      <c r="J412" s="1">
        <f>IFERROR(__xludf.DUMMYFUNCTION("""COMPUTED_VALUE"""),29.0)</f>
        <v>29</v>
      </c>
      <c r="K412" s="1">
        <f>IFERROR(__xludf.DUMMYFUNCTION("""COMPUTED_VALUE"""),33.0)</f>
        <v>33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 t="str">
        <f>IFERROR(__xludf.DUMMYFUNCTION("""COMPUTED_VALUE"""),"D")</f>
        <v>D</v>
      </c>
      <c r="E413" s="1" t="str">
        <f>IFERROR(__xludf.DUMMYFUNCTION("""COMPUTED_VALUE"""),"Male")</f>
        <v>Male</v>
      </c>
      <c r="F413" s="1">
        <f>IFERROR(__xludf.DUMMYFUNCTION("""COMPUTED_VALUE"""),41.0)</f>
        <v>41</v>
      </c>
      <c r="G413" s="1">
        <f>IFERROR(__xludf.DUMMYFUNCTION("""COMPUTED_VALUE"""),39.0)</f>
        <v>39</v>
      </c>
      <c r="H413" s="1">
        <f>IFERROR(__xludf.DUMMYFUNCTION("""COMPUTED_VALUE"""),23.0)</f>
        <v>23</v>
      </c>
      <c r="I413" s="1">
        <f>IFERROR(__xludf.DUMMYFUNCTION("""COMPUTED_VALUE"""),64.0)</f>
        <v>64</v>
      </c>
      <c r="J413" s="1">
        <f>IFERROR(__xludf.DUMMYFUNCTION("""COMPUTED_VALUE"""),34.0)</f>
        <v>34</v>
      </c>
      <c r="K413" s="1">
        <f>IFERROR(__xludf.DUMMYFUNCTION("""COMPUTED_VALUE"""),81.0)</f>
        <v>81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 t="str">
        <f>IFERROR(__xludf.DUMMYFUNCTION("""COMPUTED_VALUE"""),"B")</f>
        <v>B</v>
      </c>
      <c r="E414" s="1" t="str">
        <f>IFERROR(__xludf.DUMMYFUNCTION("""COMPUTED_VALUE"""),"Male")</f>
        <v>Male</v>
      </c>
      <c r="F414" s="1">
        <f>IFERROR(__xludf.DUMMYFUNCTION("""COMPUTED_VALUE"""),18.0)</f>
        <v>18</v>
      </c>
      <c r="G414" s="1">
        <f>IFERROR(__xludf.DUMMYFUNCTION("""COMPUTED_VALUE"""),42.0)</f>
        <v>42</v>
      </c>
      <c r="H414" s="1">
        <f>IFERROR(__xludf.DUMMYFUNCTION("""COMPUTED_VALUE"""),98.0)</f>
        <v>98</v>
      </c>
      <c r="I414" s="1">
        <f>IFERROR(__xludf.DUMMYFUNCTION("""COMPUTED_VALUE"""),61.0)</f>
        <v>61</v>
      </c>
      <c r="J414" s="1">
        <f>IFERROR(__xludf.DUMMYFUNCTION("""COMPUTED_VALUE"""),97.0)</f>
        <v>97</v>
      </c>
      <c r="K414" s="1">
        <f>IFERROR(__xludf.DUMMYFUNCTION("""COMPUTED_VALUE"""),76.0)</f>
        <v>76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 t="str">
        <f>IFERROR(__xludf.DUMMYFUNCTION("""COMPUTED_VALUE"""),"D")</f>
        <v>D</v>
      </c>
      <c r="E415" s="1" t="str">
        <f>IFERROR(__xludf.DUMMYFUNCTION("""COMPUTED_VALUE"""),"Female")</f>
        <v>Female</v>
      </c>
      <c r="F415" s="1">
        <f>IFERROR(__xludf.DUMMYFUNCTION("""COMPUTED_VALUE"""),89.0)</f>
        <v>89</v>
      </c>
      <c r="G415" s="1">
        <f>IFERROR(__xludf.DUMMYFUNCTION("""COMPUTED_VALUE"""),64.0)</f>
        <v>64</v>
      </c>
      <c r="H415" s="1">
        <f>IFERROR(__xludf.DUMMYFUNCTION("""COMPUTED_VALUE"""),77.0)</f>
        <v>77</v>
      </c>
      <c r="I415" s="1">
        <f>IFERROR(__xludf.DUMMYFUNCTION("""COMPUTED_VALUE"""),87.0)</f>
        <v>87</v>
      </c>
      <c r="J415" s="1">
        <f>IFERROR(__xludf.DUMMYFUNCTION("""COMPUTED_VALUE"""),80.0)</f>
        <v>80</v>
      </c>
      <c r="K415" s="1">
        <f>IFERROR(__xludf.DUMMYFUNCTION("""COMPUTED_VALUE"""),42.0)</f>
        <v>42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 t="str">
        <f>IFERROR(__xludf.DUMMYFUNCTION("""COMPUTED_VALUE"""),"C")</f>
        <v>C</v>
      </c>
      <c r="E416" s="1" t="str">
        <f>IFERROR(__xludf.DUMMYFUNCTION("""COMPUTED_VALUE"""),"Female")</f>
        <v>Female</v>
      </c>
      <c r="F416" s="1">
        <f>IFERROR(__xludf.DUMMYFUNCTION("""COMPUTED_VALUE"""),47.0)</f>
        <v>47</v>
      </c>
      <c r="G416" s="1">
        <f>IFERROR(__xludf.DUMMYFUNCTION("""COMPUTED_VALUE"""),84.0)</f>
        <v>84</v>
      </c>
      <c r="H416" s="1">
        <f>IFERROR(__xludf.DUMMYFUNCTION("""COMPUTED_VALUE"""),59.0)</f>
        <v>59</v>
      </c>
      <c r="I416" s="1">
        <f>IFERROR(__xludf.DUMMYFUNCTION("""COMPUTED_VALUE"""),26.0)</f>
        <v>26</v>
      </c>
      <c r="J416" s="1">
        <f>IFERROR(__xludf.DUMMYFUNCTION("""COMPUTED_VALUE"""),90.0)</f>
        <v>90</v>
      </c>
      <c r="K416" s="1">
        <f>IFERROR(__xludf.DUMMYFUNCTION("""COMPUTED_VALUE"""),82.0)</f>
        <v>82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 t="str">
        <f>IFERROR(__xludf.DUMMYFUNCTION("""COMPUTED_VALUE"""),"B")</f>
        <v>B</v>
      </c>
      <c r="E417" s="1" t="str">
        <f>IFERROR(__xludf.DUMMYFUNCTION("""COMPUTED_VALUE"""),"Male")</f>
        <v>Male</v>
      </c>
      <c r="F417" s="1">
        <f>IFERROR(__xludf.DUMMYFUNCTION("""COMPUTED_VALUE"""),56.0)</f>
        <v>56</v>
      </c>
      <c r="G417" s="1">
        <f>IFERROR(__xludf.DUMMYFUNCTION("""COMPUTED_VALUE"""),28.0)</f>
        <v>28</v>
      </c>
      <c r="H417" s="1">
        <f>IFERROR(__xludf.DUMMYFUNCTION("""COMPUTED_VALUE"""),39.0)</f>
        <v>39</v>
      </c>
      <c r="I417" s="1">
        <f>IFERROR(__xludf.DUMMYFUNCTION("""COMPUTED_VALUE"""),55.0)</f>
        <v>55</v>
      </c>
      <c r="J417" s="1">
        <f>IFERROR(__xludf.DUMMYFUNCTION("""COMPUTED_VALUE"""),63.0)</f>
        <v>63</v>
      </c>
      <c r="K417" s="1">
        <f>IFERROR(__xludf.DUMMYFUNCTION("""COMPUTED_VALUE"""),92.0)</f>
        <v>92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 t="str">
        <f>IFERROR(__xludf.DUMMYFUNCTION("""COMPUTED_VALUE"""),"A")</f>
        <v>A</v>
      </c>
      <c r="E418" s="1" t="str">
        <f>IFERROR(__xludf.DUMMYFUNCTION("""COMPUTED_VALUE"""),"Female")</f>
        <v>Female</v>
      </c>
      <c r="F418" s="1">
        <f>IFERROR(__xludf.DUMMYFUNCTION("""COMPUTED_VALUE"""),85.0)</f>
        <v>85</v>
      </c>
      <c r="G418" s="1">
        <f>IFERROR(__xludf.DUMMYFUNCTION("""COMPUTED_VALUE"""),43.0)</f>
        <v>43</v>
      </c>
      <c r="H418" s="1">
        <f>IFERROR(__xludf.DUMMYFUNCTION("""COMPUTED_VALUE"""),91.0)</f>
        <v>91</v>
      </c>
      <c r="I418" s="1">
        <f>IFERROR(__xludf.DUMMYFUNCTION("""COMPUTED_VALUE"""),66.0)</f>
        <v>66</v>
      </c>
      <c r="J418" s="1">
        <f>IFERROR(__xludf.DUMMYFUNCTION("""COMPUTED_VALUE"""),26.0)</f>
        <v>26</v>
      </c>
      <c r="K418" s="1">
        <f>IFERROR(__xludf.DUMMYFUNCTION("""COMPUTED_VALUE"""),38.0)</f>
        <v>38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 t="str">
        <f>IFERROR(__xludf.DUMMYFUNCTION("""COMPUTED_VALUE"""),"C")</f>
        <v>C</v>
      </c>
      <c r="E419" s="1" t="str">
        <f>IFERROR(__xludf.DUMMYFUNCTION("""COMPUTED_VALUE"""),"Female")</f>
        <v>Female</v>
      </c>
      <c r="F419" s="1">
        <f>IFERROR(__xludf.DUMMYFUNCTION("""COMPUTED_VALUE"""),58.0)</f>
        <v>58</v>
      </c>
      <c r="G419" s="1">
        <f>IFERROR(__xludf.DUMMYFUNCTION("""COMPUTED_VALUE"""),62.0)</f>
        <v>62</v>
      </c>
      <c r="H419" s="1">
        <f>IFERROR(__xludf.DUMMYFUNCTION("""COMPUTED_VALUE"""),34.0)</f>
        <v>34</v>
      </c>
      <c r="I419" s="1">
        <f>IFERROR(__xludf.DUMMYFUNCTION("""COMPUTED_VALUE"""),94.0)</f>
        <v>94</v>
      </c>
      <c r="J419" s="1">
        <f>IFERROR(__xludf.DUMMYFUNCTION("""COMPUTED_VALUE"""),54.0)</f>
        <v>54</v>
      </c>
      <c r="K419" s="1">
        <f>IFERROR(__xludf.DUMMYFUNCTION("""COMPUTED_VALUE"""),80.0)</f>
        <v>80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 t="str">
        <f>IFERROR(__xludf.DUMMYFUNCTION("""COMPUTED_VALUE"""),"D")</f>
        <v>D</v>
      </c>
      <c r="E420" s="1" t="str">
        <f>IFERROR(__xludf.DUMMYFUNCTION("""COMPUTED_VALUE"""),"Female")</f>
        <v>Female</v>
      </c>
      <c r="F420" s="1">
        <f>IFERROR(__xludf.DUMMYFUNCTION("""COMPUTED_VALUE"""),67.0)</f>
        <v>67</v>
      </c>
      <c r="G420" s="1">
        <f>IFERROR(__xludf.DUMMYFUNCTION("""COMPUTED_VALUE"""),35.0)</f>
        <v>35</v>
      </c>
      <c r="H420" s="1">
        <f>IFERROR(__xludf.DUMMYFUNCTION("""COMPUTED_VALUE"""),78.0)</f>
        <v>78</v>
      </c>
      <c r="I420" s="1">
        <f>IFERROR(__xludf.DUMMYFUNCTION("""COMPUTED_VALUE"""),45.0)</f>
        <v>45</v>
      </c>
      <c r="J420" s="1">
        <f>IFERROR(__xludf.DUMMYFUNCTION("""COMPUTED_VALUE"""),33.0)</f>
        <v>33</v>
      </c>
      <c r="K420" s="1">
        <f>IFERROR(__xludf.DUMMYFUNCTION("""COMPUTED_VALUE"""),41.0)</f>
        <v>41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 t="str">
        <f>IFERROR(__xludf.DUMMYFUNCTION("""COMPUTED_VALUE"""),"D")</f>
        <v>D</v>
      </c>
      <c r="E421" s="1" t="str">
        <f>IFERROR(__xludf.DUMMYFUNCTION("""COMPUTED_VALUE"""),"Female")</f>
        <v>Female</v>
      </c>
      <c r="F421" s="1">
        <f>IFERROR(__xludf.DUMMYFUNCTION("""COMPUTED_VALUE"""),71.0)</f>
        <v>71</v>
      </c>
      <c r="G421" s="1">
        <f>IFERROR(__xludf.DUMMYFUNCTION("""COMPUTED_VALUE"""),76.0)</f>
        <v>76</v>
      </c>
      <c r="H421" s="1">
        <f>IFERROR(__xludf.DUMMYFUNCTION("""COMPUTED_VALUE"""),94.0)</f>
        <v>94</v>
      </c>
      <c r="I421" s="1">
        <f>IFERROR(__xludf.DUMMYFUNCTION("""COMPUTED_VALUE"""),34.0)</f>
        <v>34</v>
      </c>
      <c r="J421" s="1">
        <f>IFERROR(__xludf.DUMMYFUNCTION("""COMPUTED_VALUE"""),93.0)</f>
        <v>93</v>
      </c>
      <c r="K421" s="1">
        <f>IFERROR(__xludf.DUMMYFUNCTION("""COMPUTED_VALUE"""),84.0)</f>
        <v>84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 t="str">
        <f>IFERROR(__xludf.DUMMYFUNCTION("""COMPUTED_VALUE"""),"B")</f>
        <v>B</v>
      </c>
      <c r="E422" s="1" t="str">
        <f>IFERROR(__xludf.DUMMYFUNCTION("""COMPUTED_VALUE"""),"Male")</f>
        <v>Male</v>
      </c>
      <c r="F422" s="1">
        <f>IFERROR(__xludf.DUMMYFUNCTION("""COMPUTED_VALUE"""),14.0)</f>
        <v>14</v>
      </c>
      <c r="G422" s="1">
        <f>IFERROR(__xludf.DUMMYFUNCTION("""COMPUTED_VALUE"""),54.0)</f>
        <v>54</v>
      </c>
      <c r="H422" s="1">
        <f>IFERROR(__xludf.DUMMYFUNCTION("""COMPUTED_VALUE"""),88.0)</f>
        <v>88</v>
      </c>
      <c r="I422" s="1">
        <f>IFERROR(__xludf.DUMMYFUNCTION("""COMPUTED_VALUE"""),82.0)</f>
        <v>82</v>
      </c>
      <c r="J422" s="1">
        <f>IFERROR(__xludf.DUMMYFUNCTION("""COMPUTED_VALUE"""),93.0)</f>
        <v>93</v>
      </c>
      <c r="K422" s="1">
        <f>IFERROR(__xludf.DUMMYFUNCTION("""COMPUTED_VALUE"""),94.0)</f>
        <v>94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 t="str">
        <f>IFERROR(__xludf.DUMMYFUNCTION("""COMPUTED_VALUE"""),"B")</f>
        <v>B</v>
      </c>
      <c r="E423" s="1" t="str">
        <f>IFERROR(__xludf.DUMMYFUNCTION("""COMPUTED_VALUE"""),"Male")</f>
        <v>Male</v>
      </c>
      <c r="F423" s="1">
        <f>IFERROR(__xludf.DUMMYFUNCTION("""COMPUTED_VALUE"""),64.0)</f>
        <v>64</v>
      </c>
      <c r="G423" s="1">
        <f>IFERROR(__xludf.DUMMYFUNCTION("""COMPUTED_VALUE"""),65.0)</f>
        <v>65</v>
      </c>
      <c r="H423" s="1">
        <f>IFERROR(__xludf.DUMMYFUNCTION("""COMPUTED_VALUE"""),54.0)</f>
        <v>54</v>
      </c>
      <c r="I423" s="1">
        <f>IFERROR(__xludf.DUMMYFUNCTION("""COMPUTED_VALUE"""),20.0)</f>
        <v>20</v>
      </c>
      <c r="J423" s="1">
        <f>IFERROR(__xludf.DUMMYFUNCTION("""COMPUTED_VALUE"""),40.0)</f>
        <v>40</v>
      </c>
      <c r="K423" s="1">
        <f>IFERROR(__xludf.DUMMYFUNCTION("""COMPUTED_VALUE"""),84.0)</f>
        <v>84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 t="str">
        <f>IFERROR(__xludf.DUMMYFUNCTION("""COMPUTED_VALUE"""),"B")</f>
        <v>B</v>
      </c>
      <c r="E424" s="1" t="str">
        <f>IFERROR(__xludf.DUMMYFUNCTION("""COMPUTED_VALUE"""),"Male")</f>
        <v>Male</v>
      </c>
      <c r="F424" s="1">
        <f>IFERROR(__xludf.DUMMYFUNCTION("""COMPUTED_VALUE"""),47.0)</f>
        <v>47</v>
      </c>
      <c r="G424" s="1">
        <f>IFERROR(__xludf.DUMMYFUNCTION("""COMPUTED_VALUE"""),26.0)</f>
        <v>26</v>
      </c>
      <c r="H424" s="1">
        <f>IFERROR(__xludf.DUMMYFUNCTION("""COMPUTED_VALUE"""),92.0)</f>
        <v>92</v>
      </c>
      <c r="I424" s="1">
        <f>IFERROR(__xludf.DUMMYFUNCTION("""COMPUTED_VALUE"""),58.0)</f>
        <v>58</v>
      </c>
      <c r="J424" s="1">
        <f>IFERROR(__xludf.DUMMYFUNCTION("""COMPUTED_VALUE"""),66.0)</f>
        <v>66</v>
      </c>
      <c r="K424" s="1">
        <f>IFERROR(__xludf.DUMMYFUNCTION("""COMPUTED_VALUE"""),36.0)</f>
        <v>36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 t="str">
        <f>IFERROR(__xludf.DUMMYFUNCTION("""COMPUTED_VALUE"""),"C")</f>
        <v>C</v>
      </c>
      <c r="E425" s="1" t="str">
        <f>IFERROR(__xludf.DUMMYFUNCTION("""COMPUTED_VALUE"""),"Female")</f>
        <v>Female</v>
      </c>
      <c r="F425" s="1">
        <f>IFERROR(__xludf.DUMMYFUNCTION("""COMPUTED_VALUE"""),41.0)</f>
        <v>41</v>
      </c>
      <c r="G425" s="1">
        <f>IFERROR(__xludf.DUMMYFUNCTION("""COMPUTED_VALUE"""),55.0)</f>
        <v>55</v>
      </c>
      <c r="H425" s="1">
        <f>IFERROR(__xludf.DUMMYFUNCTION("""COMPUTED_VALUE"""),30.0)</f>
        <v>30</v>
      </c>
      <c r="I425" s="1">
        <f>IFERROR(__xludf.DUMMYFUNCTION("""COMPUTED_VALUE"""),79.0)</f>
        <v>79</v>
      </c>
      <c r="J425" s="1">
        <f>IFERROR(__xludf.DUMMYFUNCTION("""COMPUTED_VALUE"""),53.0)</f>
        <v>53</v>
      </c>
      <c r="K425" s="1">
        <f>IFERROR(__xludf.DUMMYFUNCTION("""COMPUTED_VALUE"""),88.0)</f>
        <v>88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 t="str">
        <f>IFERROR(__xludf.DUMMYFUNCTION("""COMPUTED_VALUE"""),"C")</f>
        <v>C</v>
      </c>
      <c r="E426" s="1" t="str">
        <f>IFERROR(__xludf.DUMMYFUNCTION("""COMPUTED_VALUE"""),"Male")</f>
        <v>Male</v>
      </c>
      <c r="F426" s="1">
        <f>IFERROR(__xludf.DUMMYFUNCTION("""COMPUTED_VALUE"""),90.0)</f>
        <v>90</v>
      </c>
      <c r="G426" s="1">
        <f>IFERROR(__xludf.DUMMYFUNCTION("""COMPUTED_VALUE"""),32.0)</f>
        <v>32</v>
      </c>
      <c r="H426" s="1">
        <f>IFERROR(__xludf.DUMMYFUNCTION("""COMPUTED_VALUE"""),94.0)</f>
        <v>94</v>
      </c>
      <c r="I426" s="1">
        <f>IFERROR(__xludf.DUMMYFUNCTION("""COMPUTED_VALUE"""),99.0)</f>
        <v>99</v>
      </c>
      <c r="J426" s="1">
        <f>IFERROR(__xludf.DUMMYFUNCTION("""COMPUTED_VALUE"""),83.0)</f>
        <v>83</v>
      </c>
      <c r="K426" s="1">
        <f>IFERROR(__xludf.DUMMYFUNCTION("""COMPUTED_VALUE"""),44.0)</f>
        <v>44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 t="str">
        <f>IFERROR(__xludf.DUMMYFUNCTION("""COMPUTED_VALUE"""),"C")</f>
        <v>C</v>
      </c>
      <c r="E427" s="1" t="str">
        <f>IFERROR(__xludf.DUMMYFUNCTION("""COMPUTED_VALUE"""),"Male")</f>
        <v>Male</v>
      </c>
      <c r="F427" s="1">
        <f>IFERROR(__xludf.DUMMYFUNCTION("""COMPUTED_VALUE"""),51.0)</f>
        <v>51</v>
      </c>
      <c r="G427" s="1">
        <f>IFERROR(__xludf.DUMMYFUNCTION("""COMPUTED_VALUE"""),69.0)</f>
        <v>69</v>
      </c>
      <c r="H427" s="1">
        <f>IFERROR(__xludf.DUMMYFUNCTION("""COMPUTED_VALUE"""),33.0)</f>
        <v>33</v>
      </c>
      <c r="I427" s="1">
        <f>IFERROR(__xludf.DUMMYFUNCTION("""COMPUTED_VALUE"""),50.0)</f>
        <v>50</v>
      </c>
      <c r="J427" s="1">
        <f>IFERROR(__xludf.DUMMYFUNCTION("""COMPUTED_VALUE"""),26.0)</f>
        <v>26</v>
      </c>
      <c r="K427" s="1">
        <f>IFERROR(__xludf.DUMMYFUNCTION("""COMPUTED_VALUE"""),49.0)</f>
        <v>49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 t="str">
        <f>IFERROR(__xludf.DUMMYFUNCTION("""COMPUTED_VALUE"""),"A")</f>
        <v>A</v>
      </c>
      <c r="E428" s="1" t="str">
        <f>IFERROR(__xludf.DUMMYFUNCTION("""COMPUTED_VALUE"""),"Female")</f>
        <v>Female</v>
      </c>
      <c r="F428" s="1">
        <f>IFERROR(__xludf.DUMMYFUNCTION("""COMPUTED_VALUE"""),90.0)</f>
        <v>90</v>
      </c>
      <c r="G428" s="1">
        <f>IFERROR(__xludf.DUMMYFUNCTION("""COMPUTED_VALUE"""),91.0)</f>
        <v>91</v>
      </c>
      <c r="H428" s="1">
        <f>IFERROR(__xludf.DUMMYFUNCTION("""COMPUTED_VALUE"""),45.0)</f>
        <v>45</v>
      </c>
      <c r="I428" s="1">
        <f>IFERROR(__xludf.DUMMYFUNCTION("""COMPUTED_VALUE"""),22.0)</f>
        <v>22</v>
      </c>
      <c r="J428" s="1">
        <f>IFERROR(__xludf.DUMMYFUNCTION("""COMPUTED_VALUE"""),46.0)</f>
        <v>46</v>
      </c>
      <c r="K428" s="1">
        <f>IFERROR(__xludf.DUMMYFUNCTION("""COMPUTED_VALUE"""),53.0)</f>
        <v>53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 t="str">
        <f>IFERROR(__xludf.DUMMYFUNCTION("""COMPUTED_VALUE"""),"C")</f>
        <v>C</v>
      </c>
      <c r="E429" s="1" t="str">
        <f>IFERROR(__xludf.DUMMYFUNCTION("""COMPUTED_VALUE"""),"Female")</f>
        <v>Female</v>
      </c>
      <c r="F429" s="1">
        <f>IFERROR(__xludf.DUMMYFUNCTION("""COMPUTED_VALUE"""),46.0)</f>
        <v>46</v>
      </c>
      <c r="G429" s="1">
        <f>IFERROR(__xludf.DUMMYFUNCTION("""COMPUTED_VALUE"""),91.0)</f>
        <v>91</v>
      </c>
      <c r="H429" s="1">
        <f>IFERROR(__xludf.DUMMYFUNCTION("""COMPUTED_VALUE"""),51.0)</f>
        <v>51</v>
      </c>
      <c r="I429" s="1">
        <f>IFERROR(__xludf.DUMMYFUNCTION("""COMPUTED_VALUE"""),26.0)</f>
        <v>26</v>
      </c>
      <c r="J429" s="1">
        <f>IFERROR(__xludf.DUMMYFUNCTION("""COMPUTED_VALUE"""),86.0)</f>
        <v>86</v>
      </c>
      <c r="K429" s="1">
        <f>IFERROR(__xludf.DUMMYFUNCTION("""COMPUTED_VALUE"""),87.0)</f>
        <v>87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 t="str">
        <f>IFERROR(__xludf.DUMMYFUNCTION("""COMPUTED_VALUE"""),"A")</f>
        <v>A</v>
      </c>
      <c r="E430" s="1" t="str">
        <f>IFERROR(__xludf.DUMMYFUNCTION("""COMPUTED_VALUE"""),"Male")</f>
        <v>Male</v>
      </c>
      <c r="F430" s="1">
        <f>IFERROR(__xludf.DUMMYFUNCTION("""COMPUTED_VALUE"""),47.0)</f>
        <v>47</v>
      </c>
      <c r="G430" s="1">
        <f>IFERROR(__xludf.DUMMYFUNCTION("""COMPUTED_VALUE"""),58.0)</f>
        <v>58</v>
      </c>
      <c r="H430" s="1">
        <f>IFERROR(__xludf.DUMMYFUNCTION("""COMPUTED_VALUE"""),65.0)</f>
        <v>65</v>
      </c>
      <c r="I430" s="1">
        <f>IFERROR(__xludf.DUMMYFUNCTION("""COMPUTED_VALUE"""),54.0)</f>
        <v>54</v>
      </c>
      <c r="J430" s="1">
        <f>IFERROR(__xludf.DUMMYFUNCTION("""COMPUTED_VALUE"""),79.0)</f>
        <v>79</v>
      </c>
      <c r="K430" s="1">
        <f>IFERROR(__xludf.DUMMYFUNCTION("""COMPUTED_VALUE"""),76.0)</f>
        <v>76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 t="str">
        <f>IFERROR(__xludf.DUMMYFUNCTION("""COMPUTED_VALUE"""),"B")</f>
        <v>B</v>
      </c>
      <c r="E431" s="1" t="str">
        <f>IFERROR(__xludf.DUMMYFUNCTION("""COMPUTED_VALUE"""),"Female")</f>
        <v>Female</v>
      </c>
      <c r="F431" s="1">
        <f>IFERROR(__xludf.DUMMYFUNCTION("""COMPUTED_VALUE"""),62.0)</f>
        <v>62</v>
      </c>
      <c r="G431" s="1">
        <f>IFERROR(__xludf.DUMMYFUNCTION("""COMPUTED_VALUE"""),78.0)</f>
        <v>78</v>
      </c>
      <c r="H431" s="1">
        <f>IFERROR(__xludf.DUMMYFUNCTION("""COMPUTED_VALUE"""),67.0)</f>
        <v>67</v>
      </c>
      <c r="I431" s="1">
        <f>IFERROR(__xludf.DUMMYFUNCTION("""COMPUTED_VALUE"""),22.0)</f>
        <v>22</v>
      </c>
      <c r="J431" s="1">
        <f>IFERROR(__xludf.DUMMYFUNCTION("""COMPUTED_VALUE"""),30.0)</f>
        <v>30</v>
      </c>
      <c r="K431" s="1">
        <f>IFERROR(__xludf.DUMMYFUNCTION("""COMPUTED_VALUE"""),41.0)</f>
        <v>41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 t="str">
        <f>IFERROR(__xludf.DUMMYFUNCTION("""COMPUTED_VALUE"""),"B")</f>
        <v>B</v>
      </c>
      <c r="E432" s="1" t="str">
        <f>IFERROR(__xludf.DUMMYFUNCTION("""COMPUTED_VALUE"""),"Female")</f>
        <v>Female</v>
      </c>
      <c r="F432" s="1">
        <f>IFERROR(__xludf.DUMMYFUNCTION("""COMPUTED_VALUE"""),38.0)</f>
        <v>38</v>
      </c>
      <c r="G432" s="1">
        <f>IFERROR(__xludf.DUMMYFUNCTION("""COMPUTED_VALUE"""),94.0)</f>
        <v>94</v>
      </c>
      <c r="H432" s="1">
        <f>IFERROR(__xludf.DUMMYFUNCTION("""COMPUTED_VALUE"""),91.0)</f>
        <v>91</v>
      </c>
      <c r="I432" s="1">
        <f>IFERROR(__xludf.DUMMYFUNCTION("""COMPUTED_VALUE"""),32.0)</f>
        <v>32</v>
      </c>
      <c r="J432" s="1">
        <f>IFERROR(__xludf.DUMMYFUNCTION("""COMPUTED_VALUE"""),75.0)</f>
        <v>75</v>
      </c>
      <c r="K432" s="1">
        <f>IFERROR(__xludf.DUMMYFUNCTION("""COMPUTED_VALUE"""),86.0)</f>
        <v>86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 t="str">
        <f>IFERROR(__xludf.DUMMYFUNCTION("""COMPUTED_VALUE"""),"D")</f>
        <v>D</v>
      </c>
      <c r="E433" s="1" t="str">
        <f>IFERROR(__xludf.DUMMYFUNCTION("""COMPUTED_VALUE"""),"Female")</f>
        <v>Female</v>
      </c>
      <c r="F433" s="1">
        <f>IFERROR(__xludf.DUMMYFUNCTION("""COMPUTED_VALUE"""),31.0)</f>
        <v>31</v>
      </c>
      <c r="G433" s="1">
        <f>IFERROR(__xludf.DUMMYFUNCTION("""COMPUTED_VALUE"""),65.0)</f>
        <v>65</v>
      </c>
      <c r="H433" s="1">
        <f>IFERROR(__xludf.DUMMYFUNCTION("""COMPUTED_VALUE"""),79.0)</f>
        <v>79</v>
      </c>
      <c r="I433" s="1">
        <f>IFERROR(__xludf.DUMMYFUNCTION("""COMPUTED_VALUE"""),20.0)</f>
        <v>20</v>
      </c>
      <c r="J433" s="1">
        <f>IFERROR(__xludf.DUMMYFUNCTION("""COMPUTED_VALUE"""),51.0)</f>
        <v>51</v>
      </c>
      <c r="K433" s="1">
        <f>IFERROR(__xludf.DUMMYFUNCTION("""COMPUTED_VALUE"""),28.0)</f>
        <v>28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 t="str">
        <f>IFERROR(__xludf.DUMMYFUNCTION("""COMPUTED_VALUE"""),"B")</f>
        <v>B</v>
      </c>
      <c r="E434" s="1" t="str">
        <f>IFERROR(__xludf.DUMMYFUNCTION("""COMPUTED_VALUE"""),"Male")</f>
        <v>Male</v>
      </c>
      <c r="F434" s="1">
        <f>IFERROR(__xludf.DUMMYFUNCTION("""COMPUTED_VALUE"""),27.0)</f>
        <v>27</v>
      </c>
      <c r="G434" s="1">
        <f>IFERROR(__xludf.DUMMYFUNCTION("""COMPUTED_VALUE"""),61.0)</f>
        <v>61</v>
      </c>
      <c r="H434" s="1">
        <f>IFERROR(__xludf.DUMMYFUNCTION("""COMPUTED_VALUE"""),33.0)</f>
        <v>33</v>
      </c>
      <c r="I434" s="1">
        <f>IFERROR(__xludf.DUMMYFUNCTION("""COMPUTED_VALUE"""),59.0)</f>
        <v>59</v>
      </c>
      <c r="J434" s="1">
        <f>IFERROR(__xludf.DUMMYFUNCTION("""COMPUTED_VALUE"""),67.0)</f>
        <v>67</v>
      </c>
      <c r="K434" s="1">
        <f>IFERROR(__xludf.DUMMYFUNCTION("""COMPUTED_VALUE"""),38.0)</f>
        <v>38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 t="str">
        <f>IFERROR(__xludf.DUMMYFUNCTION("""COMPUTED_VALUE"""),"A")</f>
        <v>A</v>
      </c>
      <c r="E435" s="1" t="str">
        <f>IFERROR(__xludf.DUMMYFUNCTION("""COMPUTED_VALUE"""),"Female")</f>
        <v>Female</v>
      </c>
      <c r="F435" s="1">
        <f>IFERROR(__xludf.DUMMYFUNCTION("""COMPUTED_VALUE"""),60.0)</f>
        <v>60</v>
      </c>
      <c r="G435" s="1">
        <f>IFERROR(__xludf.DUMMYFUNCTION("""COMPUTED_VALUE"""),23.0)</f>
        <v>23</v>
      </c>
      <c r="H435" s="1">
        <f>IFERROR(__xludf.DUMMYFUNCTION("""COMPUTED_VALUE"""),54.0)</f>
        <v>54</v>
      </c>
      <c r="I435" s="1">
        <f>IFERROR(__xludf.DUMMYFUNCTION("""COMPUTED_VALUE"""),65.0)</f>
        <v>65</v>
      </c>
      <c r="J435" s="1">
        <f>IFERROR(__xludf.DUMMYFUNCTION("""COMPUTED_VALUE"""),39.0)</f>
        <v>39</v>
      </c>
      <c r="K435" s="1">
        <f>IFERROR(__xludf.DUMMYFUNCTION("""COMPUTED_VALUE"""),40.0)</f>
        <v>40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 t="str">
        <f>IFERROR(__xludf.DUMMYFUNCTION("""COMPUTED_VALUE"""),"B")</f>
        <v>B</v>
      </c>
      <c r="E436" s="1" t="str">
        <f>IFERROR(__xludf.DUMMYFUNCTION("""COMPUTED_VALUE"""),"Female")</f>
        <v>Female</v>
      </c>
      <c r="F436" s="1">
        <f>IFERROR(__xludf.DUMMYFUNCTION("""COMPUTED_VALUE"""),83.0)</f>
        <v>83</v>
      </c>
      <c r="G436" s="1">
        <f>IFERROR(__xludf.DUMMYFUNCTION("""COMPUTED_VALUE"""),28.0)</f>
        <v>28</v>
      </c>
      <c r="H436" s="1">
        <f>IFERROR(__xludf.DUMMYFUNCTION("""COMPUTED_VALUE"""),37.0)</f>
        <v>37</v>
      </c>
      <c r="I436" s="1">
        <f>IFERROR(__xludf.DUMMYFUNCTION("""COMPUTED_VALUE"""),35.0)</f>
        <v>35</v>
      </c>
      <c r="J436" s="1">
        <f>IFERROR(__xludf.DUMMYFUNCTION("""COMPUTED_VALUE"""),92.0)</f>
        <v>92</v>
      </c>
      <c r="K436" s="1">
        <f>IFERROR(__xludf.DUMMYFUNCTION("""COMPUTED_VALUE"""),55.0)</f>
        <v>55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 t="str">
        <f>IFERROR(__xludf.DUMMYFUNCTION("""COMPUTED_VALUE"""),"D")</f>
        <v>D</v>
      </c>
      <c r="E437" s="1" t="str">
        <f>IFERROR(__xludf.DUMMYFUNCTION("""COMPUTED_VALUE"""),"Male")</f>
        <v>Male</v>
      </c>
      <c r="F437" s="1">
        <f>IFERROR(__xludf.DUMMYFUNCTION("""COMPUTED_VALUE"""),66.0)</f>
        <v>66</v>
      </c>
      <c r="G437" s="1">
        <f>IFERROR(__xludf.DUMMYFUNCTION("""COMPUTED_VALUE"""),68.0)</f>
        <v>68</v>
      </c>
      <c r="H437" s="1">
        <f>IFERROR(__xludf.DUMMYFUNCTION("""COMPUTED_VALUE"""),52.0)</f>
        <v>52</v>
      </c>
      <c r="I437" s="1">
        <f>IFERROR(__xludf.DUMMYFUNCTION("""COMPUTED_VALUE"""),31.0)</f>
        <v>31</v>
      </c>
      <c r="J437" s="1">
        <f>IFERROR(__xludf.DUMMYFUNCTION("""COMPUTED_VALUE"""),37.0)</f>
        <v>37</v>
      </c>
      <c r="K437" s="1">
        <f>IFERROR(__xludf.DUMMYFUNCTION("""COMPUTED_VALUE"""),96.0)</f>
        <v>96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 t="str">
        <f>IFERROR(__xludf.DUMMYFUNCTION("""COMPUTED_VALUE"""),"B")</f>
        <v>B</v>
      </c>
      <c r="E438" s="1" t="str">
        <f>IFERROR(__xludf.DUMMYFUNCTION("""COMPUTED_VALUE"""),"Male")</f>
        <v>Male</v>
      </c>
      <c r="F438" s="1">
        <f>IFERROR(__xludf.DUMMYFUNCTION("""COMPUTED_VALUE"""),99.0)</f>
        <v>99</v>
      </c>
      <c r="G438" s="1">
        <f>IFERROR(__xludf.DUMMYFUNCTION("""COMPUTED_VALUE"""),63.0)</f>
        <v>63</v>
      </c>
      <c r="H438" s="1">
        <f>IFERROR(__xludf.DUMMYFUNCTION("""COMPUTED_VALUE"""),95.0)</f>
        <v>95</v>
      </c>
      <c r="I438" s="1">
        <f>IFERROR(__xludf.DUMMYFUNCTION("""COMPUTED_VALUE"""),60.0)</f>
        <v>60</v>
      </c>
      <c r="J438" s="1">
        <f>IFERROR(__xludf.DUMMYFUNCTION("""COMPUTED_VALUE"""),54.0)</f>
        <v>54</v>
      </c>
      <c r="K438" s="1">
        <f>IFERROR(__xludf.DUMMYFUNCTION("""COMPUTED_VALUE"""),57.0)</f>
        <v>57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 t="str">
        <f>IFERROR(__xludf.DUMMYFUNCTION("""COMPUTED_VALUE"""),"D")</f>
        <v>D</v>
      </c>
      <c r="E439" s="1" t="str">
        <f>IFERROR(__xludf.DUMMYFUNCTION("""COMPUTED_VALUE"""),"Female")</f>
        <v>Female</v>
      </c>
      <c r="F439" s="1">
        <f>IFERROR(__xludf.DUMMYFUNCTION("""COMPUTED_VALUE"""),54.0)</f>
        <v>54</v>
      </c>
      <c r="G439" s="1">
        <f>IFERROR(__xludf.DUMMYFUNCTION("""COMPUTED_VALUE"""),84.0)</f>
        <v>84</v>
      </c>
      <c r="H439" s="1">
        <f>IFERROR(__xludf.DUMMYFUNCTION("""COMPUTED_VALUE"""),51.0)</f>
        <v>51</v>
      </c>
      <c r="I439" s="1">
        <f>IFERROR(__xludf.DUMMYFUNCTION("""COMPUTED_VALUE"""),83.0)</f>
        <v>83</v>
      </c>
      <c r="J439" s="1">
        <f>IFERROR(__xludf.DUMMYFUNCTION("""COMPUTED_VALUE"""),63.0)</f>
        <v>63</v>
      </c>
      <c r="K439" s="1">
        <f>IFERROR(__xludf.DUMMYFUNCTION("""COMPUTED_VALUE"""),49.0)</f>
        <v>49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 t="str">
        <f>IFERROR(__xludf.DUMMYFUNCTION("""COMPUTED_VALUE"""),"A")</f>
        <v>A</v>
      </c>
      <c r="E440" s="1" t="str">
        <f>IFERROR(__xludf.DUMMYFUNCTION("""COMPUTED_VALUE"""),"Female")</f>
        <v>Female</v>
      </c>
      <c r="F440" s="1">
        <f>IFERROR(__xludf.DUMMYFUNCTION("""COMPUTED_VALUE"""),46.0)</f>
        <v>46</v>
      </c>
      <c r="G440" s="1">
        <f>IFERROR(__xludf.DUMMYFUNCTION("""COMPUTED_VALUE"""),86.0)</f>
        <v>86</v>
      </c>
      <c r="H440" s="1">
        <f>IFERROR(__xludf.DUMMYFUNCTION("""COMPUTED_VALUE"""),90.0)</f>
        <v>90</v>
      </c>
      <c r="I440" s="1">
        <f>IFERROR(__xludf.DUMMYFUNCTION("""COMPUTED_VALUE"""),57.0)</f>
        <v>57</v>
      </c>
      <c r="J440" s="1">
        <f>IFERROR(__xludf.DUMMYFUNCTION("""COMPUTED_VALUE"""),92.0)</f>
        <v>92</v>
      </c>
      <c r="K440" s="1">
        <f>IFERROR(__xludf.DUMMYFUNCTION("""COMPUTED_VALUE"""),83.0)</f>
        <v>83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 t="str">
        <f>IFERROR(__xludf.DUMMYFUNCTION("""COMPUTED_VALUE"""),"D")</f>
        <v>D</v>
      </c>
      <c r="E441" s="1" t="str">
        <f>IFERROR(__xludf.DUMMYFUNCTION("""COMPUTED_VALUE"""),"Female")</f>
        <v>Female</v>
      </c>
      <c r="F441" s="1">
        <f>IFERROR(__xludf.DUMMYFUNCTION("""COMPUTED_VALUE"""),58.0)</f>
        <v>58</v>
      </c>
      <c r="G441" s="1">
        <f>IFERROR(__xludf.DUMMYFUNCTION("""COMPUTED_VALUE"""),89.0)</f>
        <v>89</v>
      </c>
      <c r="H441" s="1">
        <f>IFERROR(__xludf.DUMMYFUNCTION("""COMPUTED_VALUE"""),86.0)</f>
        <v>86</v>
      </c>
      <c r="I441" s="1">
        <f>IFERROR(__xludf.DUMMYFUNCTION("""COMPUTED_VALUE"""),60.0)</f>
        <v>60</v>
      </c>
      <c r="J441" s="1">
        <f>IFERROR(__xludf.DUMMYFUNCTION("""COMPUTED_VALUE"""),20.0)</f>
        <v>20</v>
      </c>
      <c r="K441" s="1">
        <f>IFERROR(__xludf.DUMMYFUNCTION("""COMPUTED_VALUE"""),42.0)</f>
        <v>42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 t="str">
        <f>IFERROR(__xludf.DUMMYFUNCTION("""COMPUTED_VALUE"""),"C")</f>
        <v>C</v>
      </c>
      <c r="E442" s="1" t="str">
        <f>IFERROR(__xludf.DUMMYFUNCTION("""COMPUTED_VALUE"""),"Male")</f>
        <v>Male</v>
      </c>
      <c r="F442" s="1">
        <f>IFERROR(__xludf.DUMMYFUNCTION("""COMPUTED_VALUE"""),46.0)</f>
        <v>46</v>
      </c>
      <c r="G442" s="1">
        <f>IFERROR(__xludf.DUMMYFUNCTION("""COMPUTED_VALUE"""),87.0)</f>
        <v>87</v>
      </c>
      <c r="H442" s="1">
        <f>IFERROR(__xludf.DUMMYFUNCTION("""COMPUTED_VALUE"""),30.0)</f>
        <v>30</v>
      </c>
      <c r="I442" s="1">
        <f>IFERROR(__xludf.DUMMYFUNCTION("""COMPUTED_VALUE"""),26.0)</f>
        <v>26</v>
      </c>
      <c r="J442" s="1">
        <f>IFERROR(__xludf.DUMMYFUNCTION("""COMPUTED_VALUE"""),85.0)</f>
        <v>85</v>
      </c>
      <c r="K442" s="1">
        <f>IFERROR(__xludf.DUMMYFUNCTION("""COMPUTED_VALUE"""),80.0)</f>
        <v>80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 t="str">
        <f>IFERROR(__xludf.DUMMYFUNCTION("""COMPUTED_VALUE"""),"C")</f>
        <v>C</v>
      </c>
      <c r="E443" s="1" t="str">
        <f>IFERROR(__xludf.DUMMYFUNCTION("""COMPUTED_VALUE"""),"Female")</f>
        <v>Female</v>
      </c>
      <c r="F443" s="1">
        <f>IFERROR(__xludf.DUMMYFUNCTION("""COMPUTED_VALUE"""),88.0)</f>
        <v>88</v>
      </c>
      <c r="G443" s="1">
        <f>IFERROR(__xludf.DUMMYFUNCTION("""COMPUTED_VALUE"""),99.0)</f>
        <v>99</v>
      </c>
      <c r="H443" s="1">
        <f>IFERROR(__xludf.DUMMYFUNCTION("""COMPUTED_VALUE"""),80.0)</f>
        <v>80</v>
      </c>
      <c r="I443" s="1">
        <f>IFERROR(__xludf.DUMMYFUNCTION("""COMPUTED_VALUE"""),80.0)</f>
        <v>80</v>
      </c>
      <c r="J443" s="1">
        <f>IFERROR(__xludf.DUMMYFUNCTION("""COMPUTED_VALUE"""),56.0)</f>
        <v>56</v>
      </c>
      <c r="K443" s="1">
        <f>IFERROR(__xludf.DUMMYFUNCTION("""COMPUTED_VALUE"""),98.0)</f>
        <v>98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 t="str">
        <f>IFERROR(__xludf.DUMMYFUNCTION("""COMPUTED_VALUE"""),"C")</f>
        <v>C</v>
      </c>
      <c r="E444" s="1" t="str">
        <f>IFERROR(__xludf.DUMMYFUNCTION("""COMPUTED_VALUE"""),"Female")</f>
        <v>Female</v>
      </c>
      <c r="F444" s="1">
        <f>IFERROR(__xludf.DUMMYFUNCTION("""COMPUTED_VALUE"""),61.0)</f>
        <v>61</v>
      </c>
      <c r="G444" s="1">
        <f>IFERROR(__xludf.DUMMYFUNCTION("""COMPUTED_VALUE"""),73.0)</f>
        <v>73</v>
      </c>
      <c r="H444" s="1">
        <f>IFERROR(__xludf.DUMMYFUNCTION("""COMPUTED_VALUE"""),86.0)</f>
        <v>86</v>
      </c>
      <c r="I444" s="1">
        <f>IFERROR(__xludf.DUMMYFUNCTION("""COMPUTED_VALUE"""),50.0)</f>
        <v>50</v>
      </c>
      <c r="J444" s="1">
        <f>IFERROR(__xludf.DUMMYFUNCTION("""COMPUTED_VALUE"""),90.0)</f>
        <v>90</v>
      </c>
      <c r="K444" s="1">
        <f>IFERROR(__xludf.DUMMYFUNCTION("""COMPUTED_VALUE"""),87.0)</f>
        <v>87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 t="str">
        <f>IFERROR(__xludf.DUMMYFUNCTION("""COMPUTED_VALUE"""),"D")</f>
        <v>D</v>
      </c>
      <c r="E445" s="1" t="str">
        <f>IFERROR(__xludf.DUMMYFUNCTION("""COMPUTED_VALUE"""),"Female")</f>
        <v>Female</v>
      </c>
      <c r="F445" s="1">
        <f>IFERROR(__xludf.DUMMYFUNCTION("""COMPUTED_VALUE"""),95.0)</f>
        <v>95</v>
      </c>
      <c r="G445" s="1">
        <f>IFERROR(__xludf.DUMMYFUNCTION("""COMPUTED_VALUE"""),25.0)</f>
        <v>25</v>
      </c>
      <c r="H445" s="1">
        <f>IFERROR(__xludf.DUMMYFUNCTION("""COMPUTED_VALUE"""),46.0)</f>
        <v>46</v>
      </c>
      <c r="I445" s="1">
        <f>IFERROR(__xludf.DUMMYFUNCTION("""COMPUTED_VALUE"""),69.0)</f>
        <v>69</v>
      </c>
      <c r="J445" s="1">
        <f>IFERROR(__xludf.DUMMYFUNCTION("""COMPUTED_VALUE"""),82.0)</f>
        <v>82</v>
      </c>
      <c r="K445" s="1">
        <f>IFERROR(__xludf.DUMMYFUNCTION("""COMPUTED_VALUE"""),59.0)</f>
        <v>59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 t="str">
        <f>IFERROR(__xludf.DUMMYFUNCTION("""COMPUTED_VALUE"""),"D")</f>
        <v>D</v>
      </c>
      <c r="E446" s="1" t="str">
        <f>IFERROR(__xludf.DUMMYFUNCTION("""COMPUTED_VALUE"""),"Male")</f>
        <v>Male</v>
      </c>
      <c r="F446" s="1">
        <f>IFERROR(__xludf.DUMMYFUNCTION("""COMPUTED_VALUE"""),39.0)</f>
        <v>39</v>
      </c>
      <c r="G446" s="1">
        <f>IFERROR(__xludf.DUMMYFUNCTION("""COMPUTED_VALUE"""),51.0)</f>
        <v>51</v>
      </c>
      <c r="H446" s="1">
        <f>IFERROR(__xludf.DUMMYFUNCTION("""COMPUTED_VALUE"""),62.0)</f>
        <v>62</v>
      </c>
      <c r="I446" s="1">
        <f>IFERROR(__xludf.DUMMYFUNCTION("""COMPUTED_VALUE"""),30.0)</f>
        <v>30</v>
      </c>
      <c r="J446" s="1">
        <f>IFERROR(__xludf.DUMMYFUNCTION("""COMPUTED_VALUE"""),99.0)</f>
        <v>99</v>
      </c>
      <c r="K446" s="1">
        <f>IFERROR(__xludf.DUMMYFUNCTION("""COMPUTED_VALUE"""),79.0)</f>
        <v>79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 t="str">
        <f>IFERROR(__xludf.DUMMYFUNCTION("""COMPUTED_VALUE"""),"C")</f>
        <v>C</v>
      </c>
      <c r="E447" s="1" t="str">
        <f>IFERROR(__xludf.DUMMYFUNCTION("""COMPUTED_VALUE"""),"Male")</f>
        <v>Male</v>
      </c>
      <c r="F447" s="1">
        <f>IFERROR(__xludf.DUMMYFUNCTION("""COMPUTED_VALUE"""),57.0)</f>
        <v>57</v>
      </c>
      <c r="G447" s="1">
        <f>IFERROR(__xludf.DUMMYFUNCTION("""COMPUTED_VALUE"""),44.0)</f>
        <v>44</v>
      </c>
      <c r="H447" s="1">
        <f>IFERROR(__xludf.DUMMYFUNCTION("""COMPUTED_VALUE"""),31.0)</f>
        <v>31</v>
      </c>
      <c r="I447" s="1">
        <f>IFERROR(__xludf.DUMMYFUNCTION("""COMPUTED_VALUE"""),47.0)</f>
        <v>47</v>
      </c>
      <c r="J447" s="1">
        <f>IFERROR(__xludf.DUMMYFUNCTION("""COMPUTED_VALUE"""),73.0)</f>
        <v>73</v>
      </c>
      <c r="K447" s="1">
        <f>IFERROR(__xludf.DUMMYFUNCTION("""COMPUTED_VALUE"""),95.0)</f>
        <v>95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 t="str">
        <f>IFERROR(__xludf.DUMMYFUNCTION("""COMPUTED_VALUE"""),"B")</f>
        <v>B</v>
      </c>
      <c r="E448" s="1" t="str">
        <f>IFERROR(__xludf.DUMMYFUNCTION("""COMPUTED_VALUE"""),"Female")</f>
        <v>Female</v>
      </c>
      <c r="F448" s="1">
        <f>IFERROR(__xludf.DUMMYFUNCTION("""COMPUTED_VALUE"""),92.0)</f>
        <v>92</v>
      </c>
      <c r="G448" s="1">
        <f>IFERROR(__xludf.DUMMYFUNCTION("""COMPUTED_VALUE"""),97.0)</f>
        <v>97</v>
      </c>
      <c r="H448" s="1">
        <f>IFERROR(__xludf.DUMMYFUNCTION("""COMPUTED_VALUE"""),67.0)</f>
        <v>67</v>
      </c>
      <c r="I448" s="1">
        <f>IFERROR(__xludf.DUMMYFUNCTION("""COMPUTED_VALUE"""),89.0)</f>
        <v>89</v>
      </c>
      <c r="J448" s="1">
        <f>IFERROR(__xludf.DUMMYFUNCTION("""COMPUTED_VALUE"""),29.0)</f>
        <v>29</v>
      </c>
      <c r="K448" s="1">
        <f>IFERROR(__xludf.DUMMYFUNCTION("""COMPUTED_VALUE"""),43.0)</f>
        <v>43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 t="str">
        <f>IFERROR(__xludf.DUMMYFUNCTION("""COMPUTED_VALUE"""),"A")</f>
        <v>A</v>
      </c>
      <c r="E449" s="1" t="str">
        <f>IFERROR(__xludf.DUMMYFUNCTION("""COMPUTED_VALUE"""),"Female")</f>
        <v>Female</v>
      </c>
      <c r="F449" s="1">
        <f>IFERROR(__xludf.DUMMYFUNCTION("""COMPUTED_VALUE"""),87.0)</f>
        <v>87</v>
      </c>
      <c r="G449" s="1">
        <f>IFERROR(__xludf.DUMMYFUNCTION("""COMPUTED_VALUE"""),48.0)</f>
        <v>48</v>
      </c>
      <c r="H449" s="1">
        <f>IFERROR(__xludf.DUMMYFUNCTION("""COMPUTED_VALUE"""),43.0)</f>
        <v>43</v>
      </c>
      <c r="I449" s="1">
        <f>IFERROR(__xludf.DUMMYFUNCTION("""COMPUTED_VALUE"""),68.0)</f>
        <v>68</v>
      </c>
      <c r="J449" s="1">
        <f>IFERROR(__xludf.DUMMYFUNCTION("""COMPUTED_VALUE"""),43.0)</f>
        <v>43</v>
      </c>
      <c r="K449" s="1">
        <f>IFERROR(__xludf.DUMMYFUNCTION("""COMPUTED_VALUE"""),80.0)</f>
        <v>80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 t="str">
        <f>IFERROR(__xludf.DUMMYFUNCTION("""COMPUTED_VALUE"""),"D")</f>
        <v>D</v>
      </c>
      <c r="E450" s="1" t="str">
        <f>IFERROR(__xludf.DUMMYFUNCTION("""COMPUTED_VALUE"""),"Female")</f>
        <v>Female</v>
      </c>
      <c r="F450" s="1">
        <f>IFERROR(__xludf.DUMMYFUNCTION("""COMPUTED_VALUE"""),72.0)</f>
        <v>72</v>
      </c>
      <c r="G450" s="1">
        <f>IFERROR(__xludf.DUMMYFUNCTION("""COMPUTED_VALUE"""),69.0)</f>
        <v>69</v>
      </c>
      <c r="H450" s="1">
        <f>IFERROR(__xludf.DUMMYFUNCTION("""COMPUTED_VALUE"""),79.0)</f>
        <v>79</v>
      </c>
      <c r="I450" s="1">
        <f>IFERROR(__xludf.DUMMYFUNCTION("""COMPUTED_VALUE"""),67.0)</f>
        <v>67</v>
      </c>
      <c r="J450" s="1">
        <f>IFERROR(__xludf.DUMMYFUNCTION("""COMPUTED_VALUE"""),35.0)</f>
        <v>35</v>
      </c>
      <c r="K450" s="1">
        <f>IFERROR(__xludf.DUMMYFUNCTION("""COMPUTED_VALUE"""),97.0)</f>
        <v>97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 t="str">
        <f>IFERROR(__xludf.DUMMYFUNCTION("""COMPUTED_VALUE"""),"C")</f>
        <v>C</v>
      </c>
      <c r="E451" s="1" t="str">
        <f>IFERROR(__xludf.DUMMYFUNCTION("""COMPUTED_VALUE"""),"Male")</f>
        <v>Male</v>
      </c>
      <c r="F451" s="1">
        <f>IFERROR(__xludf.DUMMYFUNCTION("""COMPUTED_VALUE"""),17.0)</f>
        <v>17</v>
      </c>
      <c r="G451" s="1">
        <f>IFERROR(__xludf.DUMMYFUNCTION("""COMPUTED_VALUE"""),61.0)</f>
        <v>61</v>
      </c>
      <c r="H451" s="1">
        <f>IFERROR(__xludf.DUMMYFUNCTION("""COMPUTED_VALUE"""),74.0)</f>
        <v>74</v>
      </c>
      <c r="I451" s="1">
        <f>IFERROR(__xludf.DUMMYFUNCTION("""COMPUTED_VALUE"""),21.0)</f>
        <v>21</v>
      </c>
      <c r="J451" s="1">
        <f>IFERROR(__xludf.DUMMYFUNCTION("""COMPUTED_VALUE"""),50.0)</f>
        <v>50</v>
      </c>
      <c r="K451" s="1">
        <f>IFERROR(__xludf.DUMMYFUNCTION("""COMPUTED_VALUE"""),83.0)</f>
        <v>83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 t="str">
        <f>IFERROR(__xludf.DUMMYFUNCTION("""COMPUTED_VALUE"""),"B")</f>
        <v>B</v>
      </c>
      <c r="E452" s="1" t="str">
        <f>IFERROR(__xludf.DUMMYFUNCTION("""COMPUTED_VALUE"""),"Male")</f>
        <v>Male</v>
      </c>
      <c r="F452" s="1">
        <f>IFERROR(__xludf.DUMMYFUNCTION("""COMPUTED_VALUE"""),87.0)</f>
        <v>87</v>
      </c>
      <c r="G452" s="1">
        <f>IFERROR(__xludf.DUMMYFUNCTION("""COMPUTED_VALUE"""),56.0)</f>
        <v>56</v>
      </c>
      <c r="H452" s="1">
        <f>IFERROR(__xludf.DUMMYFUNCTION("""COMPUTED_VALUE"""),45.0)</f>
        <v>45</v>
      </c>
      <c r="I452" s="1">
        <f>IFERROR(__xludf.DUMMYFUNCTION("""COMPUTED_VALUE"""),55.0)</f>
        <v>55</v>
      </c>
      <c r="J452" s="1">
        <f>IFERROR(__xludf.DUMMYFUNCTION("""COMPUTED_VALUE"""),55.0)</f>
        <v>55</v>
      </c>
      <c r="K452" s="1">
        <f>IFERROR(__xludf.DUMMYFUNCTION("""COMPUTED_VALUE"""),50.0)</f>
        <v>50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 t="str">
        <f>IFERROR(__xludf.DUMMYFUNCTION("""COMPUTED_VALUE"""),"B")</f>
        <v>B</v>
      </c>
      <c r="E453" s="1" t="str">
        <f>IFERROR(__xludf.DUMMYFUNCTION("""COMPUTED_VALUE"""),"Female")</f>
        <v>Female</v>
      </c>
      <c r="F453" s="1">
        <f>IFERROR(__xludf.DUMMYFUNCTION("""COMPUTED_VALUE"""),98.0)</f>
        <v>98</v>
      </c>
      <c r="G453" s="1">
        <f>IFERROR(__xludf.DUMMYFUNCTION("""COMPUTED_VALUE"""),56.0)</f>
        <v>56</v>
      </c>
      <c r="H453" s="1">
        <f>IFERROR(__xludf.DUMMYFUNCTION("""COMPUTED_VALUE"""),22.0)</f>
        <v>22</v>
      </c>
      <c r="I453" s="1">
        <f>IFERROR(__xludf.DUMMYFUNCTION("""COMPUTED_VALUE"""),30.0)</f>
        <v>30</v>
      </c>
      <c r="J453" s="1">
        <f>IFERROR(__xludf.DUMMYFUNCTION("""COMPUTED_VALUE"""),21.0)</f>
        <v>21</v>
      </c>
      <c r="K453" s="1">
        <f>IFERROR(__xludf.DUMMYFUNCTION("""COMPUTED_VALUE"""),47.0)</f>
        <v>47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 t="str">
        <f>IFERROR(__xludf.DUMMYFUNCTION("""COMPUTED_VALUE"""),"A")</f>
        <v>A</v>
      </c>
      <c r="E454" s="1" t="str">
        <f>IFERROR(__xludf.DUMMYFUNCTION("""COMPUTED_VALUE"""),"Female")</f>
        <v>Female</v>
      </c>
      <c r="F454" s="1">
        <f>IFERROR(__xludf.DUMMYFUNCTION("""COMPUTED_VALUE"""),30.0)</f>
        <v>30</v>
      </c>
      <c r="G454" s="1">
        <f>IFERROR(__xludf.DUMMYFUNCTION("""COMPUTED_VALUE"""),36.0)</f>
        <v>36</v>
      </c>
      <c r="H454" s="1">
        <f>IFERROR(__xludf.DUMMYFUNCTION("""COMPUTED_VALUE"""),52.0)</f>
        <v>52</v>
      </c>
      <c r="I454" s="1">
        <f>IFERROR(__xludf.DUMMYFUNCTION("""COMPUTED_VALUE"""),70.0)</f>
        <v>70</v>
      </c>
      <c r="J454" s="1">
        <f>IFERROR(__xludf.DUMMYFUNCTION("""COMPUTED_VALUE"""),92.0)</f>
        <v>92</v>
      </c>
      <c r="K454" s="1">
        <f>IFERROR(__xludf.DUMMYFUNCTION("""COMPUTED_VALUE"""),66.0)</f>
        <v>66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 t="str">
        <f>IFERROR(__xludf.DUMMYFUNCTION("""COMPUTED_VALUE"""),"A")</f>
        <v>A</v>
      </c>
      <c r="E455" s="1" t="str">
        <f>IFERROR(__xludf.DUMMYFUNCTION("""COMPUTED_VALUE"""),"Male")</f>
        <v>Male</v>
      </c>
      <c r="F455" s="1">
        <f>IFERROR(__xludf.DUMMYFUNCTION("""COMPUTED_VALUE"""),70.0)</f>
        <v>70</v>
      </c>
      <c r="G455" s="1">
        <f>IFERROR(__xludf.DUMMYFUNCTION("""COMPUTED_VALUE"""),45.0)</f>
        <v>45</v>
      </c>
      <c r="H455" s="1">
        <f>IFERROR(__xludf.DUMMYFUNCTION("""COMPUTED_VALUE"""),69.0)</f>
        <v>69</v>
      </c>
      <c r="I455" s="1">
        <f>IFERROR(__xludf.DUMMYFUNCTION("""COMPUTED_VALUE"""),39.0)</f>
        <v>39</v>
      </c>
      <c r="J455" s="1">
        <f>IFERROR(__xludf.DUMMYFUNCTION("""COMPUTED_VALUE"""),24.0)</f>
        <v>24</v>
      </c>
      <c r="K455" s="1">
        <f>IFERROR(__xludf.DUMMYFUNCTION("""COMPUTED_VALUE"""),49.0)</f>
        <v>49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 t="str">
        <f>IFERROR(__xludf.DUMMYFUNCTION("""COMPUTED_VALUE"""),"A")</f>
        <v>A</v>
      </c>
      <c r="E456" s="1" t="str">
        <f>IFERROR(__xludf.DUMMYFUNCTION("""COMPUTED_VALUE"""),"Male")</f>
        <v>Male</v>
      </c>
      <c r="F456" s="1">
        <f>IFERROR(__xludf.DUMMYFUNCTION("""COMPUTED_VALUE"""),16.0)</f>
        <v>16</v>
      </c>
      <c r="G456" s="1">
        <f>IFERROR(__xludf.DUMMYFUNCTION("""COMPUTED_VALUE"""),40.0)</f>
        <v>40</v>
      </c>
      <c r="H456" s="1">
        <f>IFERROR(__xludf.DUMMYFUNCTION("""COMPUTED_VALUE"""),20.0)</f>
        <v>20</v>
      </c>
      <c r="I456" s="1">
        <f>IFERROR(__xludf.DUMMYFUNCTION("""COMPUTED_VALUE"""),72.0)</f>
        <v>72</v>
      </c>
      <c r="J456" s="1">
        <f>IFERROR(__xludf.DUMMYFUNCTION("""COMPUTED_VALUE"""),94.0)</f>
        <v>94</v>
      </c>
      <c r="K456" s="1">
        <f>IFERROR(__xludf.DUMMYFUNCTION("""COMPUTED_VALUE"""),72.0)</f>
        <v>72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 t="str">
        <f>IFERROR(__xludf.DUMMYFUNCTION("""COMPUTED_VALUE"""),"B")</f>
        <v>B</v>
      </c>
      <c r="E457" s="1" t="str">
        <f>IFERROR(__xludf.DUMMYFUNCTION("""COMPUTED_VALUE"""),"Female")</f>
        <v>Female</v>
      </c>
      <c r="F457" s="1">
        <f>IFERROR(__xludf.DUMMYFUNCTION("""COMPUTED_VALUE"""),19.0)</f>
        <v>19</v>
      </c>
      <c r="G457" s="1">
        <f>IFERROR(__xludf.DUMMYFUNCTION("""COMPUTED_VALUE"""),81.0)</f>
        <v>81</v>
      </c>
      <c r="H457" s="1">
        <f>IFERROR(__xludf.DUMMYFUNCTION("""COMPUTED_VALUE"""),26.0)</f>
        <v>26</v>
      </c>
      <c r="I457" s="1">
        <f>IFERROR(__xludf.DUMMYFUNCTION("""COMPUTED_VALUE"""),34.0)</f>
        <v>34</v>
      </c>
      <c r="J457" s="1">
        <f>IFERROR(__xludf.DUMMYFUNCTION("""COMPUTED_VALUE"""),96.0)</f>
        <v>96</v>
      </c>
      <c r="K457" s="1">
        <f>IFERROR(__xludf.DUMMYFUNCTION("""COMPUTED_VALUE"""),20.0)</f>
        <v>20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 t="str">
        <f>IFERROR(__xludf.DUMMYFUNCTION("""COMPUTED_VALUE"""),"D")</f>
        <v>D</v>
      </c>
      <c r="E458" s="1" t="str">
        <f>IFERROR(__xludf.DUMMYFUNCTION("""COMPUTED_VALUE"""),"Male")</f>
        <v>Male</v>
      </c>
      <c r="F458" s="1">
        <f>IFERROR(__xludf.DUMMYFUNCTION("""COMPUTED_VALUE"""),57.0)</f>
        <v>57</v>
      </c>
      <c r="G458" s="1">
        <f>IFERROR(__xludf.DUMMYFUNCTION("""COMPUTED_VALUE"""),40.0)</f>
        <v>40</v>
      </c>
      <c r="H458" s="1">
        <f>IFERROR(__xludf.DUMMYFUNCTION("""COMPUTED_VALUE"""),84.0)</f>
        <v>84</v>
      </c>
      <c r="I458" s="1">
        <f>IFERROR(__xludf.DUMMYFUNCTION("""COMPUTED_VALUE"""),64.0)</f>
        <v>64</v>
      </c>
      <c r="J458" s="1">
        <f>IFERROR(__xludf.DUMMYFUNCTION("""COMPUTED_VALUE"""),58.0)</f>
        <v>58</v>
      </c>
      <c r="K458" s="1">
        <f>IFERROR(__xludf.DUMMYFUNCTION("""COMPUTED_VALUE"""),82.0)</f>
        <v>82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 t="str">
        <f>IFERROR(__xludf.DUMMYFUNCTION("""COMPUTED_VALUE"""),"B")</f>
        <v>B</v>
      </c>
      <c r="E459" s="1" t="str">
        <f>IFERROR(__xludf.DUMMYFUNCTION("""COMPUTED_VALUE"""),"Female")</f>
        <v>Female</v>
      </c>
      <c r="F459" s="1">
        <f>IFERROR(__xludf.DUMMYFUNCTION("""COMPUTED_VALUE"""),19.0)</f>
        <v>19</v>
      </c>
      <c r="G459" s="1">
        <f>IFERROR(__xludf.DUMMYFUNCTION("""COMPUTED_VALUE"""),96.0)</f>
        <v>96</v>
      </c>
      <c r="H459" s="1">
        <f>IFERROR(__xludf.DUMMYFUNCTION("""COMPUTED_VALUE"""),94.0)</f>
        <v>94</v>
      </c>
      <c r="I459" s="1">
        <f>IFERROR(__xludf.DUMMYFUNCTION("""COMPUTED_VALUE"""),97.0)</f>
        <v>97</v>
      </c>
      <c r="J459" s="1">
        <f>IFERROR(__xludf.DUMMYFUNCTION("""COMPUTED_VALUE"""),45.0)</f>
        <v>45</v>
      </c>
      <c r="K459" s="1">
        <f>IFERROR(__xludf.DUMMYFUNCTION("""COMPUTED_VALUE"""),77.0)</f>
        <v>77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 t="str">
        <f>IFERROR(__xludf.DUMMYFUNCTION("""COMPUTED_VALUE"""),"B")</f>
        <v>B</v>
      </c>
      <c r="E460" s="1" t="str">
        <f>IFERROR(__xludf.DUMMYFUNCTION("""COMPUTED_VALUE"""),"Female")</f>
        <v>Female</v>
      </c>
      <c r="F460" s="1">
        <f>IFERROR(__xludf.DUMMYFUNCTION("""COMPUTED_VALUE"""),83.0)</f>
        <v>83</v>
      </c>
      <c r="G460" s="1">
        <f>IFERROR(__xludf.DUMMYFUNCTION("""COMPUTED_VALUE"""),35.0)</f>
        <v>35</v>
      </c>
      <c r="H460" s="1">
        <f>IFERROR(__xludf.DUMMYFUNCTION("""COMPUTED_VALUE"""),38.0)</f>
        <v>38</v>
      </c>
      <c r="I460" s="1">
        <f>IFERROR(__xludf.DUMMYFUNCTION("""COMPUTED_VALUE"""),42.0)</f>
        <v>42</v>
      </c>
      <c r="J460" s="1">
        <f>IFERROR(__xludf.DUMMYFUNCTION("""COMPUTED_VALUE"""),36.0)</f>
        <v>36</v>
      </c>
      <c r="K460" s="1">
        <f>IFERROR(__xludf.DUMMYFUNCTION("""COMPUTED_VALUE"""),22.0)</f>
        <v>22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 t="str">
        <f>IFERROR(__xludf.DUMMYFUNCTION("""COMPUTED_VALUE"""),"A")</f>
        <v>A</v>
      </c>
      <c r="E461" s="1" t="str">
        <f>IFERROR(__xludf.DUMMYFUNCTION("""COMPUTED_VALUE"""),"Female")</f>
        <v>Female</v>
      </c>
      <c r="F461" s="1">
        <f>IFERROR(__xludf.DUMMYFUNCTION("""COMPUTED_VALUE"""),94.0)</f>
        <v>94</v>
      </c>
      <c r="G461" s="1">
        <f>IFERROR(__xludf.DUMMYFUNCTION("""COMPUTED_VALUE"""),51.0)</f>
        <v>51</v>
      </c>
      <c r="H461" s="1">
        <f>IFERROR(__xludf.DUMMYFUNCTION("""COMPUTED_VALUE"""),58.0)</f>
        <v>58</v>
      </c>
      <c r="I461" s="1">
        <f>IFERROR(__xludf.DUMMYFUNCTION("""COMPUTED_VALUE"""),98.0)</f>
        <v>98</v>
      </c>
      <c r="J461" s="1">
        <f>IFERROR(__xludf.DUMMYFUNCTION("""COMPUTED_VALUE"""),60.0)</f>
        <v>60</v>
      </c>
      <c r="K461" s="1">
        <f>IFERROR(__xludf.DUMMYFUNCTION("""COMPUTED_VALUE"""),98.0)</f>
        <v>98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 t="str">
        <f>IFERROR(__xludf.DUMMYFUNCTION("""COMPUTED_VALUE"""),"C")</f>
        <v>C</v>
      </c>
      <c r="E462" s="1" t="str">
        <f>IFERROR(__xludf.DUMMYFUNCTION("""COMPUTED_VALUE"""),"Male")</f>
        <v>Male</v>
      </c>
      <c r="F462" s="1">
        <f>IFERROR(__xludf.DUMMYFUNCTION("""COMPUTED_VALUE"""),54.0)</f>
        <v>54</v>
      </c>
      <c r="G462" s="1">
        <f>IFERROR(__xludf.DUMMYFUNCTION("""COMPUTED_VALUE"""),69.0)</f>
        <v>69</v>
      </c>
      <c r="H462" s="1">
        <f>IFERROR(__xludf.DUMMYFUNCTION("""COMPUTED_VALUE"""),28.0)</f>
        <v>28</v>
      </c>
      <c r="I462" s="1">
        <f>IFERROR(__xludf.DUMMYFUNCTION("""COMPUTED_VALUE"""),53.0)</f>
        <v>53</v>
      </c>
      <c r="J462" s="1">
        <f>IFERROR(__xludf.DUMMYFUNCTION("""COMPUTED_VALUE"""),26.0)</f>
        <v>26</v>
      </c>
      <c r="K462" s="1">
        <f>IFERROR(__xludf.DUMMYFUNCTION("""COMPUTED_VALUE"""),52.0)</f>
        <v>52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 t="str">
        <f>IFERROR(__xludf.DUMMYFUNCTION("""COMPUTED_VALUE"""),"D")</f>
        <v>D</v>
      </c>
      <c r="E463" s="1" t="str">
        <f>IFERROR(__xludf.DUMMYFUNCTION("""COMPUTED_VALUE"""),"Female")</f>
        <v>Female</v>
      </c>
      <c r="F463" s="1">
        <f>IFERROR(__xludf.DUMMYFUNCTION("""COMPUTED_VALUE"""),66.0)</f>
        <v>66</v>
      </c>
      <c r="G463" s="1">
        <f>IFERROR(__xludf.DUMMYFUNCTION("""COMPUTED_VALUE"""),69.0)</f>
        <v>69</v>
      </c>
      <c r="H463" s="1">
        <f>IFERROR(__xludf.DUMMYFUNCTION("""COMPUTED_VALUE"""),43.0)</f>
        <v>43</v>
      </c>
      <c r="I463" s="1">
        <f>IFERROR(__xludf.DUMMYFUNCTION("""COMPUTED_VALUE"""),43.0)</f>
        <v>43</v>
      </c>
      <c r="J463" s="1">
        <f>IFERROR(__xludf.DUMMYFUNCTION("""COMPUTED_VALUE"""),56.0)</f>
        <v>56</v>
      </c>
      <c r="K463" s="1">
        <f>IFERROR(__xludf.DUMMYFUNCTION("""COMPUTED_VALUE"""),51.0)</f>
        <v>51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 t="str">
        <f>IFERROR(__xludf.DUMMYFUNCTION("""COMPUTED_VALUE"""),"C")</f>
        <v>C</v>
      </c>
      <c r="E464" s="1" t="str">
        <f>IFERROR(__xludf.DUMMYFUNCTION("""COMPUTED_VALUE"""),"Female")</f>
        <v>Female</v>
      </c>
      <c r="F464" s="1">
        <f>IFERROR(__xludf.DUMMYFUNCTION("""COMPUTED_VALUE"""),88.0)</f>
        <v>88</v>
      </c>
      <c r="G464" s="1">
        <f>IFERROR(__xludf.DUMMYFUNCTION("""COMPUTED_VALUE"""),57.0)</f>
        <v>57</v>
      </c>
      <c r="H464" s="1">
        <f>IFERROR(__xludf.DUMMYFUNCTION("""COMPUTED_VALUE"""),71.0)</f>
        <v>71</v>
      </c>
      <c r="I464" s="1">
        <f>IFERROR(__xludf.DUMMYFUNCTION("""COMPUTED_VALUE"""),54.0)</f>
        <v>54</v>
      </c>
      <c r="J464" s="1">
        <f>IFERROR(__xludf.DUMMYFUNCTION("""COMPUTED_VALUE"""),65.0)</f>
        <v>65</v>
      </c>
      <c r="K464" s="1">
        <f>IFERROR(__xludf.DUMMYFUNCTION("""COMPUTED_VALUE"""),63.0)</f>
        <v>63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 t="str">
        <f>IFERROR(__xludf.DUMMYFUNCTION("""COMPUTED_VALUE"""),"B")</f>
        <v>B</v>
      </c>
      <c r="E465" s="1" t="str">
        <f>IFERROR(__xludf.DUMMYFUNCTION("""COMPUTED_VALUE"""),"Male")</f>
        <v>Male</v>
      </c>
      <c r="F465" s="1">
        <f>IFERROR(__xludf.DUMMYFUNCTION("""COMPUTED_VALUE"""),60.0)</f>
        <v>60</v>
      </c>
      <c r="G465" s="1">
        <f>IFERROR(__xludf.DUMMYFUNCTION("""COMPUTED_VALUE"""),26.0)</f>
        <v>26</v>
      </c>
      <c r="H465" s="1">
        <f>IFERROR(__xludf.DUMMYFUNCTION("""COMPUTED_VALUE"""),85.0)</f>
        <v>85</v>
      </c>
      <c r="I465" s="1">
        <f>IFERROR(__xludf.DUMMYFUNCTION("""COMPUTED_VALUE"""),70.0)</f>
        <v>70</v>
      </c>
      <c r="J465" s="1">
        <f>IFERROR(__xludf.DUMMYFUNCTION("""COMPUTED_VALUE"""),49.0)</f>
        <v>49</v>
      </c>
      <c r="K465" s="1">
        <f>IFERROR(__xludf.DUMMYFUNCTION("""COMPUTED_VALUE"""),63.0)</f>
        <v>63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 t="str">
        <f>IFERROR(__xludf.DUMMYFUNCTION("""COMPUTED_VALUE"""),"B")</f>
        <v>B</v>
      </c>
      <c r="E466" s="1" t="str">
        <f>IFERROR(__xludf.DUMMYFUNCTION("""COMPUTED_VALUE"""),"Male")</f>
        <v>Male</v>
      </c>
      <c r="F466" s="1">
        <f>IFERROR(__xludf.DUMMYFUNCTION("""COMPUTED_VALUE"""),41.0)</f>
        <v>41</v>
      </c>
      <c r="G466" s="1">
        <f>IFERROR(__xludf.DUMMYFUNCTION("""COMPUTED_VALUE"""),66.0)</f>
        <v>66</v>
      </c>
      <c r="H466" s="1">
        <f>IFERROR(__xludf.DUMMYFUNCTION("""COMPUTED_VALUE"""),38.0)</f>
        <v>38</v>
      </c>
      <c r="I466" s="1">
        <f>IFERROR(__xludf.DUMMYFUNCTION("""COMPUTED_VALUE"""),67.0)</f>
        <v>67</v>
      </c>
      <c r="J466" s="1">
        <f>IFERROR(__xludf.DUMMYFUNCTION("""COMPUTED_VALUE"""),55.0)</f>
        <v>55</v>
      </c>
      <c r="K466" s="1">
        <f>IFERROR(__xludf.DUMMYFUNCTION("""COMPUTED_VALUE"""),20.0)</f>
        <v>20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 t="str">
        <f>IFERROR(__xludf.DUMMYFUNCTION("""COMPUTED_VALUE"""),"A")</f>
        <v>A</v>
      </c>
      <c r="E467" s="1" t="str">
        <f>IFERROR(__xludf.DUMMYFUNCTION("""COMPUTED_VALUE"""),"Male")</f>
        <v>Male</v>
      </c>
      <c r="F467" s="1">
        <f>IFERROR(__xludf.DUMMYFUNCTION("""COMPUTED_VALUE"""),87.0)</f>
        <v>87</v>
      </c>
      <c r="G467" s="1">
        <f>IFERROR(__xludf.DUMMYFUNCTION("""COMPUTED_VALUE"""),31.0)</f>
        <v>31</v>
      </c>
      <c r="H467" s="1">
        <f>IFERROR(__xludf.DUMMYFUNCTION("""COMPUTED_VALUE"""),75.0)</f>
        <v>75</v>
      </c>
      <c r="I467" s="1">
        <f>IFERROR(__xludf.DUMMYFUNCTION("""COMPUTED_VALUE"""),68.0)</f>
        <v>68</v>
      </c>
      <c r="J467" s="1">
        <f>IFERROR(__xludf.DUMMYFUNCTION("""COMPUTED_VALUE"""),26.0)</f>
        <v>26</v>
      </c>
      <c r="K467" s="1">
        <f>IFERROR(__xludf.DUMMYFUNCTION("""COMPUTED_VALUE"""),36.0)</f>
        <v>36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 t="str">
        <f>IFERROR(__xludf.DUMMYFUNCTION("""COMPUTED_VALUE"""),"A")</f>
        <v>A</v>
      </c>
      <c r="E468" s="1" t="str">
        <f>IFERROR(__xludf.DUMMYFUNCTION("""COMPUTED_VALUE"""),"Female")</f>
        <v>Female</v>
      </c>
      <c r="F468" s="1">
        <f>IFERROR(__xludf.DUMMYFUNCTION("""COMPUTED_VALUE"""),34.0)</f>
        <v>34</v>
      </c>
      <c r="G468" s="1">
        <f>IFERROR(__xludf.DUMMYFUNCTION("""COMPUTED_VALUE"""),29.0)</f>
        <v>29</v>
      </c>
      <c r="H468" s="1">
        <f>IFERROR(__xludf.DUMMYFUNCTION("""COMPUTED_VALUE"""),24.0)</f>
        <v>24</v>
      </c>
      <c r="I468" s="1">
        <f>IFERROR(__xludf.DUMMYFUNCTION("""COMPUTED_VALUE"""),79.0)</f>
        <v>79</v>
      </c>
      <c r="J468" s="1">
        <f>IFERROR(__xludf.DUMMYFUNCTION("""COMPUTED_VALUE"""),72.0)</f>
        <v>72</v>
      </c>
      <c r="K468" s="1">
        <f>IFERROR(__xludf.DUMMYFUNCTION("""COMPUTED_VALUE"""),48.0)</f>
        <v>48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 t="str">
        <f>IFERROR(__xludf.DUMMYFUNCTION("""COMPUTED_VALUE"""),"C")</f>
        <v>C</v>
      </c>
      <c r="E469" s="1" t="str">
        <f>IFERROR(__xludf.DUMMYFUNCTION("""COMPUTED_VALUE"""),"Female")</f>
        <v>Female</v>
      </c>
      <c r="F469" s="1">
        <f>IFERROR(__xludf.DUMMYFUNCTION("""COMPUTED_VALUE"""),57.0)</f>
        <v>57</v>
      </c>
      <c r="G469" s="1">
        <f>IFERROR(__xludf.DUMMYFUNCTION("""COMPUTED_VALUE"""),60.0)</f>
        <v>60</v>
      </c>
      <c r="H469" s="1">
        <f>IFERROR(__xludf.DUMMYFUNCTION("""COMPUTED_VALUE"""),31.0)</f>
        <v>31</v>
      </c>
      <c r="I469" s="1">
        <f>IFERROR(__xludf.DUMMYFUNCTION("""COMPUTED_VALUE"""),57.0)</f>
        <v>57</v>
      </c>
      <c r="J469" s="1">
        <f>IFERROR(__xludf.DUMMYFUNCTION("""COMPUTED_VALUE"""),84.0)</f>
        <v>84</v>
      </c>
      <c r="K469" s="1">
        <f>IFERROR(__xludf.DUMMYFUNCTION("""COMPUTED_VALUE"""),87.0)</f>
        <v>87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 t="str">
        <f>IFERROR(__xludf.DUMMYFUNCTION("""COMPUTED_VALUE"""),"C")</f>
        <v>C</v>
      </c>
      <c r="E470" s="1" t="str">
        <f>IFERROR(__xludf.DUMMYFUNCTION("""COMPUTED_VALUE"""),"Male")</f>
        <v>Male</v>
      </c>
      <c r="F470" s="1">
        <f>IFERROR(__xludf.DUMMYFUNCTION("""COMPUTED_VALUE"""),96.0)</f>
        <v>96</v>
      </c>
      <c r="G470" s="1">
        <f>IFERROR(__xludf.DUMMYFUNCTION("""COMPUTED_VALUE"""),82.0)</f>
        <v>82</v>
      </c>
      <c r="H470" s="1">
        <f>IFERROR(__xludf.DUMMYFUNCTION("""COMPUTED_VALUE"""),93.0)</f>
        <v>93</v>
      </c>
      <c r="I470" s="1">
        <f>IFERROR(__xludf.DUMMYFUNCTION("""COMPUTED_VALUE"""),30.0)</f>
        <v>30</v>
      </c>
      <c r="J470" s="1">
        <f>IFERROR(__xludf.DUMMYFUNCTION("""COMPUTED_VALUE"""),58.0)</f>
        <v>58</v>
      </c>
      <c r="K470" s="1">
        <f>IFERROR(__xludf.DUMMYFUNCTION("""COMPUTED_VALUE"""),26.0)</f>
        <v>26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 t="str">
        <f>IFERROR(__xludf.DUMMYFUNCTION("""COMPUTED_VALUE"""),"A")</f>
        <v>A</v>
      </c>
      <c r="E471" s="1" t="str">
        <f>IFERROR(__xludf.DUMMYFUNCTION("""COMPUTED_VALUE"""),"Female")</f>
        <v>Female</v>
      </c>
      <c r="F471" s="1">
        <f>IFERROR(__xludf.DUMMYFUNCTION("""COMPUTED_VALUE"""),12.0)</f>
        <v>12</v>
      </c>
      <c r="G471" s="1">
        <f>IFERROR(__xludf.DUMMYFUNCTION("""COMPUTED_VALUE"""),53.0)</f>
        <v>53</v>
      </c>
      <c r="H471" s="1">
        <f>IFERROR(__xludf.DUMMYFUNCTION("""COMPUTED_VALUE"""),93.0)</f>
        <v>93</v>
      </c>
      <c r="I471" s="1">
        <f>IFERROR(__xludf.DUMMYFUNCTION("""COMPUTED_VALUE"""),61.0)</f>
        <v>61</v>
      </c>
      <c r="J471" s="1">
        <f>IFERROR(__xludf.DUMMYFUNCTION("""COMPUTED_VALUE"""),62.0)</f>
        <v>62</v>
      </c>
      <c r="K471" s="1">
        <f>IFERROR(__xludf.DUMMYFUNCTION("""COMPUTED_VALUE"""),28.0)</f>
        <v>28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 t="str">
        <f>IFERROR(__xludf.DUMMYFUNCTION("""COMPUTED_VALUE"""),"C")</f>
        <v>C</v>
      </c>
      <c r="E472" s="1" t="str">
        <f>IFERROR(__xludf.DUMMYFUNCTION("""COMPUTED_VALUE"""),"Female")</f>
        <v>Female</v>
      </c>
      <c r="F472" s="1">
        <f>IFERROR(__xludf.DUMMYFUNCTION("""COMPUTED_VALUE"""),29.0)</f>
        <v>29</v>
      </c>
      <c r="G472" s="1">
        <f>IFERROR(__xludf.DUMMYFUNCTION("""COMPUTED_VALUE"""),78.0)</f>
        <v>78</v>
      </c>
      <c r="H472" s="1">
        <f>IFERROR(__xludf.DUMMYFUNCTION("""COMPUTED_VALUE"""),95.0)</f>
        <v>95</v>
      </c>
      <c r="I472" s="1">
        <f>IFERROR(__xludf.DUMMYFUNCTION("""COMPUTED_VALUE"""),21.0)</f>
        <v>21</v>
      </c>
      <c r="J472" s="1">
        <f>IFERROR(__xludf.DUMMYFUNCTION("""COMPUTED_VALUE"""),54.0)</f>
        <v>54</v>
      </c>
      <c r="K472" s="1">
        <f>IFERROR(__xludf.DUMMYFUNCTION("""COMPUTED_VALUE"""),65.0)</f>
        <v>65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 t="str">
        <f>IFERROR(__xludf.DUMMYFUNCTION("""COMPUTED_VALUE"""),"D")</f>
        <v>D</v>
      </c>
      <c r="E473" s="1" t="str">
        <f>IFERROR(__xludf.DUMMYFUNCTION("""COMPUTED_VALUE"""),"Male")</f>
        <v>Male</v>
      </c>
      <c r="F473" s="1">
        <f>IFERROR(__xludf.DUMMYFUNCTION("""COMPUTED_VALUE"""),46.0)</f>
        <v>46</v>
      </c>
      <c r="G473" s="1">
        <f>IFERROR(__xludf.DUMMYFUNCTION("""COMPUTED_VALUE"""),38.0)</f>
        <v>38</v>
      </c>
      <c r="H473" s="1">
        <f>IFERROR(__xludf.DUMMYFUNCTION("""COMPUTED_VALUE"""),23.0)</f>
        <v>23</v>
      </c>
      <c r="I473" s="1">
        <f>IFERROR(__xludf.DUMMYFUNCTION("""COMPUTED_VALUE"""),21.0)</f>
        <v>21</v>
      </c>
      <c r="J473" s="1">
        <f>IFERROR(__xludf.DUMMYFUNCTION("""COMPUTED_VALUE"""),57.0)</f>
        <v>57</v>
      </c>
      <c r="K473" s="1">
        <f>IFERROR(__xludf.DUMMYFUNCTION("""COMPUTED_VALUE"""),67.0)</f>
        <v>67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 t="str">
        <f>IFERROR(__xludf.DUMMYFUNCTION("""COMPUTED_VALUE"""),"D")</f>
        <v>D</v>
      </c>
      <c r="E474" s="1" t="str">
        <f>IFERROR(__xludf.DUMMYFUNCTION("""COMPUTED_VALUE"""),"Female")</f>
        <v>Female</v>
      </c>
      <c r="F474" s="1">
        <f>IFERROR(__xludf.DUMMYFUNCTION("""COMPUTED_VALUE"""),86.0)</f>
        <v>86</v>
      </c>
      <c r="G474" s="1">
        <f>IFERROR(__xludf.DUMMYFUNCTION("""COMPUTED_VALUE"""),64.0)</f>
        <v>64</v>
      </c>
      <c r="H474" s="1">
        <f>IFERROR(__xludf.DUMMYFUNCTION("""COMPUTED_VALUE"""),36.0)</f>
        <v>36</v>
      </c>
      <c r="I474" s="1">
        <f>IFERROR(__xludf.DUMMYFUNCTION("""COMPUTED_VALUE"""),62.0)</f>
        <v>62</v>
      </c>
      <c r="J474" s="1">
        <f>IFERROR(__xludf.DUMMYFUNCTION("""COMPUTED_VALUE"""),69.0)</f>
        <v>69</v>
      </c>
      <c r="K474" s="1">
        <f>IFERROR(__xludf.DUMMYFUNCTION("""COMPUTED_VALUE"""),61.0)</f>
        <v>61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 t="str">
        <f>IFERROR(__xludf.DUMMYFUNCTION("""COMPUTED_VALUE"""),"C")</f>
        <v>C</v>
      </c>
      <c r="E475" s="1" t="str">
        <f>IFERROR(__xludf.DUMMYFUNCTION("""COMPUTED_VALUE"""),"Male")</f>
        <v>Male</v>
      </c>
      <c r="F475" s="1">
        <f>IFERROR(__xludf.DUMMYFUNCTION("""COMPUTED_VALUE"""),42.0)</f>
        <v>42</v>
      </c>
      <c r="G475" s="1">
        <f>IFERROR(__xludf.DUMMYFUNCTION("""COMPUTED_VALUE"""),27.0)</f>
        <v>27</v>
      </c>
      <c r="H475" s="1">
        <f>IFERROR(__xludf.DUMMYFUNCTION("""COMPUTED_VALUE"""),43.0)</f>
        <v>43</v>
      </c>
      <c r="I475" s="1">
        <f>IFERROR(__xludf.DUMMYFUNCTION("""COMPUTED_VALUE"""),48.0)</f>
        <v>48</v>
      </c>
      <c r="J475" s="1">
        <f>IFERROR(__xludf.DUMMYFUNCTION("""COMPUTED_VALUE"""),84.0)</f>
        <v>84</v>
      </c>
      <c r="K475" s="1">
        <f>IFERROR(__xludf.DUMMYFUNCTION("""COMPUTED_VALUE"""),65.0)</f>
        <v>65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 t="str">
        <f>IFERROR(__xludf.DUMMYFUNCTION("""COMPUTED_VALUE"""),"D")</f>
        <v>D</v>
      </c>
      <c r="E476" s="1" t="str">
        <f>IFERROR(__xludf.DUMMYFUNCTION("""COMPUTED_VALUE"""),"Female")</f>
        <v>Female</v>
      </c>
      <c r="F476" s="1">
        <f>IFERROR(__xludf.DUMMYFUNCTION("""COMPUTED_VALUE"""),53.0)</f>
        <v>53</v>
      </c>
      <c r="G476" s="1">
        <f>IFERROR(__xludf.DUMMYFUNCTION("""COMPUTED_VALUE"""),51.0)</f>
        <v>51</v>
      </c>
      <c r="H476" s="1">
        <f>IFERROR(__xludf.DUMMYFUNCTION("""COMPUTED_VALUE"""),47.0)</f>
        <v>47</v>
      </c>
      <c r="I476" s="1">
        <f>IFERROR(__xludf.DUMMYFUNCTION("""COMPUTED_VALUE"""),48.0)</f>
        <v>48</v>
      </c>
      <c r="J476" s="1">
        <f>IFERROR(__xludf.DUMMYFUNCTION("""COMPUTED_VALUE"""),75.0)</f>
        <v>75</v>
      </c>
      <c r="K476" s="1">
        <f>IFERROR(__xludf.DUMMYFUNCTION("""COMPUTED_VALUE"""),60.0)</f>
        <v>60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 t="str">
        <f>IFERROR(__xludf.DUMMYFUNCTION("""COMPUTED_VALUE"""),"A")</f>
        <v>A</v>
      </c>
      <c r="E477" s="1" t="str">
        <f>IFERROR(__xludf.DUMMYFUNCTION("""COMPUTED_VALUE"""),"Female")</f>
        <v>Female</v>
      </c>
      <c r="F477" s="1">
        <f>IFERROR(__xludf.DUMMYFUNCTION("""COMPUTED_VALUE"""),14.0)</f>
        <v>14</v>
      </c>
      <c r="G477" s="1">
        <f>IFERROR(__xludf.DUMMYFUNCTION("""COMPUTED_VALUE"""),45.0)</f>
        <v>45</v>
      </c>
      <c r="H477" s="1">
        <f>IFERROR(__xludf.DUMMYFUNCTION("""COMPUTED_VALUE"""),20.0)</f>
        <v>20</v>
      </c>
      <c r="I477" s="1">
        <f>IFERROR(__xludf.DUMMYFUNCTION("""COMPUTED_VALUE"""),79.0)</f>
        <v>79</v>
      </c>
      <c r="J477" s="1">
        <f>IFERROR(__xludf.DUMMYFUNCTION("""COMPUTED_VALUE"""),95.0)</f>
        <v>95</v>
      </c>
      <c r="K477" s="1">
        <f>IFERROR(__xludf.DUMMYFUNCTION("""COMPUTED_VALUE"""),88.0)</f>
        <v>88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 t="str">
        <f>IFERROR(__xludf.DUMMYFUNCTION("""COMPUTED_VALUE"""),"B")</f>
        <v>B</v>
      </c>
      <c r="E478" s="1" t="str">
        <f>IFERROR(__xludf.DUMMYFUNCTION("""COMPUTED_VALUE"""),"Female")</f>
        <v>Female</v>
      </c>
      <c r="F478" s="1">
        <f>IFERROR(__xludf.DUMMYFUNCTION("""COMPUTED_VALUE"""),39.0)</f>
        <v>39</v>
      </c>
      <c r="G478" s="1">
        <f>IFERROR(__xludf.DUMMYFUNCTION("""COMPUTED_VALUE"""),52.0)</f>
        <v>52</v>
      </c>
      <c r="H478" s="1">
        <f>IFERROR(__xludf.DUMMYFUNCTION("""COMPUTED_VALUE"""),69.0)</f>
        <v>69</v>
      </c>
      <c r="I478" s="1">
        <f>IFERROR(__xludf.DUMMYFUNCTION("""COMPUTED_VALUE"""),21.0)</f>
        <v>21</v>
      </c>
      <c r="J478" s="1">
        <f>IFERROR(__xludf.DUMMYFUNCTION("""COMPUTED_VALUE"""),43.0)</f>
        <v>43</v>
      </c>
      <c r="K478" s="1">
        <f>IFERROR(__xludf.DUMMYFUNCTION("""COMPUTED_VALUE"""),75.0)</f>
        <v>75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 t="str">
        <f>IFERROR(__xludf.DUMMYFUNCTION("""COMPUTED_VALUE"""),"B")</f>
        <v>B</v>
      </c>
      <c r="E479" s="1" t="str">
        <f>IFERROR(__xludf.DUMMYFUNCTION("""COMPUTED_VALUE"""),"Male")</f>
        <v>Male</v>
      </c>
      <c r="F479" s="1">
        <f>IFERROR(__xludf.DUMMYFUNCTION("""COMPUTED_VALUE"""),78.0)</f>
        <v>78</v>
      </c>
      <c r="G479" s="1">
        <f>IFERROR(__xludf.DUMMYFUNCTION("""COMPUTED_VALUE"""),93.0)</f>
        <v>93</v>
      </c>
      <c r="H479" s="1">
        <f>IFERROR(__xludf.DUMMYFUNCTION("""COMPUTED_VALUE"""),25.0)</f>
        <v>25</v>
      </c>
      <c r="I479" s="1">
        <f>IFERROR(__xludf.DUMMYFUNCTION("""COMPUTED_VALUE"""),95.0)</f>
        <v>95</v>
      </c>
      <c r="J479" s="1">
        <f>IFERROR(__xludf.DUMMYFUNCTION("""COMPUTED_VALUE"""),93.0)</f>
        <v>93</v>
      </c>
      <c r="K479" s="1">
        <f>IFERROR(__xludf.DUMMYFUNCTION("""COMPUTED_VALUE"""),79.0)</f>
        <v>79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 t="str">
        <f>IFERROR(__xludf.DUMMYFUNCTION("""COMPUTED_VALUE"""),"D")</f>
        <v>D</v>
      </c>
      <c r="E480" s="1" t="str">
        <f>IFERROR(__xludf.DUMMYFUNCTION("""COMPUTED_VALUE"""),"Female")</f>
        <v>Female</v>
      </c>
      <c r="F480" s="1">
        <f>IFERROR(__xludf.DUMMYFUNCTION("""COMPUTED_VALUE"""),14.0)</f>
        <v>14</v>
      </c>
      <c r="G480" s="1">
        <f>IFERROR(__xludf.DUMMYFUNCTION("""COMPUTED_VALUE"""),66.0)</f>
        <v>66</v>
      </c>
      <c r="H480" s="1">
        <f>IFERROR(__xludf.DUMMYFUNCTION("""COMPUTED_VALUE"""),47.0)</f>
        <v>47</v>
      </c>
      <c r="I480" s="1">
        <f>IFERROR(__xludf.DUMMYFUNCTION("""COMPUTED_VALUE"""),89.0)</f>
        <v>89</v>
      </c>
      <c r="J480" s="1">
        <f>IFERROR(__xludf.DUMMYFUNCTION("""COMPUTED_VALUE"""),34.0)</f>
        <v>34</v>
      </c>
      <c r="K480" s="1">
        <f>IFERROR(__xludf.DUMMYFUNCTION("""COMPUTED_VALUE"""),56.0)</f>
        <v>56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 t="str">
        <f>IFERROR(__xludf.DUMMYFUNCTION("""COMPUTED_VALUE"""),"A")</f>
        <v>A</v>
      </c>
      <c r="E481" s="1" t="str">
        <f>IFERROR(__xludf.DUMMYFUNCTION("""COMPUTED_VALUE"""),"Female")</f>
        <v>Female</v>
      </c>
      <c r="F481" s="1">
        <f>IFERROR(__xludf.DUMMYFUNCTION("""COMPUTED_VALUE"""),69.0)</f>
        <v>69</v>
      </c>
      <c r="G481" s="1">
        <f>IFERROR(__xludf.DUMMYFUNCTION("""COMPUTED_VALUE"""),36.0)</f>
        <v>36</v>
      </c>
      <c r="H481" s="1">
        <f>IFERROR(__xludf.DUMMYFUNCTION("""COMPUTED_VALUE"""),94.0)</f>
        <v>94</v>
      </c>
      <c r="I481" s="1">
        <f>IFERROR(__xludf.DUMMYFUNCTION("""COMPUTED_VALUE"""),98.0)</f>
        <v>98</v>
      </c>
      <c r="J481" s="1">
        <f>IFERROR(__xludf.DUMMYFUNCTION("""COMPUTED_VALUE"""),44.0)</f>
        <v>44</v>
      </c>
      <c r="K481" s="1">
        <f>IFERROR(__xludf.DUMMYFUNCTION("""COMPUTED_VALUE"""),36.0)</f>
        <v>36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 t="str">
        <f>IFERROR(__xludf.DUMMYFUNCTION("""COMPUTED_VALUE"""),"D")</f>
        <v>D</v>
      </c>
      <c r="E482" s="1" t="str">
        <f>IFERROR(__xludf.DUMMYFUNCTION("""COMPUTED_VALUE"""),"Male")</f>
        <v>Male</v>
      </c>
      <c r="F482" s="1">
        <f>IFERROR(__xludf.DUMMYFUNCTION("""COMPUTED_VALUE"""),70.0)</f>
        <v>70</v>
      </c>
      <c r="G482" s="1">
        <f>IFERROR(__xludf.DUMMYFUNCTION("""COMPUTED_VALUE"""),33.0)</f>
        <v>33</v>
      </c>
      <c r="H482" s="1">
        <f>IFERROR(__xludf.DUMMYFUNCTION("""COMPUTED_VALUE"""),20.0)</f>
        <v>20</v>
      </c>
      <c r="I482" s="1">
        <f>IFERROR(__xludf.DUMMYFUNCTION("""COMPUTED_VALUE"""),24.0)</f>
        <v>24</v>
      </c>
      <c r="J482" s="1">
        <f>IFERROR(__xludf.DUMMYFUNCTION("""COMPUTED_VALUE"""),95.0)</f>
        <v>95</v>
      </c>
      <c r="K482" s="1">
        <f>IFERROR(__xludf.DUMMYFUNCTION("""COMPUTED_VALUE"""),91.0)</f>
        <v>91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 t="str">
        <f>IFERROR(__xludf.DUMMYFUNCTION("""COMPUTED_VALUE"""),"D")</f>
        <v>D</v>
      </c>
      <c r="E483" s="1" t="str">
        <f>IFERROR(__xludf.DUMMYFUNCTION("""COMPUTED_VALUE"""),"Female")</f>
        <v>Female</v>
      </c>
      <c r="F483" s="1">
        <f>IFERROR(__xludf.DUMMYFUNCTION("""COMPUTED_VALUE"""),35.0)</f>
        <v>35</v>
      </c>
      <c r="G483" s="1">
        <f>IFERROR(__xludf.DUMMYFUNCTION("""COMPUTED_VALUE"""),22.0)</f>
        <v>22</v>
      </c>
      <c r="H483" s="1">
        <f>IFERROR(__xludf.DUMMYFUNCTION("""COMPUTED_VALUE"""),84.0)</f>
        <v>84</v>
      </c>
      <c r="I483" s="1">
        <f>IFERROR(__xludf.DUMMYFUNCTION("""COMPUTED_VALUE"""),82.0)</f>
        <v>82</v>
      </c>
      <c r="J483" s="1">
        <f>IFERROR(__xludf.DUMMYFUNCTION("""COMPUTED_VALUE"""),77.0)</f>
        <v>77</v>
      </c>
      <c r="K483" s="1">
        <f>IFERROR(__xludf.DUMMYFUNCTION("""COMPUTED_VALUE"""),31.0)</f>
        <v>31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 t="str">
        <f>IFERROR(__xludf.DUMMYFUNCTION("""COMPUTED_VALUE"""),"A")</f>
        <v>A</v>
      </c>
      <c r="E484" s="1" t="str">
        <f>IFERROR(__xludf.DUMMYFUNCTION("""COMPUTED_VALUE"""),"Female")</f>
        <v>Female</v>
      </c>
      <c r="F484" s="1">
        <f>IFERROR(__xludf.DUMMYFUNCTION("""COMPUTED_VALUE"""),87.0)</f>
        <v>87</v>
      </c>
      <c r="G484" s="1">
        <f>IFERROR(__xludf.DUMMYFUNCTION("""COMPUTED_VALUE"""),46.0)</f>
        <v>46</v>
      </c>
      <c r="H484" s="1">
        <f>IFERROR(__xludf.DUMMYFUNCTION("""COMPUTED_VALUE"""),57.0)</f>
        <v>57</v>
      </c>
      <c r="I484" s="1">
        <f>IFERROR(__xludf.DUMMYFUNCTION("""COMPUTED_VALUE"""),53.0)</f>
        <v>53</v>
      </c>
      <c r="J484" s="1">
        <f>IFERROR(__xludf.DUMMYFUNCTION("""COMPUTED_VALUE"""),42.0)</f>
        <v>42</v>
      </c>
      <c r="K484" s="1">
        <f>IFERROR(__xludf.DUMMYFUNCTION("""COMPUTED_VALUE"""),40.0)</f>
        <v>40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 t="str">
        <f>IFERROR(__xludf.DUMMYFUNCTION("""COMPUTED_VALUE"""),"A")</f>
        <v>A</v>
      </c>
      <c r="E485" s="1" t="str">
        <f>IFERROR(__xludf.DUMMYFUNCTION("""COMPUTED_VALUE"""),"Male")</f>
        <v>Male</v>
      </c>
      <c r="F485" s="1">
        <f>IFERROR(__xludf.DUMMYFUNCTION("""COMPUTED_VALUE"""),76.0)</f>
        <v>76</v>
      </c>
      <c r="G485" s="1">
        <f>IFERROR(__xludf.DUMMYFUNCTION("""COMPUTED_VALUE"""),68.0)</f>
        <v>68</v>
      </c>
      <c r="H485" s="1">
        <f>IFERROR(__xludf.DUMMYFUNCTION("""COMPUTED_VALUE"""),26.0)</f>
        <v>26</v>
      </c>
      <c r="I485" s="1">
        <f>IFERROR(__xludf.DUMMYFUNCTION("""COMPUTED_VALUE"""),37.0)</f>
        <v>37</v>
      </c>
      <c r="J485" s="1">
        <f>IFERROR(__xludf.DUMMYFUNCTION("""COMPUTED_VALUE"""),57.0)</f>
        <v>57</v>
      </c>
      <c r="K485" s="1">
        <f>IFERROR(__xludf.DUMMYFUNCTION("""COMPUTED_VALUE"""),65.0)</f>
        <v>65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 t="str">
        <f>IFERROR(__xludf.DUMMYFUNCTION("""COMPUTED_VALUE"""),"A")</f>
        <v>A</v>
      </c>
      <c r="E486" s="1" t="str">
        <f>IFERROR(__xludf.DUMMYFUNCTION("""COMPUTED_VALUE"""),"Male")</f>
        <v>Male</v>
      </c>
      <c r="F486" s="1">
        <f>IFERROR(__xludf.DUMMYFUNCTION("""COMPUTED_VALUE"""),95.0)</f>
        <v>95</v>
      </c>
      <c r="G486" s="1">
        <f>IFERROR(__xludf.DUMMYFUNCTION("""COMPUTED_VALUE"""),45.0)</f>
        <v>45</v>
      </c>
      <c r="H486" s="1">
        <f>IFERROR(__xludf.DUMMYFUNCTION("""COMPUTED_VALUE"""),84.0)</f>
        <v>84</v>
      </c>
      <c r="I486" s="1">
        <f>IFERROR(__xludf.DUMMYFUNCTION("""COMPUTED_VALUE"""),32.0)</f>
        <v>32</v>
      </c>
      <c r="J486" s="1">
        <f>IFERROR(__xludf.DUMMYFUNCTION("""COMPUTED_VALUE"""),60.0)</f>
        <v>60</v>
      </c>
      <c r="K486" s="1">
        <f>IFERROR(__xludf.DUMMYFUNCTION("""COMPUTED_VALUE"""),57.0)</f>
        <v>57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 t="str">
        <f>IFERROR(__xludf.DUMMYFUNCTION("""COMPUTED_VALUE"""),"C")</f>
        <v>C</v>
      </c>
      <c r="E487" s="1" t="str">
        <f>IFERROR(__xludf.DUMMYFUNCTION("""COMPUTED_VALUE"""),"Female")</f>
        <v>Female</v>
      </c>
      <c r="F487" s="1">
        <f>IFERROR(__xludf.DUMMYFUNCTION("""COMPUTED_VALUE"""),63.0)</f>
        <v>63</v>
      </c>
      <c r="G487" s="1">
        <f>IFERROR(__xludf.DUMMYFUNCTION("""COMPUTED_VALUE"""),22.0)</f>
        <v>22</v>
      </c>
      <c r="H487" s="1">
        <f>IFERROR(__xludf.DUMMYFUNCTION("""COMPUTED_VALUE"""),88.0)</f>
        <v>88</v>
      </c>
      <c r="I487" s="1">
        <f>IFERROR(__xludf.DUMMYFUNCTION("""COMPUTED_VALUE"""),49.0)</f>
        <v>49</v>
      </c>
      <c r="J487" s="1">
        <f>IFERROR(__xludf.DUMMYFUNCTION("""COMPUTED_VALUE"""),82.0)</f>
        <v>82</v>
      </c>
      <c r="K487" s="1">
        <f>IFERROR(__xludf.DUMMYFUNCTION("""COMPUTED_VALUE"""),77.0)</f>
        <v>77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 t="str">
        <f>IFERROR(__xludf.DUMMYFUNCTION("""COMPUTED_VALUE"""),"B")</f>
        <v>B</v>
      </c>
      <c r="E488" s="1" t="str">
        <f>IFERROR(__xludf.DUMMYFUNCTION("""COMPUTED_VALUE"""),"Male")</f>
        <v>Male</v>
      </c>
      <c r="F488" s="1">
        <f>IFERROR(__xludf.DUMMYFUNCTION("""COMPUTED_VALUE"""),44.0)</f>
        <v>44</v>
      </c>
      <c r="G488" s="1">
        <f>IFERROR(__xludf.DUMMYFUNCTION("""COMPUTED_VALUE"""),90.0)</f>
        <v>90</v>
      </c>
      <c r="H488" s="1">
        <f>IFERROR(__xludf.DUMMYFUNCTION("""COMPUTED_VALUE"""),23.0)</f>
        <v>23</v>
      </c>
      <c r="I488" s="1">
        <f>IFERROR(__xludf.DUMMYFUNCTION("""COMPUTED_VALUE"""),91.0)</f>
        <v>91</v>
      </c>
      <c r="J488" s="1">
        <f>IFERROR(__xludf.DUMMYFUNCTION("""COMPUTED_VALUE"""),40.0)</f>
        <v>40</v>
      </c>
      <c r="K488" s="1">
        <f>IFERROR(__xludf.DUMMYFUNCTION("""COMPUTED_VALUE"""),86.0)</f>
        <v>86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 t="str">
        <f>IFERROR(__xludf.DUMMYFUNCTION("""COMPUTED_VALUE"""),"C")</f>
        <v>C</v>
      </c>
      <c r="E489" s="1" t="str">
        <f>IFERROR(__xludf.DUMMYFUNCTION("""COMPUTED_VALUE"""),"Female")</f>
        <v>Female</v>
      </c>
      <c r="F489" s="1">
        <f>IFERROR(__xludf.DUMMYFUNCTION("""COMPUTED_VALUE"""),64.0)</f>
        <v>64</v>
      </c>
      <c r="G489" s="1">
        <f>IFERROR(__xludf.DUMMYFUNCTION("""COMPUTED_VALUE"""),52.0)</f>
        <v>52</v>
      </c>
      <c r="H489" s="1">
        <f>IFERROR(__xludf.DUMMYFUNCTION("""COMPUTED_VALUE"""),47.0)</f>
        <v>47</v>
      </c>
      <c r="I489" s="1">
        <f>IFERROR(__xludf.DUMMYFUNCTION("""COMPUTED_VALUE"""),99.0)</f>
        <v>99</v>
      </c>
      <c r="J489" s="1">
        <f>IFERROR(__xludf.DUMMYFUNCTION("""COMPUTED_VALUE"""),59.0)</f>
        <v>59</v>
      </c>
      <c r="K489" s="1">
        <f>IFERROR(__xludf.DUMMYFUNCTION("""COMPUTED_VALUE"""),70.0)</f>
        <v>70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 t="str">
        <f>IFERROR(__xludf.DUMMYFUNCTION("""COMPUTED_VALUE"""),"B")</f>
        <v>B</v>
      </c>
      <c r="E490" s="1" t="str">
        <f>IFERROR(__xludf.DUMMYFUNCTION("""COMPUTED_VALUE"""),"Male")</f>
        <v>Male</v>
      </c>
      <c r="F490" s="1">
        <f>IFERROR(__xludf.DUMMYFUNCTION("""COMPUTED_VALUE"""),47.0)</f>
        <v>47</v>
      </c>
      <c r="G490" s="1">
        <f>IFERROR(__xludf.DUMMYFUNCTION("""COMPUTED_VALUE"""),58.0)</f>
        <v>58</v>
      </c>
      <c r="H490" s="1">
        <f>IFERROR(__xludf.DUMMYFUNCTION("""COMPUTED_VALUE"""),34.0)</f>
        <v>34</v>
      </c>
      <c r="I490" s="1">
        <f>IFERROR(__xludf.DUMMYFUNCTION("""COMPUTED_VALUE"""),37.0)</f>
        <v>37</v>
      </c>
      <c r="J490" s="1">
        <f>IFERROR(__xludf.DUMMYFUNCTION("""COMPUTED_VALUE"""),41.0)</f>
        <v>41</v>
      </c>
      <c r="K490" s="1">
        <f>IFERROR(__xludf.DUMMYFUNCTION("""COMPUTED_VALUE"""),26.0)</f>
        <v>26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 t="str">
        <f>IFERROR(__xludf.DUMMYFUNCTION("""COMPUTED_VALUE"""),"C")</f>
        <v>C</v>
      </c>
      <c r="E491" s="1" t="str">
        <f>IFERROR(__xludf.DUMMYFUNCTION("""COMPUTED_VALUE"""),"Female")</f>
        <v>Female</v>
      </c>
      <c r="F491" s="1">
        <f>IFERROR(__xludf.DUMMYFUNCTION("""COMPUTED_VALUE"""),82.0)</f>
        <v>82</v>
      </c>
      <c r="G491" s="1">
        <f>IFERROR(__xludf.DUMMYFUNCTION("""COMPUTED_VALUE"""),86.0)</f>
        <v>86</v>
      </c>
      <c r="H491" s="1">
        <f>IFERROR(__xludf.DUMMYFUNCTION("""COMPUTED_VALUE"""),46.0)</f>
        <v>46</v>
      </c>
      <c r="I491" s="1">
        <f>IFERROR(__xludf.DUMMYFUNCTION("""COMPUTED_VALUE"""),68.0)</f>
        <v>68</v>
      </c>
      <c r="J491" s="1">
        <f>IFERROR(__xludf.DUMMYFUNCTION("""COMPUTED_VALUE"""),56.0)</f>
        <v>56</v>
      </c>
      <c r="K491" s="1">
        <f>IFERROR(__xludf.DUMMYFUNCTION("""COMPUTED_VALUE"""),24.0)</f>
        <v>24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 t="str">
        <f>IFERROR(__xludf.DUMMYFUNCTION("""COMPUTED_VALUE"""),"A")</f>
        <v>A</v>
      </c>
      <c r="E492" s="1" t="str">
        <f>IFERROR(__xludf.DUMMYFUNCTION("""COMPUTED_VALUE"""),"Male")</f>
        <v>Male</v>
      </c>
      <c r="F492" s="1">
        <f>IFERROR(__xludf.DUMMYFUNCTION("""COMPUTED_VALUE"""),70.0)</f>
        <v>70</v>
      </c>
      <c r="G492" s="1">
        <f>IFERROR(__xludf.DUMMYFUNCTION("""COMPUTED_VALUE"""),32.0)</f>
        <v>32</v>
      </c>
      <c r="H492" s="1">
        <f>IFERROR(__xludf.DUMMYFUNCTION("""COMPUTED_VALUE"""),30.0)</f>
        <v>30</v>
      </c>
      <c r="I492" s="1">
        <f>IFERROR(__xludf.DUMMYFUNCTION("""COMPUTED_VALUE"""),55.0)</f>
        <v>55</v>
      </c>
      <c r="J492" s="1">
        <f>IFERROR(__xludf.DUMMYFUNCTION("""COMPUTED_VALUE"""),78.0)</f>
        <v>78</v>
      </c>
      <c r="K492" s="1">
        <f>IFERROR(__xludf.DUMMYFUNCTION("""COMPUTED_VALUE"""),35.0)</f>
        <v>35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 t="str">
        <f>IFERROR(__xludf.DUMMYFUNCTION("""COMPUTED_VALUE"""),"C")</f>
        <v>C</v>
      </c>
      <c r="E493" s="1" t="str">
        <f>IFERROR(__xludf.DUMMYFUNCTION("""COMPUTED_VALUE"""),"Male")</f>
        <v>Male</v>
      </c>
      <c r="F493" s="1">
        <f>IFERROR(__xludf.DUMMYFUNCTION("""COMPUTED_VALUE"""),26.0)</f>
        <v>26</v>
      </c>
      <c r="G493" s="1">
        <f>IFERROR(__xludf.DUMMYFUNCTION("""COMPUTED_VALUE"""),60.0)</f>
        <v>60</v>
      </c>
      <c r="H493" s="1">
        <f>IFERROR(__xludf.DUMMYFUNCTION("""COMPUTED_VALUE"""),78.0)</f>
        <v>78</v>
      </c>
      <c r="I493" s="1">
        <f>IFERROR(__xludf.DUMMYFUNCTION("""COMPUTED_VALUE"""),53.0)</f>
        <v>53</v>
      </c>
      <c r="J493" s="1">
        <f>IFERROR(__xludf.DUMMYFUNCTION("""COMPUTED_VALUE"""),93.0)</f>
        <v>93</v>
      </c>
      <c r="K493" s="1">
        <f>IFERROR(__xludf.DUMMYFUNCTION("""COMPUTED_VALUE"""),84.0)</f>
        <v>84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 t="str">
        <f>IFERROR(__xludf.DUMMYFUNCTION("""COMPUTED_VALUE"""),"C")</f>
        <v>C</v>
      </c>
      <c r="E494" s="1" t="str">
        <f>IFERROR(__xludf.DUMMYFUNCTION("""COMPUTED_VALUE"""),"Male")</f>
        <v>Male</v>
      </c>
      <c r="F494" s="1">
        <f>IFERROR(__xludf.DUMMYFUNCTION("""COMPUTED_VALUE"""),51.0)</f>
        <v>51</v>
      </c>
      <c r="G494" s="1">
        <f>IFERROR(__xludf.DUMMYFUNCTION("""COMPUTED_VALUE"""),82.0)</f>
        <v>82</v>
      </c>
      <c r="H494" s="1">
        <f>IFERROR(__xludf.DUMMYFUNCTION("""COMPUTED_VALUE"""),34.0)</f>
        <v>34</v>
      </c>
      <c r="I494" s="1">
        <f>IFERROR(__xludf.DUMMYFUNCTION("""COMPUTED_VALUE"""),42.0)</f>
        <v>42</v>
      </c>
      <c r="J494" s="1">
        <f>IFERROR(__xludf.DUMMYFUNCTION("""COMPUTED_VALUE"""),43.0)</f>
        <v>43</v>
      </c>
      <c r="K494" s="1">
        <f>IFERROR(__xludf.DUMMYFUNCTION("""COMPUTED_VALUE"""),81.0)</f>
        <v>81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 t="str">
        <f>IFERROR(__xludf.DUMMYFUNCTION("""COMPUTED_VALUE"""),"A")</f>
        <v>A</v>
      </c>
      <c r="E495" s="1" t="str">
        <f>IFERROR(__xludf.DUMMYFUNCTION("""COMPUTED_VALUE"""),"Male")</f>
        <v>Male</v>
      </c>
      <c r="F495" s="1">
        <f>IFERROR(__xludf.DUMMYFUNCTION("""COMPUTED_VALUE"""),18.0)</f>
        <v>18</v>
      </c>
      <c r="G495" s="1">
        <f>IFERROR(__xludf.DUMMYFUNCTION("""COMPUTED_VALUE"""),22.0)</f>
        <v>22</v>
      </c>
      <c r="H495" s="1">
        <f>IFERROR(__xludf.DUMMYFUNCTION("""COMPUTED_VALUE"""),44.0)</f>
        <v>44</v>
      </c>
      <c r="I495" s="1">
        <f>IFERROR(__xludf.DUMMYFUNCTION("""COMPUTED_VALUE"""),34.0)</f>
        <v>34</v>
      </c>
      <c r="J495" s="1">
        <f>IFERROR(__xludf.DUMMYFUNCTION("""COMPUTED_VALUE"""),21.0)</f>
        <v>21</v>
      </c>
      <c r="K495" s="1">
        <f>IFERROR(__xludf.DUMMYFUNCTION("""COMPUTED_VALUE"""),73.0)</f>
        <v>73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 t="str">
        <f>IFERROR(__xludf.DUMMYFUNCTION("""COMPUTED_VALUE"""),"C")</f>
        <v>C</v>
      </c>
      <c r="E496" s="1" t="str">
        <f>IFERROR(__xludf.DUMMYFUNCTION("""COMPUTED_VALUE"""),"Female")</f>
        <v>Female</v>
      </c>
      <c r="F496" s="1">
        <f>IFERROR(__xludf.DUMMYFUNCTION("""COMPUTED_VALUE"""),69.0)</f>
        <v>69</v>
      </c>
      <c r="G496" s="1">
        <f>IFERROR(__xludf.DUMMYFUNCTION("""COMPUTED_VALUE"""),50.0)</f>
        <v>50</v>
      </c>
      <c r="H496" s="1">
        <f>IFERROR(__xludf.DUMMYFUNCTION("""COMPUTED_VALUE"""),76.0)</f>
        <v>76</v>
      </c>
      <c r="I496" s="1">
        <f>IFERROR(__xludf.DUMMYFUNCTION("""COMPUTED_VALUE"""),25.0)</f>
        <v>25</v>
      </c>
      <c r="J496" s="1">
        <f>IFERROR(__xludf.DUMMYFUNCTION("""COMPUTED_VALUE"""),69.0)</f>
        <v>69</v>
      </c>
      <c r="K496" s="1">
        <f>IFERROR(__xludf.DUMMYFUNCTION("""COMPUTED_VALUE"""),74.0)</f>
        <v>74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 t="str">
        <f>IFERROR(__xludf.DUMMYFUNCTION("""COMPUTED_VALUE"""),"D")</f>
        <v>D</v>
      </c>
      <c r="E497" s="1" t="str">
        <f>IFERROR(__xludf.DUMMYFUNCTION("""COMPUTED_VALUE"""),"Female")</f>
        <v>Female</v>
      </c>
      <c r="F497" s="1">
        <f>IFERROR(__xludf.DUMMYFUNCTION("""COMPUTED_VALUE"""),24.0)</f>
        <v>24</v>
      </c>
      <c r="G497" s="1">
        <f>IFERROR(__xludf.DUMMYFUNCTION("""COMPUTED_VALUE"""),61.0)</f>
        <v>61</v>
      </c>
      <c r="H497" s="1">
        <f>IFERROR(__xludf.DUMMYFUNCTION("""COMPUTED_VALUE"""),78.0)</f>
        <v>78</v>
      </c>
      <c r="I497" s="1">
        <f>IFERROR(__xludf.DUMMYFUNCTION("""COMPUTED_VALUE"""),26.0)</f>
        <v>26</v>
      </c>
      <c r="J497" s="1">
        <f>IFERROR(__xludf.DUMMYFUNCTION("""COMPUTED_VALUE"""),21.0)</f>
        <v>21</v>
      </c>
      <c r="K497" s="1">
        <f>IFERROR(__xludf.DUMMYFUNCTION("""COMPUTED_VALUE"""),74.0)</f>
        <v>74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 t="str">
        <f>IFERROR(__xludf.DUMMYFUNCTION("""COMPUTED_VALUE"""),"A")</f>
        <v>A</v>
      </c>
      <c r="E498" s="1" t="str">
        <f>IFERROR(__xludf.DUMMYFUNCTION("""COMPUTED_VALUE"""),"Female")</f>
        <v>Female</v>
      </c>
      <c r="F498" s="1">
        <f>IFERROR(__xludf.DUMMYFUNCTION("""COMPUTED_VALUE"""),23.0)</f>
        <v>23</v>
      </c>
      <c r="G498" s="1">
        <f>IFERROR(__xludf.DUMMYFUNCTION("""COMPUTED_VALUE"""),23.0)</f>
        <v>23</v>
      </c>
      <c r="H498" s="1">
        <f>IFERROR(__xludf.DUMMYFUNCTION("""COMPUTED_VALUE"""),39.0)</f>
        <v>39</v>
      </c>
      <c r="I498" s="1">
        <f>IFERROR(__xludf.DUMMYFUNCTION("""COMPUTED_VALUE"""),50.0)</f>
        <v>50</v>
      </c>
      <c r="J498" s="1">
        <f>IFERROR(__xludf.DUMMYFUNCTION("""COMPUTED_VALUE"""),99.0)</f>
        <v>99</v>
      </c>
      <c r="K498" s="1">
        <f>IFERROR(__xludf.DUMMYFUNCTION("""COMPUTED_VALUE"""),39.0)</f>
        <v>39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 t="str">
        <f>IFERROR(__xludf.DUMMYFUNCTION("""COMPUTED_VALUE"""),"C")</f>
        <v>C</v>
      </c>
      <c r="E499" s="1" t="str">
        <f>IFERROR(__xludf.DUMMYFUNCTION("""COMPUTED_VALUE"""),"Male")</f>
        <v>Male</v>
      </c>
      <c r="F499" s="1">
        <f>IFERROR(__xludf.DUMMYFUNCTION("""COMPUTED_VALUE"""),88.0)</f>
        <v>88</v>
      </c>
      <c r="G499" s="1">
        <f>IFERROR(__xludf.DUMMYFUNCTION("""COMPUTED_VALUE"""),78.0)</f>
        <v>78</v>
      </c>
      <c r="H499" s="1">
        <f>IFERROR(__xludf.DUMMYFUNCTION("""COMPUTED_VALUE"""),40.0)</f>
        <v>40</v>
      </c>
      <c r="I499" s="1">
        <f>IFERROR(__xludf.DUMMYFUNCTION("""COMPUTED_VALUE"""),79.0)</f>
        <v>79</v>
      </c>
      <c r="J499" s="1">
        <f>IFERROR(__xludf.DUMMYFUNCTION("""COMPUTED_VALUE"""),50.0)</f>
        <v>50</v>
      </c>
      <c r="K499" s="1">
        <f>IFERROR(__xludf.DUMMYFUNCTION("""COMPUTED_VALUE"""),75.0)</f>
        <v>75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 t="str">
        <f>IFERROR(__xludf.DUMMYFUNCTION("""COMPUTED_VALUE"""),"C")</f>
        <v>C</v>
      </c>
      <c r="E500" s="1" t="str">
        <f>IFERROR(__xludf.DUMMYFUNCTION("""COMPUTED_VALUE"""),"Male")</f>
        <v>Male</v>
      </c>
      <c r="F500" s="1">
        <f>IFERROR(__xludf.DUMMYFUNCTION("""COMPUTED_VALUE"""),11.0)</f>
        <v>11</v>
      </c>
      <c r="G500" s="1">
        <f>IFERROR(__xludf.DUMMYFUNCTION("""COMPUTED_VALUE"""),54.0)</f>
        <v>54</v>
      </c>
      <c r="H500" s="1">
        <f>IFERROR(__xludf.DUMMYFUNCTION("""COMPUTED_VALUE"""),76.0)</f>
        <v>76</v>
      </c>
      <c r="I500" s="1">
        <f>IFERROR(__xludf.DUMMYFUNCTION("""COMPUTED_VALUE"""),46.0)</f>
        <v>46</v>
      </c>
      <c r="J500" s="1">
        <f>IFERROR(__xludf.DUMMYFUNCTION("""COMPUTED_VALUE"""),83.0)</f>
        <v>83</v>
      </c>
      <c r="K500" s="1">
        <f>IFERROR(__xludf.DUMMYFUNCTION("""COMPUTED_VALUE"""),84.0)</f>
        <v>84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 t="str">
        <f>IFERROR(__xludf.DUMMYFUNCTION("""COMPUTED_VALUE"""),"C")</f>
        <v>C</v>
      </c>
      <c r="E501" s="1" t="str">
        <f>IFERROR(__xludf.DUMMYFUNCTION("""COMPUTED_VALUE"""),"Female")</f>
        <v>Female</v>
      </c>
      <c r="F501" s="1">
        <f>IFERROR(__xludf.DUMMYFUNCTION("""COMPUTED_VALUE"""),37.0)</f>
        <v>37</v>
      </c>
      <c r="G501" s="1">
        <f>IFERROR(__xludf.DUMMYFUNCTION("""COMPUTED_VALUE"""),90.0)</f>
        <v>90</v>
      </c>
      <c r="H501" s="1">
        <f>IFERROR(__xludf.DUMMYFUNCTION("""COMPUTED_VALUE"""),73.0)</f>
        <v>73</v>
      </c>
      <c r="I501" s="1">
        <f>IFERROR(__xludf.DUMMYFUNCTION("""COMPUTED_VALUE"""),24.0)</f>
        <v>24</v>
      </c>
      <c r="J501" s="1">
        <f>IFERROR(__xludf.DUMMYFUNCTION("""COMPUTED_VALUE"""),23.0)</f>
        <v>23</v>
      </c>
      <c r="K501" s="1">
        <f>IFERROR(__xludf.DUMMYFUNCTION("""COMPUTED_VALUE"""),79.0)</f>
        <v>79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 t="str">
        <f>IFERROR(__xludf.DUMMYFUNCTION("""COMPUTED_VALUE"""),"B")</f>
        <v>B</v>
      </c>
      <c r="E502" s="1" t="str">
        <f>IFERROR(__xludf.DUMMYFUNCTION("""COMPUTED_VALUE"""),"Male")</f>
        <v>Male</v>
      </c>
      <c r="F502" s="1">
        <f>IFERROR(__xludf.DUMMYFUNCTION("""COMPUTED_VALUE"""),95.0)</f>
        <v>95</v>
      </c>
      <c r="G502" s="1">
        <f>IFERROR(__xludf.DUMMYFUNCTION("""COMPUTED_VALUE"""),20.0)</f>
        <v>20</v>
      </c>
      <c r="H502" s="1">
        <f>IFERROR(__xludf.DUMMYFUNCTION("""COMPUTED_VALUE"""),50.0)</f>
        <v>50</v>
      </c>
      <c r="I502" s="1">
        <f>IFERROR(__xludf.DUMMYFUNCTION("""COMPUTED_VALUE"""),69.0)</f>
        <v>69</v>
      </c>
      <c r="J502" s="1">
        <f>IFERROR(__xludf.DUMMYFUNCTION("""COMPUTED_VALUE"""),88.0)</f>
        <v>88</v>
      </c>
      <c r="K502" s="1">
        <f>IFERROR(__xludf.DUMMYFUNCTION("""COMPUTED_VALUE"""),65.0)</f>
        <v>65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 t="str">
        <f>IFERROR(__xludf.DUMMYFUNCTION("""COMPUTED_VALUE"""),"B")</f>
        <v>B</v>
      </c>
      <c r="E503" s="1" t="str">
        <f>IFERROR(__xludf.DUMMYFUNCTION("""COMPUTED_VALUE"""),"Male")</f>
        <v>Male</v>
      </c>
      <c r="F503" s="1">
        <f>IFERROR(__xludf.DUMMYFUNCTION("""COMPUTED_VALUE"""),46.0)</f>
        <v>46</v>
      </c>
      <c r="G503" s="1">
        <f>IFERROR(__xludf.DUMMYFUNCTION("""COMPUTED_VALUE"""),54.0)</f>
        <v>54</v>
      </c>
      <c r="H503" s="1">
        <f>IFERROR(__xludf.DUMMYFUNCTION("""COMPUTED_VALUE"""),47.0)</f>
        <v>47</v>
      </c>
      <c r="I503" s="1">
        <f>IFERROR(__xludf.DUMMYFUNCTION("""COMPUTED_VALUE"""),61.0)</f>
        <v>61</v>
      </c>
      <c r="J503" s="1">
        <f>IFERROR(__xludf.DUMMYFUNCTION("""COMPUTED_VALUE"""),89.0)</f>
        <v>89</v>
      </c>
      <c r="K503" s="1">
        <f>IFERROR(__xludf.DUMMYFUNCTION("""COMPUTED_VALUE"""),24.0)</f>
        <v>24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 t="str">
        <f>IFERROR(__xludf.DUMMYFUNCTION("""COMPUTED_VALUE"""),"C")</f>
        <v>C</v>
      </c>
      <c r="E504" s="1" t="str">
        <f>IFERROR(__xludf.DUMMYFUNCTION("""COMPUTED_VALUE"""),"Female")</f>
        <v>Female</v>
      </c>
      <c r="F504" s="1">
        <f>IFERROR(__xludf.DUMMYFUNCTION("""COMPUTED_VALUE"""),56.0)</f>
        <v>56</v>
      </c>
      <c r="G504" s="1">
        <f>IFERROR(__xludf.DUMMYFUNCTION("""COMPUTED_VALUE"""),99.0)</f>
        <v>99</v>
      </c>
      <c r="H504" s="1">
        <f>IFERROR(__xludf.DUMMYFUNCTION("""COMPUTED_VALUE"""),50.0)</f>
        <v>50</v>
      </c>
      <c r="I504" s="1">
        <f>IFERROR(__xludf.DUMMYFUNCTION("""COMPUTED_VALUE"""),36.0)</f>
        <v>36</v>
      </c>
      <c r="J504" s="1">
        <f>IFERROR(__xludf.DUMMYFUNCTION("""COMPUTED_VALUE"""),99.0)</f>
        <v>99</v>
      </c>
      <c r="K504" s="1">
        <f>IFERROR(__xludf.DUMMYFUNCTION("""COMPUTED_VALUE"""),60.0)</f>
        <v>60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 t="str">
        <f>IFERROR(__xludf.DUMMYFUNCTION("""COMPUTED_VALUE"""),"D")</f>
        <v>D</v>
      </c>
      <c r="E505" s="1" t="str">
        <f>IFERROR(__xludf.DUMMYFUNCTION("""COMPUTED_VALUE"""),"Female")</f>
        <v>Female</v>
      </c>
      <c r="F505" s="1">
        <f>IFERROR(__xludf.DUMMYFUNCTION("""COMPUTED_VALUE"""),77.0)</f>
        <v>77</v>
      </c>
      <c r="G505" s="1">
        <f>IFERROR(__xludf.DUMMYFUNCTION("""COMPUTED_VALUE"""),96.0)</f>
        <v>96</v>
      </c>
      <c r="H505" s="1">
        <f>IFERROR(__xludf.DUMMYFUNCTION("""COMPUTED_VALUE"""),86.0)</f>
        <v>86</v>
      </c>
      <c r="I505" s="1">
        <f>IFERROR(__xludf.DUMMYFUNCTION("""COMPUTED_VALUE"""),53.0)</f>
        <v>53</v>
      </c>
      <c r="J505" s="1">
        <f>IFERROR(__xludf.DUMMYFUNCTION("""COMPUTED_VALUE"""),74.0)</f>
        <v>74</v>
      </c>
      <c r="K505" s="1">
        <f>IFERROR(__xludf.DUMMYFUNCTION("""COMPUTED_VALUE"""),62.0)</f>
        <v>62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 t="str">
        <f>IFERROR(__xludf.DUMMYFUNCTION("""COMPUTED_VALUE"""),"C")</f>
        <v>C</v>
      </c>
      <c r="E506" s="1" t="str">
        <f>IFERROR(__xludf.DUMMYFUNCTION("""COMPUTED_VALUE"""),"Female")</f>
        <v>Female</v>
      </c>
      <c r="F506" s="1">
        <f>IFERROR(__xludf.DUMMYFUNCTION("""COMPUTED_VALUE"""),77.0)</f>
        <v>77</v>
      </c>
      <c r="G506" s="1">
        <f>IFERROR(__xludf.DUMMYFUNCTION("""COMPUTED_VALUE"""),63.0)</f>
        <v>63</v>
      </c>
      <c r="H506" s="1">
        <f>IFERROR(__xludf.DUMMYFUNCTION("""COMPUTED_VALUE"""),41.0)</f>
        <v>41</v>
      </c>
      <c r="I506" s="1">
        <f>IFERROR(__xludf.DUMMYFUNCTION("""COMPUTED_VALUE"""),32.0)</f>
        <v>32</v>
      </c>
      <c r="J506" s="1">
        <f>IFERROR(__xludf.DUMMYFUNCTION("""COMPUTED_VALUE"""),54.0)</f>
        <v>54</v>
      </c>
      <c r="K506" s="1">
        <f>IFERROR(__xludf.DUMMYFUNCTION("""COMPUTED_VALUE"""),88.0)</f>
        <v>88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 t="str">
        <f>IFERROR(__xludf.DUMMYFUNCTION("""COMPUTED_VALUE"""),"D")</f>
        <v>D</v>
      </c>
      <c r="E507" s="1" t="str">
        <f>IFERROR(__xludf.DUMMYFUNCTION("""COMPUTED_VALUE"""),"Female")</f>
        <v>Female</v>
      </c>
      <c r="F507" s="1">
        <f>IFERROR(__xludf.DUMMYFUNCTION("""COMPUTED_VALUE"""),67.0)</f>
        <v>67</v>
      </c>
      <c r="G507" s="1">
        <f>IFERROR(__xludf.DUMMYFUNCTION("""COMPUTED_VALUE"""),87.0)</f>
        <v>87</v>
      </c>
      <c r="H507" s="1">
        <f>IFERROR(__xludf.DUMMYFUNCTION("""COMPUTED_VALUE"""),62.0)</f>
        <v>62</v>
      </c>
      <c r="I507" s="1">
        <f>IFERROR(__xludf.DUMMYFUNCTION("""COMPUTED_VALUE"""),67.0)</f>
        <v>67</v>
      </c>
      <c r="J507" s="1">
        <f>IFERROR(__xludf.DUMMYFUNCTION("""COMPUTED_VALUE"""),74.0)</f>
        <v>74</v>
      </c>
      <c r="K507" s="1">
        <f>IFERROR(__xludf.DUMMYFUNCTION("""COMPUTED_VALUE"""),77.0)</f>
        <v>77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 t="str">
        <f>IFERROR(__xludf.DUMMYFUNCTION("""COMPUTED_VALUE"""),"A")</f>
        <v>A</v>
      </c>
      <c r="E508" s="1" t="str">
        <f>IFERROR(__xludf.DUMMYFUNCTION("""COMPUTED_VALUE"""),"Male")</f>
        <v>Male</v>
      </c>
      <c r="F508" s="1">
        <f>IFERROR(__xludf.DUMMYFUNCTION("""COMPUTED_VALUE"""),15.0)</f>
        <v>15</v>
      </c>
      <c r="G508" s="1">
        <f>IFERROR(__xludf.DUMMYFUNCTION("""COMPUTED_VALUE"""),79.0)</f>
        <v>79</v>
      </c>
      <c r="H508" s="1">
        <f>IFERROR(__xludf.DUMMYFUNCTION("""COMPUTED_VALUE"""),89.0)</f>
        <v>89</v>
      </c>
      <c r="I508" s="1">
        <f>IFERROR(__xludf.DUMMYFUNCTION("""COMPUTED_VALUE"""),28.0)</f>
        <v>28</v>
      </c>
      <c r="J508" s="1">
        <f>IFERROR(__xludf.DUMMYFUNCTION("""COMPUTED_VALUE"""),45.0)</f>
        <v>45</v>
      </c>
      <c r="K508" s="1">
        <f>IFERROR(__xludf.DUMMYFUNCTION("""COMPUTED_VALUE"""),68.0)</f>
        <v>68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 t="str">
        <f>IFERROR(__xludf.DUMMYFUNCTION("""COMPUTED_VALUE"""),"D")</f>
        <v>D</v>
      </c>
      <c r="E509" s="1" t="str">
        <f>IFERROR(__xludf.DUMMYFUNCTION("""COMPUTED_VALUE"""),"Male")</f>
        <v>Male</v>
      </c>
      <c r="F509" s="1">
        <f>IFERROR(__xludf.DUMMYFUNCTION("""COMPUTED_VALUE"""),12.0)</f>
        <v>12</v>
      </c>
      <c r="G509" s="1">
        <f>IFERROR(__xludf.DUMMYFUNCTION("""COMPUTED_VALUE"""),72.0)</f>
        <v>72</v>
      </c>
      <c r="H509" s="1">
        <f>IFERROR(__xludf.DUMMYFUNCTION("""COMPUTED_VALUE"""),42.0)</f>
        <v>42</v>
      </c>
      <c r="I509" s="1">
        <f>IFERROR(__xludf.DUMMYFUNCTION("""COMPUTED_VALUE"""),77.0)</f>
        <v>77</v>
      </c>
      <c r="J509" s="1">
        <f>IFERROR(__xludf.DUMMYFUNCTION("""COMPUTED_VALUE"""),96.0)</f>
        <v>96</v>
      </c>
      <c r="K509" s="1">
        <f>IFERROR(__xludf.DUMMYFUNCTION("""COMPUTED_VALUE"""),54.0)</f>
        <v>54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 t="str">
        <f>IFERROR(__xludf.DUMMYFUNCTION("""COMPUTED_VALUE"""),"C")</f>
        <v>C</v>
      </c>
      <c r="E510" s="1" t="str">
        <f>IFERROR(__xludf.DUMMYFUNCTION("""COMPUTED_VALUE"""),"Female")</f>
        <v>Female</v>
      </c>
      <c r="F510" s="1">
        <f>IFERROR(__xludf.DUMMYFUNCTION("""COMPUTED_VALUE"""),74.0)</f>
        <v>74</v>
      </c>
      <c r="G510" s="1">
        <f>IFERROR(__xludf.DUMMYFUNCTION("""COMPUTED_VALUE"""),21.0)</f>
        <v>21</v>
      </c>
      <c r="H510" s="1">
        <f>IFERROR(__xludf.DUMMYFUNCTION("""COMPUTED_VALUE"""),57.0)</f>
        <v>57</v>
      </c>
      <c r="I510" s="1">
        <f>IFERROR(__xludf.DUMMYFUNCTION("""COMPUTED_VALUE"""),77.0)</f>
        <v>77</v>
      </c>
      <c r="J510" s="1">
        <f>IFERROR(__xludf.DUMMYFUNCTION("""COMPUTED_VALUE"""),64.0)</f>
        <v>64</v>
      </c>
      <c r="K510" s="1">
        <f>IFERROR(__xludf.DUMMYFUNCTION("""COMPUTED_VALUE"""),99.0)</f>
        <v>99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 t="str">
        <f>IFERROR(__xludf.DUMMYFUNCTION("""COMPUTED_VALUE"""),"A")</f>
        <v>A</v>
      </c>
      <c r="E511" s="1" t="str">
        <f>IFERROR(__xludf.DUMMYFUNCTION("""COMPUTED_VALUE"""),"Male")</f>
        <v>Male</v>
      </c>
      <c r="F511" s="1">
        <f>IFERROR(__xludf.DUMMYFUNCTION("""COMPUTED_VALUE"""),99.0)</f>
        <v>99</v>
      </c>
      <c r="G511" s="1">
        <f>IFERROR(__xludf.DUMMYFUNCTION("""COMPUTED_VALUE"""),22.0)</f>
        <v>22</v>
      </c>
      <c r="H511" s="1">
        <f>IFERROR(__xludf.DUMMYFUNCTION("""COMPUTED_VALUE"""),78.0)</f>
        <v>78</v>
      </c>
      <c r="I511" s="1">
        <f>IFERROR(__xludf.DUMMYFUNCTION("""COMPUTED_VALUE"""),23.0)</f>
        <v>23</v>
      </c>
      <c r="J511" s="1">
        <f>IFERROR(__xludf.DUMMYFUNCTION("""COMPUTED_VALUE"""),53.0)</f>
        <v>53</v>
      </c>
      <c r="K511" s="1">
        <f>IFERROR(__xludf.DUMMYFUNCTION("""COMPUTED_VALUE"""),83.0)</f>
        <v>83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 t="str">
        <f>IFERROR(__xludf.DUMMYFUNCTION("""COMPUTED_VALUE"""),"D")</f>
        <v>D</v>
      </c>
      <c r="E512" s="1" t="str">
        <f>IFERROR(__xludf.DUMMYFUNCTION("""COMPUTED_VALUE"""),"Female")</f>
        <v>Female</v>
      </c>
      <c r="F512" s="1">
        <f>IFERROR(__xludf.DUMMYFUNCTION("""COMPUTED_VALUE"""),12.0)</f>
        <v>12</v>
      </c>
      <c r="G512" s="1">
        <f>IFERROR(__xludf.DUMMYFUNCTION("""COMPUTED_VALUE"""),85.0)</f>
        <v>85</v>
      </c>
      <c r="H512" s="1">
        <f>IFERROR(__xludf.DUMMYFUNCTION("""COMPUTED_VALUE"""),98.0)</f>
        <v>98</v>
      </c>
      <c r="I512" s="1">
        <f>IFERROR(__xludf.DUMMYFUNCTION("""COMPUTED_VALUE"""),37.0)</f>
        <v>37</v>
      </c>
      <c r="J512" s="1">
        <f>IFERROR(__xludf.DUMMYFUNCTION("""COMPUTED_VALUE"""),81.0)</f>
        <v>81</v>
      </c>
      <c r="K512" s="1">
        <f>IFERROR(__xludf.DUMMYFUNCTION("""COMPUTED_VALUE"""),87.0)</f>
        <v>87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 t="str">
        <f>IFERROR(__xludf.DUMMYFUNCTION("""COMPUTED_VALUE"""),"A")</f>
        <v>A</v>
      </c>
      <c r="E513" s="1" t="str">
        <f>IFERROR(__xludf.DUMMYFUNCTION("""COMPUTED_VALUE"""),"Male")</f>
        <v>Male</v>
      </c>
      <c r="F513" s="1">
        <f>IFERROR(__xludf.DUMMYFUNCTION("""COMPUTED_VALUE"""),42.0)</f>
        <v>42</v>
      </c>
      <c r="G513" s="1">
        <f>IFERROR(__xludf.DUMMYFUNCTION("""COMPUTED_VALUE"""),77.0)</f>
        <v>77</v>
      </c>
      <c r="H513" s="1">
        <f>IFERROR(__xludf.DUMMYFUNCTION("""COMPUTED_VALUE"""),87.0)</f>
        <v>87</v>
      </c>
      <c r="I513" s="1">
        <f>IFERROR(__xludf.DUMMYFUNCTION("""COMPUTED_VALUE"""),73.0)</f>
        <v>73</v>
      </c>
      <c r="J513" s="1">
        <f>IFERROR(__xludf.DUMMYFUNCTION("""COMPUTED_VALUE"""),51.0)</f>
        <v>51</v>
      </c>
      <c r="K513" s="1">
        <f>IFERROR(__xludf.DUMMYFUNCTION("""COMPUTED_VALUE"""),37.0)</f>
        <v>37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 t="str">
        <f>IFERROR(__xludf.DUMMYFUNCTION("""COMPUTED_VALUE"""),"C")</f>
        <v>C</v>
      </c>
      <c r="E514" s="1" t="str">
        <f>IFERROR(__xludf.DUMMYFUNCTION("""COMPUTED_VALUE"""),"Male")</f>
        <v>Male</v>
      </c>
      <c r="F514" s="1">
        <f>IFERROR(__xludf.DUMMYFUNCTION("""COMPUTED_VALUE"""),13.0)</f>
        <v>13</v>
      </c>
      <c r="G514" s="1">
        <f>IFERROR(__xludf.DUMMYFUNCTION("""COMPUTED_VALUE"""),67.0)</f>
        <v>67</v>
      </c>
      <c r="H514" s="1">
        <f>IFERROR(__xludf.DUMMYFUNCTION("""COMPUTED_VALUE"""),43.0)</f>
        <v>43</v>
      </c>
      <c r="I514" s="1">
        <f>IFERROR(__xludf.DUMMYFUNCTION("""COMPUTED_VALUE"""),71.0)</f>
        <v>71</v>
      </c>
      <c r="J514" s="1">
        <f>IFERROR(__xludf.DUMMYFUNCTION("""COMPUTED_VALUE"""),97.0)</f>
        <v>97</v>
      </c>
      <c r="K514" s="1">
        <f>IFERROR(__xludf.DUMMYFUNCTION("""COMPUTED_VALUE"""),73.0)</f>
        <v>73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 t="str">
        <f>IFERROR(__xludf.DUMMYFUNCTION("""COMPUTED_VALUE"""),"A")</f>
        <v>A</v>
      </c>
      <c r="E515" s="1" t="str">
        <f>IFERROR(__xludf.DUMMYFUNCTION("""COMPUTED_VALUE"""),"Male")</f>
        <v>Male</v>
      </c>
      <c r="F515" s="1">
        <f>IFERROR(__xludf.DUMMYFUNCTION("""COMPUTED_VALUE"""),56.0)</f>
        <v>56</v>
      </c>
      <c r="G515" s="1">
        <f>IFERROR(__xludf.DUMMYFUNCTION("""COMPUTED_VALUE"""),22.0)</f>
        <v>22</v>
      </c>
      <c r="H515" s="1">
        <f>IFERROR(__xludf.DUMMYFUNCTION("""COMPUTED_VALUE"""),85.0)</f>
        <v>85</v>
      </c>
      <c r="I515" s="1">
        <f>IFERROR(__xludf.DUMMYFUNCTION("""COMPUTED_VALUE"""),64.0)</f>
        <v>64</v>
      </c>
      <c r="J515" s="1">
        <f>IFERROR(__xludf.DUMMYFUNCTION("""COMPUTED_VALUE"""),70.0)</f>
        <v>70</v>
      </c>
      <c r="K515" s="1">
        <f>IFERROR(__xludf.DUMMYFUNCTION("""COMPUTED_VALUE"""),24.0)</f>
        <v>24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 t="str">
        <f>IFERROR(__xludf.DUMMYFUNCTION("""COMPUTED_VALUE"""),"A")</f>
        <v>A</v>
      </c>
      <c r="E516" s="1" t="str">
        <f>IFERROR(__xludf.DUMMYFUNCTION("""COMPUTED_VALUE"""),"Male")</f>
        <v>Male</v>
      </c>
      <c r="F516" s="1">
        <f>IFERROR(__xludf.DUMMYFUNCTION("""COMPUTED_VALUE"""),44.0)</f>
        <v>44</v>
      </c>
      <c r="G516" s="1">
        <f>IFERROR(__xludf.DUMMYFUNCTION("""COMPUTED_VALUE"""),81.0)</f>
        <v>81</v>
      </c>
      <c r="H516" s="1">
        <f>IFERROR(__xludf.DUMMYFUNCTION("""COMPUTED_VALUE"""),96.0)</f>
        <v>96</v>
      </c>
      <c r="I516" s="1">
        <f>IFERROR(__xludf.DUMMYFUNCTION("""COMPUTED_VALUE"""),83.0)</f>
        <v>83</v>
      </c>
      <c r="J516" s="1">
        <f>IFERROR(__xludf.DUMMYFUNCTION("""COMPUTED_VALUE"""),75.0)</f>
        <v>75</v>
      </c>
      <c r="K516" s="1">
        <f>IFERROR(__xludf.DUMMYFUNCTION("""COMPUTED_VALUE"""),53.0)</f>
        <v>53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 t="str">
        <f>IFERROR(__xludf.DUMMYFUNCTION("""COMPUTED_VALUE"""),"C")</f>
        <v>C</v>
      </c>
      <c r="E517" s="1" t="str">
        <f>IFERROR(__xludf.DUMMYFUNCTION("""COMPUTED_VALUE"""),"Male")</f>
        <v>Male</v>
      </c>
      <c r="F517" s="1">
        <f>IFERROR(__xludf.DUMMYFUNCTION("""COMPUTED_VALUE"""),44.0)</f>
        <v>44</v>
      </c>
      <c r="G517" s="1">
        <f>IFERROR(__xludf.DUMMYFUNCTION("""COMPUTED_VALUE"""),71.0)</f>
        <v>71</v>
      </c>
      <c r="H517" s="1">
        <f>IFERROR(__xludf.DUMMYFUNCTION("""COMPUTED_VALUE"""),70.0)</f>
        <v>70</v>
      </c>
      <c r="I517" s="1">
        <f>IFERROR(__xludf.DUMMYFUNCTION("""COMPUTED_VALUE"""),22.0)</f>
        <v>22</v>
      </c>
      <c r="J517" s="1">
        <f>IFERROR(__xludf.DUMMYFUNCTION("""COMPUTED_VALUE"""),45.0)</f>
        <v>45</v>
      </c>
      <c r="K517" s="1">
        <f>IFERROR(__xludf.DUMMYFUNCTION("""COMPUTED_VALUE"""),54.0)</f>
        <v>54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 t="str">
        <f>IFERROR(__xludf.DUMMYFUNCTION("""COMPUTED_VALUE"""),"D")</f>
        <v>D</v>
      </c>
      <c r="E518" s="1" t="str">
        <f>IFERROR(__xludf.DUMMYFUNCTION("""COMPUTED_VALUE"""),"Female")</f>
        <v>Female</v>
      </c>
      <c r="F518" s="1">
        <f>IFERROR(__xludf.DUMMYFUNCTION("""COMPUTED_VALUE"""),67.0)</f>
        <v>67</v>
      </c>
      <c r="G518" s="1">
        <f>IFERROR(__xludf.DUMMYFUNCTION("""COMPUTED_VALUE"""),33.0)</f>
        <v>33</v>
      </c>
      <c r="H518" s="1">
        <f>IFERROR(__xludf.DUMMYFUNCTION("""COMPUTED_VALUE"""),52.0)</f>
        <v>52</v>
      </c>
      <c r="I518" s="1">
        <f>IFERROR(__xludf.DUMMYFUNCTION("""COMPUTED_VALUE"""),36.0)</f>
        <v>36</v>
      </c>
      <c r="J518" s="1">
        <f>IFERROR(__xludf.DUMMYFUNCTION("""COMPUTED_VALUE"""),98.0)</f>
        <v>98</v>
      </c>
      <c r="K518" s="1">
        <f>IFERROR(__xludf.DUMMYFUNCTION("""COMPUTED_VALUE"""),34.0)</f>
        <v>34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 t="str">
        <f>IFERROR(__xludf.DUMMYFUNCTION("""COMPUTED_VALUE"""),"C")</f>
        <v>C</v>
      </c>
      <c r="E519" s="1" t="str">
        <f>IFERROR(__xludf.DUMMYFUNCTION("""COMPUTED_VALUE"""),"Male")</f>
        <v>Male</v>
      </c>
      <c r="F519" s="1">
        <f>IFERROR(__xludf.DUMMYFUNCTION("""COMPUTED_VALUE"""),93.0)</f>
        <v>93</v>
      </c>
      <c r="G519" s="1">
        <f>IFERROR(__xludf.DUMMYFUNCTION("""COMPUTED_VALUE"""),93.0)</f>
        <v>93</v>
      </c>
      <c r="H519" s="1">
        <f>IFERROR(__xludf.DUMMYFUNCTION("""COMPUTED_VALUE"""),49.0)</f>
        <v>49</v>
      </c>
      <c r="I519" s="1">
        <f>IFERROR(__xludf.DUMMYFUNCTION("""COMPUTED_VALUE"""),57.0)</f>
        <v>57</v>
      </c>
      <c r="J519" s="1">
        <f>IFERROR(__xludf.DUMMYFUNCTION("""COMPUTED_VALUE"""),88.0)</f>
        <v>88</v>
      </c>
      <c r="K519" s="1">
        <f>IFERROR(__xludf.DUMMYFUNCTION("""COMPUTED_VALUE"""),64.0)</f>
        <v>64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 t="str">
        <f>IFERROR(__xludf.DUMMYFUNCTION("""COMPUTED_VALUE"""),"A")</f>
        <v>A</v>
      </c>
      <c r="E520" s="1" t="str">
        <f>IFERROR(__xludf.DUMMYFUNCTION("""COMPUTED_VALUE"""),"Female")</f>
        <v>Female</v>
      </c>
      <c r="F520" s="1">
        <f>IFERROR(__xludf.DUMMYFUNCTION("""COMPUTED_VALUE"""),75.0)</f>
        <v>75</v>
      </c>
      <c r="G520" s="1">
        <f>IFERROR(__xludf.DUMMYFUNCTION("""COMPUTED_VALUE"""),82.0)</f>
        <v>82</v>
      </c>
      <c r="H520" s="1">
        <f>IFERROR(__xludf.DUMMYFUNCTION("""COMPUTED_VALUE"""),94.0)</f>
        <v>94</v>
      </c>
      <c r="I520" s="1">
        <f>IFERROR(__xludf.DUMMYFUNCTION("""COMPUTED_VALUE"""),83.0)</f>
        <v>83</v>
      </c>
      <c r="J520" s="1">
        <f>IFERROR(__xludf.DUMMYFUNCTION("""COMPUTED_VALUE"""),87.0)</f>
        <v>87</v>
      </c>
      <c r="K520" s="1">
        <f>IFERROR(__xludf.DUMMYFUNCTION("""COMPUTED_VALUE"""),28.0)</f>
        <v>28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 t="str">
        <f>IFERROR(__xludf.DUMMYFUNCTION("""COMPUTED_VALUE"""),"D")</f>
        <v>D</v>
      </c>
      <c r="E521" s="1" t="str">
        <f>IFERROR(__xludf.DUMMYFUNCTION("""COMPUTED_VALUE"""),"Male")</f>
        <v>Male</v>
      </c>
      <c r="F521" s="1">
        <f>IFERROR(__xludf.DUMMYFUNCTION("""COMPUTED_VALUE"""),80.0)</f>
        <v>80</v>
      </c>
      <c r="G521" s="1">
        <f>IFERROR(__xludf.DUMMYFUNCTION("""COMPUTED_VALUE"""),80.0)</f>
        <v>80</v>
      </c>
      <c r="H521" s="1">
        <f>IFERROR(__xludf.DUMMYFUNCTION("""COMPUTED_VALUE"""),84.0)</f>
        <v>84</v>
      </c>
      <c r="I521" s="1">
        <f>IFERROR(__xludf.DUMMYFUNCTION("""COMPUTED_VALUE"""),49.0)</f>
        <v>49</v>
      </c>
      <c r="J521" s="1">
        <f>IFERROR(__xludf.DUMMYFUNCTION("""COMPUTED_VALUE"""),70.0)</f>
        <v>70</v>
      </c>
      <c r="K521" s="1">
        <f>IFERROR(__xludf.DUMMYFUNCTION("""COMPUTED_VALUE"""),72.0)</f>
        <v>72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 t="str">
        <f>IFERROR(__xludf.DUMMYFUNCTION("""COMPUTED_VALUE"""),"B")</f>
        <v>B</v>
      </c>
      <c r="E522" s="1" t="str">
        <f>IFERROR(__xludf.DUMMYFUNCTION("""COMPUTED_VALUE"""),"Female")</f>
        <v>Female</v>
      </c>
      <c r="F522" s="1">
        <f>IFERROR(__xludf.DUMMYFUNCTION("""COMPUTED_VALUE"""),66.0)</f>
        <v>66</v>
      </c>
      <c r="G522" s="1">
        <f>IFERROR(__xludf.DUMMYFUNCTION("""COMPUTED_VALUE"""),41.0)</f>
        <v>41</v>
      </c>
      <c r="H522" s="1">
        <f>IFERROR(__xludf.DUMMYFUNCTION("""COMPUTED_VALUE"""),20.0)</f>
        <v>20</v>
      </c>
      <c r="I522" s="1">
        <f>IFERROR(__xludf.DUMMYFUNCTION("""COMPUTED_VALUE"""),35.0)</f>
        <v>35</v>
      </c>
      <c r="J522" s="1">
        <f>IFERROR(__xludf.DUMMYFUNCTION("""COMPUTED_VALUE"""),97.0)</f>
        <v>97</v>
      </c>
      <c r="K522" s="1">
        <f>IFERROR(__xludf.DUMMYFUNCTION("""COMPUTED_VALUE"""),21.0)</f>
        <v>21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 t="str">
        <f>IFERROR(__xludf.DUMMYFUNCTION("""COMPUTED_VALUE"""),"B")</f>
        <v>B</v>
      </c>
      <c r="E523" s="1" t="str">
        <f>IFERROR(__xludf.DUMMYFUNCTION("""COMPUTED_VALUE"""),"Female")</f>
        <v>Female</v>
      </c>
      <c r="F523" s="1">
        <f>IFERROR(__xludf.DUMMYFUNCTION("""COMPUTED_VALUE"""),74.0)</f>
        <v>74</v>
      </c>
      <c r="G523" s="1">
        <f>IFERROR(__xludf.DUMMYFUNCTION("""COMPUTED_VALUE"""),28.0)</f>
        <v>28</v>
      </c>
      <c r="H523" s="1">
        <f>IFERROR(__xludf.DUMMYFUNCTION("""COMPUTED_VALUE"""),44.0)</f>
        <v>44</v>
      </c>
      <c r="I523" s="1">
        <f>IFERROR(__xludf.DUMMYFUNCTION("""COMPUTED_VALUE"""),85.0)</f>
        <v>85</v>
      </c>
      <c r="J523" s="1">
        <f>IFERROR(__xludf.DUMMYFUNCTION("""COMPUTED_VALUE"""),60.0)</f>
        <v>60</v>
      </c>
      <c r="K523" s="1">
        <f>IFERROR(__xludf.DUMMYFUNCTION("""COMPUTED_VALUE"""),92.0)</f>
        <v>92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 t="str">
        <f>IFERROR(__xludf.DUMMYFUNCTION("""COMPUTED_VALUE"""),"D")</f>
        <v>D</v>
      </c>
      <c r="E524" s="1" t="str">
        <f>IFERROR(__xludf.DUMMYFUNCTION("""COMPUTED_VALUE"""),"Female")</f>
        <v>Female</v>
      </c>
      <c r="F524" s="1">
        <f>IFERROR(__xludf.DUMMYFUNCTION("""COMPUTED_VALUE"""),68.0)</f>
        <v>68</v>
      </c>
      <c r="G524" s="1">
        <f>IFERROR(__xludf.DUMMYFUNCTION("""COMPUTED_VALUE"""),47.0)</f>
        <v>47</v>
      </c>
      <c r="H524" s="1">
        <f>IFERROR(__xludf.DUMMYFUNCTION("""COMPUTED_VALUE"""),37.0)</f>
        <v>37</v>
      </c>
      <c r="I524" s="1">
        <f>IFERROR(__xludf.DUMMYFUNCTION("""COMPUTED_VALUE"""),27.0)</f>
        <v>27</v>
      </c>
      <c r="J524" s="1">
        <f>IFERROR(__xludf.DUMMYFUNCTION("""COMPUTED_VALUE"""),68.0)</f>
        <v>68</v>
      </c>
      <c r="K524" s="1">
        <f>IFERROR(__xludf.DUMMYFUNCTION("""COMPUTED_VALUE"""),61.0)</f>
        <v>61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 t="str">
        <f>IFERROR(__xludf.DUMMYFUNCTION("""COMPUTED_VALUE"""),"A")</f>
        <v>A</v>
      </c>
      <c r="E525" s="1" t="str">
        <f>IFERROR(__xludf.DUMMYFUNCTION("""COMPUTED_VALUE"""),"Female")</f>
        <v>Female</v>
      </c>
      <c r="F525" s="1">
        <f>IFERROR(__xludf.DUMMYFUNCTION("""COMPUTED_VALUE"""),29.0)</f>
        <v>29</v>
      </c>
      <c r="G525" s="1">
        <f>IFERROR(__xludf.DUMMYFUNCTION("""COMPUTED_VALUE"""),36.0)</f>
        <v>36</v>
      </c>
      <c r="H525" s="1">
        <f>IFERROR(__xludf.DUMMYFUNCTION("""COMPUTED_VALUE"""),31.0)</f>
        <v>31</v>
      </c>
      <c r="I525" s="1">
        <f>IFERROR(__xludf.DUMMYFUNCTION("""COMPUTED_VALUE"""),90.0)</f>
        <v>90</v>
      </c>
      <c r="J525" s="1">
        <f>IFERROR(__xludf.DUMMYFUNCTION("""COMPUTED_VALUE"""),94.0)</f>
        <v>94</v>
      </c>
      <c r="K525" s="1">
        <f>IFERROR(__xludf.DUMMYFUNCTION("""COMPUTED_VALUE"""),31.0)</f>
        <v>31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 t="str">
        <f>IFERROR(__xludf.DUMMYFUNCTION("""COMPUTED_VALUE"""),"A")</f>
        <v>A</v>
      </c>
      <c r="E526" s="1" t="str">
        <f>IFERROR(__xludf.DUMMYFUNCTION("""COMPUTED_VALUE"""),"Female")</f>
        <v>Female</v>
      </c>
      <c r="F526" s="1">
        <f>IFERROR(__xludf.DUMMYFUNCTION("""COMPUTED_VALUE"""),25.0)</f>
        <v>25</v>
      </c>
      <c r="G526" s="1">
        <f>IFERROR(__xludf.DUMMYFUNCTION("""COMPUTED_VALUE"""),55.0)</f>
        <v>55</v>
      </c>
      <c r="H526" s="1">
        <f>IFERROR(__xludf.DUMMYFUNCTION("""COMPUTED_VALUE"""),48.0)</f>
        <v>48</v>
      </c>
      <c r="I526" s="1">
        <f>IFERROR(__xludf.DUMMYFUNCTION("""COMPUTED_VALUE"""),71.0)</f>
        <v>71</v>
      </c>
      <c r="J526" s="1">
        <f>IFERROR(__xludf.DUMMYFUNCTION("""COMPUTED_VALUE"""),71.0)</f>
        <v>71</v>
      </c>
      <c r="K526" s="1">
        <f>IFERROR(__xludf.DUMMYFUNCTION("""COMPUTED_VALUE"""),34.0)</f>
        <v>34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 t="str">
        <f>IFERROR(__xludf.DUMMYFUNCTION("""COMPUTED_VALUE"""),"C")</f>
        <v>C</v>
      </c>
      <c r="E527" s="1" t="str">
        <f>IFERROR(__xludf.DUMMYFUNCTION("""COMPUTED_VALUE"""),"Female")</f>
        <v>Female</v>
      </c>
      <c r="F527" s="1">
        <f>IFERROR(__xludf.DUMMYFUNCTION("""COMPUTED_VALUE"""),59.0)</f>
        <v>59</v>
      </c>
      <c r="G527" s="1">
        <f>IFERROR(__xludf.DUMMYFUNCTION("""COMPUTED_VALUE"""),28.0)</f>
        <v>28</v>
      </c>
      <c r="H527" s="1">
        <f>IFERROR(__xludf.DUMMYFUNCTION("""COMPUTED_VALUE"""),79.0)</f>
        <v>79</v>
      </c>
      <c r="I527" s="1">
        <f>IFERROR(__xludf.DUMMYFUNCTION("""COMPUTED_VALUE"""),27.0)</f>
        <v>27</v>
      </c>
      <c r="J527" s="1">
        <f>IFERROR(__xludf.DUMMYFUNCTION("""COMPUTED_VALUE"""),74.0)</f>
        <v>74</v>
      </c>
      <c r="K527" s="1">
        <f>IFERROR(__xludf.DUMMYFUNCTION("""COMPUTED_VALUE"""),75.0)</f>
        <v>75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 t="str">
        <f>IFERROR(__xludf.DUMMYFUNCTION("""COMPUTED_VALUE"""),"B")</f>
        <v>B</v>
      </c>
      <c r="E528" s="1" t="str">
        <f>IFERROR(__xludf.DUMMYFUNCTION("""COMPUTED_VALUE"""),"Female")</f>
        <v>Female</v>
      </c>
      <c r="F528" s="1">
        <f>IFERROR(__xludf.DUMMYFUNCTION("""COMPUTED_VALUE"""),60.0)</f>
        <v>60</v>
      </c>
      <c r="G528" s="1">
        <f>IFERROR(__xludf.DUMMYFUNCTION("""COMPUTED_VALUE"""),68.0)</f>
        <v>68</v>
      </c>
      <c r="H528" s="1">
        <f>IFERROR(__xludf.DUMMYFUNCTION("""COMPUTED_VALUE"""),75.0)</f>
        <v>75</v>
      </c>
      <c r="I528" s="1">
        <f>IFERROR(__xludf.DUMMYFUNCTION("""COMPUTED_VALUE"""),32.0)</f>
        <v>32</v>
      </c>
      <c r="J528" s="1">
        <f>IFERROR(__xludf.DUMMYFUNCTION("""COMPUTED_VALUE"""),81.0)</f>
        <v>81</v>
      </c>
      <c r="K528" s="1">
        <f>IFERROR(__xludf.DUMMYFUNCTION("""COMPUTED_VALUE"""),85.0)</f>
        <v>85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 t="str">
        <f>IFERROR(__xludf.DUMMYFUNCTION("""COMPUTED_VALUE"""),"D")</f>
        <v>D</v>
      </c>
      <c r="E529" s="1" t="str">
        <f>IFERROR(__xludf.DUMMYFUNCTION("""COMPUTED_VALUE"""),"Female")</f>
        <v>Female</v>
      </c>
      <c r="F529" s="1">
        <f>IFERROR(__xludf.DUMMYFUNCTION("""COMPUTED_VALUE"""),43.0)</f>
        <v>43</v>
      </c>
      <c r="G529" s="1">
        <f>IFERROR(__xludf.DUMMYFUNCTION("""COMPUTED_VALUE"""),44.0)</f>
        <v>44</v>
      </c>
      <c r="H529" s="1">
        <f>IFERROR(__xludf.DUMMYFUNCTION("""COMPUTED_VALUE"""),81.0)</f>
        <v>81</v>
      </c>
      <c r="I529" s="1">
        <f>IFERROR(__xludf.DUMMYFUNCTION("""COMPUTED_VALUE"""),64.0)</f>
        <v>64</v>
      </c>
      <c r="J529" s="1">
        <f>IFERROR(__xludf.DUMMYFUNCTION("""COMPUTED_VALUE"""),67.0)</f>
        <v>67</v>
      </c>
      <c r="K529" s="1">
        <f>IFERROR(__xludf.DUMMYFUNCTION("""COMPUTED_VALUE"""),26.0)</f>
        <v>26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 t="str">
        <f>IFERROR(__xludf.DUMMYFUNCTION("""COMPUTED_VALUE"""),"A")</f>
        <v>A</v>
      </c>
      <c r="E530" s="1" t="str">
        <f>IFERROR(__xludf.DUMMYFUNCTION("""COMPUTED_VALUE"""),"Female")</f>
        <v>Female</v>
      </c>
      <c r="F530" s="1">
        <f>IFERROR(__xludf.DUMMYFUNCTION("""COMPUTED_VALUE"""),50.0)</f>
        <v>50</v>
      </c>
      <c r="G530" s="1">
        <f>IFERROR(__xludf.DUMMYFUNCTION("""COMPUTED_VALUE"""),71.0)</f>
        <v>71</v>
      </c>
      <c r="H530" s="1">
        <f>IFERROR(__xludf.DUMMYFUNCTION("""COMPUTED_VALUE"""),92.0)</f>
        <v>92</v>
      </c>
      <c r="I530" s="1">
        <f>IFERROR(__xludf.DUMMYFUNCTION("""COMPUTED_VALUE"""),79.0)</f>
        <v>79</v>
      </c>
      <c r="J530" s="1">
        <f>IFERROR(__xludf.DUMMYFUNCTION("""COMPUTED_VALUE"""),79.0)</f>
        <v>79</v>
      </c>
      <c r="K530" s="1">
        <f>IFERROR(__xludf.DUMMYFUNCTION("""COMPUTED_VALUE"""),33.0)</f>
        <v>33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 t="str">
        <f>IFERROR(__xludf.DUMMYFUNCTION("""COMPUTED_VALUE"""),"B")</f>
        <v>B</v>
      </c>
      <c r="E531" s="1" t="str">
        <f>IFERROR(__xludf.DUMMYFUNCTION("""COMPUTED_VALUE"""),"Female")</f>
        <v>Female</v>
      </c>
      <c r="F531" s="1">
        <f>IFERROR(__xludf.DUMMYFUNCTION("""COMPUTED_VALUE"""),95.0)</f>
        <v>95</v>
      </c>
      <c r="G531" s="1">
        <f>IFERROR(__xludf.DUMMYFUNCTION("""COMPUTED_VALUE"""),61.0)</f>
        <v>61</v>
      </c>
      <c r="H531" s="1">
        <f>IFERROR(__xludf.DUMMYFUNCTION("""COMPUTED_VALUE"""),21.0)</f>
        <v>21</v>
      </c>
      <c r="I531" s="1">
        <f>IFERROR(__xludf.DUMMYFUNCTION("""COMPUTED_VALUE"""),25.0)</f>
        <v>25</v>
      </c>
      <c r="J531" s="1">
        <f>IFERROR(__xludf.DUMMYFUNCTION("""COMPUTED_VALUE"""),20.0)</f>
        <v>20</v>
      </c>
      <c r="K531" s="1">
        <f>IFERROR(__xludf.DUMMYFUNCTION("""COMPUTED_VALUE"""),87.0)</f>
        <v>87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 t="str">
        <f>IFERROR(__xludf.DUMMYFUNCTION("""COMPUTED_VALUE"""),"C")</f>
        <v>C</v>
      </c>
      <c r="E532" s="1" t="str">
        <f>IFERROR(__xludf.DUMMYFUNCTION("""COMPUTED_VALUE"""),"Male")</f>
        <v>Male</v>
      </c>
      <c r="F532" s="1">
        <f>IFERROR(__xludf.DUMMYFUNCTION("""COMPUTED_VALUE"""),92.0)</f>
        <v>92</v>
      </c>
      <c r="G532" s="1">
        <f>IFERROR(__xludf.DUMMYFUNCTION("""COMPUTED_VALUE"""),85.0)</f>
        <v>85</v>
      </c>
      <c r="H532" s="1">
        <f>IFERROR(__xludf.DUMMYFUNCTION("""COMPUTED_VALUE"""),83.0)</f>
        <v>83</v>
      </c>
      <c r="I532" s="1">
        <f>IFERROR(__xludf.DUMMYFUNCTION("""COMPUTED_VALUE"""),29.0)</f>
        <v>29</v>
      </c>
      <c r="J532" s="1">
        <f>IFERROR(__xludf.DUMMYFUNCTION("""COMPUTED_VALUE"""),62.0)</f>
        <v>62</v>
      </c>
      <c r="K532" s="1">
        <f>IFERROR(__xludf.DUMMYFUNCTION("""COMPUTED_VALUE"""),70.0)</f>
        <v>70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 t="str">
        <f>IFERROR(__xludf.DUMMYFUNCTION("""COMPUTED_VALUE"""),"C")</f>
        <v>C</v>
      </c>
      <c r="E533" s="1" t="str">
        <f>IFERROR(__xludf.DUMMYFUNCTION("""COMPUTED_VALUE"""),"Female")</f>
        <v>Female</v>
      </c>
      <c r="F533" s="1">
        <f>IFERROR(__xludf.DUMMYFUNCTION("""COMPUTED_VALUE"""),29.0)</f>
        <v>29</v>
      </c>
      <c r="G533" s="1">
        <f>IFERROR(__xludf.DUMMYFUNCTION("""COMPUTED_VALUE"""),71.0)</f>
        <v>71</v>
      </c>
      <c r="H533" s="1">
        <f>IFERROR(__xludf.DUMMYFUNCTION("""COMPUTED_VALUE"""),36.0)</f>
        <v>36</v>
      </c>
      <c r="I533" s="1">
        <f>IFERROR(__xludf.DUMMYFUNCTION("""COMPUTED_VALUE"""),94.0)</f>
        <v>94</v>
      </c>
      <c r="J533" s="1">
        <f>IFERROR(__xludf.DUMMYFUNCTION("""COMPUTED_VALUE"""),47.0)</f>
        <v>47</v>
      </c>
      <c r="K533" s="1">
        <f>IFERROR(__xludf.DUMMYFUNCTION("""COMPUTED_VALUE"""),25.0)</f>
        <v>25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 t="str">
        <f>IFERROR(__xludf.DUMMYFUNCTION("""COMPUTED_VALUE"""),"B")</f>
        <v>B</v>
      </c>
      <c r="E534" s="1" t="str">
        <f>IFERROR(__xludf.DUMMYFUNCTION("""COMPUTED_VALUE"""),"Female")</f>
        <v>Female</v>
      </c>
      <c r="F534" s="1">
        <f>IFERROR(__xludf.DUMMYFUNCTION("""COMPUTED_VALUE"""),47.0)</f>
        <v>47</v>
      </c>
      <c r="G534" s="1">
        <f>IFERROR(__xludf.DUMMYFUNCTION("""COMPUTED_VALUE"""),29.0)</f>
        <v>29</v>
      </c>
      <c r="H534" s="1">
        <f>IFERROR(__xludf.DUMMYFUNCTION("""COMPUTED_VALUE"""),58.0)</f>
        <v>58</v>
      </c>
      <c r="I534" s="1">
        <f>IFERROR(__xludf.DUMMYFUNCTION("""COMPUTED_VALUE"""),83.0)</f>
        <v>83</v>
      </c>
      <c r="J534" s="1">
        <f>IFERROR(__xludf.DUMMYFUNCTION("""COMPUTED_VALUE"""),59.0)</f>
        <v>59</v>
      </c>
      <c r="K534" s="1">
        <f>IFERROR(__xludf.DUMMYFUNCTION("""COMPUTED_VALUE"""),25.0)</f>
        <v>25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 t="str">
        <f>IFERROR(__xludf.DUMMYFUNCTION("""COMPUTED_VALUE"""),"B")</f>
        <v>B</v>
      </c>
      <c r="E535" s="1" t="str">
        <f>IFERROR(__xludf.DUMMYFUNCTION("""COMPUTED_VALUE"""),"Male")</f>
        <v>Male</v>
      </c>
      <c r="F535" s="1">
        <f>IFERROR(__xludf.DUMMYFUNCTION("""COMPUTED_VALUE"""),55.0)</f>
        <v>55</v>
      </c>
      <c r="G535" s="1">
        <f>IFERROR(__xludf.DUMMYFUNCTION("""COMPUTED_VALUE"""),82.0)</f>
        <v>82</v>
      </c>
      <c r="H535" s="1">
        <f>IFERROR(__xludf.DUMMYFUNCTION("""COMPUTED_VALUE"""),80.0)</f>
        <v>80</v>
      </c>
      <c r="I535" s="1">
        <f>IFERROR(__xludf.DUMMYFUNCTION("""COMPUTED_VALUE"""),64.0)</f>
        <v>64</v>
      </c>
      <c r="J535" s="1">
        <f>IFERROR(__xludf.DUMMYFUNCTION("""COMPUTED_VALUE"""),76.0)</f>
        <v>76</v>
      </c>
      <c r="K535" s="1">
        <f>IFERROR(__xludf.DUMMYFUNCTION("""COMPUTED_VALUE"""),54.0)</f>
        <v>54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 t="str">
        <f>IFERROR(__xludf.DUMMYFUNCTION("""COMPUTED_VALUE"""),"B")</f>
        <v>B</v>
      </c>
      <c r="E536" s="1" t="str">
        <f>IFERROR(__xludf.DUMMYFUNCTION("""COMPUTED_VALUE"""),"Male")</f>
        <v>Male</v>
      </c>
      <c r="F536" s="1">
        <f>IFERROR(__xludf.DUMMYFUNCTION("""COMPUTED_VALUE"""),79.0)</f>
        <v>79</v>
      </c>
      <c r="G536" s="1">
        <f>IFERROR(__xludf.DUMMYFUNCTION("""COMPUTED_VALUE"""),51.0)</f>
        <v>51</v>
      </c>
      <c r="H536" s="1">
        <f>IFERROR(__xludf.DUMMYFUNCTION("""COMPUTED_VALUE"""),72.0)</f>
        <v>72</v>
      </c>
      <c r="I536" s="1">
        <f>IFERROR(__xludf.DUMMYFUNCTION("""COMPUTED_VALUE"""),39.0)</f>
        <v>39</v>
      </c>
      <c r="J536" s="1">
        <f>IFERROR(__xludf.DUMMYFUNCTION("""COMPUTED_VALUE"""),72.0)</f>
        <v>72</v>
      </c>
      <c r="K536" s="1">
        <f>IFERROR(__xludf.DUMMYFUNCTION("""COMPUTED_VALUE"""),38.0)</f>
        <v>38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 t="str">
        <f>IFERROR(__xludf.DUMMYFUNCTION("""COMPUTED_VALUE"""),"D")</f>
        <v>D</v>
      </c>
      <c r="E537" s="1" t="str">
        <f>IFERROR(__xludf.DUMMYFUNCTION("""COMPUTED_VALUE"""),"Male")</f>
        <v>Male</v>
      </c>
      <c r="F537" s="1">
        <f>IFERROR(__xludf.DUMMYFUNCTION("""COMPUTED_VALUE"""),65.0)</f>
        <v>65</v>
      </c>
      <c r="G537" s="1">
        <f>IFERROR(__xludf.DUMMYFUNCTION("""COMPUTED_VALUE"""),84.0)</f>
        <v>84</v>
      </c>
      <c r="H537" s="1">
        <f>IFERROR(__xludf.DUMMYFUNCTION("""COMPUTED_VALUE"""),24.0)</f>
        <v>24</v>
      </c>
      <c r="I537" s="1">
        <f>IFERROR(__xludf.DUMMYFUNCTION("""COMPUTED_VALUE"""),97.0)</f>
        <v>97</v>
      </c>
      <c r="J537" s="1">
        <f>IFERROR(__xludf.DUMMYFUNCTION("""COMPUTED_VALUE"""),23.0)</f>
        <v>23</v>
      </c>
      <c r="K537" s="1">
        <f>IFERROR(__xludf.DUMMYFUNCTION("""COMPUTED_VALUE"""),46.0)</f>
        <v>46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 t="str">
        <f>IFERROR(__xludf.DUMMYFUNCTION("""COMPUTED_VALUE"""),"D")</f>
        <v>D</v>
      </c>
      <c r="E538" s="1" t="str">
        <f>IFERROR(__xludf.DUMMYFUNCTION("""COMPUTED_VALUE"""),"Male")</f>
        <v>Male</v>
      </c>
      <c r="F538" s="1">
        <f>IFERROR(__xludf.DUMMYFUNCTION("""COMPUTED_VALUE"""),34.0)</f>
        <v>34</v>
      </c>
      <c r="G538" s="1">
        <f>IFERROR(__xludf.DUMMYFUNCTION("""COMPUTED_VALUE"""),90.0)</f>
        <v>90</v>
      </c>
      <c r="H538" s="1">
        <f>IFERROR(__xludf.DUMMYFUNCTION("""COMPUTED_VALUE"""),74.0)</f>
        <v>74</v>
      </c>
      <c r="I538" s="1">
        <f>IFERROR(__xludf.DUMMYFUNCTION("""COMPUTED_VALUE"""),34.0)</f>
        <v>34</v>
      </c>
      <c r="J538" s="1">
        <f>IFERROR(__xludf.DUMMYFUNCTION("""COMPUTED_VALUE"""),64.0)</f>
        <v>64</v>
      </c>
      <c r="K538" s="1">
        <f>IFERROR(__xludf.DUMMYFUNCTION("""COMPUTED_VALUE"""),44.0)</f>
        <v>44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 t="str">
        <f>IFERROR(__xludf.DUMMYFUNCTION("""COMPUTED_VALUE"""),"D")</f>
        <v>D</v>
      </c>
      <c r="E539" s="1" t="str">
        <f>IFERROR(__xludf.DUMMYFUNCTION("""COMPUTED_VALUE"""),"Female")</f>
        <v>Female</v>
      </c>
      <c r="F539" s="1">
        <f>IFERROR(__xludf.DUMMYFUNCTION("""COMPUTED_VALUE"""),37.0)</f>
        <v>37</v>
      </c>
      <c r="G539" s="1">
        <f>IFERROR(__xludf.DUMMYFUNCTION("""COMPUTED_VALUE"""),76.0)</f>
        <v>76</v>
      </c>
      <c r="H539" s="1">
        <f>IFERROR(__xludf.DUMMYFUNCTION("""COMPUTED_VALUE"""),65.0)</f>
        <v>65</v>
      </c>
      <c r="I539" s="1">
        <f>IFERROR(__xludf.DUMMYFUNCTION("""COMPUTED_VALUE"""),45.0)</f>
        <v>45</v>
      </c>
      <c r="J539" s="1">
        <f>IFERROR(__xludf.DUMMYFUNCTION("""COMPUTED_VALUE"""),45.0)</f>
        <v>45</v>
      </c>
      <c r="K539" s="1">
        <f>IFERROR(__xludf.DUMMYFUNCTION("""COMPUTED_VALUE"""),80.0)</f>
        <v>80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 t="str">
        <f>IFERROR(__xludf.DUMMYFUNCTION("""COMPUTED_VALUE"""),"D")</f>
        <v>D</v>
      </c>
      <c r="E540" s="1" t="str">
        <f>IFERROR(__xludf.DUMMYFUNCTION("""COMPUTED_VALUE"""),"Female")</f>
        <v>Female</v>
      </c>
      <c r="F540" s="1">
        <f>IFERROR(__xludf.DUMMYFUNCTION("""COMPUTED_VALUE"""),53.0)</f>
        <v>53</v>
      </c>
      <c r="G540" s="1">
        <f>IFERROR(__xludf.DUMMYFUNCTION("""COMPUTED_VALUE"""),32.0)</f>
        <v>32</v>
      </c>
      <c r="H540" s="1">
        <f>IFERROR(__xludf.DUMMYFUNCTION("""COMPUTED_VALUE"""),68.0)</f>
        <v>68</v>
      </c>
      <c r="I540" s="1">
        <f>IFERROR(__xludf.DUMMYFUNCTION("""COMPUTED_VALUE"""),98.0)</f>
        <v>98</v>
      </c>
      <c r="J540" s="1">
        <f>IFERROR(__xludf.DUMMYFUNCTION("""COMPUTED_VALUE"""),55.0)</f>
        <v>55</v>
      </c>
      <c r="K540" s="1">
        <f>IFERROR(__xludf.DUMMYFUNCTION("""COMPUTED_VALUE"""),90.0)</f>
        <v>90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 t="str">
        <f>IFERROR(__xludf.DUMMYFUNCTION("""COMPUTED_VALUE"""),"D")</f>
        <v>D</v>
      </c>
      <c r="E541" s="1" t="str">
        <f>IFERROR(__xludf.DUMMYFUNCTION("""COMPUTED_VALUE"""),"Male")</f>
        <v>Male</v>
      </c>
      <c r="F541" s="1">
        <f>IFERROR(__xludf.DUMMYFUNCTION("""COMPUTED_VALUE"""),27.0)</f>
        <v>27</v>
      </c>
      <c r="G541" s="1">
        <f>IFERROR(__xludf.DUMMYFUNCTION("""COMPUTED_VALUE"""),89.0)</f>
        <v>89</v>
      </c>
      <c r="H541" s="1">
        <f>IFERROR(__xludf.DUMMYFUNCTION("""COMPUTED_VALUE"""),78.0)</f>
        <v>78</v>
      </c>
      <c r="I541" s="1">
        <f>IFERROR(__xludf.DUMMYFUNCTION("""COMPUTED_VALUE"""),48.0)</f>
        <v>48</v>
      </c>
      <c r="J541" s="1">
        <f>IFERROR(__xludf.DUMMYFUNCTION("""COMPUTED_VALUE"""),25.0)</f>
        <v>25</v>
      </c>
      <c r="K541" s="1">
        <f>IFERROR(__xludf.DUMMYFUNCTION("""COMPUTED_VALUE"""),48.0)</f>
        <v>48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 t="str">
        <f>IFERROR(__xludf.DUMMYFUNCTION("""COMPUTED_VALUE"""),"A")</f>
        <v>A</v>
      </c>
      <c r="E542" s="1" t="str">
        <f>IFERROR(__xludf.DUMMYFUNCTION("""COMPUTED_VALUE"""),"Female")</f>
        <v>Female</v>
      </c>
      <c r="F542" s="1">
        <f>IFERROR(__xludf.DUMMYFUNCTION("""COMPUTED_VALUE"""),79.0)</f>
        <v>79</v>
      </c>
      <c r="G542" s="1">
        <f>IFERROR(__xludf.DUMMYFUNCTION("""COMPUTED_VALUE"""),77.0)</f>
        <v>77</v>
      </c>
      <c r="H542" s="1">
        <f>IFERROR(__xludf.DUMMYFUNCTION("""COMPUTED_VALUE"""),56.0)</f>
        <v>56</v>
      </c>
      <c r="I542" s="1">
        <f>IFERROR(__xludf.DUMMYFUNCTION("""COMPUTED_VALUE"""),55.0)</f>
        <v>55</v>
      </c>
      <c r="J542" s="1">
        <f>IFERROR(__xludf.DUMMYFUNCTION("""COMPUTED_VALUE"""),92.0)</f>
        <v>92</v>
      </c>
      <c r="K542" s="1">
        <f>IFERROR(__xludf.DUMMYFUNCTION("""COMPUTED_VALUE"""),90.0)</f>
        <v>90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 t="str">
        <f>IFERROR(__xludf.DUMMYFUNCTION("""COMPUTED_VALUE"""),"C")</f>
        <v>C</v>
      </c>
      <c r="E543" s="1" t="str">
        <f>IFERROR(__xludf.DUMMYFUNCTION("""COMPUTED_VALUE"""),"Female")</f>
        <v>Female</v>
      </c>
      <c r="F543" s="1">
        <f>IFERROR(__xludf.DUMMYFUNCTION("""COMPUTED_VALUE"""),87.0)</f>
        <v>87</v>
      </c>
      <c r="G543" s="1">
        <f>IFERROR(__xludf.DUMMYFUNCTION("""COMPUTED_VALUE"""),94.0)</f>
        <v>94</v>
      </c>
      <c r="H543" s="1">
        <f>IFERROR(__xludf.DUMMYFUNCTION("""COMPUTED_VALUE"""),49.0)</f>
        <v>49</v>
      </c>
      <c r="I543" s="1">
        <f>IFERROR(__xludf.DUMMYFUNCTION("""COMPUTED_VALUE"""),41.0)</f>
        <v>41</v>
      </c>
      <c r="J543" s="1">
        <f>IFERROR(__xludf.DUMMYFUNCTION("""COMPUTED_VALUE"""),98.0)</f>
        <v>98</v>
      </c>
      <c r="K543" s="1">
        <f>IFERROR(__xludf.DUMMYFUNCTION("""COMPUTED_VALUE"""),75.0)</f>
        <v>75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 t="str">
        <f>IFERROR(__xludf.DUMMYFUNCTION("""COMPUTED_VALUE"""),"D")</f>
        <v>D</v>
      </c>
      <c r="E544" s="1" t="str">
        <f>IFERROR(__xludf.DUMMYFUNCTION("""COMPUTED_VALUE"""),"Female")</f>
        <v>Female</v>
      </c>
      <c r="F544" s="1">
        <f>IFERROR(__xludf.DUMMYFUNCTION("""COMPUTED_VALUE"""),66.0)</f>
        <v>66</v>
      </c>
      <c r="G544" s="1">
        <f>IFERROR(__xludf.DUMMYFUNCTION("""COMPUTED_VALUE"""),50.0)</f>
        <v>50</v>
      </c>
      <c r="H544" s="1">
        <f>IFERROR(__xludf.DUMMYFUNCTION("""COMPUTED_VALUE"""),27.0)</f>
        <v>27</v>
      </c>
      <c r="I544" s="1">
        <f>IFERROR(__xludf.DUMMYFUNCTION("""COMPUTED_VALUE"""),84.0)</f>
        <v>84</v>
      </c>
      <c r="J544" s="1">
        <f>IFERROR(__xludf.DUMMYFUNCTION("""COMPUTED_VALUE"""),23.0)</f>
        <v>23</v>
      </c>
      <c r="K544" s="1">
        <f>IFERROR(__xludf.DUMMYFUNCTION("""COMPUTED_VALUE"""),86.0)</f>
        <v>86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 t="str">
        <f>IFERROR(__xludf.DUMMYFUNCTION("""COMPUTED_VALUE"""),"A")</f>
        <v>A</v>
      </c>
      <c r="E545" s="1" t="str">
        <f>IFERROR(__xludf.DUMMYFUNCTION("""COMPUTED_VALUE"""),"Female")</f>
        <v>Female</v>
      </c>
      <c r="F545" s="1">
        <f>IFERROR(__xludf.DUMMYFUNCTION("""COMPUTED_VALUE"""),22.0)</f>
        <v>22</v>
      </c>
      <c r="G545" s="1">
        <f>IFERROR(__xludf.DUMMYFUNCTION("""COMPUTED_VALUE"""),93.0)</f>
        <v>93</v>
      </c>
      <c r="H545" s="1">
        <f>IFERROR(__xludf.DUMMYFUNCTION("""COMPUTED_VALUE"""),72.0)</f>
        <v>72</v>
      </c>
      <c r="I545" s="1">
        <f>IFERROR(__xludf.DUMMYFUNCTION("""COMPUTED_VALUE"""),47.0)</f>
        <v>47</v>
      </c>
      <c r="J545" s="1">
        <f>IFERROR(__xludf.DUMMYFUNCTION("""COMPUTED_VALUE"""),83.0)</f>
        <v>83</v>
      </c>
      <c r="K545" s="1">
        <f>IFERROR(__xludf.DUMMYFUNCTION("""COMPUTED_VALUE"""),82.0)</f>
        <v>82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 t="str">
        <f>IFERROR(__xludf.DUMMYFUNCTION("""COMPUTED_VALUE"""),"C")</f>
        <v>C</v>
      </c>
      <c r="E546" s="1" t="str">
        <f>IFERROR(__xludf.DUMMYFUNCTION("""COMPUTED_VALUE"""),"Female")</f>
        <v>Female</v>
      </c>
      <c r="F546" s="1">
        <f>IFERROR(__xludf.DUMMYFUNCTION("""COMPUTED_VALUE"""),89.0)</f>
        <v>89</v>
      </c>
      <c r="G546" s="1">
        <f>IFERROR(__xludf.DUMMYFUNCTION("""COMPUTED_VALUE"""),92.0)</f>
        <v>92</v>
      </c>
      <c r="H546" s="1">
        <f>IFERROR(__xludf.DUMMYFUNCTION("""COMPUTED_VALUE"""),35.0)</f>
        <v>35</v>
      </c>
      <c r="I546" s="1">
        <f>IFERROR(__xludf.DUMMYFUNCTION("""COMPUTED_VALUE"""),46.0)</f>
        <v>46</v>
      </c>
      <c r="J546" s="1">
        <f>IFERROR(__xludf.DUMMYFUNCTION("""COMPUTED_VALUE"""),24.0)</f>
        <v>24</v>
      </c>
      <c r="K546" s="1">
        <f>IFERROR(__xludf.DUMMYFUNCTION("""COMPUTED_VALUE"""),57.0)</f>
        <v>57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 t="str">
        <f>IFERROR(__xludf.DUMMYFUNCTION("""COMPUTED_VALUE"""),"A")</f>
        <v>A</v>
      </c>
      <c r="E547" s="1" t="str">
        <f>IFERROR(__xludf.DUMMYFUNCTION("""COMPUTED_VALUE"""),"Male")</f>
        <v>Male</v>
      </c>
      <c r="F547" s="1">
        <f>IFERROR(__xludf.DUMMYFUNCTION("""COMPUTED_VALUE"""),22.0)</f>
        <v>22</v>
      </c>
      <c r="G547" s="1">
        <f>IFERROR(__xludf.DUMMYFUNCTION("""COMPUTED_VALUE"""),80.0)</f>
        <v>80</v>
      </c>
      <c r="H547" s="1">
        <f>IFERROR(__xludf.DUMMYFUNCTION("""COMPUTED_VALUE"""),61.0)</f>
        <v>61</v>
      </c>
      <c r="I547" s="1">
        <f>IFERROR(__xludf.DUMMYFUNCTION("""COMPUTED_VALUE"""),97.0)</f>
        <v>97</v>
      </c>
      <c r="J547" s="1">
        <f>IFERROR(__xludf.DUMMYFUNCTION("""COMPUTED_VALUE"""),33.0)</f>
        <v>33</v>
      </c>
      <c r="K547" s="1">
        <f>IFERROR(__xludf.DUMMYFUNCTION("""COMPUTED_VALUE"""),48.0)</f>
        <v>48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 t="str">
        <f>IFERROR(__xludf.DUMMYFUNCTION("""COMPUTED_VALUE"""),"C")</f>
        <v>C</v>
      </c>
      <c r="E548" s="1" t="str">
        <f>IFERROR(__xludf.DUMMYFUNCTION("""COMPUTED_VALUE"""),"Male")</f>
        <v>Male</v>
      </c>
      <c r="F548" s="1">
        <f>IFERROR(__xludf.DUMMYFUNCTION("""COMPUTED_VALUE"""),16.0)</f>
        <v>16</v>
      </c>
      <c r="G548" s="1">
        <f>IFERROR(__xludf.DUMMYFUNCTION("""COMPUTED_VALUE"""),59.0)</f>
        <v>59</v>
      </c>
      <c r="H548" s="1">
        <f>IFERROR(__xludf.DUMMYFUNCTION("""COMPUTED_VALUE"""),38.0)</f>
        <v>38</v>
      </c>
      <c r="I548" s="1">
        <f>IFERROR(__xludf.DUMMYFUNCTION("""COMPUTED_VALUE"""),96.0)</f>
        <v>96</v>
      </c>
      <c r="J548" s="1">
        <f>IFERROR(__xludf.DUMMYFUNCTION("""COMPUTED_VALUE"""),21.0)</f>
        <v>21</v>
      </c>
      <c r="K548" s="1">
        <f>IFERROR(__xludf.DUMMYFUNCTION("""COMPUTED_VALUE"""),78.0)</f>
        <v>78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 t="str">
        <f>IFERROR(__xludf.DUMMYFUNCTION("""COMPUTED_VALUE"""),"A")</f>
        <v>A</v>
      </c>
      <c r="E549" s="1" t="str">
        <f>IFERROR(__xludf.DUMMYFUNCTION("""COMPUTED_VALUE"""),"Male")</f>
        <v>Male</v>
      </c>
      <c r="F549" s="1">
        <f>IFERROR(__xludf.DUMMYFUNCTION("""COMPUTED_VALUE"""),99.0)</f>
        <v>99</v>
      </c>
      <c r="G549" s="1">
        <f>IFERROR(__xludf.DUMMYFUNCTION("""COMPUTED_VALUE"""),52.0)</f>
        <v>52</v>
      </c>
      <c r="H549" s="1">
        <f>IFERROR(__xludf.DUMMYFUNCTION("""COMPUTED_VALUE"""),67.0)</f>
        <v>67</v>
      </c>
      <c r="I549" s="1">
        <f>IFERROR(__xludf.DUMMYFUNCTION("""COMPUTED_VALUE"""),53.0)</f>
        <v>53</v>
      </c>
      <c r="J549" s="1">
        <f>IFERROR(__xludf.DUMMYFUNCTION("""COMPUTED_VALUE"""),95.0)</f>
        <v>95</v>
      </c>
      <c r="K549" s="1">
        <f>IFERROR(__xludf.DUMMYFUNCTION("""COMPUTED_VALUE"""),29.0)</f>
        <v>29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 t="str">
        <f>IFERROR(__xludf.DUMMYFUNCTION("""COMPUTED_VALUE"""),"A")</f>
        <v>A</v>
      </c>
      <c r="E550" s="1" t="str">
        <f>IFERROR(__xludf.DUMMYFUNCTION("""COMPUTED_VALUE"""),"Male")</f>
        <v>Male</v>
      </c>
      <c r="F550" s="1">
        <f>IFERROR(__xludf.DUMMYFUNCTION("""COMPUTED_VALUE"""),87.0)</f>
        <v>87</v>
      </c>
      <c r="G550" s="1">
        <f>IFERROR(__xludf.DUMMYFUNCTION("""COMPUTED_VALUE"""),47.0)</f>
        <v>47</v>
      </c>
      <c r="H550" s="1">
        <f>IFERROR(__xludf.DUMMYFUNCTION("""COMPUTED_VALUE"""),76.0)</f>
        <v>76</v>
      </c>
      <c r="I550" s="1">
        <f>IFERROR(__xludf.DUMMYFUNCTION("""COMPUTED_VALUE"""),55.0)</f>
        <v>55</v>
      </c>
      <c r="J550" s="1">
        <f>IFERROR(__xludf.DUMMYFUNCTION("""COMPUTED_VALUE"""),43.0)</f>
        <v>43</v>
      </c>
      <c r="K550" s="1">
        <f>IFERROR(__xludf.DUMMYFUNCTION("""COMPUTED_VALUE"""),46.0)</f>
        <v>46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 t="str">
        <f>IFERROR(__xludf.DUMMYFUNCTION("""COMPUTED_VALUE"""),"A")</f>
        <v>A</v>
      </c>
      <c r="E551" s="1" t="str">
        <f>IFERROR(__xludf.DUMMYFUNCTION("""COMPUTED_VALUE"""),"Male")</f>
        <v>Male</v>
      </c>
      <c r="F551" s="1">
        <f>IFERROR(__xludf.DUMMYFUNCTION("""COMPUTED_VALUE"""),33.0)</f>
        <v>33</v>
      </c>
      <c r="G551" s="1">
        <f>IFERROR(__xludf.DUMMYFUNCTION("""COMPUTED_VALUE"""),28.0)</f>
        <v>28</v>
      </c>
      <c r="H551" s="1">
        <f>IFERROR(__xludf.DUMMYFUNCTION("""COMPUTED_VALUE"""),51.0)</f>
        <v>51</v>
      </c>
      <c r="I551" s="1">
        <f>IFERROR(__xludf.DUMMYFUNCTION("""COMPUTED_VALUE"""),69.0)</f>
        <v>69</v>
      </c>
      <c r="J551" s="1">
        <f>IFERROR(__xludf.DUMMYFUNCTION("""COMPUTED_VALUE"""),66.0)</f>
        <v>66</v>
      </c>
      <c r="K551" s="1">
        <f>IFERROR(__xludf.DUMMYFUNCTION("""COMPUTED_VALUE"""),72.0)</f>
        <v>72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 t="str">
        <f>IFERROR(__xludf.DUMMYFUNCTION("""COMPUTED_VALUE"""),"A")</f>
        <v>A</v>
      </c>
      <c r="E552" s="1" t="str">
        <f>IFERROR(__xludf.DUMMYFUNCTION("""COMPUTED_VALUE"""),"Male")</f>
        <v>Male</v>
      </c>
      <c r="F552" s="1">
        <f>IFERROR(__xludf.DUMMYFUNCTION("""COMPUTED_VALUE"""),98.0)</f>
        <v>98</v>
      </c>
      <c r="G552" s="1">
        <f>IFERROR(__xludf.DUMMYFUNCTION("""COMPUTED_VALUE"""),96.0)</f>
        <v>96</v>
      </c>
      <c r="H552" s="1">
        <f>IFERROR(__xludf.DUMMYFUNCTION("""COMPUTED_VALUE"""),53.0)</f>
        <v>53</v>
      </c>
      <c r="I552" s="1">
        <f>IFERROR(__xludf.DUMMYFUNCTION("""COMPUTED_VALUE"""),67.0)</f>
        <v>67</v>
      </c>
      <c r="J552" s="1">
        <f>IFERROR(__xludf.DUMMYFUNCTION("""COMPUTED_VALUE"""),23.0)</f>
        <v>23</v>
      </c>
      <c r="K552" s="1">
        <f>IFERROR(__xludf.DUMMYFUNCTION("""COMPUTED_VALUE"""),78.0)</f>
        <v>78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 t="str">
        <f>IFERROR(__xludf.DUMMYFUNCTION("""COMPUTED_VALUE"""),"D")</f>
        <v>D</v>
      </c>
      <c r="E553" s="1" t="str">
        <f>IFERROR(__xludf.DUMMYFUNCTION("""COMPUTED_VALUE"""),"Female")</f>
        <v>Female</v>
      </c>
      <c r="F553" s="1">
        <f>IFERROR(__xludf.DUMMYFUNCTION("""COMPUTED_VALUE"""),98.0)</f>
        <v>98</v>
      </c>
      <c r="G553" s="1">
        <f>IFERROR(__xludf.DUMMYFUNCTION("""COMPUTED_VALUE"""),93.0)</f>
        <v>93</v>
      </c>
      <c r="H553" s="1">
        <f>IFERROR(__xludf.DUMMYFUNCTION("""COMPUTED_VALUE"""),85.0)</f>
        <v>85</v>
      </c>
      <c r="I553" s="1">
        <f>IFERROR(__xludf.DUMMYFUNCTION("""COMPUTED_VALUE"""),98.0)</f>
        <v>98</v>
      </c>
      <c r="J553" s="1">
        <f>IFERROR(__xludf.DUMMYFUNCTION("""COMPUTED_VALUE"""),32.0)</f>
        <v>32</v>
      </c>
      <c r="K553" s="1">
        <f>IFERROR(__xludf.DUMMYFUNCTION("""COMPUTED_VALUE"""),39.0)</f>
        <v>39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 t="str">
        <f>IFERROR(__xludf.DUMMYFUNCTION("""COMPUTED_VALUE"""),"D")</f>
        <v>D</v>
      </c>
      <c r="E554" s="1" t="str">
        <f>IFERROR(__xludf.DUMMYFUNCTION("""COMPUTED_VALUE"""),"Female")</f>
        <v>Female</v>
      </c>
      <c r="F554" s="1">
        <f>IFERROR(__xludf.DUMMYFUNCTION("""COMPUTED_VALUE"""),35.0)</f>
        <v>35</v>
      </c>
      <c r="G554" s="1">
        <f>IFERROR(__xludf.DUMMYFUNCTION("""COMPUTED_VALUE"""),91.0)</f>
        <v>91</v>
      </c>
      <c r="H554" s="1">
        <f>IFERROR(__xludf.DUMMYFUNCTION("""COMPUTED_VALUE"""),90.0)</f>
        <v>90</v>
      </c>
      <c r="I554" s="1">
        <f>IFERROR(__xludf.DUMMYFUNCTION("""COMPUTED_VALUE"""),70.0)</f>
        <v>70</v>
      </c>
      <c r="J554" s="1">
        <f>IFERROR(__xludf.DUMMYFUNCTION("""COMPUTED_VALUE"""),53.0)</f>
        <v>53</v>
      </c>
      <c r="K554" s="1">
        <f>IFERROR(__xludf.DUMMYFUNCTION("""COMPUTED_VALUE"""),48.0)</f>
        <v>48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 t="str">
        <f>IFERROR(__xludf.DUMMYFUNCTION("""COMPUTED_VALUE"""),"B")</f>
        <v>B</v>
      </c>
      <c r="E555" s="1" t="str">
        <f>IFERROR(__xludf.DUMMYFUNCTION("""COMPUTED_VALUE"""),"Male")</f>
        <v>Male</v>
      </c>
      <c r="F555" s="1">
        <f>IFERROR(__xludf.DUMMYFUNCTION("""COMPUTED_VALUE"""),87.0)</f>
        <v>87</v>
      </c>
      <c r="G555" s="1">
        <f>IFERROR(__xludf.DUMMYFUNCTION("""COMPUTED_VALUE"""),87.0)</f>
        <v>87</v>
      </c>
      <c r="H555" s="1">
        <f>IFERROR(__xludf.DUMMYFUNCTION("""COMPUTED_VALUE"""),52.0)</f>
        <v>52</v>
      </c>
      <c r="I555" s="1">
        <f>IFERROR(__xludf.DUMMYFUNCTION("""COMPUTED_VALUE"""),62.0)</f>
        <v>62</v>
      </c>
      <c r="J555" s="1">
        <f>IFERROR(__xludf.DUMMYFUNCTION("""COMPUTED_VALUE"""),85.0)</f>
        <v>85</v>
      </c>
      <c r="K555" s="1">
        <f>IFERROR(__xludf.DUMMYFUNCTION("""COMPUTED_VALUE"""),35.0)</f>
        <v>35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 t="str">
        <f>IFERROR(__xludf.DUMMYFUNCTION("""COMPUTED_VALUE"""),"D")</f>
        <v>D</v>
      </c>
      <c r="E556" s="1" t="str">
        <f>IFERROR(__xludf.DUMMYFUNCTION("""COMPUTED_VALUE"""),"Female")</f>
        <v>Female</v>
      </c>
      <c r="F556" s="1">
        <f>IFERROR(__xludf.DUMMYFUNCTION("""COMPUTED_VALUE"""),40.0)</f>
        <v>40</v>
      </c>
      <c r="G556" s="1">
        <f>IFERROR(__xludf.DUMMYFUNCTION("""COMPUTED_VALUE"""),33.0)</f>
        <v>33</v>
      </c>
      <c r="H556" s="1">
        <f>IFERROR(__xludf.DUMMYFUNCTION("""COMPUTED_VALUE"""),82.0)</f>
        <v>82</v>
      </c>
      <c r="I556" s="1">
        <f>IFERROR(__xludf.DUMMYFUNCTION("""COMPUTED_VALUE"""),83.0)</f>
        <v>83</v>
      </c>
      <c r="J556" s="1">
        <f>IFERROR(__xludf.DUMMYFUNCTION("""COMPUTED_VALUE"""),39.0)</f>
        <v>39</v>
      </c>
      <c r="K556" s="1">
        <f>IFERROR(__xludf.DUMMYFUNCTION("""COMPUTED_VALUE"""),70.0)</f>
        <v>70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 t="str">
        <f>IFERROR(__xludf.DUMMYFUNCTION("""COMPUTED_VALUE"""),"B")</f>
        <v>B</v>
      </c>
      <c r="E557" s="1" t="str">
        <f>IFERROR(__xludf.DUMMYFUNCTION("""COMPUTED_VALUE"""),"Male")</f>
        <v>Male</v>
      </c>
      <c r="F557" s="1">
        <f>IFERROR(__xludf.DUMMYFUNCTION("""COMPUTED_VALUE"""),13.0)</f>
        <v>13</v>
      </c>
      <c r="G557" s="1">
        <f>IFERROR(__xludf.DUMMYFUNCTION("""COMPUTED_VALUE"""),79.0)</f>
        <v>79</v>
      </c>
      <c r="H557" s="1">
        <f>IFERROR(__xludf.DUMMYFUNCTION("""COMPUTED_VALUE"""),77.0)</f>
        <v>77</v>
      </c>
      <c r="I557" s="1">
        <f>IFERROR(__xludf.DUMMYFUNCTION("""COMPUTED_VALUE"""),92.0)</f>
        <v>92</v>
      </c>
      <c r="J557" s="1">
        <f>IFERROR(__xludf.DUMMYFUNCTION("""COMPUTED_VALUE"""),20.0)</f>
        <v>20</v>
      </c>
      <c r="K557" s="1">
        <f>IFERROR(__xludf.DUMMYFUNCTION("""COMPUTED_VALUE"""),24.0)</f>
        <v>24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 t="str">
        <f>IFERROR(__xludf.DUMMYFUNCTION("""COMPUTED_VALUE"""),"B")</f>
        <v>B</v>
      </c>
      <c r="E558" s="1" t="str">
        <f>IFERROR(__xludf.DUMMYFUNCTION("""COMPUTED_VALUE"""),"Female")</f>
        <v>Female</v>
      </c>
      <c r="F558" s="1">
        <f>IFERROR(__xludf.DUMMYFUNCTION("""COMPUTED_VALUE"""),69.0)</f>
        <v>69</v>
      </c>
      <c r="G558" s="1">
        <f>IFERROR(__xludf.DUMMYFUNCTION("""COMPUTED_VALUE"""),32.0)</f>
        <v>32</v>
      </c>
      <c r="H558" s="1">
        <f>IFERROR(__xludf.DUMMYFUNCTION("""COMPUTED_VALUE"""),61.0)</f>
        <v>61</v>
      </c>
      <c r="I558" s="1">
        <f>IFERROR(__xludf.DUMMYFUNCTION("""COMPUTED_VALUE"""),57.0)</f>
        <v>57</v>
      </c>
      <c r="J558" s="1">
        <f>IFERROR(__xludf.DUMMYFUNCTION("""COMPUTED_VALUE"""),88.0)</f>
        <v>88</v>
      </c>
      <c r="K558" s="1">
        <f>IFERROR(__xludf.DUMMYFUNCTION("""COMPUTED_VALUE"""),61.0)</f>
        <v>61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 t="str">
        <f>IFERROR(__xludf.DUMMYFUNCTION("""COMPUTED_VALUE"""),"A")</f>
        <v>A</v>
      </c>
      <c r="E559" s="1" t="str">
        <f>IFERROR(__xludf.DUMMYFUNCTION("""COMPUTED_VALUE"""),"Female")</f>
        <v>Female</v>
      </c>
      <c r="F559" s="1">
        <f>IFERROR(__xludf.DUMMYFUNCTION("""COMPUTED_VALUE"""),83.0)</f>
        <v>83</v>
      </c>
      <c r="G559" s="1">
        <f>IFERROR(__xludf.DUMMYFUNCTION("""COMPUTED_VALUE"""),62.0)</f>
        <v>62</v>
      </c>
      <c r="H559" s="1">
        <f>IFERROR(__xludf.DUMMYFUNCTION("""COMPUTED_VALUE"""),87.0)</f>
        <v>87</v>
      </c>
      <c r="I559" s="1">
        <f>IFERROR(__xludf.DUMMYFUNCTION("""COMPUTED_VALUE"""),69.0)</f>
        <v>69</v>
      </c>
      <c r="J559" s="1">
        <f>IFERROR(__xludf.DUMMYFUNCTION("""COMPUTED_VALUE"""),35.0)</f>
        <v>35</v>
      </c>
      <c r="K559" s="1">
        <f>IFERROR(__xludf.DUMMYFUNCTION("""COMPUTED_VALUE"""),27.0)</f>
        <v>27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 t="str">
        <f>IFERROR(__xludf.DUMMYFUNCTION("""COMPUTED_VALUE"""),"C")</f>
        <v>C</v>
      </c>
      <c r="E560" s="1" t="str">
        <f>IFERROR(__xludf.DUMMYFUNCTION("""COMPUTED_VALUE"""),"Female")</f>
        <v>Female</v>
      </c>
      <c r="F560" s="1">
        <f>IFERROR(__xludf.DUMMYFUNCTION("""COMPUTED_VALUE"""),63.0)</f>
        <v>63</v>
      </c>
      <c r="G560" s="1">
        <f>IFERROR(__xludf.DUMMYFUNCTION("""COMPUTED_VALUE"""),34.0)</f>
        <v>34</v>
      </c>
      <c r="H560" s="1">
        <f>IFERROR(__xludf.DUMMYFUNCTION("""COMPUTED_VALUE"""),27.0)</f>
        <v>27</v>
      </c>
      <c r="I560" s="1">
        <f>IFERROR(__xludf.DUMMYFUNCTION("""COMPUTED_VALUE"""),50.0)</f>
        <v>50</v>
      </c>
      <c r="J560" s="1">
        <f>IFERROR(__xludf.DUMMYFUNCTION("""COMPUTED_VALUE"""),90.0)</f>
        <v>90</v>
      </c>
      <c r="K560" s="1">
        <f>IFERROR(__xludf.DUMMYFUNCTION("""COMPUTED_VALUE"""),66.0)</f>
        <v>66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 t="str">
        <f>IFERROR(__xludf.DUMMYFUNCTION("""COMPUTED_VALUE"""),"D")</f>
        <v>D</v>
      </c>
      <c r="E561" s="1" t="str">
        <f>IFERROR(__xludf.DUMMYFUNCTION("""COMPUTED_VALUE"""),"Female")</f>
        <v>Female</v>
      </c>
      <c r="F561" s="1">
        <f>IFERROR(__xludf.DUMMYFUNCTION("""COMPUTED_VALUE"""),12.0)</f>
        <v>12</v>
      </c>
      <c r="G561" s="1">
        <f>IFERROR(__xludf.DUMMYFUNCTION("""COMPUTED_VALUE"""),23.0)</f>
        <v>23</v>
      </c>
      <c r="H561" s="1">
        <f>IFERROR(__xludf.DUMMYFUNCTION("""COMPUTED_VALUE"""),90.0)</f>
        <v>90</v>
      </c>
      <c r="I561" s="1">
        <f>IFERROR(__xludf.DUMMYFUNCTION("""COMPUTED_VALUE"""),24.0)</f>
        <v>24</v>
      </c>
      <c r="J561" s="1">
        <f>IFERROR(__xludf.DUMMYFUNCTION("""COMPUTED_VALUE"""),66.0)</f>
        <v>66</v>
      </c>
      <c r="K561" s="1">
        <f>IFERROR(__xludf.DUMMYFUNCTION("""COMPUTED_VALUE"""),33.0)</f>
        <v>33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 t="str">
        <f>IFERROR(__xludf.DUMMYFUNCTION("""COMPUTED_VALUE"""),"B")</f>
        <v>B</v>
      </c>
      <c r="E562" s="1" t="str">
        <f>IFERROR(__xludf.DUMMYFUNCTION("""COMPUTED_VALUE"""),"Female")</f>
        <v>Female</v>
      </c>
      <c r="F562" s="1">
        <f>IFERROR(__xludf.DUMMYFUNCTION("""COMPUTED_VALUE"""),35.0)</f>
        <v>35</v>
      </c>
      <c r="G562" s="1">
        <f>IFERROR(__xludf.DUMMYFUNCTION("""COMPUTED_VALUE"""),47.0)</f>
        <v>47</v>
      </c>
      <c r="H562" s="1">
        <f>IFERROR(__xludf.DUMMYFUNCTION("""COMPUTED_VALUE"""),62.0)</f>
        <v>62</v>
      </c>
      <c r="I562" s="1">
        <f>IFERROR(__xludf.DUMMYFUNCTION("""COMPUTED_VALUE"""),67.0)</f>
        <v>67</v>
      </c>
      <c r="J562" s="1">
        <f>IFERROR(__xludf.DUMMYFUNCTION("""COMPUTED_VALUE"""),97.0)</f>
        <v>97</v>
      </c>
      <c r="K562" s="1">
        <f>IFERROR(__xludf.DUMMYFUNCTION("""COMPUTED_VALUE"""),67.0)</f>
        <v>67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 t="str">
        <f>IFERROR(__xludf.DUMMYFUNCTION("""COMPUTED_VALUE"""),"C")</f>
        <v>C</v>
      </c>
      <c r="E563" s="1" t="str">
        <f>IFERROR(__xludf.DUMMYFUNCTION("""COMPUTED_VALUE"""),"Female")</f>
        <v>Female</v>
      </c>
      <c r="F563" s="1">
        <f>IFERROR(__xludf.DUMMYFUNCTION("""COMPUTED_VALUE"""),17.0)</f>
        <v>17</v>
      </c>
      <c r="G563" s="1">
        <f>IFERROR(__xludf.DUMMYFUNCTION("""COMPUTED_VALUE"""),59.0)</f>
        <v>59</v>
      </c>
      <c r="H563" s="1">
        <f>IFERROR(__xludf.DUMMYFUNCTION("""COMPUTED_VALUE"""),98.0)</f>
        <v>98</v>
      </c>
      <c r="I563" s="1">
        <f>IFERROR(__xludf.DUMMYFUNCTION("""COMPUTED_VALUE"""),34.0)</f>
        <v>34</v>
      </c>
      <c r="J563" s="1">
        <f>IFERROR(__xludf.DUMMYFUNCTION("""COMPUTED_VALUE"""),71.0)</f>
        <v>71</v>
      </c>
      <c r="K563" s="1">
        <f>IFERROR(__xludf.DUMMYFUNCTION("""COMPUTED_VALUE"""),44.0)</f>
        <v>44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 t="str">
        <f>IFERROR(__xludf.DUMMYFUNCTION("""COMPUTED_VALUE"""),"B")</f>
        <v>B</v>
      </c>
      <c r="E564" s="1" t="str">
        <f>IFERROR(__xludf.DUMMYFUNCTION("""COMPUTED_VALUE"""),"Male")</f>
        <v>Male</v>
      </c>
      <c r="F564" s="1">
        <f>IFERROR(__xludf.DUMMYFUNCTION("""COMPUTED_VALUE"""),71.0)</f>
        <v>71</v>
      </c>
      <c r="G564" s="1">
        <f>IFERROR(__xludf.DUMMYFUNCTION("""COMPUTED_VALUE"""),47.0)</f>
        <v>47</v>
      </c>
      <c r="H564" s="1">
        <f>IFERROR(__xludf.DUMMYFUNCTION("""COMPUTED_VALUE"""),67.0)</f>
        <v>67</v>
      </c>
      <c r="I564" s="1">
        <f>IFERROR(__xludf.DUMMYFUNCTION("""COMPUTED_VALUE"""),40.0)</f>
        <v>40</v>
      </c>
      <c r="J564" s="1">
        <f>IFERROR(__xludf.DUMMYFUNCTION("""COMPUTED_VALUE"""),20.0)</f>
        <v>20</v>
      </c>
      <c r="K564" s="1">
        <f>IFERROR(__xludf.DUMMYFUNCTION("""COMPUTED_VALUE"""),74.0)</f>
        <v>74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 t="str">
        <f>IFERROR(__xludf.DUMMYFUNCTION("""COMPUTED_VALUE"""),"C")</f>
        <v>C</v>
      </c>
      <c r="E565" s="1" t="str">
        <f>IFERROR(__xludf.DUMMYFUNCTION("""COMPUTED_VALUE"""),"Male")</f>
        <v>Male</v>
      </c>
      <c r="F565" s="1">
        <f>IFERROR(__xludf.DUMMYFUNCTION("""COMPUTED_VALUE"""),21.0)</f>
        <v>21</v>
      </c>
      <c r="G565" s="1">
        <f>IFERROR(__xludf.DUMMYFUNCTION("""COMPUTED_VALUE"""),61.0)</f>
        <v>61</v>
      </c>
      <c r="H565" s="1">
        <f>IFERROR(__xludf.DUMMYFUNCTION("""COMPUTED_VALUE"""),60.0)</f>
        <v>60</v>
      </c>
      <c r="I565" s="1">
        <f>IFERROR(__xludf.DUMMYFUNCTION("""COMPUTED_VALUE"""),91.0)</f>
        <v>91</v>
      </c>
      <c r="J565" s="1">
        <f>IFERROR(__xludf.DUMMYFUNCTION("""COMPUTED_VALUE"""),43.0)</f>
        <v>43</v>
      </c>
      <c r="K565" s="1">
        <f>IFERROR(__xludf.DUMMYFUNCTION("""COMPUTED_VALUE"""),75.0)</f>
        <v>75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 t="str">
        <f>IFERROR(__xludf.DUMMYFUNCTION("""COMPUTED_VALUE"""),"A")</f>
        <v>A</v>
      </c>
      <c r="E566" s="1" t="str">
        <f>IFERROR(__xludf.DUMMYFUNCTION("""COMPUTED_VALUE"""),"Male")</f>
        <v>Male</v>
      </c>
      <c r="F566" s="1">
        <f>IFERROR(__xludf.DUMMYFUNCTION("""COMPUTED_VALUE"""),39.0)</f>
        <v>39</v>
      </c>
      <c r="G566" s="1">
        <f>IFERROR(__xludf.DUMMYFUNCTION("""COMPUTED_VALUE"""),57.0)</f>
        <v>57</v>
      </c>
      <c r="H566" s="1">
        <f>IFERROR(__xludf.DUMMYFUNCTION("""COMPUTED_VALUE"""),23.0)</f>
        <v>23</v>
      </c>
      <c r="I566" s="1">
        <f>IFERROR(__xludf.DUMMYFUNCTION("""COMPUTED_VALUE"""),87.0)</f>
        <v>87</v>
      </c>
      <c r="J566" s="1">
        <f>IFERROR(__xludf.DUMMYFUNCTION("""COMPUTED_VALUE"""),35.0)</f>
        <v>35</v>
      </c>
      <c r="K566" s="1">
        <f>IFERROR(__xludf.DUMMYFUNCTION("""COMPUTED_VALUE"""),88.0)</f>
        <v>88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 t="str">
        <f>IFERROR(__xludf.DUMMYFUNCTION("""COMPUTED_VALUE"""),"B")</f>
        <v>B</v>
      </c>
      <c r="E567" s="1" t="str">
        <f>IFERROR(__xludf.DUMMYFUNCTION("""COMPUTED_VALUE"""),"Female")</f>
        <v>Female</v>
      </c>
      <c r="F567" s="1">
        <f>IFERROR(__xludf.DUMMYFUNCTION("""COMPUTED_VALUE"""),84.0)</f>
        <v>84</v>
      </c>
      <c r="G567" s="1">
        <f>IFERROR(__xludf.DUMMYFUNCTION("""COMPUTED_VALUE"""),69.0)</f>
        <v>69</v>
      </c>
      <c r="H567" s="1">
        <f>IFERROR(__xludf.DUMMYFUNCTION("""COMPUTED_VALUE"""),22.0)</f>
        <v>22</v>
      </c>
      <c r="I567" s="1">
        <f>IFERROR(__xludf.DUMMYFUNCTION("""COMPUTED_VALUE"""),46.0)</f>
        <v>46</v>
      </c>
      <c r="J567" s="1">
        <f>IFERROR(__xludf.DUMMYFUNCTION("""COMPUTED_VALUE"""),23.0)</f>
        <v>23</v>
      </c>
      <c r="K567" s="1">
        <f>IFERROR(__xludf.DUMMYFUNCTION("""COMPUTED_VALUE"""),98.0)</f>
        <v>98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 t="str">
        <f>IFERROR(__xludf.DUMMYFUNCTION("""COMPUTED_VALUE"""),"D")</f>
        <v>D</v>
      </c>
      <c r="E568" s="1" t="str">
        <f>IFERROR(__xludf.DUMMYFUNCTION("""COMPUTED_VALUE"""),"Female")</f>
        <v>Female</v>
      </c>
      <c r="F568" s="1">
        <f>IFERROR(__xludf.DUMMYFUNCTION("""COMPUTED_VALUE"""),10.0)</f>
        <v>10</v>
      </c>
      <c r="G568" s="1">
        <f>IFERROR(__xludf.DUMMYFUNCTION("""COMPUTED_VALUE"""),84.0)</f>
        <v>84</v>
      </c>
      <c r="H568" s="1">
        <f>IFERROR(__xludf.DUMMYFUNCTION("""COMPUTED_VALUE"""),61.0)</f>
        <v>61</v>
      </c>
      <c r="I568" s="1">
        <f>IFERROR(__xludf.DUMMYFUNCTION("""COMPUTED_VALUE"""),30.0)</f>
        <v>30</v>
      </c>
      <c r="J568" s="1">
        <f>IFERROR(__xludf.DUMMYFUNCTION("""COMPUTED_VALUE"""),78.0)</f>
        <v>78</v>
      </c>
      <c r="K568" s="1">
        <f>IFERROR(__xludf.DUMMYFUNCTION("""COMPUTED_VALUE"""),34.0)</f>
        <v>34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 t="str">
        <f>IFERROR(__xludf.DUMMYFUNCTION("""COMPUTED_VALUE"""),"C")</f>
        <v>C</v>
      </c>
      <c r="E569" s="1" t="str">
        <f>IFERROR(__xludf.DUMMYFUNCTION("""COMPUTED_VALUE"""),"Female")</f>
        <v>Female</v>
      </c>
      <c r="F569" s="1">
        <f>IFERROR(__xludf.DUMMYFUNCTION("""COMPUTED_VALUE"""),36.0)</f>
        <v>36</v>
      </c>
      <c r="G569" s="1">
        <f>IFERROR(__xludf.DUMMYFUNCTION("""COMPUTED_VALUE"""),84.0)</f>
        <v>84</v>
      </c>
      <c r="H569" s="1">
        <f>IFERROR(__xludf.DUMMYFUNCTION("""COMPUTED_VALUE"""),80.0)</f>
        <v>80</v>
      </c>
      <c r="I569" s="1">
        <f>IFERROR(__xludf.DUMMYFUNCTION("""COMPUTED_VALUE"""),68.0)</f>
        <v>68</v>
      </c>
      <c r="J569" s="1">
        <f>IFERROR(__xludf.DUMMYFUNCTION("""COMPUTED_VALUE"""),73.0)</f>
        <v>73</v>
      </c>
      <c r="K569" s="1">
        <f>IFERROR(__xludf.DUMMYFUNCTION("""COMPUTED_VALUE"""),83.0)</f>
        <v>83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 t="str">
        <f>IFERROR(__xludf.DUMMYFUNCTION("""COMPUTED_VALUE"""),"C")</f>
        <v>C</v>
      </c>
      <c r="E570" s="1" t="str">
        <f>IFERROR(__xludf.DUMMYFUNCTION("""COMPUTED_VALUE"""),"Male")</f>
        <v>Male</v>
      </c>
      <c r="F570" s="1">
        <f>IFERROR(__xludf.DUMMYFUNCTION("""COMPUTED_VALUE"""),58.0)</f>
        <v>58</v>
      </c>
      <c r="G570" s="1">
        <f>IFERROR(__xludf.DUMMYFUNCTION("""COMPUTED_VALUE"""),71.0)</f>
        <v>71</v>
      </c>
      <c r="H570" s="1">
        <f>IFERROR(__xludf.DUMMYFUNCTION("""COMPUTED_VALUE"""),40.0)</f>
        <v>40</v>
      </c>
      <c r="I570" s="1">
        <f>IFERROR(__xludf.DUMMYFUNCTION("""COMPUTED_VALUE"""),35.0)</f>
        <v>35</v>
      </c>
      <c r="J570" s="1">
        <f>IFERROR(__xludf.DUMMYFUNCTION("""COMPUTED_VALUE"""),44.0)</f>
        <v>44</v>
      </c>
      <c r="K570" s="1">
        <f>IFERROR(__xludf.DUMMYFUNCTION("""COMPUTED_VALUE"""),67.0)</f>
        <v>67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 t="str">
        <f>IFERROR(__xludf.DUMMYFUNCTION("""COMPUTED_VALUE"""),"A")</f>
        <v>A</v>
      </c>
      <c r="E571" s="1" t="str">
        <f>IFERROR(__xludf.DUMMYFUNCTION("""COMPUTED_VALUE"""),"Female")</f>
        <v>Female</v>
      </c>
      <c r="F571" s="1">
        <f>IFERROR(__xludf.DUMMYFUNCTION("""COMPUTED_VALUE"""),83.0)</f>
        <v>83</v>
      </c>
      <c r="G571" s="1">
        <f>IFERROR(__xludf.DUMMYFUNCTION("""COMPUTED_VALUE"""),46.0)</f>
        <v>46</v>
      </c>
      <c r="H571" s="1">
        <f>IFERROR(__xludf.DUMMYFUNCTION("""COMPUTED_VALUE"""),69.0)</f>
        <v>69</v>
      </c>
      <c r="I571" s="1">
        <f>IFERROR(__xludf.DUMMYFUNCTION("""COMPUTED_VALUE"""),70.0)</f>
        <v>70</v>
      </c>
      <c r="J571" s="1">
        <f>IFERROR(__xludf.DUMMYFUNCTION("""COMPUTED_VALUE"""),93.0)</f>
        <v>93</v>
      </c>
      <c r="K571" s="1">
        <f>IFERROR(__xludf.DUMMYFUNCTION("""COMPUTED_VALUE"""),67.0)</f>
        <v>67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 t="str">
        <f>IFERROR(__xludf.DUMMYFUNCTION("""COMPUTED_VALUE"""),"C")</f>
        <v>C</v>
      </c>
      <c r="E572" s="1" t="str">
        <f>IFERROR(__xludf.DUMMYFUNCTION("""COMPUTED_VALUE"""),"Female")</f>
        <v>Female</v>
      </c>
      <c r="F572" s="1">
        <f>IFERROR(__xludf.DUMMYFUNCTION("""COMPUTED_VALUE"""),67.0)</f>
        <v>67</v>
      </c>
      <c r="G572" s="1">
        <f>IFERROR(__xludf.DUMMYFUNCTION("""COMPUTED_VALUE"""),67.0)</f>
        <v>67</v>
      </c>
      <c r="H572" s="1">
        <f>IFERROR(__xludf.DUMMYFUNCTION("""COMPUTED_VALUE"""),59.0)</f>
        <v>59</v>
      </c>
      <c r="I572" s="1">
        <f>IFERROR(__xludf.DUMMYFUNCTION("""COMPUTED_VALUE"""),58.0)</f>
        <v>58</v>
      </c>
      <c r="J572" s="1">
        <f>IFERROR(__xludf.DUMMYFUNCTION("""COMPUTED_VALUE"""),74.0)</f>
        <v>74</v>
      </c>
      <c r="K572" s="1">
        <f>IFERROR(__xludf.DUMMYFUNCTION("""COMPUTED_VALUE"""),70.0)</f>
        <v>70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 t="str">
        <f>IFERROR(__xludf.DUMMYFUNCTION("""COMPUTED_VALUE"""),"B")</f>
        <v>B</v>
      </c>
      <c r="E573" s="1" t="str">
        <f>IFERROR(__xludf.DUMMYFUNCTION("""COMPUTED_VALUE"""),"Female")</f>
        <v>Female</v>
      </c>
      <c r="F573" s="1">
        <f>IFERROR(__xludf.DUMMYFUNCTION("""COMPUTED_VALUE"""),93.0)</f>
        <v>93</v>
      </c>
      <c r="G573" s="1">
        <f>IFERROR(__xludf.DUMMYFUNCTION("""COMPUTED_VALUE"""),31.0)</f>
        <v>31</v>
      </c>
      <c r="H573" s="1">
        <f>IFERROR(__xludf.DUMMYFUNCTION("""COMPUTED_VALUE"""),99.0)</f>
        <v>99</v>
      </c>
      <c r="I573" s="1">
        <f>IFERROR(__xludf.DUMMYFUNCTION("""COMPUTED_VALUE"""),43.0)</f>
        <v>43</v>
      </c>
      <c r="J573" s="1">
        <f>IFERROR(__xludf.DUMMYFUNCTION("""COMPUTED_VALUE"""),78.0)</f>
        <v>78</v>
      </c>
      <c r="K573" s="1">
        <f>IFERROR(__xludf.DUMMYFUNCTION("""COMPUTED_VALUE"""),49.0)</f>
        <v>49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 t="str">
        <f>IFERROR(__xludf.DUMMYFUNCTION("""COMPUTED_VALUE"""),"A")</f>
        <v>A</v>
      </c>
      <c r="E574" s="1" t="str">
        <f>IFERROR(__xludf.DUMMYFUNCTION("""COMPUTED_VALUE"""),"Male")</f>
        <v>Male</v>
      </c>
      <c r="F574" s="1">
        <f>IFERROR(__xludf.DUMMYFUNCTION("""COMPUTED_VALUE"""),26.0)</f>
        <v>26</v>
      </c>
      <c r="G574" s="1">
        <f>IFERROR(__xludf.DUMMYFUNCTION("""COMPUTED_VALUE"""),26.0)</f>
        <v>26</v>
      </c>
      <c r="H574" s="1">
        <f>IFERROR(__xludf.DUMMYFUNCTION("""COMPUTED_VALUE"""),56.0)</f>
        <v>56</v>
      </c>
      <c r="I574" s="1">
        <f>IFERROR(__xludf.DUMMYFUNCTION("""COMPUTED_VALUE"""),35.0)</f>
        <v>35</v>
      </c>
      <c r="J574" s="1">
        <f>IFERROR(__xludf.DUMMYFUNCTION("""COMPUTED_VALUE"""),96.0)</f>
        <v>96</v>
      </c>
      <c r="K574" s="1">
        <f>IFERROR(__xludf.DUMMYFUNCTION("""COMPUTED_VALUE"""),91.0)</f>
        <v>91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 t="str">
        <f>IFERROR(__xludf.DUMMYFUNCTION("""COMPUTED_VALUE"""),"D")</f>
        <v>D</v>
      </c>
      <c r="E575" s="1" t="str">
        <f>IFERROR(__xludf.DUMMYFUNCTION("""COMPUTED_VALUE"""),"Female")</f>
        <v>Female</v>
      </c>
      <c r="F575" s="1">
        <f>IFERROR(__xludf.DUMMYFUNCTION("""COMPUTED_VALUE"""),98.0)</f>
        <v>98</v>
      </c>
      <c r="G575" s="1">
        <f>IFERROR(__xludf.DUMMYFUNCTION("""COMPUTED_VALUE"""),96.0)</f>
        <v>96</v>
      </c>
      <c r="H575" s="1">
        <f>IFERROR(__xludf.DUMMYFUNCTION("""COMPUTED_VALUE"""),81.0)</f>
        <v>81</v>
      </c>
      <c r="I575" s="1">
        <f>IFERROR(__xludf.DUMMYFUNCTION("""COMPUTED_VALUE"""),54.0)</f>
        <v>54</v>
      </c>
      <c r="J575" s="1">
        <f>IFERROR(__xludf.DUMMYFUNCTION("""COMPUTED_VALUE"""),74.0)</f>
        <v>74</v>
      </c>
      <c r="K575" s="1">
        <f>IFERROR(__xludf.DUMMYFUNCTION("""COMPUTED_VALUE"""),32.0)</f>
        <v>32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 t="str">
        <f>IFERROR(__xludf.DUMMYFUNCTION("""COMPUTED_VALUE"""),"C")</f>
        <v>C</v>
      </c>
      <c r="E576" s="1" t="str">
        <f>IFERROR(__xludf.DUMMYFUNCTION("""COMPUTED_VALUE"""),"Male")</f>
        <v>Male</v>
      </c>
      <c r="F576" s="1">
        <f>IFERROR(__xludf.DUMMYFUNCTION("""COMPUTED_VALUE"""),35.0)</f>
        <v>35</v>
      </c>
      <c r="G576" s="1">
        <f>IFERROR(__xludf.DUMMYFUNCTION("""COMPUTED_VALUE"""),89.0)</f>
        <v>89</v>
      </c>
      <c r="H576" s="1">
        <f>IFERROR(__xludf.DUMMYFUNCTION("""COMPUTED_VALUE"""),69.0)</f>
        <v>69</v>
      </c>
      <c r="I576" s="1">
        <f>IFERROR(__xludf.DUMMYFUNCTION("""COMPUTED_VALUE"""),58.0)</f>
        <v>58</v>
      </c>
      <c r="J576" s="1">
        <f>IFERROR(__xludf.DUMMYFUNCTION("""COMPUTED_VALUE"""),39.0)</f>
        <v>39</v>
      </c>
      <c r="K576" s="1">
        <f>IFERROR(__xludf.DUMMYFUNCTION("""COMPUTED_VALUE"""),73.0)</f>
        <v>73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 t="str">
        <f>IFERROR(__xludf.DUMMYFUNCTION("""COMPUTED_VALUE"""),"A")</f>
        <v>A</v>
      </c>
      <c r="E577" s="1" t="str">
        <f>IFERROR(__xludf.DUMMYFUNCTION("""COMPUTED_VALUE"""),"Female")</f>
        <v>Female</v>
      </c>
      <c r="F577" s="1">
        <f>IFERROR(__xludf.DUMMYFUNCTION("""COMPUTED_VALUE"""),62.0)</f>
        <v>62</v>
      </c>
      <c r="G577" s="1">
        <f>IFERROR(__xludf.DUMMYFUNCTION("""COMPUTED_VALUE"""),62.0)</f>
        <v>62</v>
      </c>
      <c r="H577" s="1">
        <f>IFERROR(__xludf.DUMMYFUNCTION("""COMPUTED_VALUE"""),38.0)</f>
        <v>38</v>
      </c>
      <c r="I577" s="1">
        <f>IFERROR(__xludf.DUMMYFUNCTION("""COMPUTED_VALUE"""),90.0)</f>
        <v>90</v>
      </c>
      <c r="J577" s="1">
        <f>IFERROR(__xludf.DUMMYFUNCTION("""COMPUTED_VALUE"""),60.0)</f>
        <v>60</v>
      </c>
      <c r="K577" s="1">
        <f>IFERROR(__xludf.DUMMYFUNCTION("""COMPUTED_VALUE"""),98.0)</f>
        <v>98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 t="str">
        <f>IFERROR(__xludf.DUMMYFUNCTION("""COMPUTED_VALUE"""),"D")</f>
        <v>D</v>
      </c>
      <c r="E578" s="1" t="str">
        <f>IFERROR(__xludf.DUMMYFUNCTION("""COMPUTED_VALUE"""),"Female")</f>
        <v>Female</v>
      </c>
      <c r="F578" s="1">
        <f>IFERROR(__xludf.DUMMYFUNCTION("""COMPUTED_VALUE"""),74.0)</f>
        <v>74</v>
      </c>
      <c r="G578" s="1">
        <f>IFERROR(__xludf.DUMMYFUNCTION("""COMPUTED_VALUE"""),28.0)</f>
        <v>28</v>
      </c>
      <c r="H578" s="1">
        <f>IFERROR(__xludf.DUMMYFUNCTION("""COMPUTED_VALUE"""),84.0)</f>
        <v>84</v>
      </c>
      <c r="I578" s="1">
        <f>IFERROR(__xludf.DUMMYFUNCTION("""COMPUTED_VALUE"""),36.0)</f>
        <v>36</v>
      </c>
      <c r="J578" s="1">
        <f>IFERROR(__xludf.DUMMYFUNCTION("""COMPUTED_VALUE"""),90.0)</f>
        <v>90</v>
      </c>
      <c r="K578" s="1">
        <f>IFERROR(__xludf.DUMMYFUNCTION("""COMPUTED_VALUE"""),98.0)</f>
        <v>98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 t="str">
        <f>IFERROR(__xludf.DUMMYFUNCTION("""COMPUTED_VALUE"""),"D")</f>
        <v>D</v>
      </c>
      <c r="E579" s="1" t="str">
        <f>IFERROR(__xludf.DUMMYFUNCTION("""COMPUTED_VALUE"""),"Male")</f>
        <v>Male</v>
      </c>
      <c r="F579" s="1">
        <f>IFERROR(__xludf.DUMMYFUNCTION("""COMPUTED_VALUE"""),78.0)</f>
        <v>78</v>
      </c>
      <c r="G579" s="1">
        <f>IFERROR(__xludf.DUMMYFUNCTION("""COMPUTED_VALUE"""),37.0)</f>
        <v>37</v>
      </c>
      <c r="H579" s="1">
        <f>IFERROR(__xludf.DUMMYFUNCTION("""COMPUTED_VALUE"""),69.0)</f>
        <v>69</v>
      </c>
      <c r="I579" s="1">
        <f>IFERROR(__xludf.DUMMYFUNCTION("""COMPUTED_VALUE"""),35.0)</f>
        <v>35</v>
      </c>
      <c r="J579" s="1">
        <f>IFERROR(__xludf.DUMMYFUNCTION("""COMPUTED_VALUE"""),79.0)</f>
        <v>79</v>
      </c>
      <c r="K579" s="1">
        <f>IFERROR(__xludf.DUMMYFUNCTION("""COMPUTED_VALUE"""),42.0)</f>
        <v>42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 t="str">
        <f>IFERROR(__xludf.DUMMYFUNCTION("""COMPUTED_VALUE"""),"C")</f>
        <v>C</v>
      </c>
      <c r="E580" s="1" t="str">
        <f>IFERROR(__xludf.DUMMYFUNCTION("""COMPUTED_VALUE"""),"Male")</f>
        <v>Male</v>
      </c>
      <c r="F580" s="1">
        <f>IFERROR(__xludf.DUMMYFUNCTION("""COMPUTED_VALUE"""),90.0)</f>
        <v>90</v>
      </c>
      <c r="G580" s="1">
        <f>IFERROR(__xludf.DUMMYFUNCTION("""COMPUTED_VALUE"""),94.0)</f>
        <v>94</v>
      </c>
      <c r="H580" s="1">
        <f>IFERROR(__xludf.DUMMYFUNCTION("""COMPUTED_VALUE"""),67.0)</f>
        <v>67</v>
      </c>
      <c r="I580" s="1">
        <f>IFERROR(__xludf.DUMMYFUNCTION("""COMPUTED_VALUE"""),69.0)</f>
        <v>69</v>
      </c>
      <c r="J580" s="1">
        <f>IFERROR(__xludf.DUMMYFUNCTION("""COMPUTED_VALUE"""),91.0)</f>
        <v>91</v>
      </c>
      <c r="K580" s="1">
        <f>IFERROR(__xludf.DUMMYFUNCTION("""COMPUTED_VALUE"""),48.0)</f>
        <v>48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 t="str">
        <f>IFERROR(__xludf.DUMMYFUNCTION("""COMPUTED_VALUE"""),"D")</f>
        <v>D</v>
      </c>
      <c r="E581" s="1" t="str">
        <f>IFERROR(__xludf.DUMMYFUNCTION("""COMPUTED_VALUE"""),"Female")</f>
        <v>Female</v>
      </c>
      <c r="F581" s="1">
        <f>IFERROR(__xludf.DUMMYFUNCTION("""COMPUTED_VALUE"""),80.0)</f>
        <v>80</v>
      </c>
      <c r="G581" s="1">
        <f>IFERROR(__xludf.DUMMYFUNCTION("""COMPUTED_VALUE"""),50.0)</f>
        <v>50</v>
      </c>
      <c r="H581" s="1">
        <f>IFERROR(__xludf.DUMMYFUNCTION("""COMPUTED_VALUE"""),33.0)</f>
        <v>33</v>
      </c>
      <c r="I581" s="1">
        <f>IFERROR(__xludf.DUMMYFUNCTION("""COMPUTED_VALUE"""),43.0)</f>
        <v>43</v>
      </c>
      <c r="J581" s="1">
        <f>IFERROR(__xludf.DUMMYFUNCTION("""COMPUTED_VALUE"""),29.0)</f>
        <v>29</v>
      </c>
      <c r="K581" s="1">
        <f>IFERROR(__xludf.DUMMYFUNCTION("""COMPUTED_VALUE"""),88.0)</f>
        <v>88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 t="str">
        <f>IFERROR(__xludf.DUMMYFUNCTION("""COMPUTED_VALUE"""),"D")</f>
        <v>D</v>
      </c>
      <c r="E582" s="1" t="str">
        <f>IFERROR(__xludf.DUMMYFUNCTION("""COMPUTED_VALUE"""),"Male")</f>
        <v>Male</v>
      </c>
      <c r="F582" s="1">
        <f>IFERROR(__xludf.DUMMYFUNCTION("""COMPUTED_VALUE"""),60.0)</f>
        <v>60</v>
      </c>
      <c r="G582" s="1">
        <f>IFERROR(__xludf.DUMMYFUNCTION("""COMPUTED_VALUE"""),44.0)</f>
        <v>44</v>
      </c>
      <c r="H582" s="1">
        <f>IFERROR(__xludf.DUMMYFUNCTION("""COMPUTED_VALUE"""),94.0)</f>
        <v>94</v>
      </c>
      <c r="I582" s="1">
        <f>IFERROR(__xludf.DUMMYFUNCTION("""COMPUTED_VALUE"""),83.0)</f>
        <v>83</v>
      </c>
      <c r="J582" s="1">
        <f>IFERROR(__xludf.DUMMYFUNCTION("""COMPUTED_VALUE"""),45.0)</f>
        <v>45</v>
      </c>
      <c r="K582" s="1">
        <f>IFERROR(__xludf.DUMMYFUNCTION("""COMPUTED_VALUE"""),41.0)</f>
        <v>41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 t="str">
        <f>IFERROR(__xludf.DUMMYFUNCTION("""COMPUTED_VALUE"""),"D")</f>
        <v>D</v>
      </c>
      <c r="E583" s="1" t="str">
        <f>IFERROR(__xludf.DUMMYFUNCTION("""COMPUTED_VALUE"""),"Male")</f>
        <v>Male</v>
      </c>
      <c r="F583" s="1">
        <f>IFERROR(__xludf.DUMMYFUNCTION("""COMPUTED_VALUE"""),75.0)</f>
        <v>75</v>
      </c>
      <c r="G583" s="1">
        <f>IFERROR(__xludf.DUMMYFUNCTION("""COMPUTED_VALUE"""),33.0)</f>
        <v>33</v>
      </c>
      <c r="H583" s="1">
        <f>IFERROR(__xludf.DUMMYFUNCTION("""COMPUTED_VALUE"""),72.0)</f>
        <v>72</v>
      </c>
      <c r="I583" s="1">
        <f>IFERROR(__xludf.DUMMYFUNCTION("""COMPUTED_VALUE"""),73.0)</f>
        <v>73</v>
      </c>
      <c r="J583" s="1">
        <f>IFERROR(__xludf.DUMMYFUNCTION("""COMPUTED_VALUE"""),56.0)</f>
        <v>56</v>
      </c>
      <c r="K583" s="1">
        <f>IFERROR(__xludf.DUMMYFUNCTION("""COMPUTED_VALUE"""),70.0)</f>
        <v>70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 t="str">
        <f>IFERROR(__xludf.DUMMYFUNCTION("""COMPUTED_VALUE"""),"A")</f>
        <v>A</v>
      </c>
      <c r="E584" s="1" t="str">
        <f>IFERROR(__xludf.DUMMYFUNCTION("""COMPUTED_VALUE"""),"Female")</f>
        <v>Female</v>
      </c>
      <c r="F584" s="1">
        <f>IFERROR(__xludf.DUMMYFUNCTION("""COMPUTED_VALUE"""),88.0)</f>
        <v>88</v>
      </c>
      <c r="G584" s="1">
        <f>IFERROR(__xludf.DUMMYFUNCTION("""COMPUTED_VALUE"""),35.0)</f>
        <v>35</v>
      </c>
      <c r="H584" s="1">
        <f>IFERROR(__xludf.DUMMYFUNCTION("""COMPUTED_VALUE"""),48.0)</f>
        <v>48</v>
      </c>
      <c r="I584" s="1">
        <f>IFERROR(__xludf.DUMMYFUNCTION("""COMPUTED_VALUE"""),55.0)</f>
        <v>55</v>
      </c>
      <c r="J584" s="1">
        <f>IFERROR(__xludf.DUMMYFUNCTION("""COMPUTED_VALUE"""),52.0)</f>
        <v>52</v>
      </c>
      <c r="K584" s="1">
        <f>IFERROR(__xludf.DUMMYFUNCTION("""COMPUTED_VALUE"""),39.0)</f>
        <v>39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 t="str">
        <f>IFERROR(__xludf.DUMMYFUNCTION("""COMPUTED_VALUE"""),"A")</f>
        <v>A</v>
      </c>
      <c r="E585" s="1" t="str">
        <f>IFERROR(__xludf.DUMMYFUNCTION("""COMPUTED_VALUE"""),"Male")</f>
        <v>Male</v>
      </c>
      <c r="F585" s="1">
        <f>IFERROR(__xludf.DUMMYFUNCTION("""COMPUTED_VALUE"""),61.0)</f>
        <v>61</v>
      </c>
      <c r="G585" s="1">
        <f>IFERROR(__xludf.DUMMYFUNCTION("""COMPUTED_VALUE"""),48.0)</f>
        <v>48</v>
      </c>
      <c r="H585" s="1">
        <f>IFERROR(__xludf.DUMMYFUNCTION("""COMPUTED_VALUE"""),25.0)</f>
        <v>25</v>
      </c>
      <c r="I585" s="1">
        <f>IFERROR(__xludf.DUMMYFUNCTION("""COMPUTED_VALUE"""),61.0)</f>
        <v>61</v>
      </c>
      <c r="J585" s="1">
        <f>IFERROR(__xludf.DUMMYFUNCTION("""COMPUTED_VALUE"""),97.0)</f>
        <v>97</v>
      </c>
      <c r="K585" s="1">
        <f>IFERROR(__xludf.DUMMYFUNCTION("""COMPUTED_VALUE"""),81.0)</f>
        <v>81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 t="str">
        <f>IFERROR(__xludf.DUMMYFUNCTION("""COMPUTED_VALUE"""),"B")</f>
        <v>B</v>
      </c>
      <c r="E586" s="1" t="str">
        <f>IFERROR(__xludf.DUMMYFUNCTION("""COMPUTED_VALUE"""),"Male")</f>
        <v>Male</v>
      </c>
      <c r="F586" s="1">
        <f>IFERROR(__xludf.DUMMYFUNCTION("""COMPUTED_VALUE"""),52.0)</f>
        <v>52</v>
      </c>
      <c r="G586" s="1">
        <f>IFERROR(__xludf.DUMMYFUNCTION("""COMPUTED_VALUE"""),34.0)</f>
        <v>34</v>
      </c>
      <c r="H586" s="1">
        <f>IFERROR(__xludf.DUMMYFUNCTION("""COMPUTED_VALUE"""),90.0)</f>
        <v>90</v>
      </c>
      <c r="I586" s="1">
        <f>IFERROR(__xludf.DUMMYFUNCTION("""COMPUTED_VALUE"""),28.0)</f>
        <v>28</v>
      </c>
      <c r="J586" s="1">
        <f>IFERROR(__xludf.DUMMYFUNCTION("""COMPUTED_VALUE"""),37.0)</f>
        <v>37</v>
      </c>
      <c r="K586" s="1">
        <f>IFERROR(__xludf.DUMMYFUNCTION("""COMPUTED_VALUE"""),96.0)</f>
        <v>96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 t="str">
        <f>IFERROR(__xludf.DUMMYFUNCTION("""COMPUTED_VALUE"""),"A")</f>
        <v>A</v>
      </c>
      <c r="E587" s="1" t="str">
        <f>IFERROR(__xludf.DUMMYFUNCTION("""COMPUTED_VALUE"""),"Male")</f>
        <v>Male</v>
      </c>
      <c r="F587" s="1">
        <f>IFERROR(__xludf.DUMMYFUNCTION("""COMPUTED_VALUE"""),21.0)</f>
        <v>21</v>
      </c>
      <c r="G587" s="1">
        <f>IFERROR(__xludf.DUMMYFUNCTION("""COMPUTED_VALUE"""),87.0)</f>
        <v>87</v>
      </c>
      <c r="H587" s="1">
        <f>IFERROR(__xludf.DUMMYFUNCTION("""COMPUTED_VALUE"""),37.0)</f>
        <v>37</v>
      </c>
      <c r="I587" s="1">
        <f>IFERROR(__xludf.DUMMYFUNCTION("""COMPUTED_VALUE"""),40.0)</f>
        <v>40</v>
      </c>
      <c r="J587" s="1">
        <f>IFERROR(__xludf.DUMMYFUNCTION("""COMPUTED_VALUE"""),83.0)</f>
        <v>83</v>
      </c>
      <c r="K587" s="1">
        <f>IFERROR(__xludf.DUMMYFUNCTION("""COMPUTED_VALUE"""),21.0)</f>
        <v>21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 t="str">
        <f>IFERROR(__xludf.DUMMYFUNCTION("""COMPUTED_VALUE"""),"B")</f>
        <v>B</v>
      </c>
      <c r="E588" s="1" t="str">
        <f>IFERROR(__xludf.DUMMYFUNCTION("""COMPUTED_VALUE"""),"Male")</f>
        <v>Male</v>
      </c>
      <c r="F588" s="1">
        <f>IFERROR(__xludf.DUMMYFUNCTION("""COMPUTED_VALUE"""),50.0)</f>
        <v>50</v>
      </c>
      <c r="G588" s="1">
        <f>IFERROR(__xludf.DUMMYFUNCTION("""COMPUTED_VALUE"""),82.0)</f>
        <v>82</v>
      </c>
      <c r="H588" s="1">
        <f>IFERROR(__xludf.DUMMYFUNCTION("""COMPUTED_VALUE"""),59.0)</f>
        <v>59</v>
      </c>
      <c r="I588" s="1">
        <f>IFERROR(__xludf.DUMMYFUNCTION("""COMPUTED_VALUE"""),73.0)</f>
        <v>73</v>
      </c>
      <c r="J588" s="1">
        <f>IFERROR(__xludf.DUMMYFUNCTION("""COMPUTED_VALUE"""),88.0)</f>
        <v>88</v>
      </c>
      <c r="K588" s="1">
        <f>IFERROR(__xludf.DUMMYFUNCTION("""COMPUTED_VALUE"""),93.0)</f>
        <v>93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 t="str">
        <f>IFERROR(__xludf.DUMMYFUNCTION("""COMPUTED_VALUE"""),"C")</f>
        <v>C</v>
      </c>
      <c r="E589" s="1" t="str">
        <f>IFERROR(__xludf.DUMMYFUNCTION("""COMPUTED_VALUE"""),"Male")</f>
        <v>Male</v>
      </c>
      <c r="F589" s="1">
        <f>IFERROR(__xludf.DUMMYFUNCTION("""COMPUTED_VALUE"""),18.0)</f>
        <v>18</v>
      </c>
      <c r="G589" s="1">
        <f>IFERROR(__xludf.DUMMYFUNCTION("""COMPUTED_VALUE"""),97.0)</f>
        <v>97</v>
      </c>
      <c r="H589" s="1">
        <f>IFERROR(__xludf.DUMMYFUNCTION("""COMPUTED_VALUE"""),82.0)</f>
        <v>82</v>
      </c>
      <c r="I589" s="1">
        <f>IFERROR(__xludf.DUMMYFUNCTION("""COMPUTED_VALUE"""),49.0)</f>
        <v>49</v>
      </c>
      <c r="J589" s="1">
        <f>IFERROR(__xludf.DUMMYFUNCTION("""COMPUTED_VALUE"""),65.0)</f>
        <v>65</v>
      </c>
      <c r="K589" s="1">
        <f>IFERROR(__xludf.DUMMYFUNCTION("""COMPUTED_VALUE"""),85.0)</f>
        <v>85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 t="str">
        <f>IFERROR(__xludf.DUMMYFUNCTION("""COMPUTED_VALUE"""),"D")</f>
        <v>D</v>
      </c>
      <c r="E590" s="1" t="str">
        <f>IFERROR(__xludf.DUMMYFUNCTION("""COMPUTED_VALUE"""),"Female")</f>
        <v>Female</v>
      </c>
      <c r="F590" s="1">
        <f>IFERROR(__xludf.DUMMYFUNCTION("""COMPUTED_VALUE"""),68.0)</f>
        <v>68</v>
      </c>
      <c r="G590" s="1">
        <f>IFERROR(__xludf.DUMMYFUNCTION("""COMPUTED_VALUE"""),22.0)</f>
        <v>22</v>
      </c>
      <c r="H590" s="1">
        <f>IFERROR(__xludf.DUMMYFUNCTION("""COMPUTED_VALUE"""),76.0)</f>
        <v>76</v>
      </c>
      <c r="I590" s="1">
        <f>IFERROR(__xludf.DUMMYFUNCTION("""COMPUTED_VALUE"""),62.0)</f>
        <v>62</v>
      </c>
      <c r="J590" s="1">
        <f>IFERROR(__xludf.DUMMYFUNCTION("""COMPUTED_VALUE"""),86.0)</f>
        <v>86</v>
      </c>
      <c r="K590" s="1">
        <f>IFERROR(__xludf.DUMMYFUNCTION("""COMPUTED_VALUE"""),99.0)</f>
        <v>99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 t="str">
        <f>IFERROR(__xludf.DUMMYFUNCTION("""COMPUTED_VALUE"""),"B")</f>
        <v>B</v>
      </c>
      <c r="E591" s="1" t="str">
        <f>IFERROR(__xludf.DUMMYFUNCTION("""COMPUTED_VALUE"""),"Female")</f>
        <v>Female</v>
      </c>
      <c r="F591" s="1">
        <f>IFERROR(__xludf.DUMMYFUNCTION("""COMPUTED_VALUE"""),70.0)</f>
        <v>70</v>
      </c>
      <c r="G591" s="1">
        <f>IFERROR(__xludf.DUMMYFUNCTION("""COMPUTED_VALUE"""),91.0)</f>
        <v>91</v>
      </c>
      <c r="H591" s="1">
        <f>IFERROR(__xludf.DUMMYFUNCTION("""COMPUTED_VALUE"""),94.0)</f>
        <v>94</v>
      </c>
      <c r="I591" s="1">
        <f>IFERROR(__xludf.DUMMYFUNCTION("""COMPUTED_VALUE"""),86.0)</f>
        <v>86</v>
      </c>
      <c r="J591" s="1">
        <f>IFERROR(__xludf.DUMMYFUNCTION("""COMPUTED_VALUE"""),57.0)</f>
        <v>57</v>
      </c>
      <c r="K591" s="1">
        <f>IFERROR(__xludf.DUMMYFUNCTION("""COMPUTED_VALUE"""),72.0)</f>
        <v>72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 t="str">
        <f>IFERROR(__xludf.DUMMYFUNCTION("""COMPUTED_VALUE"""),"A")</f>
        <v>A</v>
      </c>
      <c r="E592" s="1" t="str">
        <f>IFERROR(__xludf.DUMMYFUNCTION("""COMPUTED_VALUE"""),"Male")</f>
        <v>Male</v>
      </c>
      <c r="F592" s="1">
        <f>IFERROR(__xludf.DUMMYFUNCTION("""COMPUTED_VALUE"""),63.0)</f>
        <v>63</v>
      </c>
      <c r="G592" s="1">
        <f>IFERROR(__xludf.DUMMYFUNCTION("""COMPUTED_VALUE"""),34.0)</f>
        <v>34</v>
      </c>
      <c r="H592" s="1">
        <f>IFERROR(__xludf.DUMMYFUNCTION("""COMPUTED_VALUE"""),93.0)</f>
        <v>93</v>
      </c>
      <c r="I592" s="1">
        <f>IFERROR(__xludf.DUMMYFUNCTION("""COMPUTED_VALUE"""),80.0)</f>
        <v>80</v>
      </c>
      <c r="J592" s="1">
        <f>IFERROR(__xludf.DUMMYFUNCTION("""COMPUTED_VALUE"""),57.0)</f>
        <v>57</v>
      </c>
      <c r="K592" s="1">
        <f>IFERROR(__xludf.DUMMYFUNCTION("""COMPUTED_VALUE"""),42.0)</f>
        <v>42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 t="str">
        <f>IFERROR(__xludf.DUMMYFUNCTION("""COMPUTED_VALUE"""),"B")</f>
        <v>B</v>
      </c>
      <c r="E593" s="1" t="str">
        <f>IFERROR(__xludf.DUMMYFUNCTION("""COMPUTED_VALUE"""),"Female")</f>
        <v>Female</v>
      </c>
      <c r="F593" s="1">
        <f>IFERROR(__xludf.DUMMYFUNCTION("""COMPUTED_VALUE"""),59.0)</f>
        <v>59</v>
      </c>
      <c r="G593" s="1">
        <f>IFERROR(__xludf.DUMMYFUNCTION("""COMPUTED_VALUE"""),69.0)</f>
        <v>69</v>
      </c>
      <c r="H593" s="1">
        <f>IFERROR(__xludf.DUMMYFUNCTION("""COMPUTED_VALUE"""),91.0)</f>
        <v>91</v>
      </c>
      <c r="I593" s="1">
        <f>IFERROR(__xludf.DUMMYFUNCTION("""COMPUTED_VALUE"""),20.0)</f>
        <v>20</v>
      </c>
      <c r="J593" s="1">
        <f>IFERROR(__xludf.DUMMYFUNCTION("""COMPUTED_VALUE"""),46.0)</f>
        <v>46</v>
      </c>
      <c r="K593" s="1">
        <f>IFERROR(__xludf.DUMMYFUNCTION("""COMPUTED_VALUE"""),87.0)</f>
        <v>87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 t="str">
        <f>IFERROR(__xludf.DUMMYFUNCTION("""COMPUTED_VALUE"""),"D")</f>
        <v>D</v>
      </c>
      <c r="E594" s="1" t="str">
        <f>IFERROR(__xludf.DUMMYFUNCTION("""COMPUTED_VALUE"""),"Female")</f>
        <v>Female</v>
      </c>
      <c r="F594" s="1">
        <f>IFERROR(__xludf.DUMMYFUNCTION("""COMPUTED_VALUE"""),38.0)</f>
        <v>38</v>
      </c>
      <c r="G594" s="1">
        <f>IFERROR(__xludf.DUMMYFUNCTION("""COMPUTED_VALUE"""),88.0)</f>
        <v>88</v>
      </c>
      <c r="H594" s="1">
        <f>IFERROR(__xludf.DUMMYFUNCTION("""COMPUTED_VALUE"""),64.0)</f>
        <v>64</v>
      </c>
      <c r="I594" s="1">
        <f>IFERROR(__xludf.DUMMYFUNCTION("""COMPUTED_VALUE"""),39.0)</f>
        <v>39</v>
      </c>
      <c r="J594" s="1">
        <f>IFERROR(__xludf.DUMMYFUNCTION("""COMPUTED_VALUE"""),71.0)</f>
        <v>71</v>
      </c>
      <c r="K594" s="1">
        <f>IFERROR(__xludf.DUMMYFUNCTION("""COMPUTED_VALUE"""),29.0)</f>
        <v>29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 t="str">
        <f>IFERROR(__xludf.DUMMYFUNCTION("""COMPUTED_VALUE"""),"A")</f>
        <v>A</v>
      </c>
      <c r="E595" s="1" t="str">
        <f>IFERROR(__xludf.DUMMYFUNCTION("""COMPUTED_VALUE"""),"Male")</f>
        <v>Male</v>
      </c>
      <c r="F595" s="1">
        <f>IFERROR(__xludf.DUMMYFUNCTION("""COMPUTED_VALUE"""),49.0)</f>
        <v>49</v>
      </c>
      <c r="G595" s="1">
        <f>IFERROR(__xludf.DUMMYFUNCTION("""COMPUTED_VALUE"""),79.0)</f>
        <v>79</v>
      </c>
      <c r="H595" s="1">
        <f>IFERROR(__xludf.DUMMYFUNCTION("""COMPUTED_VALUE"""),70.0)</f>
        <v>70</v>
      </c>
      <c r="I595" s="1">
        <f>IFERROR(__xludf.DUMMYFUNCTION("""COMPUTED_VALUE"""),80.0)</f>
        <v>80</v>
      </c>
      <c r="J595" s="1">
        <f>IFERROR(__xludf.DUMMYFUNCTION("""COMPUTED_VALUE"""),38.0)</f>
        <v>38</v>
      </c>
      <c r="K595" s="1">
        <f>IFERROR(__xludf.DUMMYFUNCTION("""COMPUTED_VALUE"""),26.0)</f>
        <v>26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 t="str">
        <f>IFERROR(__xludf.DUMMYFUNCTION("""COMPUTED_VALUE"""),"B")</f>
        <v>B</v>
      </c>
      <c r="E596" s="1" t="str">
        <f>IFERROR(__xludf.DUMMYFUNCTION("""COMPUTED_VALUE"""),"Female")</f>
        <v>Female</v>
      </c>
      <c r="F596" s="1">
        <f>IFERROR(__xludf.DUMMYFUNCTION("""COMPUTED_VALUE"""),20.0)</f>
        <v>20</v>
      </c>
      <c r="G596" s="1">
        <f>IFERROR(__xludf.DUMMYFUNCTION("""COMPUTED_VALUE"""),34.0)</f>
        <v>34</v>
      </c>
      <c r="H596" s="1">
        <f>IFERROR(__xludf.DUMMYFUNCTION("""COMPUTED_VALUE"""),94.0)</f>
        <v>94</v>
      </c>
      <c r="I596" s="1">
        <f>IFERROR(__xludf.DUMMYFUNCTION("""COMPUTED_VALUE"""),20.0)</f>
        <v>20</v>
      </c>
      <c r="J596" s="1">
        <f>IFERROR(__xludf.DUMMYFUNCTION("""COMPUTED_VALUE"""),28.0)</f>
        <v>28</v>
      </c>
      <c r="K596" s="1">
        <f>IFERROR(__xludf.DUMMYFUNCTION("""COMPUTED_VALUE"""),45.0)</f>
        <v>45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 t="str">
        <f>IFERROR(__xludf.DUMMYFUNCTION("""COMPUTED_VALUE"""),"B")</f>
        <v>B</v>
      </c>
      <c r="E597" s="1" t="str">
        <f>IFERROR(__xludf.DUMMYFUNCTION("""COMPUTED_VALUE"""),"Female")</f>
        <v>Female</v>
      </c>
      <c r="F597" s="1">
        <f>IFERROR(__xludf.DUMMYFUNCTION("""COMPUTED_VALUE"""),74.0)</f>
        <v>74</v>
      </c>
      <c r="G597" s="1">
        <f>IFERROR(__xludf.DUMMYFUNCTION("""COMPUTED_VALUE"""),46.0)</f>
        <v>46</v>
      </c>
      <c r="H597" s="1">
        <f>IFERROR(__xludf.DUMMYFUNCTION("""COMPUTED_VALUE"""),75.0)</f>
        <v>75</v>
      </c>
      <c r="I597" s="1">
        <f>IFERROR(__xludf.DUMMYFUNCTION("""COMPUTED_VALUE"""),78.0)</f>
        <v>78</v>
      </c>
      <c r="J597" s="1">
        <f>IFERROR(__xludf.DUMMYFUNCTION("""COMPUTED_VALUE"""),80.0)</f>
        <v>80</v>
      </c>
      <c r="K597" s="1">
        <f>IFERROR(__xludf.DUMMYFUNCTION("""COMPUTED_VALUE"""),32.0)</f>
        <v>32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 t="str">
        <f>IFERROR(__xludf.DUMMYFUNCTION("""COMPUTED_VALUE"""),"C")</f>
        <v>C</v>
      </c>
      <c r="E598" s="1" t="str">
        <f>IFERROR(__xludf.DUMMYFUNCTION("""COMPUTED_VALUE"""),"Female")</f>
        <v>Female</v>
      </c>
      <c r="F598" s="1">
        <f>IFERROR(__xludf.DUMMYFUNCTION("""COMPUTED_VALUE"""),25.0)</f>
        <v>25</v>
      </c>
      <c r="G598" s="1">
        <f>IFERROR(__xludf.DUMMYFUNCTION("""COMPUTED_VALUE"""),80.0)</f>
        <v>80</v>
      </c>
      <c r="H598" s="1">
        <f>IFERROR(__xludf.DUMMYFUNCTION("""COMPUTED_VALUE"""),46.0)</f>
        <v>46</v>
      </c>
      <c r="I598" s="1">
        <f>IFERROR(__xludf.DUMMYFUNCTION("""COMPUTED_VALUE"""),27.0)</f>
        <v>27</v>
      </c>
      <c r="J598" s="1">
        <f>IFERROR(__xludf.DUMMYFUNCTION("""COMPUTED_VALUE"""),78.0)</f>
        <v>78</v>
      </c>
      <c r="K598" s="1">
        <f>IFERROR(__xludf.DUMMYFUNCTION("""COMPUTED_VALUE"""),64.0)</f>
        <v>64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 t="str">
        <f>IFERROR(__xludf.DUMMYFUNCTION("""COMPUTED_VALUE"""),"D")</f>
        <v>D</v>
      </c>
      <c r="E599" s="1" t="str">
        <f>IFERROR(__xludf.DUMMYFUNCTION("""COMPUTED_VALUE"""),"Female")</f>
        <v>Female</v>
      </c>
      <c r="F599" s="1">
        <f>IFERROR(__xludf.DUMMYFUNCTION("""COMPUTED_VALUE"""),51.0)</f>
        <v>51</v>
      </c>
      <c r="G599" s="1">
        <f>IFERROR(__xludf.DUMMYFUNCTION("""COMPUTED_VALUE"""),89.0)</f>
        <v>89</v>
      </c>
      <c r="H599" s="1">
        <f>IFERROR(__xludf.DUMMYFUNCTION("""COMPUTED_VALUE"""),55.0)</f>
        <v>55</v>
      </c>
      <c r="I599" s="1">
        <f>IFERROR(__xludf.DUMMYFUNCTION("""COMPUTED_VALUE"""),25.0)</f>
        <v>25</v>
      </c>
      <c r="J599" s="1">
        <f>IFERROR(__xludf.DUMMYFUNCTION("""COMPUTED_VALUE"""),34.0)</f>
        <v>34</v>
      </c>
      <c r="K599" s="1">
        <f>IFERROR(__xludf.DUMMYFUNCTION("""COMPUTED_VALUE"""),77.0)</f>
        <v>77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 t="str">
        <f>IFERROR(__xludf.DUMMYFUNCTION("""COMPUTED_VALUE"""),"C")</f>
        <v>C</v>
      </c>
      <c r="E600" s="1" t="str">
        <f>IFERROR(__xludf.DUMMYFUNCTION("""COMPUTED_VALUE"""),"Male")</f>
        <v>Male</v>
      </c>
      <c r="F600" s="1">
        <f>IFERROR(__xludf.DUMMYFUNCTION("""COMPUTED_VALUE"""),76.0)</f>
        <v>76</v>
      </c>
      <c r="G600" s="1">
        <f>IFERROR(__xludf.DUMMYFUNCTION("""COMPUTED_VALUE"""),80.0)</f>
        <v>80</v>
      </c>
      <c r="H600" s="1">
        <f>IFERROR(__xludf.DUMMYFUNCTION("""COMPUTED_VALUE"""),77.0)</f>
        <v>77</v>
      </c>
      <c r="I600" s="1">
        <f>IFERROR(__xludf.DUMMYFUNCTION("""COMPUTED_VALUE"""),27.0)</f>
        <v>27</v>
      </c>
      <c r="J600" s="1">
        <f>IFERROR(__xludf.DUMMYFUNCTION("""COMPUTED_VALUE"""),31.0)</f>
        <v>31</v>
      </c>
      <c r="K600" s="1">
        <f>IFERROR(__xludf.DUMMYFUNCTION("""COMPUTED_VALUE"""),50.0)</f>
        <v>50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 t="str">
        <f>IFERROR(__xludf.DUMMYFUNCTION("""COMPUTED_VALUE"""),"A")</f>
        <v>A</v>
      </c>
      <c r="E601" s="1" t="str">
        <f>IFERROR(__xludf.DUMMYFUNCTION("""COMPUTED_VALUE"""),"Female")</f>
        <v>Female</v>
      </c>
      <c r="F601" s="1">
        <f>IFERROR(__xludf.DUMMYFUNCTION("""COMPUTED_VALUE"""),75.0)</f>
        <v>75</v>
      </c>
      <c r="G601" s="1">
        <f>IFERROR(__xludf.DUMMYFUNCTION("""COMPUTED_VALUE"""),97.0)</f>
        <v>97</v>
      </c>
      <c r="H601" s="1">
        <f>IFERROR(__xludf.DUMMYFUNCTION("""COMPUTED_VALUE"""),36.0)</f>
        <v>36</v>
      </c>
      <c r="I601" s="1">
        <f>IFERROR(__xludf.DUMMYFUNCTION("""COMPUTED_VALUE"""),36.0)</f>
        <v>36</v>
      </c>
      <c r="J601" s="1">
        <f>IFERROR(__xludf.DUMMYFUNCTION("""COMPUTED_VALUE"""),55.0)</f>
        <v>55</v>
      </c>
      <c r="K601" s="1">
        <f>IFERROR(__xludf.DUMMYFUNCTION("""COMPUTED_VALUE"""),68.0)</f>
        <v>68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 t="str">
        <f>IFERROR(__xludf.DUMMYFUNCTION("""COMPUTED_VALUE"""),"C")</f>
        <v>C</v>
      </c>
      <c r="E602" s="1" t="str">
        <f>IFERROR(__xludf.DUMMYFUNCTION("""COMPUTED_VALUE"""),"Female")</f>
        <v>Female</v>
      </c>
      <c r="F602" s="1">
        <f>IFERROR(__xludf.DUMMYFUNCTION("""COMPUTED_VALUE"""),34.0)</f>
        <v>34</v>
      </c>
      <c r="G602" s="1">
        <f>IFERROR(__xludf.DUMMYFUNCTION("""COMPUTED_VALUE"""),78.0)</f>
        <v>78</v>
      </c>
      <c r="H602" s="1">
        <f>IFERROR(__xludf.DUMMYFUNCTION("""COMPUTED_VALUE"""),83.0)</f>
        <v>83</v>
      </c>
      <c r="I602" s="1">
        <f>IFERROR(__xludf.DUMMYFUNCTION("""COMPUTED_VALUE"""),63.0)</f>
        <v>63</v>
      </c>
      <c r="J602" s="1">
        <f>IFERROR(__xludf.DUMMYFUNCTION("""COMPUTED_VALUE"""),37.0)</f>
        <v>37</v>
      </c>
      <c r="K602" s="1">
        <f>IFERROR(__xludf.DUMMYFUNCTION("""COMPUTED_VALUE"""),84.0)</f>
        <v>84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 t="str">
        <f>IFERROR(__xludf.DUMMYFUNCTION("""COMPUTED_VALUE"""),"B")</f>
        <v>B</v>
      </c>
      <c r="E603" s="1" t="str">
        <f>IFERROR(__xludf.DUMMYFUNCTION("""COMPUTED_VALUE"""),"Male")</f>
        <v>Male</v>
      </c>
      <c r="F603" s="1">
        <f>IFERROR(__xludf.DUMMYFUNCTION("""COMPUTED_VALUE"""),86.0)</f>
        <v>86</v>
      </c>
      <c r="G603" s="1">
        <f>IFERROR(__xludf.DUMMYFUNCTION("""COMPUTED_VALUE"""),88.0)</f>
        <v>88</v>
      </c>
      <c r="H603" s="1">
        <f>IFERROR(__xludf.DUMMYFUNCTION("""COMPUTED_VALUE"""),81.0)</f>
        <v>81</v>
      </c>
      <c r="I603" s="1">
        <f>IFERROR(__xludf.DUMMYFUNCTION("""COMPUTED_VALUE"""),24.0)</f>
        <v>24</v>
      </c>
      <c r="J603" s="1">
        <f>IFERROR(__xludf.DUMMYFUNCTION("""COMPUTED_VALUE"""),67.0)</f>
        <v>67</v>
      </c>
      <c r="K603" s="1">
        <f>IFERROR(__xludf.DUMMYFUNCTION("""COMPUTED_VALUE"""),33.0)</f>
        <v>33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 t="str">
        <f>IFERROR(__xludf.DUMMYFUNCTION("""COMPUTED_VALUE"""),"A")</f>
        <v>A</v>
      </c>
      <c r="E604" s="1" t="str">
        <f>IFERROR(__xludf.DUMMYFUNCTION("""COMPUTED_VALUE"""),"Female")</f>
        <v>Female</v>
      </c>
      <c r="F604" s="1">
        <f>IFERROR(__xludf.DUMMYFUNCTION("""COMPUTED_VALUE"""),95.0)</f>
        <v>95</v>
      </c>
      <c r="G604" s="1">
        <f>IFERROR(__xludf.DUMMYFUNCTION("""COMPUTED_VALUE"""),41.0)</f>
        <v>41</v>
      </c>
      <c r="H604" s="1">
        <f>IFERROR(__xludf.DUMMYFUNCTION("""COMPUTED_VALUE"""),31.0)</f>
        <v>31</v>
      </c>
      <c r="I604" s="1">
        <f>IFERROR(__xludf.DUMMYFUNCTION("""COMPUTED_VALUE"""),55.0)</f>
        <v>55</v>
      </c>
      <c r="J604" s="1">
        <f>IFERROR(__xludf.DUMMYFUNCTION("""COMPUTED_VALUE"""),58.0)</f>
        <v>58</v>
      </c>
      <c r="K604" s="1">
        <f>IFERROR(__xludf.DUMMYFUNCTION("""COMPUTED_VALUE"""),97.0)</f>
        <v>97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 t="str">
        <f>IFERROR(__xludf.DUMMYFUNCTION("""COMPUTED_VALUE"""),"A")</f>
        <v>A</v>
      </c>
      <c r="E605" s="1" t="str">
        <f>IFERROR(__xludf.DUMMYFUNCTION("""COMPUTED_VALUE"""),"Female")</f>
        <v>Female</v>
      </c>
      <c r="F605" s="1">
        <f>IFERROR(__xludf.DUMMYFUNCTION("""COMPUTED_VALUE"""),95.0)</f>
        <v>95</v>
      </c>
      <c r="G605" s="1">
        <f>IFERROR(__xludf.DUMMYFUNCTION("""COMPUTED_VALUE"""),69.0)</f>
        <v>69</v>
      </c>
      <c r="H605" s="1">
        <f>IFERROR(__xludf.DUMMYFUNCTION("""COMPUTED_VALUE"""),39.0)</f>
        <v>39</v>
      </c>
      <c r="I605" s="1">
        <f>IFERROR(__xludf.DUMMYFUNCTION("""COMPUTED_VALUE"""),51.0)</f>
        <v>51</v>
      </c>
      <c r="J605" s="1">
        <f>IFERROR(__xludf.DUMMYFUNCTION("""COMPUTED_VALUE"""),88.0)</f>
        <v>88</v>
      </c>
      <c r="K605" s="1">
        <f>IFERROR(__xludf.DUMMYFUNCTION("""COMPUTED_VALUE"""),83.0)</f>
        <v>83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 t="str">
        <f>IFERROR(__xludf.DUMMYFUNCTION("""COMPUTED_VALUE"""),"B")</f>
        <v>B</v>
      </c>
      <c r="E606" s="1" t="str">
        <f>IFERROR(__xludf.DUMMYFUNCTION("""COMPUTED_VALUE"""),"Female")</f>
        <v>Female</v>
      </c>
      <c r="F606" s="1">
        <f>IFERROR(__xludf.DUMMYFUNCTION("""COMPUTED_VALUE"""),89.0)</f>
        <v>89</v>
      </c>
      <c r="G606" s="1">
        <f>IFERROR(__xludf.DUMMYFUNCTION("""COMPUTED_VALUE"""),39.0)</f>
        <v>39</v>
      </c>
      <c r="H606" s="1">
        <f>IFERROR(__xludf.DUMMYFUNCTION("""COMPUTED_VALUE"""),71.0)</f>
        <v>71</v>
      </c>
      <c r="I606" s="1">
        <f>IFERROR(__xludf.DUMMYFUNCTION("""COMPUTED_VALUE"""),46.0)</f>
        <v>46</v>
      </c>
      <c r="J606" s="1">
        <f>IFERROR(__xludf.DUMMYFUNCTION("""COMPUTED_VALUE"""),52.0)</f>
        <v>52</v>
      </c>
      <c r="K606" s="1">
        <f>IFERROR(__xludf.DUMMYFUNCTION("""COMPUTED_VALUE"""),77.0)</f>
        <v>77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 t="str">
        <f>IFERROR(__xludf.DUMMYFUNCTION("""COMPUTED_VALUE"""),"B")</f>
        <v>B</v>
      </c>
      <c r="E607" s="1" t="str">
        <f>IFERROR(__xludf.DUMMYFUNCTION("""COMPUTED_VALUE"""),"Female")</f>
        <v>Female</v>
      </c>
      <c r="F607" s="1">
        <f>IFERROR(__xludf.DUMMYFUNCTION("""COMPUTED_VALUE"""),64.0)</f>
        <v>64</v>
      </c>
      <c r="G607" s="1">
        <f>IFERROR(__xludf.DUMMYFUNCTION("""COMPUTED_VALUE"""),54.0)</f>
        <v>54</v>
      </c>
      <c r="H607" s="1">
        <f>IFERROR(__xludf.DUMMYFUNCTION("""COMPUTED_VALUE"""),85.0)</f>
        <v>85</v>
      </c>
      <c r="I607" s="1">
        <f>IFERROR(__xludf.DUMMYFUNCTION("""COMPUTED_VALUE"""),21.0)</f>
        <v>21</v>
      </c>
      <c r="J607" s="1">
        <f>IFERROR(__xludf.DUMMYFUNCTION("""COMPUTED_VALUE"""),30.0)</f>
        <v>30</v>
      </c>
      <c r="K607" s="1">
        <f>IFERROR(__xludf.DUMMYFUNCTION("""COMPUTED_VALUE"""),67.0)</f>
        <v>67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 t="str">
        <f>IFERROR(__xludf.DUMMYFUNCTION("""COMPUTED_VALUE"""),"C")</f>
        <v>C</v>
      </c>
      <c r="E608" s="1" t="str">
        <f>IFERROR(__xludf.DUMMYFUNCTION("""COMPUTED_VALUE"""),"Female")</f>
        <v>Female</v>
      </c>
      <c r="F608" s="1">
        <f>IFERROR(__xludf.DUMMYFUNCTION("""COMPUTED_VALUE"""),17.0)</f>
        <v>17</v>
      </c>
      <c r="G608" s="1">
        <f>IFERROR(__xludf.DUMMYFUNCTION("""COMPUTED_VALUE"""),70.0)</f>
        <v>70</v>
      </c>
      <c r="H608" s="1">
        <f>IFERROR(__xludf.DUMMYFUNCTION("""COMPUTED_VALUE"""),41.0)</f>
        <v>41</v>
      </c>
      <c r="I608" s="1">
        <f>IFERROR(__xludf.DUMMYFUNCTION("""COMPUTED_VALUE"""),59.0)</f>
        <v>59</v>
      </c>
      <c r="J608" s="1">
        <f>IFERROR(__xludf.DUMMYFUNCTION("""COMPUTED_VALUE"""),40.0)</f>
        <v>40</v>
      </c>
      <c r="K608" s="1">
        <f>IFERROR(__xludf.DUMMYFUNCTION("""COMPUTED_VALUE"""),91.0)</f>
        <v>91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 t="str">
        <f>IFERROR(__xludf.DUMMYFUNCTION("""COMPUTED_VALUE"""),"C")</f>
        <v>C</v>
      </c>
      <c r="E609" s="1" t="str">
        <f>IFERROR(__xludf.DUMMYFUNCTION("""COMPUTED_VALUE"""),"Male")</f>
        <v>Male</v>
      </c>
      <c r="F609" s="1">
        <f>IFERROR(__xludf.DUMMYFUNCTION("""COMPUTED_VALUE"""),82.0)</f>
        <v>82</v>
      </c>
      <c r="G609" s="1">
        <f>IFERROR(__xludf.DUMMYFUNCTION("""COMPUTED_VALUE"""),21.0)</f>
        <v>21</v>
      </c>
      <c r="H609" s="1">
        <f>IFERROR(__xludf.DUMMYFUNCTION("""COMPUTED_VALUE"""),88.0)</f>
        <v>88</v>
      </c>
      <c r="I609" s="1">
        <f>IFERROR(__xludf.DUMMYFUNCTION("""COMPUTED_VALUE"""),73.0)</f>
        <v>73</v>
      </c>
      <c r="J609" s="1">
        <f>IFERROR(__xludf.DUMMYFUNCTION("""COMPUTED_VALUE"""),97.0)</f>
        <v>97</v>
      </c>
      <c r="K609" s="1">
        <f>IFERROR(__xludf.DUMMYFUNCTION("""COMPUTED_VALUE"""),57.0)</f>
        <v>57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 t="str">
        <f>IFERROR(__xludf.DUMMYFUNCTION("""COMPUTED_VALUE"""),"B")</f>
        <v>B</v>
      </c>
      <c r="E610" s="1" t="str">
        <f>IFERROR(__xludf.DUMMYFUNCTION("""COMPUTED_VALUE"""),"Male")</f>
        <v>Male</v>
      </c>
      <c r="F610" s="1">
        <f>IFERROR(__xludf.DUMMYFUNCTION("""COMPUTED_VALUE"""),78.0)</f>
        <v>78</v>
      </c>
      <c r="G610" s="1">
        <f>IFERROR(__xludf.DUMMYFUNCTION("""COMPUTED_VALUE"""),44.0)</f>
        <v>44</v>
      </c>
      <c r="H610" s="1">
        <f>IFERROR(__xludf.DUMMYFUNCTION("""COMPUTED_VALUE"""),30.0)</f>
        <v>30</v>
      </c>
      <c r="I610" s="1">
        <f>IFERROR(__xludf.DUMMYFUNCTION("""COMPUTED_VALUE"""),24.0)</f>
        <v>24</v>
      </c>
      <c r="J610" s="1">
        <f>IFERROR(__xludf.DUMMYFUNCTION("""COMPUTED_VALUE"""),31.0)</f>
        <v>31</v>
      </c>
      <c r="K610" s="1">
        <f>IFERROR(__xludf.DUMMYFUNCTION("""COMPUTED_VALUE"""),27.0)</f>
        <v>27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 t="str">
        <f>IFERROR(__xludf.DUMMYFUNCTION("""COMPUTED_VALUE"""),"A")</f>
        <v>A</v>
      </c>
      <c r="E611" s="1" t="str">
        <f>IFERROR(__xludf.DUMMYFUNCTION("""COMPUTED_VALUE"""),"Male")</f>
        <v>Male</v>
      </c>
      <c r="F611" s="1">
        <f>IFERROR(__xludf.DUMMYFUNCTION("""COMPUTED_VALUE"""),17.0)</f>
        <v>17</v>
      </c>
      <c r="G611" s="1">
        <f>IFERROR(__xludf.DUMMYFUNCTION("""COMPUTED_VALUE"""),56.0)</f>
        <v>56</v>
      </c>
      <c r="H611" s="1">
        <f>IFERROR(__xludf.DUMMYFUNCTION("""COMPUTED_VALUE"""),91.0)</f>
        <v>91</v>
      </c>
      <c r="I611" s="1">
        <f>IFERROR(__xludf.DUMMYFUNCTION("""COMPUTED_VALUE"""),90.0)</f>
        <v>90</v>
      </c>
      <c r="J611" s="1">
        <f>IFERROR(__xludf.DUMMYFUNCTION("""COMPUTED_VALUE"""),70.0)</f>
        <v>70</v>
      </c>
      <c r="K611" s="1">
        <f>IFERROR(__xludf.DUMMYFUNCTION("""COMPUTED_VALUE"""),92.0)</f>
        <v>92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 t="str">
        <f>IFERROR(__xludf.DUMMYFUNCTION("""COMPUTED_VALUE"""),"A")</f>
        <v>A</v>
      </c>
      <c r="E612" s="1" t="str">
        <f>IFERROR(__xludf.DUMMYFUNCTION("""COMPUTED_VALUE"""),"Female")</f>
        <v>Female</v>
      </c>
      <c r="F612" s="1">
        <f>IFERROR(__xludf.DUMMYFUNCTION("""COMPUTED_VALUE"""),61.0)</f>
        <v>61</v>
      </c>
      <c r="G612" s="1">
        <f>IFERROR(__xludf.DUMMYFUNCTION("""COMPUTED_VALUE"""),89.0)</f>
        <v>89</v>
      </c>
      <c r="H612" s="1">
        <f>IFERROR(__xludf.DUMMYFUNCTION("""COMPUTED_VALUE"""),99.0)</f>
        <v>99</v>
      </c>
      <c r="I612" s="1">
        <f>IFERROR(__xludf.DUMMYFUNCTION("""COMPUTED_VALUE"""),52.0)</f>
        <v>52</v>
      </c>
      <c r="J612" s="1">
        <f>IFERROR(__xludf.DUMMYFUNCTION("""COMPUTED_VALUE"""),24.0)</f>
        <v>24</v>
      </c>
      <c r="K612" s="1">
        <f>IFERROR(__xludf.DUMMYFUNCTION("""COMPUTED_VALUE"""),36.0)</f>
        <v>36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 t="str">
        <f>IFERROR(__xludf.DUMMYFUNCTION("""COMPUTED_VALUE"""),"C")</f>
        <v>C</v>
      </c>
      <c r="E613" s="1" t="str">
        <f>IFERROR(__xludf.DUMMYFUNCTION("""COMPUTED_VALUE"""),"Male")</f>
        <v>Male</v>
      </c>
      <c r="F613" s="1">
        <f>IFERROR(__xludf.DUMMYFUNCTION("""COMPUTED_VALUE"""),91.0)</f>
        <v>91</v>
      </c>
      <c r="G613" s="1">
        <f>IFERROR(__xludf.DUMMYFUNCTION("""COMPUTED_VALUE"""),69.0)</f>
        <v>69</v>
      </c>
      <c r="H613" s="1">
        <f>IFERROR(__xludf.DUMMYFUNCTION("""COMPUTED_VALUE"""),95.0)</f>
        <v>95</v>
      </c>
      <c r="I613" s="1">
        <f>IFERROR(__xludf.DUMMYFUNCTION("""COMPUTED_VALUE"""),53.0)</f>
        <v>53</v>
      </c>
      <c r="J613" s="1">
        <f>IFERROR(__xludf.DUMMYFUNCTION("""COMPUTED_VALUE"""),65.0)</f>
        <v>65</v>
      </c>
      <c r="K613" s="1">
        <f>IFERROR(__xludf.DUMMYFUNCTION("""COMPUTED_VALUE"""),35.0)</f>
        <v>35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 t="str">
        <f>IFERROR(__xludf.DUMMYFUNCTION("""COMPUTED_VALUE"""),"B")</f>
        <v>B</v>
      </c>
      <c r="E614" s="1" t="str">
        <f>IFERROR(__xludf.DUMMYFUNCTION("""COMPUTED_VALUE"""),"Female")</f>
        <v>Female</v>
      </c>
      <c r="F614" s="1">
        <f>IFERROR(__xludf.DUMMYFUNCTION("""COMPUTED_VALUE"""),99.0)</f>
        <v>99</v>
      </c>
      <c r="G614" s="1">
        <f>IFERROR(__xludf.DUMMYFUNCTION("""COMPUTED_VALUE"""),90.0)</f>
        <v>90</v>
      </c>
      <c r="H614" s="1">
        <f>IFERROR(__xludf.DUMMYFUNCTION("""COMPUTED_VALUE"""),62.0)</f>
        <v>62</v>
      </c>
      <c r="I614" s="1">
        <f>IFERROR(__xludf.DUMMYFUNCTION("""COMPUTED_VALUE"""),94.0)</f>
        <v>94</v>
      </c>
      <c r="J614" s="1">
        <f>IFERROR(__xludf.DUMMYFUNCTION("""COMPUTED_VALUE"""),77.0)</f>
        <v>77</v>
      </c>
      <c r="K614" s="1">
        <f>IFERROR(__xludf.DUMMYFUNCTION("""COMPUTED_VALUE"""),93.0)</f>
        <v>93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 t="str">
        <f>IFERROR(__xludf.DUMMYFUNCTION("""COMPUTED_VALUE"""),"C")</f>
        <v>C</v>
      </c>
      <c r="E615" s="1" t="str">
        <f>IFERROR(__xludf.DUMMYFUNCTION("""COMPUTED_VALUE"""),"Female")</f>
        <v>Female</v>
      </c>
      <c r="F615" s="1">
        <f>IFERROR(__xludf.DUMMYFUNCTION("""COMPUTED_VALUE"""),85.0)</f>
        <v>85</v>
      </c>
      <c r="G615" s="1">
        <f>IFERROR(__xludf.DUMMYFUNCTION("""COMPUTED_VALUE"""),55.0)</f>
        <v>55</v>
      </c>
      <c r="H615" s="1">
        <f>IFERROR(__xludf.DUMMYFUNCTION("""COMPUTED_VALUE"""),61.0)</f>
        <v>61</v>
      </c>
      <c r="I615" s="1">
        <f>IFERROR(__xludf.DUMMYFUNCTION("""COMPUTED_VALUE"""),58.0)</f>
        <v>58</v>
      </c>
      <c r="J615" s="1">
        <f>IFERROR(__xludf.DUMMYFUNCTION("""COMPUTED_VALUE"""),30.0)</f>
        <v>30</v>
      </c>
      <c r="K615" s="1">
        <f>IFERROR(__xludf.DUMMYFUNCTION("""COMPUTED_VALUE"""),30.0)</f>
        <v>30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 t="str">
        <f>IFERROR(__xludf.DUMMYFUNCTION("""COMPUTED_VALUE"""),"B")</f>
        <v>B</v>
      </c>
      <c r="E616" s="1" t="str">
        <f>IFERROR(__xludf.DUMMYFUNCTION("""COMPUTED_VALUE"""),"Female")</f>
        <v>Female</v>
      </c>
      <c r="F616" s="1">
        <f>IFERROR(__xludf.DUMMYFUNCTION("""COMPUTED_VALUE"""),24.0)</f>
        <v>24</v>
      </c>
      <c r="G616" s="1">
        <f>IFERROR(__xludf.DUMMYFUNCTION("""COMPUTED_VALUE"""),25.0)</f>
        <v>25</v>
      </c>
      <c r="H616" s="1">
        <f>IFERROR(__xludf.DUMMYFUNCTION("""COMPUTED_VALUE"""),77.0)</f>
        <v>77</v>
      </c>
      <c r="I616" s="1">
        <f>IFERROR(__xludf.DUMMYFUNCTION("""COMPUTED_VALUE"""),96.0)</f>
        <v>96</v>
      </c>
      <c r="J616" s="1">
        <f>IFERROR(__xludf.DUMMYFUNCTION("""COMPUTED_VALUE"""),54.0)</f>
        <v>54</v>
      </c>
      <c r="K616" s="1">
        <f>IFERROR(__xludf.DUMMYFUNCTION("""COMPUTED_VALUE"""),37.0)</f>
        <v>37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 t="str">
        <f>IFERROR(__xludf.DUMMYFUNCTION("""COMPUTED_VALUE"""),"B")</f>
        <v>B</v>
      </c>
      <c r="E617" s="1" t="str">
        <f>IFERROR(__xludf.DUMMYFUNCTION("""COMPUTED_VALUE"""),"Female")</f>
        <v>Female</v>
      </c>
      <c r="F617" s="1">
        <f>IFERROR(__xludf.DUMMYFUNCTION("""COMPUTED_VALUE"""),32.0)</f>
        <v>32</v>
      </c>
      <c r="G617" s="1">
        <f>IFERROR(__xludf.DUMMYFUNCTION("""COMPUTED_VALUE"""),96.0)</f>
        <v>96</v>
      </c>
      <c r="H617" s="1">
        <f>IFERROR(__xludf.DUMMYFUNCTION("""COMPUTED_VALUE"""),80.0)</f>
        <v>80</v>
      </c>
      <c r="I617" s="1">
        <f>IFERROR(__xludf.DUMMYFUNCTION("""COMPUTED_VALUE"""),44.0)</f>
        <v>44</v>
      </c>
      <c r="J617" s="1">
        <f>IFERROR(__xludf.DUMMYFUNCTION("""COMPUTED_VALUE"""),65.0)</f>
        <v>65</v>
      </c>
      <c r="K617" s="1">
        <f>IFERROR(__xludf.DUMMYFUNCTION("""COMPUTED_VALUE"""),48.0)</f>
        <v>48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 t="str">
        <f>IFERROR(__xludf.DUMMYFUNCTION("""COMPUTED_VALUE"""),"A")</f>
        <v>A</v>
      </c>
      <c r="E618" s="1" t="str">
        <f>IFERROR(__xludf.DUMMYFUNCTION("""COMPUTED_VALUE"""),"Female")</f>
        <v>Female</v>
      </c>
      <c r="F618" s="1">
        <f>IFERROR(__xludf.DUMMYFUNCTION("""COMPUTED_VALUE"""),34.0)</f>
        <v>34</v>
      </c>
      <c r="G618" s="1">
        <f>IFERROR(__xludf.DUMMYFUNCTION("""COMPUTED_VALUE"""),80.0)</f>
        <v>80</v>
      </c>
      <c r="H618" s="1">
        <f>IFERROR(__xludf.DUMMYFUNCTION("""COMPUTED_VALUE"""),37.0)</f>
        <v>37</v>
      </c>
      <c r="I618" s="1">
        <f>IFERROR(__xludf.DUMMYFUNCTION("""COMPUTED_VALUE"""),99.0)</f>
        <v>99</v>
      </c>
      <c r="J618" s="1">
        <f>IFERROR(__xludf.DUMMYFUNCTION("""COMPUTED_VALUE"""),29.0)</f>
        <v>29</v>
      </c>
      <c r="K618" s="1">
        <f>IFERROR(__xludf.DUMMYFUNCTION("""COMPUTED_VALUE"""),39.0)</f>
        <v>39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 t="str">
        <f>IFERROR(__xludf.DUMMYFUNCTION("""COMPUTED_VALUE"""),"C")</f>
        <v>C</v>
      </c>
      <c r="E619" s="1" t="str">
        <f>IFERROR(__xludf.DUMMYFUNCTION("""COMPUTED_VALUE"""),"Male")</f>
        <v>Male</v>
      </c>
      <c r="F619" s="1">
        <f>IFERROR(__xludf.DUMMYFUNCTION("""COMPUTED_VALUE"""),45.0)</f>
        <v>45</v>
      </c>
      <c r="G619" s="1">
        <f>IFERROR(__xludf.DUMMYFUNCTION("""COMPUTED_VALUE"""),28.0)</f>
        <v>28</v>
      </c>
      <c r="H619" s="1">
        <f>IFERROR(__xludf.DUMMYFUNCTION("""COMPUTED_VALUE"""),66.0)</f>
        <v>66</v>
      </c>
      <c r="I619" s="1">
        <f>IFERROR(__xludf.DUMMYFUNCTION("""COMPUTED_VALUE"""),55.0)</f>
        <v>55</v>
      </c>
      <c r="J619" s="1">
        <f>IFERROR(__xludf.DUMMYFUNCTION("""COMPUTED_VALUE"""),88.0)</f>
        <v>88</v>
      </c>
      <c r="K619" s="1">
        <f>IFERROR(__xludf.DUMMYFUNCTION("""COMPUTED_VALUE"""),21.0)</f>
        <v>21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 t="str">
        <f>IFERROR(__xludf.DUMMYFUNCTION("""COMPUTED_VALUE"""),"B")</f>
        <v>B</v>
      </c>
      <c r="E620" s="1" t="str">
        <f>IFERROR(__xludf.DUMMYFUNCTION("""COMPUTED_VALUE"""),"Female")</f>
        <v>Female</v>
      </c>
      <c r="F620" s="1">
        <f>IFERROR(__xludf.DUMMYFUNCTION("""COMPUTED_VALUE"""),23.0)</f>
        <v>23</v>
      </c>
      <c r="G620" s="1">
        <f>IFERROR(__xludf.DUMMYFUNCTION("""COMPUTED_VALUE"""),73.0)</f>
        <v>73</v>
      </c>
      <c r="H620" s="1">
        <f>IFERROR(__xludf.DUMMYFUNCTION("""COMPUTED_VALUE"""),52.0)</f>
        <v>52</v>
      </c>
      <c r="I620" s="1">
        <f>IFERROR(__xludf.DUMMYFUNCTION("""COMPUTED_VALUE"""),92.0)</f>
        <v>92</v>
      </c>
      <c r="J620" s="1">
        <f>IFERROR(__xludf.DUMMYFUNCTION("""COMPUTED_VALUE"""),47.0)</f>
        <v>47</v>
      </c>
      <c r="K620" s="1">
        <f>IFERROR(__xludf.DUMMYFUNCTION("""COMPUTED_VALUE"""),42.0)</f>
        <v>42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 t="str">
        <f>IFERROR(__xludf.DUMMYFUNCTION("""COMPUTED_VALUE"""),"A")</f>
        <v>A</v>
      </c>
      <c r="E621" s="1" t="str">
        <f>IFERROR(__xludf.DUMMYFUNCTION("""COMPUTED_VALUE"""),"Male")</f>
        <v>Male</v>
      </c>
      <c r="F621" s="1">
        <f>IFERROR(__xludf.DUMMYFUNCTION("""COMPUTED_VALUE"""),62.0)</f>
        <v>62</v>
      </c>
      <c r="G621" s="1">
        <f>IFERROR(__xludf.DUMMYFUNCTION("""COMPUTED_VALUE"""),58.0)</f>
        <v>58</v>
      </c>
      <c r="H621" s="1">
        <f>IFERROR(__xludf.DUMMYFUNCTION("""COMPUTED_VALUE"""),27.0)</f>
        <v>27</v>
      </c>
      <c r="I621" s="1">
        <f>IFERROR(__xludf.DUMMYFUNCTION("""COMPUTED_VALUE"""),43.0)</f>
        <v>43</v>
      </c>
      <c r="J621" s="1">
        <f>IFERROR(__xludf.DUMMYFUNCTION("""COMPUTED_VALUE"""),72.0)</f>
        <v>72</v>
      </c>
      <c r="K621" s="1">
        <f>IFERROR(__xludf.DUMMYFUNCTION("""COMPUTED_VALUE"""),44.0)</f>
        <v>44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 t="str">
        <f>IFERROR(__xludf.DUMMYFUNCTION("""COMPUTED_VALUE"""),"C")</f>
        <v>C</v>
      </c>
      <c r="E622" s="1" t="str">
        <f>IFERROR(__xludf.DUMMYFUNCTION("""COMPUTED_VALUE"""),"Female")</f>
        <v>Female</v>
      </c>
      <c r="F622" s="1">
        <f>IFERROR(__xludf.DUMMYFUNCTION("""COMPUTED_VALUE"""),98.0)</f>
        <v>98</v>
      </c>
      <c r="G622" s="1">
        <f>IFERROR(__xludf.DUMMYFUNCTION("""COMPUTED_VALUE"""),98.0)</f>
        <v>98</v>
      </c>
      <c r="H622" s="1">
        <f>IFERROR(__xludf.DUMMYFUNCTION("""COMPUTED_VALUE"""),68.0)</f>
        <v>68</v>
      </c>
      <c r="I622" s="1">
        <f>IFERROR(__xludf.DUMMYFUNCTION("""COMPUTED_VALUE"""),62.0)</f>
        <v>62</v>
      </c>
      <c r="J622" s="1">
        <f>IFERROR(__xludf.DUMMYFUNCTION("""COMPUTED_VALUE"""),68.0)</f>
        <v>68</v>
      </c>
      <c r="K622" s="1">
        <f>IFERROR(__xludf.DUMMYFUNCTION("""COMPUTED_VALUE"""),27.0)</f>
        <v>27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 t="str">
        <f>IFERROR(__xludf.DUMMYFUNCTION("""COMPUTED_VALUE"""),"A")</f>
        <v>A</v>
      </c>
      <c r="E623" s="1" t="str">
        <f>IFERROR(__xludf.DUMMYFUNCTION("""COMPUTED_VALUE"""),"Female")</f>
        <v>Female</v>
      </c>
      <c r="F623" s="1">
        <f>IFERROR(__xludf.DUMMYFUNCTION("""COMPUTED_VALUE"""),33.0)</f>
        <v>33</v>
      </c>
      <c r="G623" s="1">
        <f>IFERROR(__xludf.DUMMYFUNCTION("""COMPUTED_VALUE"""),34.0)</f>
        <v>34</v>
      </c>
      <c r="H623" s="1">
        <f>IFERROR(__xludf.DUMMYFUNCTION("""COMPUTED_VALUE"""),54.0)</f>
        <v>54</v>
      </c>
      <c r="I623" s="1">
        <f>IFERROR(__xludf.DUMMYFUNCTION("""COMPUTED_VALUE"""),82.0)</f>
        <v>82</v>
      </c>
      <c r="J623" s="1">
        <f>IFERROR(__xludf.DUMMYFUNCTION("""COMPUTED_VALUE"""),48.0)</f>
        <v>48</v>
      </c>
      <c r="K623" s="1">
        <f>IFERROR(__xludf.DUMMYFUNCTION("""COMPUTED_VALUE"""),85.0)</f>
        <v>85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 t="str">
        <f>IFERROR(__xludf.DUMMYFUNCTION("""COMPUTED_VALUE"""),"A")</f>
        <v>A</v>
      </c>
      <c r="E624" s="1" t="str">
        <f>IFERROR(__xludf.DUMMYFUNCTION("""COMPUTED_VALUE"""),"Female")</f>
        <v>Female</v>
      </c>
      <c r="F624" s="1">
        <f>IFERROR(__xludf.DUMMYFUNCTION("""COMPUTED_VALUE"""),10.0)</f>
        <v>10</v>
      </c>
      <c r="G624" s="1">
        <f>IFERROR(__xludf.DUMMYFUNCTION("""COMPUTED_VALUE"""),57.0)</f>
        <v>57</v>
      </c>
      <c r="H624" s="1">
        <f>IFERROR(__xludf.DUMMYFUNCTION("""COMPUTED_VALUE"""),25.0)</f>
        <v>25</v>
      </c>
      <c r="I624" s="1">
        <f>IFERROR(__xludf.DUMMYFUNCTION("""COMPUTED_VALUE"""),28.0)</f>
        <v>28</v>
      </c>
      <c r="J624" s="1">
        <f>IFERROR(__xludf.DUMMYFUNCTION("""COMPUTED_VALUE"""),89.0)</f>
        <v>89</v>
      </c>
      <c r="K624" s="1">
        <f>IFERROR(__xludf.DUMMYFUNCTION("""COMPUTED_VALUE"""),20.0)</f>
        <v>20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 t="str">
        <f>IFERROR(__xludf.DUMMYFUNCTION("""COMPUTED_VALUE"""),"D")</f>
        <v>D</v>
      </c>
      <c r="E625" s="1" t="str">
        <f>IFERROR(__xludf.DUMMYFUNCTION("""COMPUTED_VALUE"""),"Female")</f>
        <v>Female</v>
      </c>
      <c r="F625" s="1">
        <f>IFERROR(__xludf.DUMMYFUNCTION("""COMPUTED_VALUE"""),74.0)</f>
        <v>74</v>
      </c>
      <c r="G625" s="1">
        <f>IFERROR(__xludf.DUMMYFUNCTION("""COMPUTED_VALUE"""),63.0)</f>
        <v>63</v>
      </c>
      <c r="H625" s="1">
        <f>IFERROR(__xludf.DUMMYFUNCTION("""COMPUTED_VALUE"""),52.0)</f>
        <v>52</v>
      </c>
      <c r="I625" s="1">
        <f>IFERROR(__xludf.DUMMYFUNCTION("""COMPUTED_VALUE"""),39.0)</f>
        <v>39</v>
      </c>
      <c r="J625" s="1">
        <f>IFERROR(__xludf.DUMMYFUNCTION("""COMPUTED_VALUE"""),54.0)</f>
        <v>54</v>
      </c>
      <c r="K625" s="1">
        <f>IFERROR(__xludf.DUMMYFUNCTION("""COMPUTED_VALUE"""),73.0)</f>
        <v>73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 t="str">
        <f>IFERROR(__xludf.DUMMYFUNCTION("""COMPUTED_VALUE"""),"B")</f>
        <v>B</v>
      </c>
      <c r="E626" s="1" t="str">
        <f>IFERROR(__xludf.DUMMYFUNCTION("""COMPUTED_VALUE"""),"Female")</f>
        <v>Female</v>
      </c>
      <c r="F626" s="1">
        <f>IFERROR(__xludf.DUMMYFUNCTION("""COMPUTED_VALUE"""),61.0)</f>
        <v>61</v>
      </c>
      <c r="G626" s="1">
        <f>IFERROR(__xludf.DUMMYFUNCTION("""COMPUTED_VALUE"""),84.0)</f>
        <v>84</v>
      </c>
      <c r="H626" s="1">
        <f>IFERROR(__xludf.DUMMYFUNCTION("""COMPUTED_VALUE"""),74.0)</f>
        <v>74</v>
      </c>
      <c r="I626" s="1">
        <f>IFERROR(__xludf.DUMMYFUNCTION("""COMPUTED_VALUE"""),84.0)</f>
        <v>84</v>
      </c>
      <c r="J626" s="1">
        <f>IFERROR(__xludf.DUMMYFUNCTION("""COMPUTED_VALUE"""),63.0)</f>
        <v>63</v>
      </c>
      <c r="K626" s="1">
        <f>IFERROR(__xludf.DUMMYFUNCTION("""COMPUTED_VALUE"""),64.0)</f>
        <v>64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 t="str">
        <f>IFERROR(__xludf.DUMMYFUNCTION("""COMPUTED_VALUE"""),"D")</f>
        <v>D</v>
      </c>
      <c r="E627" s="1" t="str">
        <f>IFERROR(__xludf.DUMMYFUNCTION("""COMPUTED_VALUE"""),"Male")</f>
        <v>Male</v>
      </c>
      <c r="F627" s="1">
        <f>IFERROR(__xludf.DUMMYFUNCTION("""COMPUTED_VALUE"""),35.0)</f>
        <v>35</v>
      </c>
      <c r="G627" s="1">
        <f>IFERROR(__xludf.DUMMYFUNCTION("""COMPUTED_VALUE"""),28.0)</f>
        <v>28</v>
      </c>
      <c r="H627" s="1">
        <f>IFERROR(__xludf.DUMMYFUNCTION("""COMPUTED_VALUE"""),45.0)</f>
        <v>45</v>
      </c>
      <c r="I627" s="1">
        <f>IFERROR(__xludf.DUMMYFUNCTION("""COMPUTED_VALUE"""),73.0)</f>
        <v>73</v>
      </c>
      <c r="J627" s="1">
        <f>IFERROR(__xludf.DUMMYFUNCTION("""COMPUTED_VALUE"""),84.0)</f>
        <v>84</v>
      </c>
      <c r="K627" s="1">
        <f>IFERROR(__xludf.DUMMYFUNCTION("""COMPUTED_VALUE"""),64.0)</f>
        <v>64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 t="str">
        <f>IFERROR(__xludf.DUMMYFUNCTION("""COMPUTED_VALUE"""),"B")</f>
        <v>B</v>
      </c>
      <c r="E628" s="1" t="str">
        <f>IFERROR(__xludf.DUMMYFUNCTION("""COMPUTED_VALUE"""),"Male")</f>
        <v>Male</v>
      </c>
      <c r="F628" s="1">
        <f>IFERROR(__xludf.DUMMYFUNCTION("""COMPUTED_VALUE"""),38.0)</f>
        <v>38</v>
      </c>
      <c r="G628" s="1">
        <f>IFERROR(__xludf.DUMMYFUNCTION("""COMPUTED_VALUE"""),54.0)</f>
        <v>54</v>
      </c>
      <c r="H628" s="1">
        <f>IFERROR(__xludf.DUMMYFUNCTION("""COMPUTED_VALUE"""),27.0)</f>
        <v>27</v>
      </c>
      <c r="I628" s="1">
        <f>IFERROR(__xludf.DUMMYFUNCTION("""COMPUTED_VALUE"""),41.0)</f>
        <v>41</v>
      </c>
      <c r="J628" s="1">
        <f>IFERROR(__xludf.DUMMYFUNCTION("""COMPUTED_VALUE"""),90.0)</f>
        <v>90</v>
      </c>
      <c r="K628" s="1">
        <f>IFERROR(__xludf.DUMMYFUNCTION("""COMPUTED_VALUE"""),43.0)</f>
        <v>43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 t="str">
        <f>IFERROR(__xludf.DUMMYFUNCTION("""COMPUTED_VALUE"""),"D")</f>
        <v>D</v>
      </c>
      <c r="E629" s="1" t="str">
        <f>IFERROR(__xludf.DUMMYFUNCTION("""COMPUTED_VALUE"""),"Female")</f>
        <v>Female</v>
      </c>
      <c r="F629" s="1">
        <f>IFERROR(__xludf.DUMMYFUNCTION("""COMPUTED_VALUE"""),72.0)</f>
        <v>72</v>
      </c>
      <c r="G629" s="1">
        <f>IFERROR(__xludf.DUMMYFUNCTION("""COMPUTED_VALUE"""),38.0)</f>
        <v>38</v>
      </c>
      <c r="H629" s="1">
        <f>IFERROR(__xludf.DUMMYFUNCTION("""COMPUTED_VALUE"""),49.0)</f>
        <v>49</v>
      </c>
      <c r="I629" s="1">
        <f>IFERROR(__xludf.DUMMYFUNCTION("""COMPUTED_VALUE"""),44.0)</f>
        <v>44</v>
      </c>
      <c r="J629" s="1">
        <f>IFERROR(__xludf.DUMMYFUNCTION("""COMPUTED_VALUE"""),70.0)</f>
        <v>70</v>
      </c>
      <c r="K629" s="1">
        <f>IFERROR(__xludf.DUMMYFUNCTION("""COMPUTED_VALUE"""),49.0)</f>
        <v>49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 t="str">
        <f>IFERROR(__xludf.DUMMYFUNCTION("""COMPUTED_VALUE"""),"B")</f>
        <v>B</v>
      </c>
      <c r="E630" s="1" t="str">
        <f>IFERROR(__xludf.DUMMYFUNCTION("""COMPUTED_VALUE"""),"Female")</f>
        <v>Female</v>
      </c>
      <c r="F630" s="1">
        <f>IFERROR(__xludf.DUMMYFUNCTION("""COMPUTED_VALUE"""),43.0)</f>
        <v>43</v>
      </c>
      <c r="G630" s="1">
        <f>IFERROR(__xludf.DUMMYFUNCTION("""COMPUTED_VALUE"""),78.0)</f>
        <v>78</v>
      </c>
      <c r="H630" s="1">
        <f>IFERROR(__xludf.DUMMYFUNCTION("""COMPUTED_VALUE"""),84.0)</f>
        <v>84</v>
      </c>
      <c r="I630" s="1">
        <f>IFERROR(__xludf.DUMMYFUNCTION("""COMPUTED_VALUE"""),75.0)</f>
        <v>75</v>
      </c>
      <c r="J630" s="1">
        <f>IFERROR(__xludf.DUMMYFUNCTION("""COMPUTED_VALUE"""),92.0)</f>
        <v>92</v>
      </c>
      <c r="K630" s="1">
        <f>IFERROR(__xludf.DUMMYFUNCTION("""COMPUTED_VALUE"""),83.0)</f>
        <v>83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 t="str">
        <f>IFERROR(__xludf.DUMMYFUNCTION("""COMPUTED_VALUE"""),"C")</f>
        <v>C</v>
      </c>
      <c r="E631" s="1" t="str">
        <f>IFERROR(__xludf.DUMMYFUNCTION("""COMPUTED_VALUE"""),"Male")</f>
        <v>Male</v>
      </c>
      <c r="F631" s="1">
        <f>IFERROR(__xludf.DUMMYFUNCTION("""COMPUTED_VALUE"""),68.0)</f>
        <v>68</v>
      </c>
      <c r="G631" s="1">
        <f>IFERROR(__xludf.DUMMYFUNCTION("""COMPUTED_VALUE"""),85.0)</f>
        <v>85</v>
      </c>
      <c r="H631" s="1">
        <f>IFERROR(__xludf.DUMMYFUNCTION("""COMPUTED_VALUE"""),98.0)</f>
        <v>98</v>
      </c>
      <c r="I631" s="1">
        <f>IFERROR(__xludf.DUMMYFUNCTION("""COMPUTED_VALUE"""),21.0)</f>
        <v>21</v>
      </c>
      <c r="J631" s="1">
        <f>IFERROR(__xludf.DUMMYFUNCTION("""COMPUTED_VALUE"""),53.0)</f>
        <v>53</v>
      </c>
      <c r="K631" s="1">
        <f>IFERROR(__xludf.DUMMYFUNCTION("""COMPUTED_VALUE"""),56.0)</f>
        <v>56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 t="str">
        <f>IFERROR(__xludf.DUMMYFUNCTION("""COMPUTED_VALUE"""),"D")</f>
        <v>D</v>
      </c>
      <c r="E632" s="1" t="str">
        <f>IFERROR(__xludf.DUMMYFUNCTION("""COMPUTED_VALUE"""),"Male")</f>
        <v>Male</v>
      </c>
      <c r="F632" s="1">
        <f>IFERROR(__xludf.DUMMYFUNCTION("""COMPUTED_VALUE"""),68.0)</f>
        <v>68</v>
      </c>
      <c r="G632" s="1">
        <f>IFERROR(__xludf.DUMMYFUNCTION("""COMPUTED_VALUE"""),49.0)</f>
        <v>49</v>
      </c>
      <c r="H632" s="1">
        <f>IFERROR(__xludf.DUMMYFUNCTION("""COMPUTED_VALUE"""),42.0)</f>
        <v>42</v>
      </c>
      <c r="I632" s="1">
        <f>IFERROR(__xludf.DUMMYFUNCTION("""COMPUTED_VALUE"""),91.0)</f>
        <v>91</v>
      </c>
      <c r="J632" s="1">
        <f>IFERROR(__xludf.DUMMYFUNCTION("""COMPUTED_VALUE"""),74.0)</f>
        <v>74</v>
      </c>
      <c r="K632" s="1">
        <f>IFERROR(__xludf.DUMMYFUNCTION("""COMPUTED_VALUE"""),43.0)</f>
        <v>43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 t="str">
        <f>IFERROR(__xludf.DUMMYFUNCTION("""COMPUTED_VALUE"""),"D")</f>
        <v>D</v>
      </c>
      <c r="E633" s="1" t="str">
        <f>IFERROR(__xludf.DUMMYFUNCTION("""COMPUTED_VALUE"""),"Female")</f>
        <v>Female</v>
      </c>
      <c r="F633" s="1">
        <f>IFERROR(__xludf.DUMMYFUNCTION("""COMPUTED_VALUE"""),16.0)</f>
        <v>16</v>
      </c>
      <c r="G633" s="1">
        <f>IFERROR(__xludf.DUMMYFUNCTION("""COMPUTED_VALUE"""),31.0)</f>
        <v>31</v>
      </c>
      <c r="H633" s="1">
        <f>IFERROR(__xludf.DUMMYFUNCTION("""COMPUTED_VALUE"""),97.0)</f>
        <v>97</v>
      </c>
      <c r="I633" s="1">
        <f>IFERROR(__xludf.DUMMYFUNCTION("""COMPUTED_VALUE"""),94.0)</f>
        <v>94</v>
      </c>
      <c r="J633" s="1">
        <f>IFERROR(__xludf.DUMMYFUNCTION("""COMPUTED_VALUE"""),82.0)</f>
        <v>82</v>
      </c>
      <c r="K633" s="1">
        <f>IFERROR(__xludf.DUMMYFUNCTION("""COMPUTED_VALUE"""),97.0)</f>
        <v>97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 t="str">
        <f>IFERROR(__xludf.DUMMYFUNCTION("""COMPUTED_VALUE"""),"A")</f>
        <v>A</v>
      </c>
      <c r="E634" s="1" t="str">
        <f>IFERROR(__xludf.DUMMYFUNCTION("""COMPUTED_VALUE"""),"Female")</f>
        <v>Female</v>
      </c>
      <c r="F634" s="1">
        <f>IFERROR(__xludf.DUMMYFUNCTION("""COMPUTED_VALUE"""),29.0)</f>
        <v>29</v>
      </c>
      <c r="G634" s="1">
        <f>IFERROR(__xludf.DUMMYFUNCTION("""COMPUTED_VALUE"""),32.0)</f>
        <v>32</v>
      </c>
      <c r="H634" s="1">
        <f>IFERROR(__xludf.DUMMYFUNCTION("""COMPUTED_VALUE"""),53.0)</f>
        <v>53</v>
      </c>
      <c r="I634" s="1">
        <f>IFERROR(__xludf.DUMMYFUNCTION("""COMPUTED_VALUE"""),37.0)</f>
        <v>37</v>
      </c>
      <c r="J634" s="1">
        <f>IFERROR(__xludf.DUMMYFUNCTION("""COMPUTED_VALUE"""),69.0)</f>
        <v>69</v>
      </c>
      <c r="K634" s="1">
        <f>IFERROR(__xludf.DUMMYFUNCTION("""COMPUTED_VALUE"""),26.0)</f>
        <v>26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 t="str">
        <f>IFERROR(__xludf.DUMMYFUNCTION("""COMPUTED_VALUE"""),"A")</f>
        <v>A</v>
      </c>
      <c r="E635" s="1" t="str">
        <f>IFERROR(__xludf.DUMMYFUNCTION("""COMPUTED_VALUE"""),"Male")</f>
        <v>Male</v>
      </c>
      <c r="F635" s="1">
        <f>IFERROR(__xludf.DUMMYFUNCTION("""COMPUTED_VALUE"""),28.0)</f>
        <v>28</v>
      </c>
      <c r="G635" s="1">
        <f>IFERROR(__xludf.DUMMYFUNCTION("""COMPUTED_VALUE"""),84.0)</f>
        <v>84</v>
      </c>
      <c r="H635" s="1">
        <f>IFERROR(__xludf.DUMMYFUNCTION("""COMPUTED_VALUE"""),71.0)</f>
        <v>71</v>
      </c>
      <c r="I635" s="1">
        <f>IFERROR(__xludf.DUMMYFUNCTION("""COMPUTED_VALUE"""),39.0)</f>
        <v>39</v>
      </c>
      <c r="J635" s="1">
        <f>IFERROR(__xludf.DUMMYFUNCTION("""COMPUTED_VALUE"""),51.0)</f>
        <v>51</v>
      </c>
      <c r="K635" s="1">
        <f>IFERROR(__xludf.DUMMYFUNCTION("""COMPUTED_VALUE"""),42.0)</f>
        <v>42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 t="str">
        <f>IFERROR(__xludf.DUMMYFUNCTION("""COMPUTED_VALUE"""),"C")</f>
        <v>C</v>
      </c>
      <c r="E636" s="1" t="str">
        <f>IFERROR(__xludf.DUMMYFUNCTION("""COMPUTED_VALUE"""),"Female")</f>
        <v>Female</v>
      </c>
      <c r="F636" s="1">
        <f>IFERROR(__xludf.DUMMYFUNCTION("""COMPUTED_VALUE"""),25.0)</f>
        <v>25</v>
      </c>
      <c r="G636" s="1">
        <f>IFERROR(__xludf.DUMMYFUNCTION("""COMPUTED_VALUE"""),64.0)</f>
        <v>64</v>
      </c>
      <c r="H636" s="1">
        <f>IFERROR(__xludf.DUMMYFUNCTION("""COMPUTED_VALUE"""),39.0)</f>
        <v>39</v>
      </c>
      <c r="I636" s="1">
        <f>IFERROR(__xludf.DUMMYFUNCTION("""COMPUTED_VALUE"""),39.0)</f>
        <v>39</v>
      </c>
      <c r="J636" s="1">
        <f>IFERROR(__xludf.DUMMYFUNCTION("""COMPUTED_VALUE"""),63.0)</f>
        <v>63</v>
      </c>
      <c r="K636" s="1">
        <f>IFERROR(__xludf.DUMMYFUNCTION("""COMPUTED_VALUE"""),58.0)</f>
        <v>58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 t="str">
        <f>IFERROR(__xludf.DUMMYFUNCTION("""COMPUTED_VALUE"""),"C")</f>
        <v>C</v>
      </c>
      <c r="E637" s="1" t="str">
        <f>IFERROR(__xludf.DUMMYFUNCTION("""COMPUTED_VALUE"""),"Female")</f>
        <v>Female</v>
      </c>
      <c r="F637" s="1">
        <f>IFERROR(__xludf.DUMMYFUNCTION("""COMPUTED_VALUE"""),56.0)</f>
        <v>56</v>
      </c>
      <c r="G637" s="1">
        <f>IFERROR(__xludf.DUMMYFUNCTION("""COMPUTED_VALUE"""),36.0)</f>
        <v>36</v>
      </c>
      <c r="H637" s="1">
        <f>IFERROR(__xludf.DUMMYFUNCTION("""COMPUTED_VALUE"""),22.0)</f>
        <v>22</v>
      </c>
      <c r="I637" s="1">
        <f>IFERROR(__xludf.DUMMYFUNCTION("""COMPUTED_VALUE"""),60.0)</f>
        <v>60</v>
      </c>
      <c r="J637" s="1">
        <f>IFERROR(__xludf.DUMMYFUNCTION("""COMPUTED_VALUE"""),32.0)</f>
        <v>32</v>
      </c>
      <c r="K637" s="1">
        <f>IFERROR(__xludf.DUMMYFUNCTION("""COMPUTED_VALUE"""),29.0)</f>
        <v>29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 t="str">
        <f>IFERROR(__xludf.DUMMYFUNCTION("""COMPUTED_VALUE"""),"A")</f>
        <v>A</v>
      </c>
      <c r="E638" s="1" t="str">
        <f>IFERROR(__xludf.DUMMYFUNCTION("""COMPUTED_VALUE"""),"Male")</f>
        <v>Male</v>
      </c>
      <c r="F638" s="1">
        <f>IFERROR(__xludf.DUMMYFUNCTION("""COMPUTED_VALUE"""),73.0)</f>
        <v>73</v>
      </c>
      <c r="G638" s="1">
        <f>IFERROR(__xludf.DUMMYFUNCTION("""COMPUTED_VALUE"""),90.0)</f>
        <v>90</v>
      </c>
      <c r="H638" s="1">
        <f>IFERROR(__xludf.DUMMYFUNCTION("""COMPUTED_VALUE"""),66.0)</f>
        <v>66</v>
      </c>
      <c r="I638" s="1">
        <f>IFERROR(__xludf.DUMMYFUNCTION("""COMPUTED_VALUE"""),40.0)</f>
        <v>40</v>
      </c>
      <c r="J638" s="1">
        <f>IFERROR(__xludf.DUMMYFUNCTION("""COMPUTED_VALUE"""),63.0)</f>
        <v>63</v>
      </c>
      <c r="K638" s="1">
        <f>IFERROR(__xludf.DUMMYFUNCTION("""COMPUTED_VALUE"""),49.0)</f>
        <v>49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 t="str">
        <f>IFERROR(__xludf.DUMMYFUNCTION("""COMPUTED_VALUE"""),"A")</f>
        <v>A</v>
      </c>
      <c r="E639" s="1" t="str">
        <f>IFERROR(__xludf.DUMMYFUNCTION("""COMPUTED_VALUE"""),"Female")</f>
        <v>Female</v>
      </c>
      <c r="F639" s="1">
        <f>IFERROR(__xludf.DUMMYFUNCTION("""COMPUTED_VALUE"""),75.0)</f>
        <v>75</v>
      </c>
      <c r="G639" s="1">
        <f>IFERROR(__xludf.DUMMYFUNCTION("""COMPUTED_VALUE"""),56.0)</f>
        <v>56</v>
      </c>
      <c r="H639" s="1">
        <f>IFERROR(__xludf.DUMMYFUNCTION("""COMPUTED_VALUE"""),84.0)</f>
        <v>84</v>
      </c>
      <c r="I639" s="1">
        <f>IFERROR(__xludf.DUMMYFUNCTION("""COMPUTED_VALUE"""),49.0)</f>
        <v>49</v>
      </c>
      <c r="J639" s="1">
        <f>IFERROR(__xludf.DUMMYFUNCTION("""COMPUTED_VALUE"""),63.0)</f>
        <v>63</v>
      </c>
      <c r="K639" s="1">
        <f>IFERROR(__xludf.DUMMYFUNCTION("""COMPUTED_VALUE"""),42.0)</f>
        <v>42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 t="str">
        <f>IFERROR(__xludf.DUMMYFUNCTION("""COMPUTED_VALUE"""),"D")</f>
        <v>D</v>
      </c>
      <c r="E640" s="1" t="str">
        <f>IFERROR(__xludf.DUMMYFUNCTION("""COMPUTED_VALUE"""),"Female")</f>
        <v>Female</v>
      </c>
      <c r="F640" s="1">
        <f>IFERROR(__xludf.DUMMYFUNCTION("""COMPUTED_VALUE"""),42.0)</f>
        <v>42</v>
      </c>
      <c r="G640" s="1">
        <f>IFERROR(__xludf.DUMMYFUNCTION("""COMPUTED_VALUE"""),25.0)</f>
        <v>25</v>
      </c>
      <c r="H640" s="1">
        <f>IFERROR(__xludf.DUMMYFUNCTION("""COMPUTED_VALUE"""),41.0)</f>
        <v>41</v>
      </c>
      <c r="I640" s="1">
        <f>IFERROR(__xludf.DUMMYFUNCTION("""COMPUTED_VALUE"""),84.0)</f>
        <v>84</v>
      </c>
      <c r="J640" s="1">
        <f>IFERROR(__xludf.DUMMYFUNCTION("""COMPUTED_VALUE"""),53.0)</f>
        <v>53</v>
      </c>
      <c r="K640" s="1">
        <f>IFERROR(__xludf.DUMMYFUNCTION("""COMPUTED_VALUE"""),54.0)</f>
        <v>54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 t="str">
        <f>IFERROR(__xludf.DUMMYFUNCTION("""COMPUTED_VALUE"""),"B")</f>
        <v>B</v>
      </c>
      <c r="E641" s="1" t="str">
        <f>IFERROR(__xludf.DUMMYFUNCTION("""COMPUTED_VALUE"""),"Male")</f>
        <v>Male</v>
      </c>
      <c r="F641" s="1">
        <f>IFERROR(__xludf.DUMMYFUNCTION("""COMPUTED_VALUE"""),31.0)</f>
        <v>31</v>
      </c>
      <c r="G641" s="1">
        <f>IFERROR(__xludf.DUMMYFUNCTION("""COMPUTED_VALUE"""),30.0)</f>
        <v>30</v>
      </c>
      <c r="H641" s="1">
        <f>IFERROR(__xludf.DUMMYFUNCTION("""COMPUTED_VALUE"""),30.0)</f>
        <v>30</v>
      </c>
      <c r="I641" s="1">
        <f>IFERROR(__xludf.DUMMYFUNCTION("""COMPUTED_VALUE"""),24.0)</f>
        <v>24</v>
      </c>
      <c r="J641" s="1">
        <f>IFERROR(__xludf.DUMMYFUNCTION("""COMPUTED_VALUE"""),57.0)</f>
        <v>57</v>
      </c>
      <c r="K641" s="1">
        <f>IFERROR(__xludf.DUMMYFUNCTION("""COMPUTED_VALUE"""),62.0)</f>
        <v>62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 t="str">
        <f>IFERROR(__xludf.DUMMYFUNCTION("""COMPUTED_VALUE"""),"B")</f>
        <v>B</v>
      </c>
      <c r="E642" s="1" t="str">
        <f>IFERROR(__xludf.DUMMYFUNCTION("""COMPUTED_VALUE"""),"Male")</f>
        <v>Male</v>
      </c>
      <c r="F642" s="1">
        <f>IFERROR(__xludf.DUMMYFUNCTION("""COMPUTED_VALUE"""),40.0)</f>
        <v>40</v>
      </c>
      <c r="G642" s="1">
        <f>IFERROR(__xludf.DUMMYFUNCTION("""COMPUTED_VALUE"""),50.0)</f>
        <v>50</v>
      </c>
      <c r="H642" s="1">
        <f>IFERROR(__xludf.DUMMYFUNCTION("""COMPUTED_VALUE"""),39.0)</f>
        <v>39</v>
      </c>
      <c r="I642" s="1">
        <f>IFERROR(__xludf.DUMMYFUNCTION("""COMPUTED_VALUE"""),85.0)</f>
        <v>85</v>
      </c>
      <c r="J642" s="1">
        <f>IFERROR(__xludf.DUMMYFUNCTION("""COMPUTED_VALUE"""),25.0)</f>
        <v>25</v>
      </c>
      <c r="K642" s="1">
        <f>IFERROR(__xludf.DUMMYFUNCTION("""COMPUTED_VALUE"""),99.0)</f>
        <v>99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 t="str">
        <f>IFERROR(__xludf.DUMMYFUNCTION("""COMPUTED_VALUE"""),"C")</f>
        <v>C</v>
      </c>
      <c r="E643" s="1" t="str">
        <f>IFERROR(__xludf.DUMMYFUNCTION("""COMPUTED_VALUE"""),"Male")</f>
        <v>Male</v>
      </c>
      <c r="F643" s="1">
        <f>IFERROR(__xludf.DUMMYFUNCTION("""COMPUTED_VALUE"""),20.0)</f>
        <v>20</v>
      </c>
      <c r="G643" s="1">
        <f>IFERROR(__xludf.DUMMYFUNCTION("""COMPUTED_VALUE"""),42.0)</f>
        <v>42</v>
      </c>
      <c r="H643" s="1">
        <f>IFERROR(__xludf.DUMMYFUNCTION("""COMPUTED_VALUE"""),25.0)</f>
        <v>25</v>
      </c>
      <c r="I643" s="1">
        <f>IFERROR(__xludf.DUMMYFUNCTION("""COMPUTED_VALUE"""),52.0)</f>
        <v>52</v>
      </c>
      <c r="J643" s="1">
        <f>IFERROR(__xludf.DUMMYFUNCTION("""COMPUTED_VALUE"""),54.0)</f>
        <v>54</v>
      </c>
      <c r="K643" s="1">
        <f>IFERROR(__xludf.DUMMYFUNCTION("""COMPUTED_VALUE"""),63.0)</f>
        <v>63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 t="str">
        <f>IFERROR(__xludf.DUMMYFUNCTION("""COMPUTED_VALUE"""),"C")</f>
        <v>C</v>
      </c>
      <c r="E644" s="1" t="str">
        <f>IFERROR(__xludf.DUMMYFUNCTION("""COMPUTED_VALUE"""),"Male")</f>
        <v>Male</v>
      </c>
      <c r="F644" s="1">
        <f>IFERROR(__xludf.DUMMYFUNCTION("""COMPUTED_VALUE"""),63.0)</f>
        <v>63</v>
      </c>
      <c r="G644" s="1">
        <f>IFERROR(__xludf.DUMMYFUNCTION("""COMPUTED_VALUE"""),33.0)</f>
        <v>33</v>
      </c>
      <c r="H644" s="1">
        <f>IFERROR(__xludf.DUMMYFUNCTION("""COMPUTED_VALUE"""),99.0)</f>
        <v>99</v>
      </c>
      <c r="I644" s="1">
        <f>IFERROR(__xludf.DUMMYFUNCTION("""COMPUTED_VALUE"""),40.0)</f>
        <v>40</v>
      </c>
      <c r="J644" s="1">
        <f>IFERROR(__xludf.DUMMYFUNCTION("""COMPUTED_VALUE"""),60.0)</f>
        <v>60</v>
      </c>
      <c r="K644" s="1">
        <f>IFERROR(__xludf.DUMMYFUNCTION("""COMPUTED_VALUE"""),34.0)</f>
        <v>34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 t="str">
        <f>IFERROR(__xludf.DUMMYFUNCTION("""COMPUTED_VALUE"""),"A")</f>
        <v>A</v>
      </c>
      <c r="E645" s="1" t="str">
        <f>IFERROR(__xludf.DUMMYFUNCTION("""COMPUTED_VALUE"""),"Male")</f>
        <v>Male</v>
      </c>
      <c r="F645" s="1">
        <f>IFERROR(__xludf.DUMMYFUNCTION("""COMPUTED_VALUE"""),53.0)</f>
        <v>53</v>
      </c>
      <c r="G645" s="1">
        <f>IFERROR(__xludf.DUMMYFUNCTION("""COMPUTED_VALUE"""),79.0)</f>
        <v>79</v>
      </c>
      <c r="H645" s="1">
        <f>IFERROR(__xludf.DUMMYFUNCTION("""COMPUTED_VALUE"""),90.0)</f>
        <v>90</v>
      </c>
      <c r="I645" s="1">
        <f>IFERROR(__xludf.DUMMYFUNCTION("""COMPUTED_VALUE"""),85.0)</f>
        <v>85</v>
      </c>
      <c r="J645" s="1">
        <f>IFERROR(__xludf.DUMMYFUNCTION("""COMPUTED_VALUE"""),31.0)</f>
        <v>31</v>
      </c>
      <c r="K645" s="1">
        <f>IFERROR(__xludf.DUMMYFUNCTION("""COMPUTED_VALUE"""),28.0)</f>
        <v>28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 t="str">
        <f>IFERROR(__xludf.DUMMYFUNCTION("""COMPUTED_VALUE"""),"A")</f>
        <v>A</v>
      </c>
      <c r="E646" s="1" t="str">
        <f>IFERROR(__xludf.DUMMYFUNCTION("""COMPUTED_VALUE"""),"Male")</f>
        <v>Male</v>
      </c>
      <c r="F646" s="1">
        <f>IFERROR(__xludf.DUMMYFUNCTION("""COMPUTED_VALUE"""),49.0)</f>
        <v>49</v>
      </c>
      <c r="G646" s="1">
        <f>IFERROR(__xludf.DUMMYFUNCTION("""COMPUTED_VALUE"""),46.0)</f>
        <v>46</v>
      </c>
      <c r="H646" s="1">
        <f>IFERROR(__xludf.DUMMYFUNCTION("""COMPUTED_VALUE"""),51.0)</f>
        <v>51</v>
      </c>
      <c r="I646" s="1">
        <f>IFERROR(__xludf.DUMMYFUNCTION("""COMPUTED_VALUE"""),66.0)</f>
        <v>66</v>
      </c>
      <c r="J646" s="1">
        <f>IFERROR(__xludf.DUMMYFUNCTION("""COMPUTED_VALUE"""),97.0)</f>
        <v>97</v>
      </c>
      <c r="K646" s="1">
        <f>IFERROR(__xludf.DUMMYFUNCTION("""COMPUTED_VALUE"""),95.0)</f>
        <v>95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 t="str">
        <f>IFERROR(__xludf.DUMMYFUNCTION("""COMPUTED_VALUE"""),"C")</f>
        <v>C</v>
      </c>
      <c r="E647" s="1" t="str">
        <f>IFERROR(__xludf.DUMMYFUNCTION("""COMPUTED_VALUE"""),"Male")</f>
        <v>Male</v>
      </c>
      <c r="F647" s="1">
        <f>IFERROR(__xludf.DUMMYFUNCTION("""COMPUTED_VALUE"""),90.0)</f>
        <v>90</v>
      </c>
      <c r="G647" s="1">
        <f>IFERROR(__xludf.DUMMYFUNCTION("""COMPUTED_VALUE"""),64.0)</f>
        <v>64</v>
      </c>
      <c r="H647" s="1">
        <f>IFERROR(__xludf.DUMMYFUNCTION("""COMPUTED_VALUE"""),99.0)</f>
        <v>99</v>
      </c>
      <c r="I647" s="1">
        <f>IFERROR(__xludf.DUMMYFUNCTION("""COMPUTED_VALUE"""),95.0)</f>
        <v>95</v>
      </c>
      <c r="J647" s="1">
        <f>IFERROR(__xludf.DUMMYFUNCTION("""COMPUTED_VALUE"""),58.0)</f>
        <v>58</v>
      </c>
      <c r="K647" s="1">
        <f>IFERROR(__xludf.DUMMYFUNCTION("""COMPUTED_VALUE"""),92.0)</f>
        <v>92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 t="str">
        <f>IFERROR(__xludf.DUMMYFUNCTION("""COMPUTED_VALUE"""),"D")</f>
        <v>D</v>
      </c>
      <c r="E648" s="1" t="str">
        <f>IFERROR(__xludf.DUMMYFUNCTION("""COMPUTED_VALUE"""),"Male")</f>
        <v>Male</v>
      </c>
      <c r="F648" s="1">
        <f>IFERROR(__xludf.DUMMYFUNCTION("""COMPUTED_VALUE"""),90.0)</f>
        <v>90</v>
      </c>
      <c r="G648" s="1">
        <f>IFERROR(__xludf.DUMMYFUNCTION("""COMPUTED_VALUE"""),58.0)</f>
        <v>58</v>
      </c>
      <c r="H648" s="1">
        <f>IFERROR(__xludf.DUMMYFUNCTION("""COMPUTED_VALUE"""),31.0)</f>
        <v>31</v>
      </c>
      <c r="I648" s="1">
        <f>IFERROR(__xludf.DUMMYFUNCTION("""COMPUTED_VALUE"""),91.0)</f>
        <v>91</v>
      </c>
      <c r="J648" s="1">
        <f>IFERROR(__xludf.DUMMYFUNCTION("""COMPUTED_VALUE"""),38.0)</f>
        <v>38</v>
      </c>
      <c r="K648" s="1">
        <f>IFERROR(__xludf.DUMMYFUNCTION("""COMPUTED_VALUE"""),24.0)</f>
        <v>24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 t="str">
        <f>IFERROR(__xludf.DUMMYFUNCTION("""COMPUTED_VALUE"""),"C")</f>
        <v>C</v>
      </c>
      <c r="E649" s="1" t="str">
        <f>IFERROR(__xludf.DUMMYFUNCTION("""COMPUTED_VALUE"""),"Male")</f>
        <v>Male</v>
      </c>
      <c r="F649" s="1">
        <f>IFERROR(__xludf.DUMMYFUNCTION("""COMPUTED_VALUE"""),12.0)</f>
        <v>12</v>
      </c>
      <c r="G649" s="1">
        <f>IFERROR(__xludf.DUMMYFUNCTION("""COMPUTED_VALUE"""),39.0)</f>
        <v>39</v>
      </c>
      <c r="H649" s="1">
        <f>IFERROR(__xludf.DUMMYFUNCTION("""COMPUTED_VALUE"""),38.0)</f>
        <v>38</v>
      </c>
      <c r="I649" s="1">
        <f>IFERROR(__xludf.DUMMYFUNCTION("""COMPUTED_VALUE"""),99.0)</f>
        <v>99</v>
      </c>
      <c r="J649" s="1">
        <f>IFERROR(__xludf.DUMMYFUNCTION("""COMPUTED_VALUE"""),67.0)</f>
        <v>67</v>
      </c>
      <c r="K649" s="1">
        <f>IFERROR(__xludf.DUMMYFUNCTION("""COMPUTED_VALUE"""),35.0)</f>
        <v>35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 t="str">
        <f>IFERROR(__xludf.DUMMYFUNCTION("""COMPUTED_VALUE"""),"A")</f>
        <v>A</v>
      </c>
      <c r="E650" s="1" t="str">
        <f>IFERROR(__xludf.DUMMYFUNCTION("""COMPUTED_VALUE"""),"Male")</f>
        <v>Male</v>
      </c>
      <c r="F650" s="1">
        <f>IFERROR(__xludf.DUMMYFUNCTION("""COMPUTED_VALUE"""),17.0)</f>
        <v>17</v>
      </c>
      <c r="G650" s="1">
        <f>IFERROR(__xludf.DUMMYFUNCTION("""COMPUTED_VALUE"""),91.0)</f>
        <v>91</v>
      </c>
      <c r="H650" s="1">
        <f>IFERROR(__xludf.DUMMYFUNCTION("""COMPUTED_VALUE"""),75.0)</f>
        <v>75</v>
      </c>
      <c r="I650" s="1">
        <f>IFERROR(__xludf.DUMMYFUNCTION("""COMPUTED_VALUE"""),95.0)</f>
        <v>95</v>
      </c>
      <c r="J650" s="1">
        <f>IFERROR(__xludf.DUMMYFUNCTION("""COMPUTED_VALUE"""),52.0)</f>
        <v>52</v>
      </c>
      <c r="K650" s="1">
        <f>IFERROR(__xludf.DUMMYFUNCTION("""COMPUTED_VALUE"""),32.0)</f>
        <v>32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 t="str">
        <f>IFERROR(__xludf.DUMMYFUNCTION("""COMPUTED_VALUE"""),"B")</f>
        <v>B</v>
      </c>
      <c r="E651" s="1" t="str">
        <f>IFERROR(__xludf.DUMMYFUNCTION("""COMPUTED_VALUE"""),"Female")</f>
        <v>Female</v>
      </c>
      <c r="F651" s="1">
        <f>IFERROR(__xludf.DUMMYFUNCTION("""COMPUTED_VALUE"""),79.0)</f>
        <v>79</v>
      </c>
      <c r="G651" s="1">
        <f>IFERROR(__xludf.DUMMYFUNCTION("""COMPUTED_VALUE"""),28.0)</f>
        <v>28</v>
      </c>
      <c r="H651" s="1">
        <f>IFERROR(__xludf.DUMMYFUNCTION("""COMPUTED_VALUE"""),65.0)</f>
        <v>65</v>
      </c>
      <c r="I651" s="1">
        <f>IFERROR(__xludf.DUMMYFUNCTION("""COMPUTED_VALUE"""),66.0)</f>
        <v>66</v>
      </c>
      <c r="J651" s="1">
        <f>IFERROR(__xludf.DUMMYFUNCTION("""COMPUTED_VALUE"""),99.0)</f>
        <v>99</v>
      </c>
      <c r="K651" s="1">
        <f>IFERROR(__xludf.DUMMYFUNCTION("""COMPUTED_VALUE"""),57.0)</f>
        <v>57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 t="str">
        <f>IFERROR(__xludf.DUMMYFUNCTION("""COMPUTED_VALUE"""),"C")</f>
        <v>C</v>
      </c>
      <c r="E652" s="1" t="str">
        <f>IFERROR(__xludf.DUMMYFUNCTION("""COMPUTED_VALUE"""),"Male")</f>
        <v>Male</v>
      </c>
      <c r="F652" s="1">
        <f>IFERROR(__xludf.DUMMYFUNCTION("""COMPUTED_VALUE"""),76.0)</f>
        <v>76</v>
      </c>
      <c r="G652" s="1">
        <f>IFERROR(__xludf.DUMMYFUNCTION("""COMPUTED_VALUE"""),60.0)</f>
        <v>60</v>
      </c>
      <c r="H652" s="1">
        <f>IFERROR(__xludf.DUMMYFUNCTION("""COMPUTED_VALUE"""),60.0)</f>
        <v>60</v>
      </c>
      <c r="I652" s="1">
        <f>IFERROR(__xludf.DUMMYFUNCTION("""COMPUTED_VALUE"""),28.0)</f>
        <v>28</v>
      </c>
      <c r="J652" s="1">
        <f>IFERROR(__xludf.DUMMYFUNCTION("""COMPUTED_VALUE"""),89.0)</f>
        <v>89</v>
      </c>
      <c r="K652" s="1">
        <f>IFERROR(__xludf.DUMMYFUNCTION("""COMPUTED_VALUE"""),65.0)</f>
        <v>65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 t="str">
        <f>IFERROR(__xludf.DUMMYFUNCTION("""COMPUTED_VALUE"""),"A")</f>
        <v>A</v>
      </c>
      <c r="E653" s="1" t="str">
        <f>IFERROR(__xludf.DUMMYFUNCTION("""COMPUTED_VALUE"""),"Female")</f>
        <v>Female</v>
      </c>
      <c r="F653" s="1">
        <f>IFERROR(__xludf.DUMMYFUNCTION("""COMPUTED_VALUE"""),11.0)</f>
        <v>11</v>
      </c>
      <c r="G653" s="1">
        <f>IFERROR(__xludf.DUMMYFUNCTION("""COMPUTED_VALUE"""),32.0)</f>
        <v>32</v>
      </c>
      <c r="H653" s="1">
        <f>IFERROR(__xludf.DUMMYFUNCTION("""COMPUTED_VALUE"""),37.0)</f>
        <v>37</v>
      </c>
      <c r="I653" s="1">
        <f>IFERROR(__xludf.DUMMYFUNCTION("""COMPUTED_VALUE"""),83.0)</f>
        <v>83</v>
      </c>
      <c r="J653" s="1">
        <f>IFERROR(__xludf.DUMMYFUNCTION("""COMPUTED_VALUE"""),22.0)</f>
        <v>22</v>
      </c>
      <c r="K653" s="1">
        <f>IFERROR(__xludf.DUMMYFUNCTION("""COMPUTED_VALUE"""),40.0)</f>
        <v>40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 t="str">
        <f>IFERROR(__xludf.DUMMYFUNCTION("""COMPUTED_VALUE"""),"C")</f>
        <v>C</v>
      </c>
      <c r="E654" s="1" t="str">
        <f>IFERROR(__xludf.DUMMYFUNCTION("""COMPUTED_VALUE"""),"Male")</f>
        <v>Male</v>
      </c>
      <c r="F654" s="1">
        <f>IFERROR(__xludf.DUMMYFUNCTION("""COMPUTED_VALUE"""),43.0)</f>
        <v>43</v>
      </c>
      <c r="G654" s="1">
        <f>IFERROR(__xludf.DUMMYFUNCTION("""COMPUTED_VALUE"""),78.0)</f>
        <v>78</v>
      </c>
      <c r="H654" s="1">
        <f>IFERROR(__xludf.DUMMYFUNCTION("""COMPUTED_VALUE"""),23.0)</f>
        <v>23</v>
      </c>
      <c r="I654" s="1">
        <f>IFERROR(__xludf.DUMMYFUNCTION("""COMPUTED_VALUE"""),87.0)</f>
        <v>87</v>
      </c>
      <c r="J654" s="1">
        <f>IFERROR(__xludf.DUMMYFUNCTION("""COMPUTED_VALUE"""),44.0)</f>
        <v>44</v>
      </c>
      <c r="K654" s="1">
        <f>IFERROR(__xludf.DUMMYFUNCTION("""COMPUTED_VALUE"""),51.0)</f>
        <v>51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 t="str">
        <f>IFERROR(__xludf.DUMMYFUNCTION("""COMPUTED_VALUE"""),"C")</f>
        <v>C</v>
      </c>
      <c r="E655" s="1" t="str">
        <f>IFERROR(__xludf.DUMMYFUNCTION("""COMPUTED_VALUE"""),"Female")</f>
        <v>Female</v>
      </c>
      <c r="F655" s="1">
        <f>IFERROR(__xludf.DUMMYFUNCTION("""COMPUTED_VALUE"""),52.0)</f>
        <v>52</v>
      </c>
      <c r="G655" s="1">
        <f>IFERROR(__xludf.DUMMYFUNCTION("""COMPUTED_VALUE"""),90.0)</f>
        <v>90</v>
      </c>
      <c r="H655" s="1">
        <f>IFERROR(__xludf.DUMMYFUNCTION("""COMPUTED_VALUE"""),84.0)</f>
        <v>84</v>
      </c>
      <c r="I655" s="1">
        <f>IFERROR(__xludf.DUMMYFUNCTION("""COMPUTED_VALUE"""),80.0)</f>
        <v>80</v>
      </c>
      <c r="J655" s="1">
        <f>IFERROR(__xludf.DUMMYFUNCTION("""COMPUTED_VALUE"""),40.0)</f>
        <v>40</v>
      </c>
      <c r="K655" s="1">
        <f>IFERROR(__xludf.DUMMYFUNCTION("""COMPUTED_VALUE"""),67.0)</f>
        <v>67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 t="str">
        <f>IFERROR(__xludf.DUMMYFUNCTION("""COMPUTED_VALUE"""),"D")</f>
        <v>D</v>
      </c>
      <c r="E656" s="1" t="str">
        <f>IFERROR(__xludf.DUMMYFUNCTION("""COMPUTED_VALUE"""),"Female")</f>
        <v>Female</v>
      </c>
      <c r="F656" s="1">
        <f>IFERROR(__xludf.DUMMYFUNCTION("""COMPUTED_VALUE"""),81.0)</f>
        <v>81</v>
      </c>
      <c r="G656" s="1">
        <f>IFERROR(__xludf.DUMMYFUNCTION("""COMPUTED_VALUE"""),66.0)</f>
        <v>66</v>
      </c>
      <c r="H656" s="1">
        <f>IFERROR(__xludf.DUMMYFUNCTION("""COMPUTED_VALUE"""),48.0)</f>
        <v>48</v>
      </c>
      <c r="I656" s="1">
        <f>IFERROR(__xludf.DUMMYFUNCTION("""COMPUTED_VALUE"""),94.0)</f>
        <v>94</v>
      </c>
      <c r="J656" s="1">
        <f>IFERROR(__xludf.DUMMYFUNCTION("""COMPUTED_VALUE"""),66.0)</f>
        <v>66</v>
      </c>
      <c r="K656" s="1">
        <f>IFERROR(__xludf.DUMMYFUNCTION("""COMPUTED_VALUE"""),77.0)</f>
        <v>77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 t="str">
        <f>IFERROR(__xludf.DUMMYFUNCTION("""COMPUTED_VALUE"""),"C")</f>
        <v>C</v>
      </c>
      <c r="E657" s="1" t="str">
        <f>IFERROR(__xludf.DUMMYFUNCTION("""COMPUTED_VALUE"""),"Female")</f>
        <v>Female</v>
      </c>
      <c r="F657" s="1">
        <f>IFERROR(__xludf.DUMMYFUNCTION("""COMPUTED_VALUE"""),50.0)</f>
        <v>50</v>
      </c>
      <c r="G657" s="1">
        <f>IFERROR(__xludf.DUMMYFUNCTION("""COMPUTED_VALUE"""),93.0)</f>
        <v>93</v>
      </c>
      <c r="H657" s="1">
        <f>IFERROR(__xludf.DUMMYFUNCTION("""COMPUTED_VALUE"""),21.0)</f>
        <v>21</v>
      </c>
      <c r="I657" s="1">
        <f>IFERROR(__xludf.DUMMYFUNCTION("""COMPUTED_VALUE"""),35.0)</f>
        <v>35</v>
      </c>
      <c r="J657" s="1">
        <f>IFERROR(__xludf.DUMMYFUNCTION("""COMPUTED_VALUE"""),76.0)</f>
        <v>76</v>
      </c>
      <c r="K657" s="1">
        <f>IFERROR(__xludf.DUMMYFUNCTION("""COMPUTED_VALUE"""),69.0)</f>
        <v>69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 t="str">
        <f>IFERROR(__xludf.DUMMYFUNCTION("""COMPUTED_VALUE"""),"D")</f>
        <v>D</v>
      </c>
      <c r="E658" s="1" t="str">
        <f>IFERROR(__xludf.DUMMYFUNCTION("""COMPUTED_VALUE"""),"Female")</f>
        <v>Female</v>
      </c>
      <c r="F658" s="1">
        <f>IFERROR(__xludf.DUMMYFUNCTION("""COMPUTED_VALUE"""),36.0)</f>
        <v>36</v>
      </c>
      <c r="G658" s="1">
        <f>IFERROR(__xludf.DUMMYFUNCTION("""COMPUTED_VALUE"""),26.0)</f>
        <v>26</v>
      </c>
      <c r="H658" s="1">
        <f>IFERROR(__xludf.DUMMYFUNCTION("""COMPUTED_VALUE"""),76.0)</f>
        <v>76</v>
      </c>
      <c r="I658" s="1">
        <f>IFERROR(__xludf.DUMMYFUNCTION("""COMPUTED_VALUE"""),25.0)</f>
        <v>25</v>
      </c>
      <c r="J658" s="1">
        <f>IFERROR(__xludf.DUMMYFUNCTION("""COMPUTED_VALUE"""),65.0)</f>
        <v>65</v>
      </c>
      <c r="K658" s="1">
        <f>IFERROR(__xludf.DUMMYFUNCTION("""COMPUTED_VALUE"""),52.0)</f>
        <v>52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 t="str">
        <f>IFERROR(__xludf.DUMMYFUNCTION("""COMPUTED_VALUE"""),"A")</f>
        <v>A</v>
      </c>
      <c r="E659" s="1" t="str">
        <f>IFERROR(__xludf.DUMMYFUNCTION("""COMPUTED_VALUE"""),"Female")</f>
        <v>Female</v>
      </c>
      <c r="F659" s="1">
        <f>IFERROR(__xludf.DUMMYFUNCTION("""COMPUTED_VALUE"""),12.0)</f>
        <v>12</v>
      </c>
      <c r="G659" s="1">
        <f>IFERROR(__xludf.DUMMYFUNCTION("""COMPUTED_VALUE"""),87.0)</f>
        <v>87</v>
      </c>
      <c r="H659" s="1">
        <f>IFERROR(__xludf.DUMMYFUNCTION("""COMPUTED_VALUE"""),42.0)</f>
        <v>42</v>
      </c>
      <c r="I659" s="1">
        <f>IFERROR(__xludf.DUMMYFUNCTION("""COMPUTED_VALUE"""),68.0)</f>
        <v>68</v>
      </c>
      <c r="J659" s="1">
        <f>IFERROR(__xludf.DUMMYFUNCTION("""COMPUTED_VALUE"""),67.0)</f>
        <v>67</v>
      </c>
      <c r="K659" s="1">
        <f>IFERROR(__xludf.DUMMYFUNCTION("""COMPUTED_VALUE"""),57.0)</f>
        <v>57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 t="str">
        <f>IFERROR(__xludf.DUMMYFUNCTION("""COMPUTED_VALUE"""),"A")</f>
        <v>A</v>
      </c>
      <c r="E660" s="1" t="str">
        <f>IFERROR(__xludf.DUMMYFUNCTION("""COMPUTED_VALUE"""),"Male")</f>
        <v>Male</v>
      </c>
      <c r="F660" s="1">
        <f>IFERROR(__xludf.DUMMYFUNCTION("""COMPUTED_VALUE"""),35.0)</f>
        <v>35</v>
      </c>
      <c r="G660" s="1">
        <f>IFERROR(__xludf.DUMMYFUNCTION("""COMPUTED_VALUE"""),65.0)</f>
        <v>65</v>
      </c>
      <c r="H660" s="1">
        <f>IFERROR(__xludf.DUMMYFUNCTION("""COMPUTED_VALUE"""),85.0)</f>
        <v>85</v>
      </c>
      <c r="I660" s="1">
        <f>IFERROR(__xludf.DUMMYFUNCTION("""COMPUTED_VALUE"""),31.0)</f>
        <v>31</v>
      </c>
      <c r="J660" s="1">
        <f>IFERROR(__xludf.DUMMYFUNCTION("""COMPUTED_VALUE"""),98.0)</f>
        <v>98</v>
      </c>
      <c r="K660" s="1">
        <f>IFERROR(__xludf.DUMMYFUNCTION("""COMPUTED_VALUE"""),90.0)</f>
        <v>90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 t="str">
        <f>IFERROR(__xludf.DUMMYFUNCTION("""COMPUTED_VALUE"""),"B")</f>
        <v>B</v>
      </c>
      <c r="E661" s="1" t="str">
        <f>IFERROR(__xludf.DUMMYFUNCTION("""COMPUTED_VALUE"""),"Male")</f>
        <v>Male</v>
      </c>
      <c r="F661" s="1">
        <f>IFERROR(__xludf.DUMMYFUNCTION("""COMPUTED_VALUE"""),50.0)</f>
        <v>50</v>
      </c>
      <c r="G661" s="1">
        <f>IFERROR(__xludf.DUMMYFUNCTION("""COMPUTED_VALUE"""),80.0)</f>
        <v>80</v>
      </c>
      <c r="H661" s="1">
        <f>IFERROR(__xludf.DUMMYFUNCTION("""COMPUTED_VALUE"""),61.0)</f>
        <v>61</v>
      </c>
      <c r="I661" s="1">
        <f>IFERROR(__xludf.DUMMYFUNCTION("""COMPUTED_VALUE"""),53.0)</f>
        <v>53</v>
      </c>
      <c r="J661" s="1">
        <f>IFERROR(__xludf.DUMMYFUNCTION("""COMPUTED_VALUE"""),62.0)</f>
        <v>62</v>
      </c>
      <c r="K661" s="1">
        <f>IFERROR(__xludf.DUMMYFUNCTION("""COMPUTED_VALUE"""),88.0)</f>
        <v>88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 t="str">
        <f>IFERROR(__xludf.DUMMYFUNCTION("""COMPUTED_VALUE"""),"C")</f>
        <v>C</v>
      </c>
      <c r="E662" s="1" t="str">
        <f>IFERROR(__xludf.DUMMYFUNCTION("""COMPUTED_VALUE"""),"Female")</f>
        <v>Female</v>
      </c>
      <c r="F662" s="1">
        <f>IFERROR(__xludf.DUMMYFUNCTION("""COMPUTED_VALUE"""),31.0)</f>
        <v>31</v>
      </c>
      <c r="G662" s="1">
        <f>IFERROR(__xludf.DUMMYFUNCTION("""COMPUTED_VALUE"""),57.0)</f>
        <v>57</v>
      </c>
      <c r="H662" s="1">
        <f>IFERROR(__xludf.DUMMYFUNCTION("""COMPUTED_VALUE"""),99.0)</f>
        <v>99</v>
      </c>
      <c r="I662" s="1">
        <f>IFERROR(__xludf.DUMMYFUNCTION("""COMPUTED_VALUE"""),48.0)</f>
        <v>48</v>
      </c>
      <c r="J662" s="1">
        <f>IFERROR(__xludf.DUMMYFUNCTION("""COMPUTED_VALUE"""),95.0)</f>
        <v>95</v>
      </c>
      <c r="K662" s="1">
        <f>IFERROR(__xludf.DUMMYFUNCTION("""COMPUTED_VALUE"""),76.0)</f>
        <v>76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 t="str">
        <f>IFERROR(__xludf.DUMMYFUNCTION("""COMPUTED_VALUE"""),"C")</f>
        <v>C</v>
      </c>
      <c r="E663" s="1" t="str">
        <f>IFERROR(__xludf.DUMMYFUNCTION("""COMPUTED_VALUE"""),"Male")</f>
        <v>Male</v>
      </c>
      <c r="F663" s="1">
        <f>IFERROR(__xludf.DUMMYFUNCTION("""COMPUTED_VALUE"""),72.0)</f>
        <v>72</v>
      </c>
      <c r="G663" s="1">
        <f>IFERROR(__xludf.DUMMYFUNCTION("""COMPUTED_VALUE"""),40.0)</f>
        <v>40</v>
      </c>
      <c r="H663" s="1">
        <f>IFERROR(__xludf.DUMMYFUNCTION("""COMPUTED_VALUE"""),70.0)</f>
        <v>70</v>
      </c>
      <c r="I663" s="1">
        <f>IFERROR(__xludf.DUMMYFUNCTION("""COMPUTED_VALUE"""),41.0)</f>
        <v>41</v>
      </c>
      <c r="J663" s="1">
        <f>IFERROR(__xludf.DUMMYFUNCTION("""COMPUTED_VALUE"""),92.0)</f>
        <v>92</v>
      </c>
      <c r="K663" s="1">
        <f>IFERROR(__xludf.DUMMYFUNCTION("""COMPUTED_VALUE"""),33.0)</f>
        <v>33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 t="str">
        <f>IFERROR(__xludf.DUMMYFUNCTION("""COMPUTED_VALUE"""),"C")</f>
        <v>C</v>
      </c>
      <c r="E664" s="1" t="str">
        <f>IFERROR(__xludf.DUMMYFUNCTION("""COMPUTED_VALUE"""),"Male")</f>
        <v>Male</v>
      </c>
      <c r="F664" s="1">
        <f>IFERROR(__xludf.DUMMYFUNCTION("""COMPUTED_VALUE"""),43.0)</f>
        <v>43</v>
      </c>
      <c r="G664" s="1">
        <f>IFERROR(__xludf.DUMMYFUNCTION("""COMPUTED_VALUE"""),53.0)</f>
        <v>53</v>
      </c>
      <c r="H664" s="1">
        <f>IFERROR(__xludf.DUMMYFUNCTION("""COMPUTED_VALUE"""),81.0)</f>
        <v>81</v>
      </c>
      <c r="I664" s="1">
        <f>IFERROR(__xludf.DUMMYFUNCTION("""COMPUTED_VALUE"""),98.0)</f>
        <v>98</v>
      </c>
      <c r="J664" s="1">
        <f>IFERROR(__xludf.DUMMYFUNCTION("""COMPUTED_VALUE"""),48.0)</f>
        <v>48</v>
      </c>
      <c r="K664" s="1">
        <f>IFERROR(__xludf.DUMMYFUNCTION("""COMPUTED_VALUE"""),83.0)</f>
        <v>83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 t="str">
        <f>IFERROR(__xludf.DUMMYFUNCTION("""COMPUTED_VALUE"""),"D")</f>
        <v>D</v>
      </c>
      <c r="E665" s="1" t="str">
        <f>IFERROR(__xludf.DUMMYFUNCTION("""COMPUTED_VALUE"""),"Female")</f>
        <v>Female</v>
      </c>
      <c r="F665" s="1">
        <f>IFERROR(__xludf.DUMMYFUNCTION("""COMPUTED_VALUE"""),81.0)</f>
        <v>81</v>
      </c>
      <c r="G665" s="1">
        <f>IFERROR(__xludf.DUMMYFUNCTION("""COMPUTED_VALUE"""),59.0)</f>
        <v>59</v>
      </c>
      <c r="H665" s="1">
        <f>IFERROR(__xludf.DUMMYFUNCTION("""COMPUTED_VALUE"""),39.0)</f>
        <v>39</v>
      </c>
      <c r="I665" s="1">
        <f>IFERROR(__xludf.DUMMYFUNCTION("""COMPUTED_VALUE"""),97.0)</f>
        <v>97</v>
      </c>
      <c r="J665" s="1">
        <f>IFERROR(__xludf.DUMMYFUNCTION("""COMPUTED_VALUE"""),68.0)</f>
        <v>68</v>
      </c>
      <c r="K665" s="1">
        <f>IFERROR(__xludf.DUMMYFUNCTION("""COMPUTED_VALUE"""),39.0)</f>
        <v>39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 t="str">
        <f>IFERROR(__xludf.DUMMYFUNCTION("""COMPUTED_VALUE"""),"C")</f>
        <v>C</v>
      </c>
      <c r="E666" s="1" t="str">
        <f>IFERROR(__xludf.DUMMYFUNCTION("""COMPUTED_VALUE"""),"Male")</f>
        <v>Male</v>
      </c>
      <c r="F666" s="1">
        <f>IFERROR(__xludf.DUMMYFUNCTION("""COMPUTED_VALUE"""),25.0)</f>
        <v>25</v>
      </c>
      <c r="G666" s="1">
        <f>IFERROR(__xludf.DUMMYFUNCTION("""COMPUTED_VALUE"""),66.0)</f>
        <v>66</v>
      </c>
      <c r="H666" s="1">
        <f>IFERROR(__xludf.DUMMYFUNCTION("""COMPUTED_VALUE"""),55.0)</f>
        <v>55</v>
      </c>
      <c r="I666" s="1">
        <f>IFERROR(__xludf.DUMMYFUNCTION("""COMPUTED_VALUE"""),96.0)</f>
        <v>96</v>
      </c>
      <c r="J666" s="1">
        <f>IFERROR(__xludf.DUMMYFUNCTION("""COMPUTED_VALUE"""),31.0)</f>
        <v>31</v>
      </c>
      <c r="K666" s="1">
        <f>IFERROR(__xludf.DUMMYFUNCTION("""COMPUTED_VALUE"""),99.0)</f>
        <v>99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 t="str">
        <f>IFERROR(__xludf.DUMMYFUNCTION("""COMPUTED_VALUE"""),"D")</f>
        <v>D</v>
      </c>
      <c r="E667" s="1" t="str">
        <f>IFERROR(__xludf.DUMMYFUNCTION("""COMPUTED_VALUE"""),"Male")</f>
        <v>Male</v>
      </c>
      <c r="F667" s="1">
        <f>IFERROR(__xludf.DUMMYFUNCTION("""COMPUTED_VALUE"""),34.0)</f>
        <v>34</v>
      </c>
      <c r="G667" s="1">
        <f>IFERROR(__xludf.DUMMYFUNCTION("""COMPUTED_VALUE"""),46.0)</f>
        <v>46</v>
      </c>
      <c r="H667" s="1">
        <f>IFERROR(__xludf.DUMMYFUNCTION("""COMPUTED_VALUE"""),70.0)</f>
        <v>70</v>
      </c>
      <c r="I667" s="1">
        <f>IFERROR(__xludf.DUMMYFUNCTION("""COMPUTED_VALUE"""),89.0)</f>
        <v>89</v>
      </c>
      <c r="J667" s="1">
        <f>IFERROR(__xludf.DUMMYFUNCTION("""COMPUTED_VALUE"""),56.0)</f>
        <v>56</v>
      </c>
      <c r="K667" s="1">
        <f>IFERROR(__xludf.DUMMYFUNCTION("""COMPUTED_VALUE"""),80.0)</f>
        <v>80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 t="str">
        <f>IFERROR(__xludf.DUMMYFUNCTION("""COMPUTED_VALUE"""),"B")</f>
        <v>B</v>
      </c>
      <c r="E668" s="1" t="str">
        <f>IFERROR(__xludf.DUMMYFUNCTION("""COMPUTED_VALUE"""),"Female")</f>
        <v>Female</v>
      </c>
      <c r="F668" s="1">
        <f>IFERROR(__xludf.DUMMYFUNCTION("""COMPUTED_VALUE"""),10.0)</f>
        <v>10</v>
      </c>
      <c r="G668" s="1">
        <f>IFERROR(__xludf.DUMMYFUNCTION("""COMPUTED_VALUE"""),53.0)</f>
        <v>53</v>
      </c>
      <c r="H668" s="1">
        <f>IFERROR(__xludf.DUMMYFUNCTION("""COMPUTED_VALUE"""),73.0)</f>
        <v>73</v>
      </c>
      <c r="I668" s="1">
        <f>IFERROR(__xludf.DUMMYFUNCTION("""COMPUTED_VALUE"""),83.0)</f>
        <v>83</v>
      </c>
      <c r="J668" s="1">
        <f>IFERROR(__xludf.DUMMYFUNCTION("""COMPUTED_VALUE"""),41.0)</f>
        <v>41</v>
      </c>
      <c r="K668" s="1">
        <f>IFERROR(__xludf.DUMMYFUNCTION("""COMPUTED_VALUE"""),30.0)</f>
        <v>30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 t="str">
        <f>IFERROR(__xludf.DUMMYFUNCTION("""COMPUTED_VALUE"""),"A")</f>
        <v>A</v>
      </c>
      <c r="E669" s="1" t="str">
        <f>IFERROR(__xludf.DUMMYFUNCTION("""COMPUTED_VALUE"""),"Female")</f>
        <v>Female</v>
      </c>
      <c r="F669" s="1">
        <f>IFERROR(__xludf.DUMMYFUNCTION("""COMPUTED_VALUE"""),67.0)</f>
        <v>67</v>
      </c>
      <c r="G669" s="1">
        <f>IFERROR(__xludf.DUMMYFUNCTION("""COMPUTED_VALUE"""),83.0)</f>
        <v>83</v>
      </c>
      <c r="H669" s="1">
        <f>IFERROR(__xludf.DUMMYFUNCTION("""COMPUTED_VALUE"""),85.0)</f>
        <v>85</v>
      </c>
      <c r="I669" s="1">
        <f>IFERROR(__xludf.DUMMYFUNCTION("""COMPUTED_VALUE"""),34.0)</f>
        <v>34</v>
      </c>
      <c r="J669" s="1">
        <f>IFERROR(__xludf.DUMMYFUNCTION("""COMPUTED_VALUE"""),22.0)</f>
        <v>22</v>
      </c>
      <c r="K669" s="1">
        <f>IFERROR(__xludf.DUMMYFUNCTION("""COMPUTED_VALUE"""),46.0)</f>
        <v>46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 t="str">
        <f>IFERROR(__xludf.DUMMYFUNCTION("""COMPUTED_VALUE"""),"C")</f>
        <v>C</v>
      </c>
      <c r="E670" s="1" t="str">
        <f>IFERROR(__xludf.DUMMYFUNCTION("""COMPUTED_VALUE"""),"Female")</f>
        <v>Female</v>
      </c>
      <c r="F670" s="1">
        <f>IFERROR(__xludf.DUMMYFUNCTION("""COMPUTED_VALUE"""),85.0)</f>
        <v>85</v>
      </c>
      <c r="G670" s="1">
        <f>IFERROR(__xludf.DUMMYFUNCTION("""COMPUTED_VALUE"""),20.0)</f>
        <v>20</v>
      </c>
      <c r="H670" s="1">
        <f>IFERROR(__xludf.DUMMYFUNCTION("""COMPUTED_VALUE"""),67.0)</f>
        <v>67</v>
      </c>
      <c r="I670" s="1">
        <f>IFERROR(__xludf.DUMMYFUNCTION("""COMPUTED_VALUE"""),88.0)</f>
        <v>88</v>
      </c>
      <c r="J670" s="1">
        <f>IFERROR(__xludf.DUMMYFUNCTION("""COMPUTED_VALUE"""),97.0)</f>
        <v>97</v>
      </c>
      <c r="K670" s="1">
        <f>IFERROR(__xludf.DUMMYFUNCTION("""COMPUTED_VALUE"""),70.0)</f>
        <v>70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 t="str">
        <f>IFERROR(__xludf.DUMMYFUNCTION("""COMPUTED_VALUE"""),"D")</f>
        <v>D</v>
      </c>
      <c r="E671" s="1" t="str">
        <f>IFERROR(__xludf.DUMMYFUNCTION("""COMPUTED_VALUE"""),"Female")</f>
        <v>Female</v>
      </c>
      <c r="F671" s="1">
        <f>IFERROR(__xludf.DUMMYFUNCTION("""COMPUTED_VALUE"""),64.0)</f>
        <v>64</v>
      </c>
      <c r="G671" s="1">
        <f>IFERROR(__xludf.DUMMYFUNCTION("""COMPUTED_VALUE"""),62.0)</f>
        <v>62</v>
      </c>
      <c r="H671" s="1">
        <f>IFERROR(__xludf.DUMMYFUNCTION("""COMPUTED_VALUE"""),69.0)</f>
        <v>69</v>
      </c>
      <c r="I671" s="1">
        <f>IFERROR(__xludf.DUMMYFUNCTION("""COMPUTED_VALUE"""),22.0)</f>
        <v>22</v>
      </c>
      <c r="J671" s="1">
        <f>IFERROR(__xludf.DUMMYFUNCTION("""COMPUTED_VALUE"""),75.0)</f>
        <v>75</v>
      </c>
      <c r="K671" s="1">
        <f>IFERROR(__xludf.DUMMYFUNCTION("""COMPUTED_VALUE"""),68.0)</f>
        <v>68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 t="str">
        <f>IFERROR(__xludf.DUMMYFUNCTION("""COMPUTED_VALUE"""),"C")</f>
        <v>C</v>
      </c>
      <c r="E672" s="1" t="str">
        <f>IFERROR(__xludf.DUMMYFUNCTION("""COMPUTED_VALUE"""),"Male")</f>
        <v>Male</v>
      </c>
      <c r="F672" s="1">
        <f>IFERROR(__xludf.DUMMYFUNCTION("""COMPUTED_VALUE"""),44.0)</f>
        <v>44</v>
      </c>
      <c r="G672" s="1">
        <f>IFERROR(__xludf.DUMMYFUNCTION("""COMPUTED_VALUE"""),35.0)</f>
        <v>35</v>
      </c>
      <c r="H672" s="1">
        <f>IFERROR(__xludf.DUMMYFUNCTION("""COMPUTED_VALUE"""),27.0)</f>
        <v>27</v>
      </c>
      <c r="I672" s="1">
        <f>IFERROR(__xludf.DUMMYFUNCTION("""COMPUTED_VALUE"""),60.0)</f>
        <v>60</v>
      </c>
      <c r="J672" s="1">
        <f>IFERROR(__xludf.DUMMYFUNCTION("""COMPUTED_VALUE"""),53.0)</f>
        <v>53</v>
      </c>
      <c r="K672" s="1">
        <f>IFERROR(__xludf.DUMMYFUNCTION("""COMPUTED_VALUE"""),74.0)</f>
        <v>74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 t="str">
        <f>IFERROR(__xludf.DUMMYFUNCTION("""COMPUTED_VALUE"""),"C")</f>
        <v>C</v>
      </c>
      <c r="E673" s="1" t="str">
        <f>IFERROR(__xludf.DUMMYFUNCTION("""COMPUTED_VALUE"""),"Male")</f>
        <v>Male</v>
      </c>
      <c r="F673" s="1">
        <f>IFERROR(__xludf.DUMMYFUNCTION("""COMPUTED_VALUE"""),56.0)</f>
        <v>56</v>
      </c>
      <c r="G673" s="1">
        <f>IFERROR(__xludf.DUMMYFUNCTION("""COMPUTED_VALUE"""),36.0)</f>
        <v>36</v>
      </c>
      <c r="H673" s="1">
        <f>IFERROR(__xludf.DUMMYFUNCTION("""COMPUTED_VALUE"""),26.0)</f>
        <v>26</v>
      </c>
      <c r="I673" s="1">
        <f>IFERROR(__xludf.DUMMYFUNCTION("""COMPUTED_VALUE"""),44.0)</f>
        <v>44</v>
      </c>
      <c r="J673" s="1">
        <f>IFERROR(__xludf.DUMMYFUNCTION("""COMPUTED_VALUE"""),47.0)</f>
        <v>47</v>
      </c>
      <c r="K673" s="1">
        <f>IFERROR(__xludf.DUMMYFUNCTION("""COMPUTED_VALUE"""),44.0)</f>
        <v>44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 t="str">
        <f>IFERROR(__xludf.DUMMYFUNCTION("""COMPUTED_VALUE"""),"C")</f>
        <v>C</v>
      </c>
      <c r="E674" s="1" t="str">
        <f>IFERROR(__xludf.DUMMYFUNCTION("""COMPUTED_VALUE"""),"Male")</f>
        <v>Male</v>
      </c>
      <c r="F674" s="1">
        <f>IFERROR(__xludf.DUMMYFUNCTION("""COMPUTED_VALUE"""),33.0)</f>
        <v>33</v>
      </c>
      <c r="G674" s="1">
        <f>IFERROR(__xludf.DUMMYFUNCTION("""COMPUTED_VALUE"""),22.0)</f>
        <v>22</v>
      </c>
      <c r="H674" s="1">
        <f>IFERROR(__xludf.DUMMYFUNCTION("""COMPUTED_VALUE"""),65.0)</f>
        <v>65</v>
      </c>
      <c r="I674" s="1">
        <f>IFERROR(__xludf.DUMMYFUNCTION("""COMPUTED_VALUE"""),52.0)</f>
        <v>52</v>
      </c>
      <c r="J674" s="1">
        <f>IFERROR(__xludf.DUMMYFUNCTION("""COMPUTED_VALUE"""),29.0)</f>
        <v>29</v>
      </c>
      <c r="K674" s="1">
        <f>IFERROR(__xludf.DUMMYFUNCTION("""COMPUTED_VALUE"""),91.0)</f>
        <v>91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 t="str">
        <f>IFERROR(__xludf.DUMMYFUNCTION("""COMPUTED_VALUE"""),"C")</f>
        <v>C</v>
      </c>
      <c r="E675" s="1" t="str">
        <f>IFERROR(__xludf.DUMMYFUNCTION("""COMPUTED_VALUE"""),"Female")</f>
        <v>Female</v>
      </c>
      <c r="F675" s="1">
        <f>IFERROR(__xludf.DUMMYFUNCTION("""COMPUTED_VALUE"""),75.0)</f>
        <v>75</v>
      </c>
      <c r="G675" s="1">
        <f>IFERROR(__xludf.DUMMYFUNCTION("""COMPUTED_VALUE"""),92.0)</f>
        <v>92</v>
      </c>
      <c r="H675" s="1">
        <f>IFERROR(__xludf.DUMMYFUNCTION("""COMPUTED_VALUE"""),91.0)</f>
        <v>91</v>
      </c>
      <c r="I675" s="1">
        <f>IFERROR(__xludf.DUMMYFUNCTION("""COMPUTED_VALUE"""),78.0)</f>
        <v>78</v>
      </c>
      <c r="J675" s="1">
        <f>IFERROR(__xludf.DUMMYFUNCTION("""COMPUTED_VALUE"""),23.0)</f>
        <v>23</v>
      </c>
      <c r="K675" s="1">
        <f>IFERROR(__xludf.DUMMYFUNCTION("""COMPUTED_VALUE"""),74.0)</f>
        <v>74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 t="str">
        <f>IFERROR(__xludf.DUMMYFUNCTION("""COMPUTED_VALUE"""),"B")</f>
        <v>B</v>
      </c>
      <c r="E676" s="1" t="str">
        <f>IFERROR(__xludf.DUMMYFUNCTION("""COMPUTED_VALUE"""),"Male")</f>
        <v>Male</v>
      </c>
      <c r="F676" s="1">
        <f>IFERROR(__xludf.DUMMYFUNCTION("""COMPUTED_VALUE"""),34.0)</f>
        <v>34</v>
      </c>
      <c r="G676" s="1">
        <f>IFERROR(__xludf.DUMMYFUNCTION("""COMPUTED_VALUE"""),29.0)</f>
        <v>29</v>
      </c>
      <c r="H676" s="1">
        <f>IFERROR(__xludf.DUMMYFUNCTION("""COMPUTED_VALUE"""),84.0)</f>
        <v>84</v>
      </c>
      <c r="I676" s="1">
        <f>IFERROR(__xludf.DUMMYFUNCTION("""COMPUTED_VALUE"""),66.0)</f>
        <v>66</v>
      </c>
      <c r="J676" s="1">
        <f>IFERROR(__xludf.DUMMYFUNCTION("""COMPUTED_VALUE"""),35.0)</f>
        <v>35</v>
      </c>
      <c r="K676" s="1">
        <f>IFERROR(__xludf.DUMMYFUNCTION("""COMPUTED_VALUE"""),45.0)</f>
        <v>45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 t="str">
        <f>IFERROR(__xludf.DUMMYFUNCTION("""COMPUTED_VALUE"""),"D")</f>
        <v>D</v>
      </c>
      <c r="E677" s="1" t="str">
        <f>IFERROR(__xludf.DUMMYFUNCTION("""COMPUTED_VALUE"""),"Female")</f>
        <v>Female</v>
      </c>
      <c r="F677" s="1">
        <f>IFERROR(__xludf.DUMMYFUNCTION("""COMPUTED_VALUE"""),93.0)</f>
        <v>93</v>
      </c>
      <c r="G677" s="1">
        <f>IFERROR(__xludf.DUMMYFUNCTION("""COMPUTED_VALUE"""),79.0)</f>
        <v>79</v>
      </c>
      <c r="H677" s="1">
        <f>IFERROR(__xludf.DUMMYFUNCTION("""COMPUTED_VALUE"""),32.0)</f>
        <v>32</v>
      </c>
      <c r="I677" s="1">
        <f>IFERROR(__xludf.DUMMYFUNCTION("""COMPUTED_VALUE"""),58.0)</f>
        <v>58</v>
      </c>
      <c r="J677" s="1">
        <f>IFERROR(__xludf.DUMMYFUNCTION("""COMPUTED_VALUE"""),27.0)</f>
        <v>27</v>
      </c>
      <c r="K677" s="1">
        <f>IFERROR(__xludf.DUMMYFUNCTION("""COMPUTED_VALUE"""),42.0)</f>
        <v>42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 t="str">
        <f>IFERROR(__xludf.DUMMYFUNCTION("""COMPUTED_VALUE"""),"C")</f>
        <v>C</v>
      </c>
      <c r="E678" s="1" t="str">
        <f>IFERROR(__xludf.DUMMYFUNCTION("""COMPUTED_VALUE"""),"Male")</f>
        <v>Male</v>
      </c>
      <c r="F678" s="1">
        <f>IFERROR(__xludf.DUMMYFUNCTION("""COMPUTED_VALUE"""),45.0)</f>
        <v>45</v>
      </c>
      <c r="G678" s="1">
        <f>IFERROR(__xludf.DUMMYFUNCTION("""COMPUTED_VALUE"""),31.0)</f>
        <v>31</v>
      </c>
      <c r="H678" s="1">
        <f>IFERROR(__xludf.DUMMYFUNCTION("""COMPUTED_VALUE"""),80.0)</f>
        <v>80</v>
      </c>
      <c r="I678" s="1">
        <f>IFERROR(__xludf.DUMMYFUNCTION("""COMPUTED_VALUE"""),88.0)</f>
        <v>88</v>
      </c>
      <c r="J678" s="1">
        <f>IFERROR(__xludf.DUMMYFUNCTION("""COMPUTED_VALUE"""),97.0)</f>
        <v>97</v>
      </c>
      <c r="K678" s="1">
        <f>IFERROR(__xludf.DUMMYFUNCTION("""COMPUTED_VALUE"""),57.0)</f>
        <v>57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 t="str">
        <f>IFERROR(__xludf.DUMMYFUNCTION("""COMPUTED_VALUE"""),"D")</f>
        <v>D</v>
      </c>
      <c r="E679" s="1" t="str">
        <f>IFERROR(__xludf.DUMMYFUNCTION("""COMPUTED_VALUE"""),"Female")</f>
        <v>Female</v>
      </c>
      <c r="F679" s="1">
        <f>IFERROR(__xludf.DUMMYFUNCTION("""COMPUTED_VALUE"""),73.0)</f>
        <v>73</v>
      </c>
      <c r="G679" s="1">
        <f>IFERROR(__xludf.DUMMYFUNCTION("""COMPUTED_VALUE"""),51.0)</f>
        <v>51</v>
      </c>
      <c r="H679" s="1">
        <f>IFERROR(__xludf.DUMMYFUNCTION("""COMPUTED_VALUE"""),79.0)</f>
        <v>79</v>
      </c>
      <c r="I679" s="1">
        <f>IFERROR(__xludf.DUMMYFUNCTION("""COMPUTED_VALUE"""),89.0)</f>
        <v>89</v>
      </c>
      <c r="J679" s="1">
        <f>IFERROR(__xludf.DUMMYFUNCTION("""COMPUTED_VALUE"""),92.0)</f>
        <v>92</v>
      </c>
      <c r="K679" s="1">
        <f>IFERROR(__xludf.DUMMYFUNCTION("""COMPUTED_VALUE"""),27.0)</f>
        <v>27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 t="str">
        <f>IFERROR(__xludf.DUMMYFUNCTION("""COMPUTED_VALUE"""),"A")</f>
        <v>A</v>
      </c>
      <c r="E680" s="1" t="str">
        <f>IFERROR(__xludf.DUMMYFUNCTION("""COMPUTED_VALUE"""),"Male")</f>
        <v>Male</v>
      </c>
      <c r="F680" s="1">
        <f>IFERROR(__xludf.DUMMYFUNCTION("""COMPUTED_VALUE"""),53.0)</f>
        <v>53</v>
      </c>
      <c r="G680" s="1">
        <f>IFERROR(__xludf.DUMMYFUNCTION("""COMPUTED_VALUE"""),71.0)</f>
        <v>71</v>
      </c>
      <c r="H680" s="1">
        <f>IFERROR(__xludf.DUMMYFUNCTION("""COMPUTED_VALUE"""),31.0)</f>
        <v>31</v>
      </c>
      <c r="I680" s="1">
        <f>IFERROR(__xludf.DUMMYFUNCTION("""COMPUTED_VALUE"""),65.0)</f>
        <v>65</v>
      </c>
      <c r="J680" s="1">
        <f>IFERROR(__xludf.DUMMYFUNCTION("""COMPUTED_VALUE"""),45.0)</f>
        <v>45</v>
      </c>
      <c r="K680" s="1">
        <f>IFERROR(__xludf.DUMMYFUNCTION("""COMPUTED_VALUE"""),26.0)</f>
        <v>26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 t="str">
        <f>IFERROR(__xludf.DUMMYFUNCTION("""COMPUTED_VALUE"""),"C")</f>
        <v>C</v>
      </c>
      <c r="E681" s="1" t="str">
        <f>IFERROR(__xludf.DUMMYFUNCTION("""COMPUTED_VALUE"""),"Male")</f>
        <v>Male</v>
      </c>
      <c r="F681" s="1">
        <f>IFERROR(__xludf.DUMMYFUNCTION("""COMPUTED_VALUE"""),33.0)</f>
        <v>33</v>
      </c>
      <c r="G681" s="1">
        <f>IFERROR(__xludf.DUMMYFUNCTION("""COMPUTED_VALUE"""),28.0)</f>
        <v>28</v>
      </c>
      <c r="H681" s="1">
        <f>IFERROR(__xludf.DUMMYFUNCTION("""COMPUTED_VALUE"""),75.0)</f>
        <v>75</v>
      </c>
      <c r="I681" s="1">
        <f>IFERROR(__xludf.DUMMYFUNCTION("""COMPUTED_VALUE"""),73.0)</f>
        <v>73</v>
      </c>
      <c r="J681" s="1">
        <f>IFERROR(__xludf.DUMMYFUNCTION("""COMPUTED_VALUE"""),74.0)</f>
        <v>74</v>
      </c>
      <c r="K681" s="1">
        <f>IFERROR(__xludf.DUMMYFUNCTION("""COMPUTED_VALUE"""),91.0)</f>
        <v>91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 t="str">
        <f>IFERROR(__xludf.DUMMYFUNCTION("""COMPUTED_VALUE"""),"B")</f>
        <v>B</v>
      </c>
      <c r="E682" s="1" t="str">
        <f>IFERROR(__xludf.DUMMYFUNCTION("""COMPUTED_VALUE"""),"Female")</f>
        <v>Female</v>
      </c>
      <c r="F682" s="1">
        <f>IFERROR(__xludf.DUMMYFUNCTION("""COMPUTED_VALUE"""),56.0)</f>
        <v>56</v>
      </c>
      <c r="G682" s="1">
        <f>IFERROR(__xludf.DUMMYFUNCTION("""COMPUTED_VALUE"""),85.0)</f>
        <v>85</v>
      </c>
      <c r="H682" s="1">
        <f>IFERROR(__xludf.DUMMYFUNCTION("""COMPUTED_VALUE"""),37.0)</f>
        <v>37</v>
      </c>
      <c r="I682" s="1">
        <f>IFERROR(__xludf.DUMMYFUNCTION("""COMPUTED_VALUE"""),69.0)</f>
        <v>69</v>
      </c>
      <c r="J682" s="1">
        <f>IFERROR(__xludf.DUMMYFUNCTION("""COMPUTED_VALUE"""),84.0)</f>
        <v>84</v>
      </c>
      <c r="K682" s="1">
        <f>IFERROR(__xludf.DUMMYFUNCTION("""COMPUTED_VALUE"""),31.0)</f>
        <v>31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 t="str">
        <f>IFERROR(__xludf.DUMMYFUNCTION("""COMPUTED_VALUE"""),"C")</f>
        <v>C</v>
      </c>
      <c r="E683" s="1" t="str">
        <f>IFERROR(__xludf.DUMMYFUNCTION("""COMPUTED_VALUE"""),"Male")</f>
        <v>Male</v>
      </c>
      <c r="F683" s="1">
        <f>IFERROR(__xludf.DUMMYFUNCTION("""COMPUTED_VALUE"""),18.0)</f>
        <v>18</v>
      </c>
      <c r="G683" s="1">
        <f>IFERROR(__xludf.DUMMYFUNCTION("""COMPUTED_VALUE"""),79.0)</f>
        <v>79</v>
      </c>
      <c r="H683" s="1">
        <f>IFERROR(__xludf.DUMMYFUNCTION("""COMPUTED_VALUE"""),56.0)</f>
        <v>56</v>
      </c>
      <c r="I683" s="1">
        <f>IFERROR(__xludf.DUMMYFUNCTION("""COMPUTED_VALUE"""),75.0)</f>
        <v>75</v>
      </c>
      <c r="J683" s="1">
        <f>IFERROR(__xludf.DUMMYFUNCTION("""COMPUTED_VALUE"""),22.0)</f>
        <v>22</v>
      </c>
      <c r="K683" s="1">
        <f>IFERROR(__xludf.DUMMYFUNCTION("""COMPUTED_VALUE"""),50.0)</f>
        <v>50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 t="str">
        <f>IFERROR(__xludf.DUMMYFUNCTION("""COMPUTED_VALUE"""),"C")</f>
        <v>C</v>
      </c>
      <c r="E684" s="1" t="str">
        <f>IFERROR(__xludf.DUMMYFUNCTION("""COMPUTED_VALUE"""),"Female")</f>
        <v>Female</v>
      </c>
      <c r="F684" s="1">
        <f>IFERROR(__xludf.DUMMYFUNCTION("""COMPUTED_VALUE"""),54.0)</f>
        <v>54</v>
      </c>
      <c r="G684" s="1">
        <f>IFERROR(__xludf.DUMMYFUNCTION("""COMPUTED_VALUE"""),80.0)</f>
        <v>80</v>
      </c>
      <c r="H684" s="1">
        <f>IFERROR(__xludf.DUMMYFUNCTION("""COMPUTED_VALUE"""),94.0)</f>
        <v>94</v>
      </c>
      <c r="I684" s="1">
        <f>IFERROR(__xludf.DUMMYFUNCTION("""COMPUTED_VALUE"""),79.0)</f>
        <v>79</v>
      </c>
      <c r="J684" s="1">
        <f>IFERROR(__xludf.DUMMYFUNCTION("""COMPUTED_VALUE"""),69.0)</f>
        <v>69</v>
      </c>
      <c r="K684" s="1">
        <f>IFERROR(__xludf.DUMMYFUNCTION("""COMPUTED_VALUE"""),87.0)</f>
        <v>87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 t="str">
        <f>IFERROR(__xludf.DUMMYFUNCTION("""COMPUTED_VALUE"""),"D")</f>
        <v>D</v>
      </c>
      <c r="E685" s="1" t="str">
        <f>IFERROR(__xludf.DUMMYFUNCTION("""COMPUTED_VALUE"""),"Female")</f>
        <v>Female</v>
      </c>
      <c r="F685" s="1">
        <f>IFERROR(__xludf.DUMMYFUNCTION("""COMPUTED_VALUE"""),67.0)</f>
        <v>67</v>
      </c>
      <c r="G685" s="1">
        <f>IFERROR(__xludf.DUMMYFUNCTION("""COMPUTED_VALUE"""),21.0)</f>
        <v>21</v>
      </c>
      <c r="H685" s="1">
        <f>IFERROR(__xludf.DUMMYFUNCTION("""COMPUTED_VALUE"""),45.0)</f>
        <v>45</v>
      </c>
      <c r="I685" s="1">
        <f>IFERROR(__xludf.DUMMYFUNCTION("""COMPUTED_VALUE"""),59.0)</f>
        <v>59</v>
      </c>
      <c r="J685" s="1">
        <f>IFERROR(__xludf.DUMMYFUNCTION("""COMPUTED_VALUE"""),84.0)</f>
        <v>84</v>
      </c>
      <c r="K685" s="1">
        <f>IFERROR(__xludf.DUMMYFUNCTION("""COMPUTED_VALUE"""),59.0)</f>
        <v>59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 t="str">
        <f>IFERROR(__xludf.DUMMYFUNCTION("""COMPUTED_VALUE"""),"A")</f>
        <v>A</v>
      </c>
      <c r="E686" s="1" t="str">
        <f>IFERROR(__xludf.DUMMYFUNCTION("""COMPUTED_VALUE"""),"Female")</f>
        <v>Female</v>
      </c>
      <c r="F686" s="1">
        <f>IFERROR(__xludf.DUMMYFUNCTION("""COMPUTED_VALUE"""),21.0)</f>
        <v>21</v>
      </c>
      <c r="G686" s="1">
        <f>IFERROR(__xludf.DUMMYFUNCTION("""COMPUTED_VALUE"""),25.0)</f>
        <v>25</v>
      </c>
      <c r="H686" s="1">
        <f>IFERROR(__xludf.DUMMYFUNCTION("""COMPUTED_VALUE"""),24.0)</f>
        <v>24</v>
      </c>
      <c r="I686" s="1">
        <f>IFERROR(__xludf.DUMMYFUNCTION("""COMPUTED_VALUE"""),44.0)</f>
        <v>44</v>
      </c>
      <c r="J686" s="1">
        <f>IFERROR(__xludf.DUMMYFUNCTION("""COMPUTED_VALUE"""),82.0)</f>
        <v>82</v>
      </c>
      <c r="K686" s="1">
        <f>IFERROR(__xludf.DUMMYFUNCTION("""COMPUTED_VALUE"""),64.0)</f>
        <v>64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 t="str">
        <f>IFERROR(__xludf.DUMMYFUNCTION("""COMPUTED_VALUE"""),"B")</f>
        <v>B</v>
      </c>
      <c r="E687" s="1" t="str">
        <f>IFERROR(__xludf.DUMMYFUNCTION("""COMPUTED_VALUE"""),"Female")</f>
        <v>Female</v>
      </c>
      <c r="F687" s="1">
        <f>IFERROR(__xludf.DUMMYFUNCTION("""COMPUTED_VALUE"""),53.0)</f>
        <v>53</v>
      </c>
      <c r="G687" s="1">
        <f>IFERROR(__xludf.DUMMYFUNCTION("""COMPUTED_VALUE"""),35.0)</f>
        <v>35</v>
      </c>
      <c r="H687" s="1">
        <f>IFERROR(__xludf.DUMMYFUNCTION("""COMPUTED_VALUE"""),42.0)</f>
        <v>42</v>
      </c>
      <c r="I687" s="1">
        <f>IFERROR(__xludf.DUMMYFUNCTION("""COMPUTED_VALUE"""),49.0)</f>
        <v>49</v>
      </c>
      <c r="J687" s="1">
        <f>IFERROR(__xludf.DUMMYFUNCTION("""COMPUTED_VALUE"""),33.0)</f>
        <v>33</v>
      </c>
      <c r="K687" s="1">
        <f>IFERROR(__xludf.DUMMYFUNCTION("""COMPUTED_VALUE"""),50.0)</f>
        <v>50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 t="str">
        <f>IFERROR(__xludf.DUMMYFUNCTION("""COMPUTED_VALUE"""),"B")</f>
        <v>B</v>
      </c>
      <c r="E688" s="1" t="str">
        <f>IFERROR(__xludf.DUMMYFUNCTION("""COMPUTED_VALUE"""),"Male")</f>
        <v>Male</v>
      </c>
      <c r="F688" s="1">
        <f>IFERROR(__xludf.DUMMYFUNCTION("""COMPUTED_VALUE"""),52.0)</f>
        <v>52</v>
      </c>
      <c r="G688" s="1">
        <f>IFERROR(__xludf.DUMMYFUNCTION("""COMPUTED_VALUE"""),50.0)</f>
        <v>50</v>
      </c>
      <c r="H688" s="1">
        <f>IFERROR(__xludf.DUMMYFUNCTION("""COMPUTED_VALUE"""),41.0)</f>
        <v>41</v>
      </c>
      <c r="I688" s="1">
        <f>IFERROR(__xludf.DUMMYFUNCTION("""COMPUTED_VALUE"""),57.0)</f>
        <v>57</v>
      </c>
      <c r="J688" s="1">
        <f>IFERROR(__xludf.DUMMYFUNCTION("""COMPUTED_VALUE"""),56.0)</f>
        <v>56</v>
      </c>
      <c r="K688" s="1">
        <f>IFERROR(__xludf.DUMMYFUNCTION("""COMPUTED_VALUE"""),53.0)</f>
        <v>53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 t="str">
        <f>IFERROR(__xludf.DUMMYFUNCTION("""COMPUTED_VALUE"""),"B")</f>
        <v>B</v>
      </c>
      <c r="E689" s="1" t="str">
        <f>IFERROR(__xludf.DUMMYFUNCTION("""COMPUTED_VALUE"""),"Male")</f>
        <v>Male</v>
      </c>
      <c r="F689" s="1">
        <f>IFERROR(__xludf.DUMMYFUNCTION("""COMPUTED_VALUE"""),29.0)</f>
        <v>29</v>
      </c>
      <c r="G689" s="1">
        <f>IFERROR(__xludf.DUMMYFUNCTION("""COMPUTED_VALUE"""),70.0)</f>
        <v>70</v>
      </c>
      <c r="H689" s="1">
        <f>IFERROR(__xludf.DUMMYFUNCTION("""COMPUTED_VALUE"""),44.0)</f>
        <v>44</v>
      </c>
      <c r="I689" s="1">
        <f>IFERROR(__xludf.DUMMYFUNCTION("""COMPUTED_VALUE"""),79.0)</f>
        <v>79</v>
      </c>
      <c r="J689" s="1">
        <f>IFERROR(__xludf.DUMMYFUNCTION("""COMPUTED_VALUE"""),73.0)</f>
        <v>73</v>
      </c>
      <c r="K689" s="1">
        <f>IFERROR(__xludf.DUMMYFUNCTION("""COMPUTED_VALUE"""),27.0)</f>
        <v>27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 t="str">
        <f>IFERROR(__xludf.DUMMYFUNCTION("""COMPUTED_VALUE"""),"B")</f>
        <v>B</v>
      </c>
      <c r="E690" s="1" t="str">
        <f>IFERROR(__xludf.DUMMYFUNCTION("""COMPUTED_VALUE"""),"Male")</f>
        <v>Male</v>
      </c>
      <c r="F690" s="1">
        <f>IFERROR(__xludf.DUMMYFUNCTION("""COMPUTED_VALUE"""),68.0)</f>
        <v>68</v>
      </c>
      <c r="G690" s="1">
        <f>IFERROR(__xludf.DUMMYFUNCTION("""COMPUTED_VALUE"""),94.0)</f>
        <v>94</v>
      </c>
      <c r="H690" s="1">
        <f>IFERROR(__xludf.DUMMYFUNCTION("""COMPUTED_VALUE"""),71.0)</f>
        <v>71</v>
      </c>
      <c r="I690" s="1">
        <f>IFERROR(__xludf.DUMMYFUNCTION("""COMPUTED_VALUE"""),98.0)</f>
        <v>98</v>
      </c>
      <c r="J690" s="1">
        <f>IFERROR(__xludf.DUMMYFUNCTION("""COMPUTED_VALUE"""),40.0)</f>
        <v>40</v>
      </c>
      <c r="K690" s="1">
        <f>IFERROR(__xludf.DUMMYFUNCTION("""COMPUTED_VALUE"""),25.0)</f>
        <v>25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 t="str">
        <f>IFERROR(__xludf.DUMMYFUNCTION("""COMPUTED_VALUE"""),"D")</f>
        <v>D</v>
      </c>
      <c r="E691" s="1" t="str">
        <f>IFERROR(__xludf.DUMMYFUNCTION("""COMPUTED_VALUE"""),"Male")</f>
        <v>Male</v>
      </c>
      <c r="F691" s="1">
        <f>IFERROR(__xludf.DUMMYFUNCTION("""COMPUTED_VALUE"""),79.0)</f>
        <v>79</v>
      </c>
      <c r="G691" s="1">
        <f>IFERROR(__xludf.DUMMYFUNCTION("""COMPUTED_VALUE"""),68.0)</f>
        <v>68</v>
      </c>
      <c r="H691" s="1">
        <f>IFERROR(__xludf.DUMMYFUNCTION("""COMPUTED_VALUE"""),95.0)</f>
        <v>95</v>
      </c>
      <c r="I691" s="1">
        <f>IFERROR(__xludf.DUMMYFUNCTION("""COMPUTED_VALUE"""),73.0)</f>
        <v>73</v>
      </c>
      <c r="J691" s="1">
        <f>IFERROR(__xludf.DUMMYFUNCTION("""COMPUTED_VALUE"""),71.0)</f>
        <v>71</v>
      </c>
      <c r="K691" s="1">
        <f>IFERROR(__xludf.DUMMYFUNCTION("""COMPUTED_VALUE"""),70.0)</f>
        <v>70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 t="str">
        <f>IFERROR(__xludf.DUMMYFUNCTION("""COMPUTED_VALUE"""),"C")</f>
        <v>C</v>
      </c>
      <c r="E692" s="1" t="str">
        <f>IFERROR(__xludf.DUMMYFUNCTION("""COMPUTED_VALUE"""),"Female")</f>
        <v>Female</v>
      </c>
      <c r="F692" s="1">
        <f>IFERROR(__xludf.DUMMYFUNCTION("""COMPUTED_VALUE"""),59.0)</f>
        <v>59</v>
      </c>
      <c r="G692" s="1">
        <f>IFERROR(__xludf.DUMMYFUNCTION("""COMPUTED_VALUE"""),92.0)</f>
        <v>92</v>
      </c>
      <c r="H692" s="1">
        <f>IFERROR(__xludf.DUMMYFUNCTION("""COMPUTED_VALUE"""),61.0)</f>
        <v>61</v>
      </c>
      <c r="I692" s="1">
        <f>IFERROR(__xludf.DUMMYFUNCTION("""COMPUTED_VALUE"""),29.0)</f>
        <v>29</v>
      </c>
      <c r="J692" s="1">
        <f>IFERROR(__xludf.DUMMYFUNCTION("""COMPUTED_VALUE"""),98.0)</f>
        <v>98</v>
      </c>
      <c r="K692" s="1">
        <f>IFERROR(__xludf.DUMMYFUNCTION("""COMPUTED_VALUE"""),43.0)</f>
        <v>43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 t="str">
        <f>IFERROR(__xludf.DUMMYFUNCTION("""COMPUTED_VALUE"""),"B")</f>
        <v>B</v>
      </c>
      <c r="E693" s="1" t="str">
        <f>IFERROR(__xludf.DUMMYFUNCTION("""COMPUTED_VALUE"""),"Male")</f>
        <v>Male</v>
      </c>
      <c r="F693" s="1">
        <f>IFERROR(__xludf.DUMMYFUNCTION("""COMPUTED_VALUE"""),55.0)</f>
        <v>55</v>
      </c>
      <c r="G693" s="1">
        <f>IFERROR(__xludf.DUMMYFUNCTION("""COMPUTED_VALUE"""),49.0)</f>
        <v>49</v>
      </c>
      <c r="H693" s="1">
        <f>IFERROR(__xludf.DUMMYFUNCTION("""COMPUTED_VALUE"""),79.0)</f>
        <v>79</v>
      </c>
      <c r="I693" s="1">
        <f>IFERROR(__xludf.DUMMYFUNCTION("""COMPUTED_VALUE"""),24.0)</f>
        <v>24</v>
      </c>
      <c r="J693" s="1">
        <f>IFERROR(__xludf.DUMMYFUNCTION("""COMPUTED_VALUE"""),28.0)</f>
        <v>28</v>
      </c>
      <c r="K693" s="1">
        <f>IFERROR(__xludf.DUMMYFUNCTION("""COMPUTED_VALUE"""),49.0)</f>
        <v>49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 t="str">
        <f>IFERROR(__xludf.DUMMYFUNCTION("""COMPUTED_VALUE"""),"A")</f>
        <v>A</v>
      </c>
      <c r="E694" s="1" t="str">
        <f>IFERROR(__xludf.DUMMYFUNCTION("""COMPUTED_VALUE"""),"Male")</f>
        <v>Male</v>
      </c>
      <c r="F694" s="1">
        <f>IFERROR(__xludf.DUMMYFUNCTION("""COMPUTED_VALUE"""),91.0)</f>
        <v>91</v>
      </c>
      <c r="G694" s="1">
        <f>IFERROR(__xludf.DUMMYFUNCTION("""COMPUTED_VALUE"""),50.0)</f>
        <v>50</v>
      </c>
      <c r="H694" s="1">
        <f>IFERROR(__xludf.DUMMYFUNCTION("""COMPUTED_VALUE"""),53.0)</f>
        <v>53</v>
      </c>
      <c r="I694" s="1">
        <f>IFERROR(__xludf.DUMMYFUNCTION("""COMPUTED_VALUE"""),35.0)</f>
        <v>35</v>
      </c>
      <c r="J694" s="1">
        <f>IFERROR(__xludf.DUMMYFUNCTION("""COMPUTED_VALUE"""),97.0)</f>
        <v>97</v>
      </c>
      <c r="K694" s="1">
        <f>IFERROR(__xludf.DUMMYFUNCTION("""COMPUTED_VALUE"""),58.0)</f>
        <v>58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 t="str">
        <f>IFERROR(__xludf.DUMMYFUNCTION("""COMPUTED_VALUE"""),"C")</f>
        <v>C</v>
      </c>
      <c r="E695" s="1" t="str">
        <f>IFERROR(__xludf.DUMMYFUNCTION("""COMPUTED_VALUE"""),"Male")</f>
        <v>Male</v>
      </c>
      <c r="F695" s="1">
        <f>IFERROR(__xludf.DUMMYFUNCTION("""COMPUTED_VALUE"""),31.0)</f>
        <v>31</v>
      </c>
      <c r="G695" s="1">
        <f>IFERROR(__xludf.DUMMYFUNCTION("""COMPUTED_VALUE"""),91.0)</f>
        <v>91</v>
      </c>
      <c r="H695" s="1">
        <f>IFERROR(__xludf.DUMMYFUNCTION("""COMPUTED_VALUE"""),25.0)</f>
        <v>25</v>
      </c>
      <c r="I695" s="1">
        <f>IFERROR(__xludf.DUMMYFUNCTION("""COMPUTED_VALUE"""),59.0)</f>
        <v>59</v>
      </c>
      <c r="J695" s="1">
        <f>IFERROR(__xludf.DUMMYFUNCTION("""COMPUTED_VALUE"""),57.0)</f>
        <v>57</v>
      </c>
      <c r="K695" s="1">
        <f>IFERROR(__xludf.DUMMYFUNCTION("""COMPUTED_VALUE"""),96.0)</f>
        <v>96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 t="str">
        <f>IFERROR(__xludf.DUMMYFUNCTION("""COMPUTED_VALUE"""),"A")</f>
        <v>A</v>
      </c>
      <c r="E696" s="1" t="str">
        <f>IFERROR(__xludf.DUMMYFUNCTION("""COMPUTED_VALUE"""),"Female")</f>
        <v>Female</v>
      </c>
      <c r="F696" s="1">
        <f>IFERROR(__xludf.DUMMYFUNCTION("""COMPUTED_VALUE"""),80.0)</f>
        <v>80</v>
      </c>
      <c r="G696" s="1">
        <f>IFERROR(__xludf.DUMMYFUNCTION("""COMPUTED_VALUE"""),23.0)</f>
        <v>23</v>
      </c>
      <c r="H696" s="1">
        <f>IFERROR(__xludf.DUMMYFUNCTION("""COMPUTED_VALUE"""),43.0)</f>
        <v>43</v>
      </c>
      <c r="I696" s="1">
        <f>IFERROR(__xludf.DUMMYFUNCTION("""COMPUTED_VALUE"""),40.0)</f>
        <v>40</v>
      </c>
      <c r="J696" s="1">
        <f>IFERROR(__xludf.DUMMYFUNCTION("""COMPUTED_VALUE"""),82.0)</f>
        <v>82</v>
      </c>
      <c r="K696" s="1">
        <f>IFERROR(__xludf.DUMMYFUNCTION("""COMPUTED_VALUE"""),73.0)</f>
        <v>73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 t="str">
        <f>IFERROR(__xludf.DUMMYFUNCTION("""COMPUTED_VALUE"""),"C")</f>
        <v>C</v>
      </c>
      <c r="E697" s="1" t="str">
        <f>IFERROR(__xludf.DUMMYFUNCTION("""COMPUTED_VALUE"""),"Male")</f>
        <v>Male</v>
      </c>
      <c r="F697" s="1">
        <f>IFERROR(__xludf.DUMMYFUNCTION("""COMPUTED_VALUE"""),97.0)</f>
        <v>97</v>
      </c>
      <c r="G697" s="1">
        <f>IFERROR(__xludf.DUMMYFUNCTION("""COMPUTED_VALUE"""),54.0)</f>
        <v>54</v>
      </c>
      <c r="H697" s="1">
        <f>IFERROR(__xludf.DUMMYFUNCTION("""COMPUTED_VALUE"""),38.0)</f>
        <v>38</v>
      </c>
      <c r="I697" s="1">
        <f>IFERROR(__xludf.DUMMYFUNCTION("""COMPUTED_VALUE"""),69.0)</f>
        <v>69</v>
      </c>
      <c r="J697" s="1">
        <f>IFERROR(__xludf.DUMMYFUNCTION("""COMPUTED_VALUE"""),86.0)</f>
        <v>86</v>
      </c>
      <c r="K697" s="1">
        <f>IFERROR(__xludf.DUMMYFUNCTION("""COMPUTED_VALUE"""),70.0)</f>
        <v>70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 t="str">
        <f>IFERROR(__xludf.DUMMYFUNCTION("""COMPUTED_VALUE"""),"C")</f>
        <v>C</v>
      </c>
      <c r="E698" s="1" t="str">
        <f>IFERROR(__xludf.DUMMYFUNCTION("""COMPUTED_VALUE"""),"Male")</f>
        <v>Male</v>
      </c>
      <c r="F698" s="1">
        <f>IFERROR(__xludf.DUMMYFUNCTION("""COMPUTED_VALUE"""),38.0)</f>
        <v>38</v>
      </c>
      <c r="G698" s="1">
        <f>IFERROR(__xludf.DUMMYFUNCTION("""COMPUTED_VALUE"""),24.0)</f>
        <v>24</v>
      </c>
      <c r="H698" s="1">
        <f>IFERROR(__xludf.DUMMYFUNCTION("""COMPUTED_VALUE"""),70.0)</f>
        <v>70</v>
      </c>
      <c r="I698" s="1">
        <f>IFERROR(__xludf.DUMMYFUNCTION("""COMPUTED_VALUE"""),22.0)</f>
        <v>22</v>
      </c>
      <c r="J698" s="1">
        <f>IFERROR(__xludf.DUMMYFUNCTION("""COMPUTED_VALUE"""),35.0)</f>
        <v>35</v>
      </c>
      <c r="K698" s="1">
        <f>IFERROR(__xludf.DUMMYFUNCTION("""COMPUTED_VALUE"""),22.0)</f>
        <v>22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 t="str">
        <f>IFERROR(__xludf.DUMMYFUNCTION("""COMPUTED_VALUE"""),"B")</f>
        <v>B</v>
      </c>
      <c r="E699" s="1" t="str">
        <f>IFERROR(__xludf.DUMMYFUNCTION("""COMPUTED_VALUE"""),"Male")</f>
        <v>Male</v>
      </c>
      <c r="F699" s="1">
        <f>IFERROR(__xludf.DUMMYFUNCTION("""COMPUTED_VALUE"""),15.0)</f>
        <v>15</v>
      </c>
      <c r="G699" s="1">
        <f>IFERROR(__xludf.DUMMYFUNCTION("""COMPUTED_VALUE"""),98.0)</f>
        <v>98</v>
      </c>
      <c r="H699" s="1">
        <f>IFERROR(__xludf.DUMMYFUNCTION("""COMPUTED_VALUE"""),90.0)</f>
        <v>90</v>
      </c>
      <c r="I699" s="1">
        <f>IFERROR(__xludf.DUMMYFUNCTION("""COMPUTED_VALUE"""),99.0)</f>
        <v>99</v>
      </c>
      <c r="J699" s="1">
        <f>IFERROR(__xludf.DUMMYFUNCTION("""COMPUTED_VALUE"""),95.0)</f>
        <v>95</v>
      </c>
      <c r="K699" s="1">
        <f>IFERROR(__xludf.DUMMYFUNCTION("""COMPUTED_VALUE"""),84.0)</f>
        <v>84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 t="str">
        <f>IFERROR(__xludf.DUMMYFUNCTION("""COMPUTED_VALUE"""),"B")</f>
        <v>B</v>
      </c>
      <c r="E700" s="1" t="str">
        <f>IFERROR(__xludf.DUMMYFUNCTION("""COMPUTED_VALUE"""),"Female")</f>
        <v>Female</v>
      </c>
      <c r="F700" s="1">
        <f>IFERROR(__xludf.DUMMYFUNCTION("""COMPUTED_VALUE"""),64.0)</f>
        <v>64</v>
      </c>
      <c r="G700" s="1">
        <f>IFERROR(__xludf.DUMMYFUNCTION("""COMPUTED_VALUE"""),90.0)</f>
        <v>90</v>
      </c>
      <c r="H700" s="1">
        <f>IFERROR(__xludf.DUMMYFUNCTION("""COMPUTED_VALUE"""),91.0)</f>
        <v>91</v>
      </c>
      <c r="I700" s="1">
        <f>IFERROR(__xludf.DUMMYFUNCTION("""COMPUTED_VALUE"""),91.0)</f>
        <v>91</v>
      </c>
      <c r="J700" s="1">
        <f>IFERROR(__xludf.DUMMYFUNCTION("""COMPUTED_VALUE"""),20.0)</f>
        <v>20</v>
      </c>
      <c r="K700" s="1">
        <f>IFERROR(__xludf.DUMMYFUNCTION("""COMPUTED_VALUE"""),80.0)</f>
        <v>80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 t="str">
        <f>IFERROR(__xludf.DUMMYFUNCTION("""COMPUTED_VALUE"""),"C")</f>
        <v>C</v>
      </c>
      <c r="E701" s="1" t="str">
        <f>IFERROR(__xludf.DUMMYFUNCTION("""COMPUTED_VALUE"""),"Male")</f>
        <v>Male</v>
      </c>
      <c r="F701" s="1">
        <f>IFERROR(__xludf.DUMMYFUNCTION("""COMPUTED_VALUE"""),43.0)</f>
        <v>43</v>
      </c>
      <c r="G701" s="1">
        <f>IFERROR(__xludf.DUMMYFUNCTION("""COMPUTED_VALUE"""),72.0)</f>
        <v>72</v>
      </c>
      <c r="H701" s="1">
        <f>IFERROR(__xludf.DUMMYFUNCTION("""COMPUTED_VALUE"""),86.0)</f>
        <v>86</v>
      </c>
      <c r="I701" s="1">
        <f>IFERROR(__xludf.DUMMYFUNCTION("""COMPUTED_VALUE"""),55.0)</f>
        <v>55</v>
      </c>
      <c r="J701" s="1">
        <f>IFERROR(__xludf.DUMMYFUNCTION("""COMPUTED_VALUE"""),48.0)</f>
        <v>48</v>
      </c>
      <c r="K701" s="1">
        <f>IFERROR(__xludf.DUMMYFUNCTION("""COMPUTED_VALUE"""),25.0)</f>
        <v>25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 t="str">
        <f>IFERROR(__xludf.DUMMYFUNCTION("""COMPUTED_VALUE"""),"C")</f>
        <v>C</v>
      </c>
      <c r="E702" s="1" t="str">
        <f>IFERROR(__xludf.DUMMYFUNCTION("""COMPUTED_VALUE"""),"Male")</f>
        <v>Male</v>
      </c>
      <c r="F702" s="1">
        <f>IFERROR(__xludf.DUMMYFUNCTION("""COMPUTED_VALUE"""),82.0)</f>
        <v>82</v>
      </c>
      <c r="G702" s="1">
        <f>IFERROR(__xludf.DUMMYFUNCTION("""COMPUTED_VALUE"""),36.0)</f>
        <v>36</v>
      </c>
      <c r="H702" s="1">
        <f>IFERROR(__xludf.DUMMYFUNCTION("""COMPUTED_VALUE"""),85.0)</f>
        <v>85</v>
      </c>
      <c r="I702" s="1">
        <f>IFERROR(__xludf.DUMMYFUNCTION("""COMPUTED_VALUE"""),67.0)</f>
        <v>67</v>
      </c>
      <c r="J702" s="1">
        <f>IFERROR(__xludf.DUMMYFUNCTION("""COMPUTED_VALUE"""),58.0)</f>
        <v>58</v>
      </c>
      <c r="K702" s="1">
        <f>IFERROR(__xludf.DUMMYFUNCTION("""COMPUTED_VALUE"""),52.0)</f>
        <v>52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 t="str">
        <f>IFERROR(__xludf.DUMMYFUNCTION("""COMPUTED_VALUE"""),"C")</f>
        <v>C</v>
      </c>
      <c r="E703" s="1" t="str">
        <f>IFERROR(__xludf.DUMMYFUNCTION("""COMPUTED_VALUE"""),"Male")</f>
        <v>Male</v>
      </c>
      <c r="F703" s="1">
        <f>IFERROR(__xludf.DUMMYFUNCTION("""COMPUTED_VALUE"""),63.0)</f>
        <v>63</v>
      </c>
      <c r="G703" s="1">
        <f>IFERROR(__xludf.DUMMYFUNCTION("""COMPUTED_VALUE"""),88.0)</f>
        <v>88</v>
      </c>
      <c r="H703" s="1">
        <f>IFERROR(__xludf.DUMMYFUNCTION("""COMPUTED_VALUE"""),61.0)</f>
        <v>61</v>
      </c>
      <c r="I703" s="1">
        <f>IFERROR(__xludf.DUMMYFUNCTION("""COMPUTED_VALUE"""),89.0)</f>
        <v>89</v>
      </c>
      <c r="J703" s="1">
        <f>IFERROR(__xludf.DUMMYFUNCTION("""COMPUTED_VALUE"""),55.0)</f>
        <v>55</v>
      </c>
      <c r="K703" s="1">
        <f>IFERROR(__xludf.DUMMYFUNCTION("""COMPUTED_VALUE"""),22.0)</f>
        <v>22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 t="str">
        <f>IFERROR(__xludf.DUMMYFUNCTION("""COMPUTED_VALUE"""),"D")</f>
        <v>D</v>
      </c>
      <c r="E704" s="1" t="str">
        <f>IFERROR(__xludf.DUMMYFUNCTION("""COMPUTED_VALUE"""),"Male")</f>
        <v>Male</v>
      </c>
      <c r="F704" s="1">
        <f>IFERROR(__xludf.DUMMYFUNCTION("""COMPUTED_VALUE"""),77.0)</f>
        <v>77</v>
      </c>
      <c r="G704" s="1">
        <f>IFERROR(__xludf.DUMMYFUNCTION("""COMPUTED_VALUE"""),74.0)</f>
        <v>74</v>
      </c>
      <c r="H704" s="1">
        <f>IFERROR(__xludf.DUMMYFUNCTION("""COMPUTED_VALUE"""),63.0)</f>
        <v>63</v>
      </c>
      <c r="I704" s="1">
        <f>IFERROR(__xludf.DUMMYFUNCTION("""COMPUTED_VALUE"""),52.0)</f>
        <v>52</v>
      </c>
      <c r="J704" s="1">
        <f>IFERROR(__xludf.DUMMYFUNCTION("""COMPUTED_VALUE"""),57.0)</f>
        <v>57</v>
      </c>
      <c r="K704" s="1">
        <f>IFERROR(__xludf.DUMMYFUNCTION("""COMPUTED_VALUE"""),41.0)</f>
        <v>41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 t="str">
        <f>IFERROR(__xludf.DUMMYFUNCTION("""COMPUTED_VALUE"""),"B")</f>
        <v>B</v>
      </c>
      <c r="E705" s="1" t="str">
        <f>IFERROR(__xludf.DUMMYFUNCTION("""COMPUTED_VALUE"""),"Female")</f>
        <v>Female</v>
      </c>
      <c r="F705" s="1">
        <f>IFERROR(__xludf.DUMMYFUNCTION("""COMPUTED_VALUE"""),68.0)</f>
        <v>68</v>
      </c>
      <c r="G705" s="1">
        <f>IFERROR(__xludf.DUMMYFUNCTION("""COMPUTED_VALUE"""),66.0)</f>
        <v>66</v>
      </c>
      <c r="H705" s="1">
        <f>IFERROR(__xludf.DUMMYFUNCTION("""COMPUTED_VALUE"""),88.0)</f>
        <v>88</v>
      </c>
      <c r="I705" s="1">
        <f>IFERROR(__xludf.DUMMYFUNCTION("""COMPUTED_VALUE"""),37.0)</f>
        <v>37</v>
      </c>
      <c r="J705" s="1">
        <f>IFERROR(__xludf.DUMMYFUNCTION("""COMPUTED_VALUE"""),65.0)</f>
        <v>65</v>
      </c>
      <c r="K705" s="1">
        <f>IFERROR(__xludf.DUMMYFUNCTION("""COMPUTED_VALUE"""),24.0)</f>
        <v>24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 t="str">
        <f>IFERROR(__xludf.DUMMYFUNCTION("""COMPUTED_VALUE"""),"C")</f>
        <v>C</v>
      </c>
      <c r="E706" s="1" t="str">
        <f>IFERROR(__xludf.DUMMYFUNCTION("""COMPUTED_VALUE"""),"Male")</f>
        <v>Male</v>
      </c>
      <c r="F706" s="1">
        <f>IFERROR(__xludf.DUMMYFUNCTION("""COMPUTED_VALUE"""),23.0)</f>
        <v>23</v>
      </c>
      <c r="G706" s="1">
        <f>IFERROR(__xludf.DUMMYFUNCTION("""COMPUTED_VALUE"""),60.0)</f>
        <v>60</v>
      </c>
      <c r="H706" s="1">
        <f>IFERROR(__xludf.DUMMYFUNCTION("""COMPUTED_VALUE"""),20.0)</f>
        <v>20</v>
      </c>
      <c r="I706" s="1">
        <f>IFERROR(__xludf.DUMMYFUNCTION("""COMPUTED_VALUE"""),54.0)</f>
        <v>54</v>
      </c>
      <c r="J706" s="1">
        <f>IFERROR(__xludf.DUMMYFUNCTION("""COMPUTED_VALUE"""),66.0)</f>
        <v>66</v>
      </c>
      <c r="K706" s="1">
        <f>IFERROR(__xludf.DUMMYFUNCTION("""COMPUTED_VALUE"""),39.0)</f>
        <v>39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 t="str">
        <f>IFERROR(__xludf.DUMMYFUNCTION("""COMPUTED_VALUE"""),"B")</f>
        <v>B</v>
      </c>
      <c r="E707" s="1" t="str">
        <f>IFERROR(__xludf.DUMMYFUNCTION("""COMPUTED_VALUE"""),"Male")</f>
        <v>Male</v>
      </c>
      <c r="F707" s="1">
        <f>IFERROR(__xludf.DUMMYFUNCTION("""COMPUTED_VALUE"""),14.0)</f>
        <v>14</v>
      </c>
      <c r="G707" s="1">
        <f>IFERROR(__xludf.DUMMYFUNCTION("""COMPUTED_VALUE"""),39.0)</f>
        <v>39</v>
      </c>
      <c r="H707" s="1">
        <f>IFERROR(__xludf.DUMMYFUNCTION("""COMPUTED_VALUE"""),29.0)</f>
        <v>29</v>
      </c>
      <c r="I707" s="1">
        <f>IFERROR(__xludf.DUMMYFUNCTION("""COMPUTED_VALUE"""),69.0)</f>
        <v>69</v>
      </c>
      <c r="J707" s="1">
        <f>IFERROR(__xludf.DUMMYFUNCTION("""COMPUTED_VALUE"""),67.0)</f>
        <v>67</v>
      </c>
      <c r="K707" s="1">
        <f>IFERROR(__xludf.DUMMYFUNCTION("""COMPUTED_VALUE"""),93.0)</f>
        <v>93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 t="str">
        <f>IFERROR(__xludf.DUMMYFUNCTION("""COMPUTED_VALUE"""),"C")</f>
        <v>C</v>
      </c>
      <c r="E708" s="1" t="str">
        <f>IFERROR(__xludf.DUMMYFUNCTION("""COMPUTED_VALUE"""),"Female")</f>
        <v>Female</v>
      </c>
      <c r="F708" s="1">
        <f>IFERROR(__xludf.DUMMYFUNCTION("""COMPUTED_VALUE"""),50.0)</f>
        <v>50</v>
      </c>
      <c r="G708" s="1">
        <f>IFERROR(__xludf.DUMMYFUNCTION("""COMPUTED_VALUE"""),51.0)</f>
        <v>51</v>
      </c>
      <c r="H708" s="1">
        <f>IFERROR(__xludf.DUMMYFUNCTION("""COMPUTED_VALUE"""),96.0)</f>
        <v>96</v>
      </c>
      <c r="I708" s="1">
        <f>IFERROR(__xludf.DUMMYFUNCTION("""COMPUTED_VALUE"""),58.0)</f>
        <v>58</v>
      </c>
      <c r="J708" s="1">
        <f>IFERROR(__xludf.DUMMYFUNCTION("""COMPUTED_VALUE"""),63.0)</f>
        <v>63</v>
      </c>
      <c r="K708" s="1">
        <f>IFERROR(__xludf.DUMMYFUNCTION("""COMPUTED_VALUE"""),24.0)</f>
        <v>24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 t="str">
        <f>IFERROR(__xludf.DUMMYFUNCTION("""COMPUTED_VALUE"""),"C")</f>
        <v>C</v>
      </c>
      <c r="E709" s="1" t="str">
        <f>IFERROR(__xludf.DUMMYFUNCTION("""COMPUTED_VALUE"""),"Female")</f>
        <v>Female</v>
      </c>
      <c r="F709" s="1">
        <f>IFERROR(__xludf.DUMMYFUNCTION("""COMPUTED_VALUE"""),70.0)</f>
        <v>70</v>
      </c>
      <c r="G709" s="1">
        <f>IFERROR(__xludf.DUMMYFUNCTION("""COMPUTED_VALUE"""),77.0)</f>
        <v>77</v>
      </c>
      <c r="H709" s="1">
        <f>IFERROR(__xludf.DUMMYFUNCTION("""COMPUTED_VALUE"""),55.0)</f>
        <v>55</v>
      </c>
      <c r="I709" s="1">
        <f>IFERROR(__xludf.DUMMYFUNCTION("""COMPUTED_VALUE"""),43.0)</f>
        <v>43</v>
      </c>
      <c r="J709" s="1">
        <f>IFERROR(__xludf.DUMMYFUNCTION("""COMPUTED_VALUE"""),82.0)</f>
        <v>82</v>
      </c>
      <c r="K709" s="1">
        <f>IFERROR(__xludf.DUMMYFUNCTION("""COMPUTED_VALUE"""),55.0)</f>
        <v>55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 t="str">
        <f>IFERROR(__xludf.DUMMYFUNCTION("""COMPUTED_VALUE"""),"D")</f>
        <v>D</v>
      </c>
      <c r="E710" s="1" t="str">
        <f>IFERROR(__xludf.DUMMYFUNCTION("""COMPUTED_VALUE"""),"Male")</f>
        <v>Male</v>
      </c>
      <c r="F710" s="1">
        <f>IFERROR(__xludf.DUMMYFUNCTION("""COMPUTED_VALUE"""),50.0)</f>
        <v>50</v>
      </c>
      <c r="G710" s="1">
        <f>IFERROR(__xludf.DUMMYFUNCTION("""COMPUTED_VALUE"""),63.0)</f>
        <v>63</v>
      </c>
      <c r="H710" s="1">
        <f>IFERROR(__xludf.DUMMYFUNCTION("""COMPUTED_VALUE"""),21.0)</f>
        <v>21</v>
      </c>
      <c r="I710" s="1">
        <f>IFERROR(__xludf.DUMMYFUNCTION("""COMPUTED_VALUE"""),69.0)</f>
        <v>69</v>
      </c>
      <c r="J710" s="1">
        <f>IFERROR(__xludf.DUMMYFUNCTION("""COMPUTED_VALUE"""),55.0)</f>
        <v>55</v>
      </c>
      <c r="K710" s="1">
        <f>IFERROR(__xludf.DUMMYFUNCTION("""COMPUTED_VALUE"""),93.0)</f>
        <v>93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 t="str">
        <f>IFERROR(__xludf.DUMMYFUNCTION("""COMPUTED_VALUE"""),"A")</f>
        <v>A</v>
      </c>
      <c r="E711" s="1" t="str">
        <f>IFERROR(__xludf.DUMMYFUNCTION("""COMPUTED_VALUE"""),"Female")</f>
        <v>Female</v>
      </c>
      <c r="F711" s="1">
        <f>IFERROR(__xludf.DUMMYFUNCTION("""COMPUTED_VALUE"""),89.0)</f>
        <v>89</v>
      </c>
      <c r="G711" s="1">
        <f>IFERROR(__xludf.DUMMYFUNCTION("""COMPUTED_VALUE"""),26.0)</f>
        <v>26</v>
      </c>
      <c r="H711" s="1">
        <f>IFERROR(__xludf.DUMMYFUNCTION("""COMPUTED_VALUE"""),63.0)</f>
        <v>63</v>
      </c>
      <c r="I711" s="1">
        <f>IFERROR(__xludf.DUMMYFUNCTION("""COMPUTED_VALUE"""),59.0)</f>
        <v>59</v>
      </c>
      <c r="J711" s="1">
        <f>IFERROR(__xludf.DUMMYFUNCTION("""COMPUTED_VALUE"""),46.0)</f>
        <v>46</v>
      </c>
      <c r="K711" s="1">
        <f>IFERROR(__xludf.DUMMYFUNCTION("""COMPUTED_VALUE"""),84.0)</f>
        <v>84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 t="str">
        <f>IFERROR(__xludf.DUMMYFUNCTION("""COMPUTED_VALUE"""),"C")</f>
        <v>C</v>
      </c>
      <c r="E712" s="1" t="str">
        <f>IFERROR(__xludf.DUMMYFUNCTION("""COMPUTED_VALUE"""),"Male")</f>
        <v>Male</v>
      </c>
      <c r="F712" s="1">
        <f>IFERROR(__xludf.DUMMYFUNCTION("""COMPUTED_VALUE"""),62.0)</f>
        <v>62</v>
      </c>
      <c r="G712" s="1">
        <f>IFERROR(__xludf.DUMMYFUNCTION("""COMPUTED_VALUE"""),44.0)</f>
        <v>44</v>
      </c>
      <c r="H712" s="1">
        <f>IFERROR(__xludf.DUMMYFUNCTION("""COMPUTED_VALUE"""),33.0)</f>
        <v>33</v>
      </c>
      <c r="I712" s="1">
        <f>IFERROR(__xludf.DUMMYFUNCTION("""COMPUTED_VALUE"""),47.0)</f>
        <v>47</v>
      </c>
      <c r="J712" s="1">
        <f>IFERROR(__xludf.DUMMYFUNCTION("""COMPUTED_VALUE"""),89.0)</f>
        <v>89</v>
      </c>
      <c r="K712" s="1">
        <f>IFERROR(__xludf.DUMMYFUNCTION("""COMPUTED_VALUE"""),97.0)</f>
        <v>97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 t="str">
        <f>IFERROR(__xludf.DUMMYFUNCTION("""COMPUTED_VALUE"""),"C")</f>
        <v>C</v>
      </c>
      <c r="E713" s="1" t="str">
        <f>IFERROR(__xludf.DUMMYFUNCTION("""COMPUTED_VALUE"""),"Female")</f>
        <v>Female</v>
      </c>
      <c r="F713" s="1">
        <f>IFERROR(__xludf.DUMMYFUNCTION("""COMPUTED_VALUE"""),63.0)</f>
        <v>63</v>
      </c>
      <c r="G713" s="1">
        <f>IFERROR(__xludf.DUMMYFUNCTION("""COMPUTED_VALUE"""),75.0)</f>
        <v>75</v>
      </c>
      <c r="H713" s="1">
        <f>IFERROR(__xludf.DUMMYFUNCTION("""COMPUTED_VALUE"""),86.0)</f>
        <v>86</v>
      </c>
      <c r="I713" s="1">
        <f>IFERROR(__xludf.DUMMYFUNCTION("""COMPUTED_VALUE"""),58.0)</f>
        <v>58</v>
      </c>
      <c r="J713" s="1">
        <f>IFERROR(__xludf.DUMMYFUNCTION("""COMPUTED_VALUE"""),52.0)</f>
        <v>52</v>
      </c>
      <c r="K713" s="1">
        <f>IFERROR(__xludf.DUMMYFUNCTION("""COMPUTED_VALUE"""),90.0)</f>
        <v>90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 t="str">
        <f>IFERROR(__xludf.DUMMYFUNCTION("""COMPUTED_VALUE"""),"D")</f>
        <v>D</v>
      </c>
      <c r="E714" s="1" t="str">
        <f>IFERROR(__xludf.DUMMYFUNCTION("""COMPUTED_VALUE"""),"Female")</f>
        <v>Female</v>
      </c>
      <c r="F714" s="1">
        <f>IFERROR(__xludf.DUMMYFUNCTION("""COMPUTED_VALUE"""),74.0)</f>
        <v>74</v>
      </c>
      <c r="G714" s="1">
        <f>IFERROR(__xludf.DUMMYFUNCTION("""COMPUTED_VALUE"""),58.0)</f>
        <v>58</v>
      </c>
      <c r="H714" s="1">
        <f>IFERROR(__xludf.DUMMYFUNCTION("""COMPUTED_VALUE"""),94.0)</f>
        <v>94</v>
      </c>
      <c r="I714" s="1">
        <f>IFERROR(__xludf.DUMMYFUNCTION("""COMPUTED_VALUE"""),33.0)</f>
        <v>33</v>
      </c>
      <c r="J714" s="1">
        <f>IFERROR(__xludf.DUMMYFUNCTION("""COMPUTED_VALUE"""),57.0)</f>
        <v>57</v>
      </c>
      <c r="K714" s="1">
        <f>IFERROR(__xludf.DUMMYFUNCTION("""COMPUTED_VALUE"""),83.0)</f>
        <v>83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 t="str">
        <f>IFERROR(__xludf.DUMMYFUNCTION("""COMPUTED_VALUE"""),"C")</f>
        <v>C</v>
      </c>
      <c r="E715" s="1" t="str">
        <f>IFERROR(__xludf.DUMMYFUNCTION("""COMPUTED_VALUE"""),"Male")</f>
        <v>Male</v>
      </c>
      <c r="F715" s="1">
        <f>IFERROR(__xludf.DUMMYFUNCTION("""COMPUTED_VALUE"""),68.0)</f>
        <v>68</v>
      </c>
      <c r="G715" s="1">
        <f>IFERROR(__xludf.DUMMYFUNCTION("""COMPUTED_VALUE"""),77.0)</f>
        <v>77</v>
      </c>
      <c r="H715" s="1">
        <f>IFERROR(__xludf.DUMMYFUNCTION("""COMPUTED_VALUE"""),29.0)</f>
        <v>29</v>
      </c>
      <c r="I715" s="1">
        <f>IFERROR(__xludf.DUMMYFUNCTION("""COMPUTED_VALUE"""),61.0)</f>
        <v>61</v>
      </c>
      <c r="J715" s="1">
        <f>IFERROR(__xludf.DUMMYFUNCTION("""COMPUTED_VALUE"""),98.0)</f>
        <v>98</v>
      </c>
      <c r="K715" s="1">
        <f>IFERROR(__xludf.DUMMYFUNCTION("""COMPUTED_VALUE"""),49.0)</f>
        <v>49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 t="str">
        <f>IFERROR(__xludf.DUMMYFUNCTION("""COMPUTED_VALUE"""),"C")</f>
        <v>C</v>
      </c>
      <c r="E716" s="1" t="str">
        <f>IFERROR(__xludf.DUMMYFUNCTION("""COMPUTED_VALUE"""),"Male")</f>
        <v>Male</v>
      </c>
      <c r="F716" s="1">
        <f>IFERROR(__xludf.DUMMYFUNCTION("""COMPUTED_VALUE"""),36.0)</f>
        <v>36</v>
      </c>
      <c r="G716" s="1">
        <f>IFERROR(__xludf.DUMMYFUNCTION("""COMPUTED_VALUE"""),24.0)</f>
        <v>24</v>
      </c>
      <c r="H716" s="1">
        <f>IFERROR(__xludf.DUMMYFUNCTION("""COMPUTED_VALUE"""),22.0)</f>
        <v>22</v>
      </c>
      <c r="I716" s="1">
        <f>IFERROR(__xludf.DUMMYFUNCTION("""COMPUTED_VALUE"""),29.0)</f>
        <v>29</v>
      </c>
      <c r="J716" s="1">
        <f>IFERROR(__xludf.DUMMYFUNCTION("""COMPUTED_VALUE"""),39.0)</f>
        <v>39</v>
      </c>
      <c r="K716" s="1">
        <f>IFERROR(__xludf.DUMMYFUNCTION("""COMPUTED_VALUE"""),39.0)</f>
        <v>39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 t="str">
        <f>IFERROR(__xludf.DUMMYFUNCTION("""COMPUTED_VALUE"""),"C")</f>
        <v>C</v>
      </c>
      <c r="E717" s="1" t="str">
        <f>IFERROR(__xludf.DUMMYFUNCTION("""COMPUTED_VALUE"""),"Female")</f>
        <v>Female</v>
      </c>
      <c r="F717" s="1">
        <f>IFERROR(__xludf.DUMMYFUNCTION("""COMPUTED_VALUE"""),99.0)</f>
        <v>99</v>
      </c>
      <c r="G717" s="1">
        <f>IFERROR(__xludf.DUMMYFUNCTION("""COMPUTED_VALUE"""),66.0)</f>
        <v>66</v>
      </c>
      <c r="H717" s="1">
        <f>IFERROR(__xludf.DUMMYFUNCTION("""COMPUTED_VALUE"""),51.0)</f>
        <v>51</v>
      </c>
      <c r="I717" s="1">
        <f>IFERROR(__xludf.DUMMYFUNCTION("""COMPUTED_VALUE"""),29.0)</f>
        <v>29</v>
      </c>
      <c r="J717" s="1">
        <f>IFERROR(__xludf.DUMMYFUNCTION("""COMPUTED_VALUE"""),52.0)</f>
        <v>52</v>
      </c>
      <c r="K717" s="1">
        <f>IFERROR(__xludf.DUMMYFUNCTION("""COMPUTED_VALUE"""),95.0)</f>
        <v>95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 t="str">
        <f>IFERROR(__xludf.DUMMYFUNCTION("""COMPUTED_VALUE"""),"D")</f>
        <v>D</v>
      </c>
      <c r="E718" s="1" t="str">
        <f>IFERROR(__xludf.DUMMYFUNCTION("""COMPUTED_VALUE"""),"Male")</f>
        <v>Male</v>
      </c>
      <c r="F718" s="1">
        <f>IFERROR(__xludf.DUMMYFUNCTION("""COMPUTED_VALUE"""),87.0)</f>
        <v>87</v>
      </c>
      <c r="G718" s="1">
        <f>IFERROR(__xludf.DUMMYFUNCTION("""COMPUTED_VALUE"""),66.0)</f>
        <v>66</v>
      </c>
      <c r="H718" s="1">
        <f>IFERROR(__xludf.DUMMYFUNCTION("""COMPUTED_VALUE"""),42.0)</f>
        <v>42</v>
      </c>
      <c r="I718" s="1">
        <f>IFERROR(__xludf.DUMMYFUNCTION("""COMPUTED_VALUE"""),28.0)</f>
        <v>28</v>
      </c>
      <c r="J718" s="1">
        <f>IFERROR(__xludf.DUMMYFUNCTION("""COMPUTED_VALUE"""),85.0)</f>
        <v>85</v>
      </c>
      <c r="K718" s="1">
        <f>IFERROR(__xludf.DUMMYFUNCTION("""COMPUTED_VALUE"""),98.0)</f>
        <v>98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 t="str">
        <f>IFERROR(__xludf.DUMMYFUNCTION("""COMPUTED_VALUE"""),"B")</f>
        <v>B</v>
      </c>
      <c r="E719" s="1" t="str">
        <f>IFERROR(__xludf.DUMMYFUNCTION("""COMPUTED_VALUE"""),"Male")</f>
        <v>Male</v>
      </c>
      <c r="F719" s="1">
        <f>IFERROR(__xludf.DUMMYFUNCTION("""COMPUTED_VALUE"""),28.0)</f>
        <v>28</v>
      </c>
      <c r="G719" s="1">
        <f>IFERROR(__xludf.DUMMYFUNCTION("""COMPUTED_VALUE"""),22.0)</f>
        <v>22</v>
      </c>
      <c r="H719" s="1">
        <f>IFERROR(__xludf.DUMMYFUNCTION("""COMPUTED_VALUE"""),52.0)</f>
        <v>52</v>
      </c>
      <c r="I719" s="1">
        <f>IFERROR(__xludf.DUMMYFUNCTION("""COMPUTED_VALUE"""),35.0)</f>
        <v>35</v>
      </c>
      <c r="J719" s="1">
        <f>IFERROR(__xludf.DUMMYFUNCTION("""COMPUTED_VALUE"""),79.0)</f>
        <v>79</v>
      </c>
      <c r="K719" s="1">
        <f>IFERROR(__xludf.DUMMYFUNCTION("""COMPUTED_VALUE"""),50.0)</f>
        <v>50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 t="str">
        <f>IFERROR(__xludf.DUMMYFUNCTION("""COMPUTED_VALUE"""),"D")</f>
        <v>D</v>
      </c>
      <c r="E720" s="1" t="str">
        <f>IFERROR(__xludf.DUMMYFUNCTION("""COMPUTED_VALUE"""),"Female")</f>
        <v>Female</v>
      </c>
      <c r="F720" s="1">
        <f>IFERROR(__xludf.DUMMYFUNCTION("""COMPUTED_VALUE"""),54.0)</f>
        <v>54</v>
      </c>
      <c r="G720" s="1">
        <f>IFERROR(__xludf.DUMMYFUNCTION("""COMPUTED_VALUE"""),38.0)</f>
        <v>38</v>
      </c>
      <c r="H720" s="1">
        <f>IFERROR(__xludf.DUMMYFUNCTION("""COMPUTED_VALUE"""),92.0)</f>
        <v>92</v>
      </c>
      <c r="I720" s="1">
        <f>IFERROR(__xludf.DUMMYFUNCTION("""COMPUTED_VALUE"""),95.0)</f>
        <v>95</v>
      </c>
      <c r="J720" s="1">
        <f>IFERROR(__xludf.DUMMYFUNCTION("""COMPUTED_VALUE"""),89.0)</f>
        <v>89</v>
      </c>
      <c r="K720" s="1">
        <f>IFERROR(__xludf.DUMMYFUNCTION("""COMPUTED_VALUE"""),54.0)</f>
        <v>54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 t="str">
        <f>IFERROR(__xludf.DUMMYFUNCTION("""COMPUTED_VALUE"""),"B")</f>
        <v>B</v>
      </c>
      <c r="E721" s="1" t="str">
        <f>IFERROR(__xludf.DUMMYFUNCTION("""COMPUTED_VALUE"""),"Male")</f>
        <v>Male</v>
      </c>
      <c r="F721" s="1">
        <f>IFERROR(__xludf.DUMMYFUNCTION("""COMPUTED_VALUE"""),37.0)</f>
        <v>37</v>
      </c>
      <c r="G721" s="1">
        <f>IFERROR(__xludf.DUMMYFUNCTION("""COMPUTED_VALUE"""),80.0)</f>
        <v>80</v>
      </c>
      <c r="H721" s="1">
        <f>IFERROR(__xludf.DUMMYFUNCTION("""COMPUTED_VALUE"""),58.0)</f>
        <v>58</v>
      </c>
      <c r="I721" s="1">
        <f>IFERROR(__xludf.DUMMYFUNCTION("""COMPUTED_VALUE"""),58.0)</f>
        <v>58</v>
      </c>
      <c r="J721" s="1">
        <f>IFERROR(__xludf.DUMMYFUNCTION("""COMPUTED_VALUE"""),92.0)</f>
        <v>92</v>
      </c>
      <c r="K721" s="1">
        <f>IFERROR(__xludf.DUMMYFUNCTION("""COMPUTED_VALUE"""),90.0)</f>
        <v>90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 t="str">
        <f>IFERROR(__xludf.DUMMYFUNCTION("""COMPUTED_VALUE"""),"B")</f>
        <v>B</v>
      </c>
      <c r="E722" s="1" t="str">
        <f>IFERROR(__xludf.DUMMYFUNCTION("""COMPUTED_VALUE"""),"Female")</f>
        <v>Female</v>
      </c>
      <c r="F722" s="1">
        <f>IFERROR(__xludf.DUMMYFUNCTION("""COMPUTED_VALUE"""),42.0)</f>
        <v>42</v>
      </c>
      <c r="G722" s="1">
        <f>IFERROR(__xludf.DUMMYFUNCTION("""COMPUTED_VALUE"""),62.0)</f>
        <v>62</v>
      </c>
      <c r="H722" s="1">
        <f>IFERROR(__xludf.DUMMYFUNCTION("""COMPUTED_VALUE"""),91.0)</f>
        <v>91</v>
      </c>
      <c r="I722" s="1">
        <f>IFERROR(__xludf.DUMMYFUNCTION("""COMPUTED_VALUE"""),96.0)</f>
        <v>96</v>
      </c>
      <c r="J722" s="1">
        <f>IFERROR(__xludf.DUMMYFUNCTION("""COMPUTED_VALUE"""),88.0)</f>
        <v>88</v>
      </c>
      <c r="K722" s="1">
        <f>IFERROR(__xludf.DUMMYFUNCTION("""COMPUTED_VALUE"""),41.0)</f>
        <v>41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 t="str">
        <f>IFERROR(__xludf.DUMMYFUNCTION("""COMPUTED_VALUE"""),"C")</f>
        <v>C</v>
      </c>
      <c r="E723" s="1" t="str">
        <f>IFERROR(__xludf.DUMMYFUNCTION("""COMPUTED_VALUE"""),"Female")</f>
        <v>Female</v>
      </c>
      <c r="F723" s="1">
        <f>IFERROR(__xludf.DUMMYFUNCTION("""COMPUTED_VALUE"""),95.0)</f>
        <v>95</v>
      </c>
      <c r="G723" s="1">
        <f>IFERROR(__xludf.DUMMYFUNCTION("""COMPUTED_VALUE"""),75.0)</f>
        <v>75</v>
      </c>
      <c r="H723" s="1">
        <f>IFERROR(__xludf.DUMMYFUNCTION("""COMPUTED_VALUE"""),50.0)</f>
        <v>50</v>
      </c>
      <c r="I723" s="1">
        <f>IFERROR(__xludf.DUMMYFUNCTION("""COMPUTED_VALUE"""),76.0)</f>
        <v>76</v>
      </c>
      <c r="J723" s="1">
        <f>IFERROR(__xludf.DUMMYFUNCTION("""COMPUTED_VALUE"""),40.0)</f>
        <v>40</v>
      </c>
      <c r="K723" s="1">
        <f>IFERROR(__xludf.DUMMYFUNCTION("""COMPUTED_VALUE"""),52.0)</f>
        <v>52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 t="str">
        <f>IFERROR(__xludf.DUMMYFUNCTION("""COMPUTED_VALUE"""),"D")</f>
        <v>D</v>
      </c>
      <c r="E724" s="1" t="str">
        <f>IFERROR(__xludf.DUMMYFUNCTION("""COMPUTED_VALUE"""),"Male")</f>
        <v>Male</v>
      </c>
      <c r="F724" s="1">
        <f>IFERROR(__xludf.DUMMYFUNCTION("""COMPUTED_VALUE"""),69.0)</f>
        <v>69</v>
      </c>
      <c r="G724" s="1">
        <f>IFERROR(__xludf.DUMMYFUNCTION("""COMPUTED_VALUE"""),28.0)</f>
        <v>28</v>
      </c>
      <c r="H724" s="1">
        <f>IFERROR(__xludf.DUMMYFUNCTION("""COMPUTED_VALUE"""),47.0)</f>
        <v>47</v>
      </c>
      <c r="I724" s="1">
        <f>IFERROR(__xludf.DUMMYFUNCTION("""COMPUTED_VALUE"""),99.0)</f>
        <v>99</v>
      </c>
      <c r="J724" s="1">
        <f>IFERROR(__xludf.DUMMYFUNCTION("""COMPUTED_VALUE"""),74.0)</f>
        <v>74</v>
      </c>
      <c r="K724" s="1">
        <f>IFERROR(__xludf.DUMMYFUNCTION("""COMPUTED_VALUE"""),25.0)</f>
        <v>25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 t="str">
        <f>IFERROR(__xludf.DUMMYFUNCTION("""COMPUTED_VALUE"""),"D")</f>
        <v>D</v>
      </c>
      <c r="E725" s="1" t="str">
        <f>IFERROR(__xludf.DUMMYFUNCTION("""COMPUTED_VALUE"""),"Female")</f>
        <v>Female</v>
      </c>
      <c r="F725" s="1">
        <f>IFERROR(__xludf.DUMMYFUNCTION("""COMPUTED_VALUE"""),88.0)</f>
        <v>88</v>
      </c>
      <c r="G725" s="1">
        <f>IFERROR(__xludf.DUMMYFUNCTION("""COMPUTED_VALUE"""),62.0)</f>
        <v>62</v>
      </c>
      <c r="H725" s="1">
        <f>IFERROR(__xludf.DUMMYFUNCTION("""COMPUTED_VALUE"""),79.0)</f>
        <v>79</v>
      </c>
      <c r="I725" s="1">
        <f>IFERROR(__xludf.DUMMYFUNCTION("""COMPUTED_VALUE"""),97.0)</f>
        <v>97</v>
      </c>
      <c r="J725" s="1">
        <f>IFERROR(__xludf.DUMMYFUNCTION("""COMPUTED_VALUE"""),55.0)</f>
        <v>55</v>
      </c>
      <c r="K725" s="1">
        <f>IFERROR(__xludf.DUMMYFUNCTION("""COMPUTED_VALUE"""),74.0)</f>
        <v>74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 t="str">
        <f>IFERROR(__xludf.DUMMYFUNCTION("""COMPUTED_VALUE"""),"C")</f>
        <v>C</v>
      </c>
      <c r="E726" s="1" t="str">
        <f>IFERROR(__xludf.DUMMYFUNCTION("""COMPUTED_VALUE"""),"Female")</f>
        <v>Female</v>
      </c>
      <c r="F726" s="1">
        <f>IFERROR(__xludf.DUMMYFUNCTION("""COMPUTED_VALUE"""),31.0)</f>
        <v>31</v>
      </c>
      <c r="G726" s="1">
        <f>IFERROR(__xludf.DUMMYFUNCTION("""COMPUTED_VALUE"""),40.0)</f>
        <v>40</v>
      </c>
      <c r="H726" s="1">
        <f>IFERROR(__xludf.DUMMYFUNCTION("""COMPUTED_VALUE"""),90.0)</f>
        <v>90</v>
      </c>
      <c r="I726" s="1">
        <f>IFERROR(__xludf.DUMMYFUNCTION("""COMPUTED_VALUE"""),38.0)</f>
        <v>38</v>
      </c>
      <c r="J726" s="1">
        <f>IFERROR(__xludf.DUMMYFUNCTION("""COMPUTED_VALUE"""),36.0)</f>
        <v>36</v>
      </c>
      <c r="K726" s="1">
        <f>IFERROR(__xludf.DUMMYFUNCTION("""COMPUTED_VALUE"""),70.0)</f>
        <v>70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 t="str">
        <f>IFERROR(__xludf.DUMMYFUNCTION("""COMPUTED_VALUE"""),"C")</f>
        <v>C</v>
      </c>
      <c r="E727" s="1" t="str">
        <f>IFERROR(__xludf.DUMMYFUNCTION("""COMPUTED_VALUE"""),"Male")</f>
        <v>Male</v>
      </c>
      <c r="F727" s="1">
        <f>IFERROR(__xludf.DUMMYFUNCTION("""COMPUTED_VALUE"""),23.0)</f>
        <v>23</v>
      </c>
      <c r="G727" s="1">
        <f>IFERROR(__xludf.DUMMYFUNCTION("""COMPUTED_VALUE"""),39.0)</f>
        <v>39</v>
      </c>
      <c r="H727" s="1">
        <f>IFERROR(__xludf.DUMMYFUNCTION("""COMPUTED_VALUE"""),97.0)</f>
        <v>97</v>
      </c>
      <c r="I727" s="1">
        <f>IFERROR(__xludf.DUMMYFUNCTION("""COMPUTED_VALUE"""),87.0)</f>
        <v>87</v>
      </c>
      <c r="J727" s="1">
        <f>IFERROR(__xludf.DUMMYFUNCTION("""COMPUTED_VALUE"""),53.0)</f>
        <v>53</v>
      </c>
      <c r="K727" s="1">
        <f>IFERROR(__xludf.DUMMYFUNCTION("""COMPUTED_VALUE"""),89.0)</f>
        <v>89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 t="str">
        <f>IFERROR(__xludf.DUMMYFUNCTION("""COMPUTED_VALUE"""),"D")</f>
        <v>D</v>
      </c>
      <c r="E728" s="1" t="str">
        <f>IFERROR(__xludf.DUMMYFUNCTION("""COMPUTED_VALUE"""),"Male")</f>
        <v>Male</v>
      </c>
      <c r="F728" s="1">
        <f>IFERROR(__xludf.DUMMYFUNCTION("""COMPUTED_VALUE"""),95.0)</f>
        <v>95</v>
      </c>
      <c r="G728" s="1">
        <f>IFERROR(__xludf.DUMMYFUNCTION("""COMPUTED_VALUE"""),21.0)</f>
        <v>21</v>
      </c>
      <c r="H728" s="1">
        <f>IFERROR(__xludf.DUMMYFUNCTION("""COMPUTED_VALUE"""),29.0)</f>
        <v>29</v>
      </c>
      <c r="I728" s="1">
        <f>IFERROR(__xludf.DUMMYFUNCTION("""COMPUTED_VALUE"""),29.0)</f>
        <v>29</v>
      </c>
      <c r="J728" s="1">
        <f>IFERROR(__xludf.DUMMYFUNCTION("""COMPUTED_VALUE"""),50.0)</f>
        <v>50</v>
      </c>
      <c r="K728" s="1">
        <f>IFERROR(__xludf.DUMMYFUNCTION("""COMPUTED_VALUE"""),54.0)</f>
        <v>54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 t="str">
        <f>IFERROR(__xludf.DUMMYFUNCTION("""COMPUTED_VALUE"""),"B")</f>
        <v>B</v>
      </c>
      <c r="E729" s="1" t="str">
        <f>IFERROR(__xludf.DUMMYFUNCTION("""COMPUTED_VALUE"""),"Male")</f>
        <v>Male</v>
      </c>
      <c r="F729" s="1">
        <f>IFERROR(__xludf.DUMMYFUNCTION("""COMPUTED_VALUE"""),88.0)</f>
        <v>88</v>
      </c>
      <c r="G729" s="1">
        <f>IFERROR(__xludf.DUMMYFUNCTION("""COMPUTED_VALUE"""),57.0)</f>
        <v>57</v>
      </c>
      <c r="H729" s="1">
        <f>IFERROR(__xludf.DUMMYFUNCTION("""COMPUTED_VALUE"""),62.0)</f>
        <v>62</v>
      </c>
      <c r="I729" s="1">
        <f>IFERROR(__xludf.DUMMYFUNCTION("""COMPUTED_VALUE"""),74.0)</f>
        <v>74</v>
      </c>
      <c r="J729" s="1">
        <f>IFERROR(__xludf.DUMMYFUNCTION("""COMPUTED_VALUE"""),44.0)</f>
        <v>44</v>
      </c>
      <c r="K729" s="1">
        <f>IFERROR(__xludf.DUMMYFUNCTION("""COMPUTED_VALUE"""),24.0)</f>
        <v>24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 t="str">
        <f>IFERROR(__xludf.DUMMYFUNCTION("""COMPUTED_VALUE"""),"A")</f>
        <v>A</v>
      </c>
      <c r="E730" s="1" t="str">
        <f>IFERROR(__xludf.DUMMYFUNCTION("""COMPUTED_VALUE"""),"Male")</f>
        <v>Male</v>
      </c>
      <c r="F730" s="1">
        <f>IFERROR(__xludf.DUMMYFUNCTION("""COMPUTED_VALUE"""),94.0)</f>
        <v>94</v>
      </c>
      <c r="G730" s="1">
        <f>IFERROR(__xludf.DUMMYFUNCTION("""COMPUTED_VALUE"""),60.0)</f>
        <v>60</v>
      </c>
      <c r="H730" s="1">
        <f>IFERROR(__xludf.DUMMYFUNCTION("""COMPUTED_VALUE"""),54.0)</f>
        <v>54</v>
      </c>
      <c r="I730" s="1">
        <f>IFERROR(__xludf.DUMMYFUNCTION("""COMPUTED_VALUE"""),81.0)</f>
        <v>81</v>
      </c>
      <c r="J730" s="1">
        <f>IFERROR(__xludf.DUMMYFUNCTION("""COMPUTED_VALUE"""),25.0)</f>
        <v>25</v>
      </c>
      <c r="K730" s="1">
        <f>IFERROR(__xludf.DUMMYFUNCTION("""COMPUTED_VALUE"""),84.0)</f>
        <v>84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 t="str">
        <f>IFERROR(__xludf.DUMMYFUNCTION("""COMPUTED_VALUE"""),"A")</f>
        <v>A</v>
      </c>
      <c r="E731" s="1" t="str">
        <f>IFERROR(__xludf.DUMMYFUNCTION("""COMPUTED_VALUE"""),"Male")</f>
        <v>Male</v>
      </c>
      <c r="F731" s="1">
        <f>IFERROR(__xludf.DUMMYFUNCTION("""COMPUTED_VALUE"""),62.0)</f>
        <v>62</v>
      </c>
      <c r="G731" s="1">
        <f>IFERROR(__xludf.DUMMYFUNCTION("""COMPUTED_VALUE"""),53.0)</f>
        <v>53</v>
      </c>
      <c r="H731" s="1">
        <f>IFERROR(__xludf.DUMMYFUNCTION("""COMPUTED_VALUE"""),40.0)</f>
        <v>40</v>
      </c>
      <c r="I731" s="1">
        <f>IFERROR(__xludf.DUMMYFUNCTION("""COMPUTED_VALUE"""),47.0)</f>
        <v>47</v>
      </c>
      <c r="J731" s="1">
        <f>IFERROR(__xludf.DUMMYFUNCTION("""COMPUTED_VALUE"""),66.0)</f>
        <v>66</v>
      </c>
      <c r="K731" s="1">
        <f>IFERROR(__xludf.DUMMYFUNCTION("""COMPUTED_VALUE"""),45.0)</f>
        <v>45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 t="str">
        <f>IFERROR(__xludf.DUMMYFUNCTION("""COMPUTED_VALUE"""),"A")</f>
        <v>A</v>
      </c>
      <c r="E732" s="1" t="str">
        <f>IFERROR(__xludf.DUMMYFUNCTION("""COMPUTED_VALUE"""),"Male")</f>
        <v>Male</v>
      </c>
      <c r="F732" s="1">
        <f>IFERROR(__xludf.DUMMYFUNCTION("""COMPUTED_VALUE"""),12.0)</f>
        <v>12</v>
      </c>
      <c r="G732" s="1">
        <f>IFERROR(__xludf.DUMMYFUNCTION("""COMPUTED_VALUE"""),61.0)</f>
        <v>61</v>
      </c>
      <c r="H732" s="1">
        <f>IFERROR(__xludf.DUMMYFUNCTION("""COMPUTED_VALUE"""),26.0)</f>
        <v>26</v>
      </c>
      <c r="I732" s="1">
        <f>IFERROR(__xludf.DUMMYFUNCTION("""COMPUTED_VALUE"""),30.0)</f>
        <v>30</v>
      </c>
      <c r="J732" s="1">
        <f>IFERROR(__xludf.DUMMYFUNCTION("""COMPUTED_VALUE"""),97.0)</f>
        <v>97</v>
      </c>
      <c r="K732" s="1">
        <f>IFERROR(__xludf.DUMMYFUNCTION("""COMPUTED_VALUE"""),97.0)</f>
        <v>97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 t="str">
        <f>IFERROR(__xludf.DUMMYFUNCTION("""COMPUTED_VALUE"""),"B")</f>
        <v>B</v>
      </c>
      <c r="E733" s="1" t="str">
        <f>IFERROR(__xludf.DUMMYFUNCTION("""COMPUTED_VALUE"""),"Male")</f>
        <v>Male</v>
      </c>
      <c r="F733" s="1">
        <f>IFERROR(__xludf.DUMMYFUNCTION("""COMPUTED_VALUE"""),25.0)</f>
        <v>25</v>
      </c>
      <c r="G733" s="1">
        <f>IFERROR(__xludf.DUMMYFUNCTION("""COMPUTED_VALUE"""),82.0)</f>
        <v>82</v>
      </c>
      <c r="H733" s="1">
        <f>IFERROR(__xludf.DUMMYFUNCTION("""COMPUTED_VALUE"""),96.0)</f>
        <v>96</v>
      </c>
      <c r="I733" s="1">
        <f>IFERROR(__xludf.DUMMYFUNCTION("""COMPUTED_VALUE"""),75.0)</f>
        <v>75</v>
      </c>
      <c r="J733" s="1">
        <f>IFERROR(__xludf.DUMMYFUNCTION("""COMPUTED_VALUE"""),76.0)</f>
        <v>76</v>
      </c>
      <c r="K733" s="1">
        <f>IFERROR(__xludf.DUMMYFUNCTION("""COMPUTED_VALUE"""),86.0)</f>
        <v>86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 t="str">
        <f>IFERROR(__xludf.DUMMYFUNCTION("""COMPUTED_VALUE"""),"C")</f>
        <v>C</v>
      </c>
      <c r="E734" s="1" t="str">
        <f>IFERROR(__xludf.DUMMYFUNCTION("""COMPUTED_VALUE"""),"Male")</f>
        <v>Male</v>
      </c>
      <c r="F734" s="1">
        <f>IFERROR(__xludf.DUMMYFUNCTION("""COMPUTED_VALUE"""),18.0)</f>
        <v>18</v>
      </c>
      <c r="G734" s="1">
        <f>IFERROR(__xludf.DUMMYFUNCTION("""COMPUTED_VALUE"""),36.0)</f>
        <v>36</v>
      </c>
      <c r="H734" s="1">
        <f>IFERROR(__xludf.DUMMYFUNCTION("""COMPUTED_VALUE"""),69.0)</f>
        <v>69</v>
      </c>
      <c r="I734" s="1">
        <f>IFERROR(__xludf.DUMMYFUNCTION("""COMPUTED_VALUE"""),51.0)</f>
        <v>51</v>
      </c>
      <c r="J734" s="1">
        <f>IFERROR(__xludf.DUMMYFUNCTION("""COMPUTED_VALUE"""),69.0)</f>
        <v>69</v>
      </c>
      <c r="K734" s="1">
        <f>IFERROR(__xludf.DUMMYFUNCTION("""COMPUTED_VALUE"""),53.0)</f>
        <v>53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 t="str">
        <f>IFERROR(__xludf.DUMMYFUNCTION("""COMPUTED_VALUE"""),"D")</f>
        <v>D</v>
      </c>
      <c r="E735" s="1" t="str">
        <f>IFERROR(__xludf.DUMMYFUNCTION("""COMPUTED_VALUE"""),"Male")</f>
        <v>Male</v>
      </c>
      <c r="F735" s="1">
        <f>IFERROR(__xludf.DUMMYFUNCTION("""COMPUTED_VALUE"""),39.0)</f>
        <v>39</v>
      </c>
      <c r="G735" s="1">
        <f>IFERROR(__xludf.DUMMYFUNCTION("""COMPUTED_VALUE"""),36.0)</f>
        <v>36</v>
      </c>
      <c r="H735" s="1">
        <f>IFERROR(__xludf.DUMMYFUNCTION("""COMPUTED_VALUE"""),22.0)</f>
        <v>22</v>
      </c>
      <c r="I735" s="1">
        <f>IFERROR(__xludf.DUMMYFUNCTION("""COMPUTED_VALUE"""),36.0)</f>
        <v>36</v>
      </c>
      <c r="J735" s="1">
        <f>IFERROR(__xludf.DUMMYFUNCTION("""COMPUTED_VALUE"""),27.0)</f>
        <v>27</v>
      </c>
      <c r="K735" s="1">
        <f>IFERROR(__xludf.DUMMYFUNCTION("""COMPUTED_VALUE"""),76.0)</f>
        <v>76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 t="str">
        <f>IFERROR(__xludf.DUMMYFUNCTION("""COMPUTED_VALUE"""),"B")</f>
        <v>B</v>
      </c>
      <c r="E736" s="1" t="str">
        <f>IFERROR(__xludf.DUMMYFUNCTION("""COMPUTED_VALUE"""),"Female")</f>
        <v>Female</v>
      </c>
      <c r="F736" s="1">
        <f>IFERROR(__xludf.DUMMYFUNCTION("""COMPUTED_VALUE"""),58.0)</f>
        <v>58</v>
      </c>
      <c r="G736" s="1">
        <f>IFERROR(__xludf.DUMMYFUNCTION("""COMPUTED_VALUE"""),74.0)</f>
        <v>74</v>
      </c>
      <c r="H736" s="1">
        <f>IFERROR(__xludf.DUMMYFUNCTION("""COMPUTED_VALUE"""),73.0)</f>
        <v>73</v>
      </c>
      <c r="I736" s="1">
        <f>IFERROR(__xludf.DUMMYFUNCTION("""COMPUTED_VALUE"""),71.0)</f>
        <v>71</v>
      </c>
      <c r="J736" s="1">
        <f>IFERROR(__xludf.DUMMYFUNCTION("""COMPUTED_VALUE"""),65.0)</f>
        <v>65</v>
      </c>
      <c r="K736" s="1">
        <f>IFERROR(__xludf.DUMMYFUNCTION("""COMPUTED_VALUE"""),71.0)</f>
        <v>71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 t="str">
        <f>IFERROR(__xludf.DUMMYFUNCTION("""COMPUTED_VALUE"""),"B")</f>
        <v>B</v>
      </c>
      <c r="E737" s="1" t="str">
        <f>IFERROR(__xludf.DUMMYFUNCTION("""COMPUTED_VALUE"""),"Male")</f>
        <v>Male</v>
      </c>
      <c r="F737" s="1">
        <f>IFERROR(__xludf.DUMMYFUNCTION("""COMPUTED_VALUE"""),12.0)</f>
        <v>12</v>
      </c>
      <c r="G737" s="1">
        <f>IFERROR(__xludf.DUMMYFUNCTION("""COMPUTED_VALUE"""),80.0)</f>
        <v>80</v>
      </c>
      <c r="H737" s="1">
        <f>IFERROR(__xludf.DUMMYFUNCTION("""COMPUTED_VALUE"""),70.0)</f>
        <v>70</v>
      </c>
      <c r="I737" s="1">
        <f>IFERROR(__xludf.DUMMYFUNCTION("""COMPUTED_VALUE"""),76.0)</f>
        <v>76</v>
      </c>
      <c r="J737" s="1">
        <f>IFERROR(__xludf.DUMMYFUNCTION("""COMPUTED_VALUE"""),47.0)</f>
        <v>47</v>
      </c>
      <c r="K737" s="1">
        <f>IFERROR(__xludf.DUMMYFUNCTION("""COMPUTED_VALUE"""),88.0)</f>
        <v>88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 t="str">
        <f>IFERROR(__xludf.DUMMYFUNCTION("""COMPUTED_VALUE"""),"A")</f>
        <v>A</v>
      </c>
      <c r="E738" s="1" t="str">
        <f>IFERROR(__xludf.DUMMYFUNCTION("""COMPUTED_VALUE"""),"Male")</f>
        <v>Male</v>
      </c>
      <c r="F738" s="1">
        <f>IFERROR(__xludf.DUMMYFUNCTION("""COMPUTED_VALUE"""),94.0)</f>
        <v>94</v>
      </c>
      <c r="G738" s="1">
        <f>IFERROR(__xludf.DUMMYFUNCTION("""COMPUTED_VALUE"""),99.0)</f>
        <v>99</v>
      </c>
      <c r="H738" s="1">
        <f>IFERROR(__xludf.DUMMYFUNCTION("""COMPUTED_VALUE"""),51.0)</f>
        <v>51</v>
      </c>
      <c r="I738" s="1">
        <f>IFERROR(__xludf.DUMMYFUNCTION("""COMPUTED_VALUE"""),40.0)</f>
        <v>40</v>
      </c>
      <c r="J738" s="1">
        <f>IFERROR(__xludf.DUMMYFUNCTION("""COMPUTED_VALUE"""),77.0)</f>
        <v>77</v>
      </c>
      <c r="K738" s="1">
        <f>IFERROR(__xludf.DUMMYFUNCTION("""COMPUTED_VALUE"""),42.0)</f>
        <v>42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 t="str">
        <f>IFERROR(__xludf.DUMMYFUNCTION("""COMPUTED_VALUE"""),"D")</f>
        <v>D</v>
      </c>
      <c r="E739" s="1" t="str">
        <f>IFERROR(__xludf.DUMMYFUNCTION("""COMPUTED_VALUE"""),"Female")</f>
        <v>Female</v>
      </c>
      <c r="F739" s="1">
        <f>IFERROR(__xludf.DUMMYFUNCTION("""COMPUTED_VALUE"""),60.0)</f>
        <v>60</v>
      </c>
      <c r="G739" s="1">
        <f>IFERROR(__xludf.DUMMYFUNCTION("""COMPUTED_VALUE"""),48.0)</f>
        <v>48</v>
      </c>
      <c r="H739" s="1">
        <f>IFERROR(__xludf.DUMMYFUNCTION("""COMPUTED_VALUE"""),71.0)</f>
        <v>71</v>
      </c>
      <c r="I739" s="1">
        <f>IFERROR(__xludf.DUMMYFUNCTION("""COMPUTED_VALUE"""),78.0)</f>
        <v>78</v>
      </c>
      <c r="J739" s="1">
        <f>IFERROR(__xludf.DUMMYFUNCTION("""COMPUTED_VALUE"""),89.0)</f>
        <v>89</v>
      </c>
      <c r="K739" s="1">
        <f>IFERROR(__xludf.DUMMYFUNCTION("""COMPUTED_VALUE"""),49.0)</f>
        <v>49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 t="str">
        <f>IFERROR(__xludf.DUMMYFUNCTION("""COMPUTED_VALUE"""),"D")</f>
        <v>D</v>
      </c>
      <c r="E740" s="1" t="str">
        <f>IFERROR(__xludf.DUMMYFUNCTION("""COMPUTED_VALUE"""),"Female")</f>
        <v>Female</v>
      </c>
      <c r="F740" s="1">
        <f>IFERROR(__xludf.DUMMYFUNCTION("""COMPUTED_VALUE"""),89.0)</f>
        <v>89</v>
      </c>
      <c r="G740" s="1">
        <f>IFERROR(__xludf.DUMMYFUNCTION("""COMPUTED_VALUE"""),33.0)</f>
        <v>33</v>
      </c>
      <c r="H740" s="1">
        <f>IFERROR(__xludf.DUMMYFUNCTION("""COMPUTED_VALUE"""),96.0)</f>
        <v>96</v>
      </c>
      <c r="I740" s="1">
        <f>IFERROR(__xludf.DUMMYFUNCTION("""COMPUTED_VALUE"""),36.0)</f>
        <v>36</v>
      </c>
      <c r="J740" s="1">
        <f>IFERROR(__xludf.DUMMYFUNCTION("""COMPUTED_VALUE"""),48.0)</f>
        <v>48</v>
      </c>
      <c r="K740" s="1">
        <f>IFERROR(__xludf.DUMMYFUNCTION("""COMPUTED_VALUE"""),78.0)</f>
        <v>78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 t="str">
        <f>IFERROR(__xludf.DUMMYFUNCTION("""COMPUTED_VALUE"""),"A")</f>
        <v>A</v>
      </c>
      <c r="E741" s="1" t="str">
        <f>IFERROR(__xludf.DUMMYFUNCTION("""COMPUTED_VALUE"""),"Male")</f>
        <v>Male</v>
      </c>
      <c r="F741" s="1">
        <f>IFERROR(__xludf.DUMMYFUNCTION("""COMPUTED_VALUE"""),41.0)</f>
        <v>41</v>
      </c>
      <c r="G741" s="1">
        <f>IFERROR(__xludf.DUMMYFUNCTION("""COMPUTED_VALUE"""),46.0)</f>
        <v>46</v>
      </c>
      <c r="H741" s="1">
        <f>IFERROR(__xludf.DUMMYFUNCTION("""COMPUTED_VALUE"""),82.0)</f>
        <v>82</v>
      </c>
      <c r="I741" s="1">
        <f>IFERROR(__xludf.DUMMYFUNCTION("""COMPUTED_VALUE"""),21.0)</f>
        <v>21</v>
      </c>
      <c r="J741" s="1">
        <f>IFERROR(__xludf.DUMMYFUNCTION("""COMPUTED_VALUE"""),35.0)</f>
        <v>35</v>
      </c>
      <c r="K741" s="1">
        <f>IFERROR(__xludf.DUMMYFUNCTION("""COMPUTED_VALUE"""),30.0)</f>
        <v>30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 t="str">
        <f>IFERROR(__xludf.DUMMYFUNCTION("""COMPUTED_VALUE"""),"C")</f>
        <v>C</v>
      </c>
      <c r="E742" s="1" t="str">
        <f>IFERROR(__xludf.DUMMYFUNCTION("""COMPUTED_VALUE"""),"Male")</f>
        <v>Male</v>
      </c>
      <c r="F742" s="1">
        <f>IFERROR(__xludf.DUMMYFUNCTION("""COMPUTED_VALUE"""),17.0)</f>
        <v>17</v>
      </c>
      <c r="G742" s="1">
        <f>IFERROR(__xludf.DUMMYFUNCTION("""COMPUTED_VALUE"""),34.0)</f>
        <v>34</v>
      </c>
      <c r="H742" s="1">
        <f>IFERROR(__xludf.DUMMYFUNCTION("""COMPUTED_VALUE"""),48.0)</f>
        <v>48</v>
      </c>
      <c r="I742" s="1">
        <f>IFERROR(__xludf.DUMMYFUNCTION("""COMPUTED_VALUE"""),48.0)</f>
        <v>48</v>
      </c>
      <c r="J742" s="1">
        <f>IFERROR(__xludf.DUMMYFUNCTION("""COMPUTED_VALUE"""),63.0)</f>
        <v>63</v>
      </c>
      <c r="K742" s="1">
        <f>IFERROR(__xludf.DUMMYFUNCTION("""COMPUTED_VALUE"""),27.0)</f>
        <v>27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 t="str">
        <f>IFERROR(__xludf.DUMMYFUNCTION("""COMPUTED_VALUE"""),"C")</f>
        <v>C</v>
      </c>
      <c r="E743" s="1" t="str">
        <f>IFERROR(__xludf.DUMMYFUNCTION("""COMPUTED_VALUE"""),"Female")</f>
        <v>Female</v>
      </c>
      <c r="F743" s="1">
        <f>IFERROR(__xludf.DUMMYFUNCTION("""COMPUTED_VALUE"""),49.0)</f>
        <v>49</v>
      </c>
      <c r="G743" s="1">
        <f>IFERROR(__xludf.DUMMYFUNCTION("""COMPUTED_VALUE"""),92.0)</f>
        <v>92</v>
      </c>
      <c r="H743" s="1">
        <f>IFERROR(__xludf.DUMMYFUNCTION("""COMPUTED_VALUE"""),26.0)</f>
        <v>26</v>
      </c>
      <c r="I743" s="1">
        <f>IFERROR(__xludf.DUMMYFUNCTION("""COMPUTED_VALUE"""),41.0)</f>
        <v>41</v>
      </c>
      <c r="J743" s="1">
        <f>IFERROR(__xludf.DUMMYFUNCTION("""COMPUTED_VALUE"""),37.0)</f>
        <v>37</v>
      </c>
      <c r="K743" s="1">
        <f>IFERROR(__xludf.DUMMYFUNCTION("""COMPUTED_VALUE"""),96.0)</f>
        <v>96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 t="str">
        <f>IFERROR(__xludf.DUMMYFUNCTION("""COMPUTED_VALUE"""),"A")</f>
        <v>A</v>
      </c>
      <c r="E744" s="1" t="str">
        <f>IFERROR(__xludf.DUMMYFUNCTION("""COMPUTED_VALUE"""),"Female")</f>
        <v>Female</v>
      </c>
      <c r="F744" s="1">
        <f>IFERROR(__xludf.DUMMYFUNCTION("""COMPUTED_VALUE"""),34.0)</f>
        <v>34</v>
      </c>
      <c r="G744" s="1">
        <f>IFERROR(__xludf.DUMMYFUNCTION("""COMPUTED_VALUE"""),62.0)</f>
        <v>62</v>
      </c>
      <c r="H744" s="1">
        <f>IFERROR(__xludf.DUMMYFUNCTION("""COMPUTED_VALUE"""),59.0)</f>
        <v>59</v>
      </c>
      <c r="I744" s="1">
        <f>IFERROR(__xludf.DUMMYFUNCTION("""COMPUTED_VALUE"""),43.0)</f>
        <v>43</v>
      </c>
      <c r="J744" s="1">
        <f>IFERROR(__xludf.DUMMYFUNCTION("""COMPUTED_VALUE"""),51.0)</f>
        <v>51</v>
      </c>
      <c r="K744" s="1">
        <f>IFERROR(__xludf.DUMMYFUNCTION("""COMPUTED_VALUE"""),69.0)</f>
        <v>69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 t="str">
        <f>IFERROR(__xludf.DUMMYFUNCTION("""COMPUTED_VALUE"""),"C")</f>
        <v>C</v>
      </c>
      <c r="E745" s="1" t="str">
        <f>IFERROR(__xludf.DUMMYFUNCTION("""COMPUTED_VALUE"""),"Female")</f>
        <v>Female</v>
      </c>
      <c r="F745" s="1">
        <f>IFERROR(__xludf.DUMMYFUNCTION("""COMPUTED_VALUE"""),57.0)</f>
        <v>57</v>
      </c>
      <c r="G745" s="1">
        <f>IFERROR(__xludf.DUMMYFUNCTION("""COMPUTED_VALUE"""),89.0)</f>
        <v>89</v>
      </c>
      <c r="H745" s="1">
        <f>IFERROR(__xludf.DUMMYFUNCTION("""COMPUTED_VALUE"""),30.0)</f>
        <v>30</v>
      </c>
      <c r="I745" s="1">
        <f>IFERROR(__xludf.DUMMYFUNCTION("""COMPUTED_VALUE"""),86.0)</f>
        <v>86</v>
      </c>
      <c r="J745" s="1">
        <f>IFERROR(__xludf.DUMMYFUNCTION("""COMPUTED_VALUE"""),90.0)</f>
        <v>90</v>
      </c>
      <c r="K745" s="1">
        <f>IFERROR(__xludf.DUMMYFUNCTION("""COMPUTED_VALUE"""),36.0)</f>
        <v>36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 t="str">
        <f>IFERROR(__xludf.DUMMYFUNCTION("""COMPUTED_VALUE"""),"C")</f>
        <v>C</v>
      </c>
      <c r="E746" s="1" t="str">
        <f>IFERROR(__xludf.DUMMYFUNCTION("""COMPUTED_VALUE"""),"Male")</f>
        <v>Male</v>
      </c>
      <c r="F746" s="1">
        <f>IFERROR(__xludf.DUMMYFUNCTION("""COMPUTED_VALUE"""),27.0)</f>
        <v>27</v>
      </c>
      <c r="G746" s="1">
        <f>IFERROR(__xludf.DUMMYFUNCTION("""COMPUTED_VALUE"""),36.0)</f>
        <v>36</v>
      </c>
      <c r="H746" s="1">
        <f>IFERROR(__xludf.DUMMYFUNCTION("""COMPUTED_VALUE"""),67.0)</f>
        <v>67</v>
      </c>
      <c r="I746" s="1">
        <f>IFERROR(__xludf.DUMMYFUNCTION("""COMPUTED_VALUE"""),65.0)</f>
        <v>65</v>
      </c>
      <c r="J746" s="1">
        <f>IFERROR(__xludf.DUMMYFUNCTION("""COMPUTED_VALUE"""),37.0)</f>
        <v>37</v>
      </c>
      <c r="K746" s="1">
        <f>IFERROR(__xludf.DUMMYFUNCTION("""COMPUTED_VALUE"""),87.0)</f>
        <v>87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 t="str">
        <f>IFERROR(__xludf.DUMMYFUNCTION("""COMPUTED_VALUE"""),"C")</f>
        <v>C</v>
      </c>
      <c r="E747" s="1" t="str">
        <f>IFERROR(__xludf.DUMMYFUNCTION("""COMPUTED_VALUE"""),"Male")</f>
        <v>Male</v>
      </c>
      <c r="F747" s="1">
        <f>IFERROR(__xludf.DUMMYFUNCTION("""COMPUTED_VALUE"""),100.0)</f>
        <v>100</v>
      </c>
      <c r="G747" s="1">
        <f>IFERROR(__xludf.DUMMYFUNCTION("""COMPUTED_VALUE"""),75.0)</f>
        <v>75</v>
      </c>
      <c r="H747" s="1">
        <f>IFERROR(__xludf.DUMMYFUNCTION("""COMPUTED_VALUE"""),69.0)</f>
        <v>69</v>
      </c>
      <c r="I747" s="1">
        <f>IFERROR(__xludf.DUMMYFUNCTION("""COMPUTED_VALUE"""),37.0)</f>
        <v>37</v>
      </c>
      <c r="J747" s="1">
        <f>IFERROR(__xludf.DUMMYFUNCTION("""COMPUTED_VALUE"""),54.0)</f>
        <v>54</v>
      </c>
      <c r="K747" s="1">
        <f>IFERROR(__xludf.DUMMYFUNCTION("""COMPUTED_VALUE"""),43.0)</f>
        <v>43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 t="str">
        <f>IFERROR(__xludf.DUMMYFUNCTION("""COMPUTED_VALUE"""),"D")</f>
        <v>D</v>
      </c>
      <c r="E748" s="1" t="str">
        <f>IFERROR(__xludf.DUMMYFUNCTION("""COMPUTED_VALUE"""),"Male")</f>
        <v>Male</v>
      </c>
      <c r="F748" s="1">
        <f>IFERROR(__xludf.DUMMYFUNCTION("""COMPUTED_VALUE"""),66.0)</f>
        <v>66</v>
      </c>
      <c r="G748" s="1">
        <f>IFERROR(__xludf.DUMMYFUNCTION("""COMPUTED_VALUE"""),79.0)</f>
        <v>79</v>
      </c>
      <c r="H748" s="1">
        <f>IFERROR(__xludf.DUMMYFUNCTION("""COMPUTED_VALUE"""),52.0)</f>
        <v>52</v>
      </c>
      <c r="I748" s="1">
        <f>IFERROR(__xludf.DUMMYFUNCTION("""COMPUTED_VALUE"""),87.0)</f>
        <v>87</v>
      </c>
      <c r="J748" s="1">
        <f>IFERROR(__xludf.DUMMYFUNCTION("""COMPUTED_VALUE"""),94.0)</f>
        <v>94</v>
      </c>
      <c r="K748" s="1">
        <f>IFERROR(__xludf.DUMMYFUNCTION("""COMPUTED_VALUE"""),91.0)</f>
        <v>91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 t="str">
        <f>IFERROR(__xludf.DUMMYFUNCTION("""COMPUTED_VALUE"""),"C")</f>
        <v>C</v>
      </c>
      <c r="E749" s="1" t="str">
        <f>IFERROR(__xludf.DUMMYFUNCTION("""COMPUTED_VALUE"""),"Male")</f>
        <v>Male</v>
      </c>
      <c r="F749" s="1">
        <f>IFERROR(__xludf.DUMMYFUNCTION("""COMPUTED_VALUE"""),77.0)</f>
        <v>77</v>
      </c>
      <c r="G749" s="1">
        <f>IFERROR(__xludf.DUMMYFUNCTION("""COMPUTED_VALUE"""),31.0)</f>
        <v>31</v>
      </c>
      <c r="H749" s="1">
        <f>IFERROR(__xludf.DUMMYFUNCTION("""COMPUTED_VALUE"""),69.0)</f>
        <v>69</v>
      </c>
      <c r="I749" s="1">
        <f>IFERROR(__xludf.DUMMYFUNCTION("""COMPUTED_VALUE"""),93.0)</f>
        <v>93</v>
      </c>
      <c r="J749" s="1">
        <f>IFERROR(__xludf.DUMMYFUNCTION("""COMPUTED_VALUE"""),93.0)</f>
        <v>93</v>
      </c>
      <c r="K749" s="1">
        <f>IFERROR(__xludf.DUMMYFUNCTION("""COMPUTED_VALUE"""),60.0)</f>
        <v>60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 t="str">
        <f>IFERROR(__xludf.DUMMYFUNCTION("""COMPUTED_VALUE"""),"B")</f>
        <v>B</v>
      </c>
      <c r="E750" s="1" t="str">
        <f>IFERROR(__xludf.DUMMYFUNCTION("""COMPUTED_VALUE"""),"Female")</f>
        <v>Female</v>
      </c>
      <c r="F750" s="1">
        <f>IFERROR(__xludf.DUMMYFUNCTION("""COMPUTED_VALUE"""),29.0)</f>
        <v>29</v>
      </c>
      <c r="G750" s="1">
        <f>IFERROR(__xludf.DUMMYFUNCTION("""COMPUTED_VALUE"""),66.0)</f>
        <v>66</v>
      </c>
      <c r="H750" s="1">
        <f>IFERROR(__xludf.DUMMYFUNCTION("""COMPUTED_VALUE"""),53.0)</f>
        <v>53</v>
      </c>
      <c r="I750" s="1">
        <f>IFERROR(__xludf.DUMMYFUNCTION("""COMPUTED_VALUE"""),21.0)</f>
        <v>21</v>
      </c>
      <c r="J750" s="1">
        <f>IFERROR(__xludf.DUMMYFUNCTION("""COMPUTED_VALUE"""),91.0)</f>
        <v>91</v>
      </c>
      <c r="K750" s="1">
        <f>IFERROR(__xludf.DUMMYFUNCTION("""COMPUTED_VALUE"""),60.0)</f>
        <v>60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 t="str">
        <f>IFERROR(__xludf.DUMMYFUNCTION("""COMPUTED_VALUE"""),"A")</f>
        <v>A</v>
      </c>
      <c r="E751" s="1" t="str">
        <f>IFERROR(__xludf.DUMMYFUNCTION("""COMPUTED_VALUE"""),"Male")</f>
        <v>Male</v>
      </c>
      <c r="F751" s="1">
        <f>IFERROR(__xludf.DUMMYFUNCTION("""COMPUTED_VALUE"""),77.0)</f>
        <v>77</v>
      </c>
      <c r="G751" s="1">
        <f>IFERROR(__xludf.DUMMYFUNCTION("""COMPUTED_VALUE"""),40.0)</f>
        <v>40</v>
      </c>
      <c r="H751" s="1">
        <f>IFERROR(__xludf.DUMMYFUNCTION("""COMPUTED_VALUE"""),69.0)</f>
        <v>69</v>
      </c>
      <c r="I751" s="1">
        <f>IFERROR(__xludf.DUMMYFUNCTION("""COMPUTED_VALUE"""),35.0)</f>
        <v>35</v>
      </c>
      <c r="J751" s="1">
        <f>IFERROR(__xludf.DUMMYFUNCTION("""COMPUTED_VALUE"""),35.0)</f>
        <v>35</v>
      </c>
      <c r="K751" s="1">
        <f>IFERROR(__xludf.DUMMYFUNCTION("""COMPUTED_VALUE"""),94.0)</f>
        <v>94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 t="str">
        <f>IFERROR(__xludf.DUMMYFUNCTION("""COMPUTED_VALUE"""),"B")</f>
        <v>B</v>
      </c>
      <c r="E752" s="1" t="str">
        <f>IFERROR(__xludf.DUMMYFUNCTION("""COMPUTED_VALUE"""),"Male")</f>
        <v>Male</v>
      </c>
      <c r="F752" s="1">
        <f>IFERROR(__xludf.DUMMYFUNCTION("""COMPUTED_VALUE"""),13.0)</f>
        <v>13</v>
      </c>
      <c r="G752" s="1">
        <f>IFERROR(__xludf.DUMMYFUNCTION("""COMPUTED_VALUE"""),36.0)</f>
        <v>36</v>
      </c>
      <c r="H752" s="1">
        <f>IFERROR(__xludf.DUMMYFUNCTION("""COMPUTED_VALUE"""),67.0)</f>
        <v>67</v>
      </c>
      <c r="I752" s="1">
        <f>IFERROR(__xludf.DUMMYFUNCTION("""COMPUTED_VALUE"""),78.0)</f>
        <v>78</v>
      </c>
      <c r="J752" s="1">
        <f>IFERROR(__xludf.DUMMYFUNCTION("""COMPUTED_VALUE"""),48.0)</f>
        <v>48</v>
      </c>
      <c r="K752" s="1">
        <f>IFERROR(__xludf.DUMMYFUNCTION("""COMPUTED_VALUE"""),77.0)</f>
        <v>77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 t="str">
        <f>IFERROR(__xludf.DUMMYFUNCTION("""COMPUTED_VALUE"""),"B")</f>
        <v>B</v>
      </c>
      <c r="E753" s="1" t="str">
        <f>IFERROR(__xludf.DUMMYFUNCTION("""COMPUTED_VALUE"""),"Female")</f>
        <v>Female</v>
      </c>
      <c r="F753" s="1">
        <f>IFERROR(__xludf.DUMMYFUNCTION("""COMPUTED_VALUE"""),39.0)</f>
        <v>39</v>
      </c>
      <c r="G753" s="1">
        <f>IFERROR(__xludf.DUMMYFUNCTION("""COMPUTED_VALUE"""),96.0)</f>
        <v>96</v>
      </c>
      <c r="H753" s="1">
        <f>IFERROR(__xludf.DUMMYFUNCTION("""COMPUTED_VALUE"""),93.0)</f>
        <v>93</v>
      </c>
      <c r="I753" s="1">
        <f>IFERROR(__xludf.DUMMYFUNCTION("""COMPUTED_VALUE"""),88.0)</f>
        <v>88</v>
      </c>
      <c r="J753" s="1">
        <f>IFERROR(__xludf.DUMMYFUNCTION("""COMPUTED_VALUE"""),59.0)</f>
        <v>59</v>
      </c>
      <c r="K753" s="1">
        <f>IFERROR(__xludf.DUMMYFUNCTION("""COMPUTED_VALUE"""),86.0)</f>
        <v>86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 t="str">
        <f>IFERROR(__xludf.DUMMYFUNCTION("""COMPUTED_VALUE"""),"D")</f>
        <v>D</v>
      </c>
      <c r="E754" s="1" t="str">
        <f>IFERROR(__xludf.DUMMYFUNCTION("""COMPUTED_VALUE"""),"Male")</f>
        <v>Male</v>
      </c>
      <c r="F754" s="1">
        <f>IFERROR(__xludf.DUMMYFUNCTION("""COMPUTED_VALUE"""),38.0)</f>
        <v>38</v>
      </c>
      <c r="G754" s="1">
        <f>IFERROR(__xludf.DUMMYFUNCTION("""COMPUTED_VALUE"""),28.0)</f>
        <v>28</v>
      </c>
      <c r="H754" s="1">
        <f>IFERROR(__xludf.DUMMYFUNCTION("""COMPUTED_VALUE"""),29.0)</f>
        <v>29</v>
      </c>
      <c r="I754" s="1">
        <f>IFERROR(__xludf.DUMMYFUNCTION("""COMPUTED_VALUE"""),55.0)</f>
        <v>55</v>
      </c>
      <c r="J754" s="1">
        <f>IFERROR(__xludf.DUMMYFUNCTION("""COMPUTED_VALUE"""),50.0)</f>
        <v>50</v>
      </c>
      <c r="K754" s="1">
        <f>IFERROR(__xludf.DUMMYFUNCTION("""COMPUTED_VALUE"""),55.0)</f>
        <v>55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 t="str">
        <f>IFERROR(__xludf.DUMMYFUNCTION("""COMPUTED_VALUE"""),"A")</f>
        <v>A</v>
      </c>
      <c r="E755" s="1" t="str">
        <f>IFERROR(__xludf.DUMMYFUNCTION("""COMPUTED_VALUE"""),"Male")</f>
        <v>Male</v>
      </c>
      <c r="F755" s="1">
        <f>IFERROR(__xludf.DUMMYFUNCTION("""COMPUTED_VALUE"""),57.0)</f>
        <v>57</v>
      </c>
      <c r="G755" s="1">
        <f>IFERROR(__xludf.DUMMYFUNCTION("""COMPUTED_VALUE"""),43.0)</f>
        <v>43</v>
      </c>
      <c r="H755" s="1">
        <f>IFERROR(__xludf.DUMMYFUNCTION("""COMPUTED_VALUE"""),26.0)</f>
        <v>26</v>
      </c>
      <c r="I755" s="1">
        <f>IFERROR(__xludf.DUMMYFUNCTION("""COMPUTED_VALUE"""),32.0)</f>
        <v>32</v>
      </c>
      <c r="J755" s="1">
        <f>IFERROR(__xludf.DUMMYFUNCTION("""COMPUTED_VALUE"""),42.0)</f>
        <v>42</v>
      </c>
      <c r="K755" s="1">
        <f>IFERROR(__xludf.DUMMYFUNCTION("""COMPUTED_VALUE"""),92.0)</f>
        <v>92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 t="str">
        <f>IFERROR(__xludf.DUMMYFUNCTION("""COMPUTED_VALUE"""),"B")</f>
        <v>B</v>
      </c>
      <c r="E756" s="1" t="str">
        <f>IFERROR(__xludf.DUMMYFUNCTION("""COMPUTED_VALUE"""),"Female")</f>
        <v>Female</v>
      </c>
      <c r="F756" s="1">
        <f>IFERROR(__xludf.DUMMYFUNCTION("""COMPUTED_VALUE"""),92.0)</f>
        <v>92</v>
      </c>
      <c r="G756" s="1">
        <f>IFERROR(__xludf.DUMMYFUNCTION("""COMPUTED_VALUE"""),77.0)</f>
        <v>77</v>
      </c>
      <c r="H756" s="1">
        <f>IFERROR(__xludf.DUMMYFUNCTION("""COMPUTED_VALUE"""),32.0)</f>
        <v>32</v>
      </c>
      <c r="I756" s="1">
        <f>IFERROR(__xludf.DUMMYFUNCTION("""COMPUTED_VALUE"""),87.0)</f>
        <v>87</v>
      </c>
      <c r="J756" s="1">
        <f>IFERROR(__xludf.DUMMYFUNCTION("""COMPUTED_VALUE"""),47.0)</f>
        <v>47</v>
      </c>
      <c r="K756" s="1">
        <f>IFERROR(__xludf.DUMMYFUNCTION("""COMPUTED_VALUE"""),98.0)</f>
        <v>98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 t="str">
        <f>IFERROR(__xludf.DUMMYFUNCTION("""COMPUTED_VALUE"""),"B")</f>
        <v>B</v>
      </c>
      <c r="E757" s="1" t="str">
        <f>IFERROR(__xludf.DUMMYFUNCTION("""COMPUTED_VALUE"""),"Male")</f>
        <v>Male</v>
      </c>
      <c r="F757" s="1">
        <f>IFERROR(__xludf.DUMMYFUNCTION("""COMPUTED_VALUE"""),27.0)</f>
        <v>27</v>
      </c>
      <c r="G757" s="1">
        <f>IFERROR(__xludf.DUMMYFUNCTION("""COMPUTED_VALUE"""),40.0)</f>
        <v>40</v>
      </c>
      <c r="H757" s="1">
        <f>IFERROR(__xludf.DUMMYFUNCTION("""COMPUTED_VALUE"""),87.0)</f>
        <v>87</v>
      </c>
      <c r="I757" s="1">
        <f>IFERROR(__xludf.DUMMYFUNCTION("""COMPUTED_VALUE"""),73.0)</f>
        <v>73</v>
      </c>
      <c r="J757" s="1">
        <f>IFERROR(__xludf.DUMMYFUNCTION("""COMPUTED_VALUE"""),72.0)</f>
        <v>72</v>
      </c>
      <c r="K757" s="1">
        <f>IFERROR(__xludf.DUMMYFUNCTION("""COMPUTED_VALUE"""),78.0)</f>
        <v>78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 t="str">
        <f>IFERROR(__xludf.DUMMYFUNCTION("""COMPUTED_VALUE"""),"B")</f>
        <v>B</v>
      </c>
      <c r="E758" s="1" t="str">
        <f>IFERROR(__xludf.DUMMYFUNCTION("""COMPUTED_VALUE"""),"Female")</f>
        <v>Female</v>
      </c>
      <c r="F758" s="1">
        <f>IFERROR(__xludf.DUMMYFUNCTION("""COMPUTED_VALUE"""),12.0)</f>
        <v>12</v>
      </c>
      <c r="G758" s="1">
        <f>IFERROR(__xludf.DUMMYFUNCTION("""COMPUTED_VALUE"""),65.0)</f>
        <v>65</v>
      </c>
      <c r="H758" s="1">
        <f>IFERROR(__xludf.DUMMYFUNCTION("""COMPUTED_VALUE"""),67.0)</f>
        <v>67</v>
      </c>
      <c r="I758" s="1">
        <f>IFERROR(__xludf.DUMMYFUNCTION("""COMPUTED_VALUE"""),36.0)</f>
        <v>36</v>
      </c>
      <c r="J758" s="1">
        <f>IFERROR(__xludf.DUMMYFUNCTION("""COMPUTED_VALUE"""),46.0)</f>
        <v>46</v>
      </c>
      <c r="K758" s="1">
        <f>IFERROR(__xludf.DUMMYFUNCTION("""COMPUTED_VALUE"""),24.0)</f>
        <v>24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 t="str">
        <f>IFERROR(__xludf.DUMMYFUNCTION("""COMPUTED_VALUE"""),"B")</f>
        <v>B</v>
      </c>
      <c r="E759" s="1" t="str">
        <f>IFERROR(__xludf.DUMMYFUNCTION("""COMPUTED_VALUE"""),"Male")</f>
        <v>Male</v>
      </c>
      <c r="F759" s="1">
        <f>IFERROR(__xludf.DUMMYFUNCTION("""COMPUTED_VALUE"""),19.0)</f>
        <v>19</v>
      </c>
      <c r="G759" s="1">
        <f>IFERROR(__xludf.DUMMYFUNCTION("""COMPUTED_VALUE"""),93.0)</f>
        <v>93</v>
      </c>
      <c r="H759" s="1">
        <f>IFERROR(__xludf.DUMMYFUNCTION("""COMPUTED_VALUE"""),85.0)</f>
        <v>85</v>
      </c>
      <c r="I759" s="1">
        <f>IFERROR(__xludf.DUMMYFUNCTION("""COMPUTED_VALUE"""),64.0)</f>
        <v>64</v>
      </c>
      <c r="J759" s="1">
        <f>IFERROR(__xludf.DUMMYFUNCTION("""COMPUTED_VALUE"""),20.0)</f>
        <v>20</v>
      </c>
      <c r="K759" s="1">
        <f>IFERROR(__xludf.DUMMYFUNCTION("""COMPUTED_VALUE"""),97.0)</f>
        <v>97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 t="str">
        <f>IFERROR(__xludf.DUMMYFUNCTION("""COMPUTED_VALUE"""),"A")</f>
        <v>A</v>
      </c>
      <c r="E760" s="1" t="str">
        <f>IFERROR(__xludf.DUMMYFUNCTION("""COMPUTED_VALUE"""),"Female")</f>
        <v>Female</v>
      </c>
      <c r="F760" s="1">
        <f>IFERROR(__xludf.DUMMYFUNCTION("""COMPUTED_VALUE"""),29.0)</f>
        <v>29</v>
      </c>
      <c r="G760" s="1">
        <f>IFERROR(__xludf.DUMMYFUNCTION("""COMPUTED_VALUE"""),71.0)</f>
        <v>71</v>
      </c>
      <c r="H760" s="1">
        <f>IFERROR(__xludf.DUMMYFUNCTION("""COMPUTED_VALUE"""),27.0)</f>
        <v>27</v>
      </c>
      <c r="I760" s="1">
        <f>IFERROR(__xludf.DUMMYFUNCTION("""COMPUTED_VALUE"""),83.0)</f>
        <v>83</v>
      </c>
      <c r="J760" s="1">
        <f>IFERROR(__xludf.DUMMYFUNCTION("""COMPUTED_VALUE"""),59.0)</f>
        <v>59</v>
      </c>
      <c r="K760" s="1">
        <f>IFERROR(__xludf.DUMMYFUNCTION("""COMPUTED_VALUE"""),31.0)</f>
        <v>31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 t="str">
        <f>IFERROR(__xludf.DUMMYFUNCTION("""COMPUTED_VALUE"""),"B")</f>
        <v>B</v>
      </c>
      <c r="E761" s="1" t="str">
        <f>IFERROR(__xludf.DUMMYFUNCTION("""COMPUTED_VALUE"""),"Female")</f>
        <v>Female</v>
      </c>
      <c r="F761" s="1">
        <f>IFERROR(__xludf.DUMMYFUNCTION("""COMPUTED_VALUE"""),35.0)</f>
        <v>35</v>
      </c>
      <c r="G761" s="1">
        <f>IFERROR(__xludf.DUMMYFUNCTION("""COMPUTED_VALUE"""),20.0)</f>
        <v>20</v>
      </c>
      <c r="H761" s="1">
        <f>IFERROR(__xludf.DUMMYFUNCTION("""COMPUTED_VALUE"""),20.0)</f>
        <v>20</v>
      </c>
      <c r="I761" s="1">
        <f>IFERROR(__xludf.DUMMYFUNCTION("""COMPUTED_VALUE"""),77.0)</f>
        <v>77</v>
      </c>
      <c r="J761" s="1">
        <f>IFERROR(__xludf.DUMMYFUNCTION("""COMPUTED_VALUE"""),75.0)</f>
        <v>75</v>
      </c>
      <c r="K761" s="1">
        <f>IFERROR(__xludf.DUMMYFUNCTION("""COMPUTED_VALUE"""),35.0)</f>
        <v>35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 t="str">
        <f>IFERROR(__xludf.DUMMYFUNCTION("""COMPUTED_VALUE"""),"C")</f>
        <v>C</v>
      </c>
      <c r="E762" s="1" t="str">
        <f>IFERROR(__xludf.DUMMYFUNCTION("""COMPUTED_VALUE"""),"Female")</f>
        <v>Female</v>
      </c>
      <c r="F762" s="1">
        <f>IFERROR(__xludf.DUMMYFUNCTION("""COMPUTED_VALUE"""),40.0)</f>
        <v>40</v>
      </c>
      <c r="G762" s="1">
        <f>IFERROR(__xludf.DUMMYFUNCTION("""COMPUTED_VALUE"""),64.0)</f>
        <v>64</v>
      </c>
      <c r="H762" s="1">
        <f>IFERROR(__xludf.DUMMYFUNCTION("""COMPUTED_VALUE"""),33.0)</f>
        <v>33</v>
      </c>
      <c r="I762" s="1">
        <f>IFERROR(__xludf.DUMMYFUNCTION("""COMPUTED_VALUE"""),46.0)</f>
        <v>46</v>
      </c>
      <c r="J762" s="1">
        <f>IFERROR(__xludf.DUMMYFUNCTION("""COMPUTED_VALUE"""),41.0)</f>
        <v>41</v>
      </c>
      <c r="K762" s="1">
        <f>IFERROR(__xludf.DUMMYFUNCTION("""COMPUTED_VALUE"""),47.0)</f>
        <v>47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 t="str">
        <f>IFERROR(__xludf.DUMMYFUNCTION("""COMPUTED_VALUE"""),"A")</f>
        <v>A</v>
      </c>
      <c r="E763" s="1" t="str">
        <f>IFERROR(__xludf.DUMMYFUNCTION("""COMPUTED_VALUE"""),"Male")</f>
        <v>Male</v>
      </c>
      <c r="F763" s="1">
        <f>IFERROR(__xludf.DUMMYFUNCTION("""COMPUTED_VALUE"""),82.0)</f>
        <v>82</v>
      </c>
      <c r="G763" s="1">
        <f>IFERROR(__xludf.DUMMYFUNCTION("""COMPUTED_VALUE"""),79.0)</f>
        <v>79</v>
      </c>
      <c r="H763" s="1">
        <f>IFERROR(__xludf.DUMMYFUNCTION("""COMPUTED_VALUE"""),49.0)</f>
        <v>49</v>
      </c>
      <c r="I763" s="1">
        <f>IFERROR(__xludf.DUMMYFUNCTION("""COMPUTED_VALUE"""),77.0)</f>
        <v>77</v>
      </c>
      <c r="J763" s="1">
        <f>IFERROR(__xludf.DUMMYFUNCTION("""COMPUTED_VALUE"""),72.0)</f>
        <v>72</v>
      </c>
      <c r="K763" s="1">
        <f>IFERROR(__xludf.DUMMYFUNCTION("""COMPUTED_VALUE"""),66.0)</f>
        <v>66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 t="str">
        <f>IFERROR(__xludf.DUMMYFUNCTION("""COMPUTED_VALUE"""),"B")</f>
        <v>B</v>
      </c>
      <c r="E764" s="1" t="str">
        <f>IFERROR(__xludf.DUMMYFUNCTION("""COMPUTED_VALUE"""),"Male")</f>
        <v>Male</v>
      </c>
      <c r="F764" s="1">
        <f>IFERROR(__xludf.DUMMYFUNCTION("""COMPUTED_VALUE"""),69.0)</f>
        <v>69</v>
      </c>
      <c r="G764" s="1">
        <f>IFERROR(__xludf.DUMMYFUNCTION("""COMPUTED_VALUE"""),59.0)</f>
        <v>59</v>
      </c>
      <c r="H764" s="1">
        <f>IFERROR(__xludf.DUMMYFUNCTION("""COMPUTED_VALUE"""),43.0)</f>
        <v>43</v>
      </c>
      <c r="I764" s="1">
        <f>IFERROR(__xludf.DUMMYFUNCTION("""COMPUTED_VALUE"""),29.0)</f>
        <v>29</v>
      </c>
      <c r="J764" s="1">
        <f>IFERROR(__xludf.DUMMYFUNCTION("""COMPUTED_VALUE"""),89.0)</f>
        <v>89</v>
      </c>
      <c r="K764" s="1">
        <f>IFERROR(__xludf.DUMMYFUNCTION("""COMPUTED_VALUE"""),75.0)</f>
        <v>75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 t="str">
        <f>IFERROR(__xludf.DUMMYFUNCTION("""COMPUTED_VALUE"""),"A")</f>
        <v>A</v>
      </c>
      <c r="E765" s="1" t="str">
        <f>IFERROR(__xludf.DUMMYFUNCTION("""COMPUTED_VALUE"""),"Female")</f>
        <v>Female</v>
      </c>
      <c r="F765" s="1">
        <f>IFERROR(__xludf.DUMMYFUNCTION("""COMPUTED_VALUE"""),20.0)</f>
        <v>20</v>
      </c>
      <c r="G765" s="1">
        <f>IFERROR(__xludf.DUMMYFUNCTION("""COMPUTED_VALUE"""),54.0)</f>
        <v>54</v>
      </c>
      <c r="H765" s="1">
        <f>IFERROR(__xludf.DUMMYFUNCTION("""COMPUTED_VALUE"""),85.0)</f>
        <v>85</v>
      </c>
      <c r="I765" s="1">
        <f>IFERROR(__xludf.DUMMYFUNCTION("""COMPUTED_VALUE"""),51.0)</f>
        <v>51</v>
      </c>
      <c r="J765" s="1">
        <f>IFERROR(__xludf.DUMMYFUNCTION("""COMPUTED_VALUE"""),52.0)</f>
        <v>52</v>
      </c>
      <c r="K765" s="1">
        <f>IFERROR(__xludf.DUMMYFUNCTION("""COMPUTED_VALUE"""),46.0)</f>
        <v>46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 t="str">
        <f>IFERROR(__xludf.DUMMYFUNCTION("""COMPUTED_VALUE"""),"C")</f>
        <v>C</v>
      </c>
      <c r="E766" s="1" t="str">
        <f>IFERROR(__xludf.DUMMYFUNCTION("""COMPUTED_VALUE"""),"Female")</f>
        <v>Female</v>
      </c>
      <c r="F766" s="1">
        <f>IFERROR(__xludf.DUMMYFUNCTION("""COMPUTED_VALUE"""),37.0)</f>
        <v>37</v>
      </c>
      <c r="G766" s="1">
        <f>IFERROR(__xludf.DUMMYFUNCTION("""COMPUTED_VALUE"""),58.0)</f>
        <v>58</v>
      </c>
      <c r="H766" s="1">
        <f>IFERROR(__xludf.DUMMYFUNCTION("""COMPUTED_VALUE"""),50.0)</f>
        <v>50</v>
      </c>
      <c r="I766" s="1">
        <f>IFERROR(__xludf.DUMMYFUNCTION("""COMPUTED_VALUE"""),85.0)</f>
        <v>85</v>
      </c>
      <c r="J766" s="1">
        <f>IFERROR(__xludf.DUMMYFUNCTION("""COMPUTED_VALUE"""),44.0)</f>
        <v>44</v>
      </c>
      <c r="K766" s="1">
        <f>IFERROR(__xludf.DUMMYFUNCTION("""COMPUTED_VALUE"""),31.0)</f>
        <v>31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 t="str">
        <f>IFERROR(__xludf.DUMMYFUNCTION("""COMPUTED_VALUE"""),"B")</f>
        <v>B</v>
      </c>
      <c r="E767" s="1" t="str">
        <f>IFERROR(__xludf.DUMMYFUNCTION("""COMPUTED_VALUE"""),"Male")</f>
        <v>Male</v>
      </c>
      <c r="F767" s="1">
        <f>IFERROR(__xludf.DUMMYFUNCTION("""COMPUTED_VALUE"""),63.0)</f>
        <v>63</v>
      </c>
      <c r="G767" s="1">
        <f>IFERROR(__xludf.DUMMYFUNCTION("""COMPUTED_VALUE"""),27.0)</f>
        <v>27</v>
      </c>
      <c r="H767" s="1">
        <f>IFERROR(__xludf.DUMMYFUNCTION("""COMPUTED_VALUE"""),65.0)</f>
        <v>65</v>
      </c>
      <c r="I767" s="1">
        <f>IFERROR(__xludf.DUMMYFUNCTION("""COMPUTED_VALUE"""),35.0)</f>
        <v>35</v>
      </c>
      <c r="J767" s="1">
        <f>IFERROR(__xludf.DUMMYFUNCTION("""COMPUTED_VALUE"""),79.0)</f>
        <v>79</v>
      </c>
      <c r="K767" s="1">
        <f>IFERROR(__xludf.DUMMYFUNCTION("""COMPUTED_VALUE"""),88.0)</f>
        <v>88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 t="str">
        <f>IFERROR(__xludf.DUMMYFUNCTION("""COMPUTED_VALUE"""),"D")</f>
        <v>D</v>
      </c>
      <c r="E768" s="1" t="str">
        <f>IFERROR(__xludf.DUMMYFUNCTION("""COMPUTED_VALUE"""),"Female")</f>
        <v>Female</v>
      </c>
      <c r="F768" s="1">
        <f>IFERROR(__xludf.DUMMYFUNCTION("""COMPUTED_VALUE"""),69.0)</f>
        <v>69</v>
      </c>
      <c r="G768" s="1">
        <f>IFERROR(__xludf.DUMMYFUNCTION("""COMPUTED_VALUE"""),53.0)</f>
        <v>53</v>
      </c>
      <c r="H768" s="1">
        <f>IFERROR(__xludf.DUMMYFUNCTION("""COMPUTED_VALUE"""),50.0)</f>
        <v>50</v>
      </c>
      <c r="I768" s="1">
        <f>IFERROR(__xludf.DUMMYFUNCTION("""COMPUTED_VALUE"""),74.0)</f>
        <v>74</v>
      </c>
      <c r="J768" s="1">
        <f>IFERROR(__xludf.DUMMYFUNCTION("""COMPUTED_VALUE"""),78.0)</f>
        <v>78</v>
      </c>
      <c r="K768" s="1">
        <f>IFERROR(__xludf.DUMMYFUNCTION("""COMPUTED_VALUE"""),83.0)</f>
        <v>83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 t="str">
        <f>IFERROR(__xludf.DUMMYFUNCTION("""COMPUTED_VALUE"""),"C")</f>
        <v>C</v>
      </c>
      <c r="E769" s="1" t="str">
        <f>IFERROR(__xludf.DUMMYFUNCTION("""COMPUTED_VALUE"""),"Female")</f>
        <v>Female</v>
      </c>
      <c r="F769" s="1">
        <f>IFERROR(__xludf.DUMMYFUNCTION("""COMPUTED_VALUE"""),23.0)</f>
        <v>23</v>
      </c>
      <c r="G769" s="1">
        <f>IFERROR(__xludf.DUMMYFUNCTION("""COMPUTED_VALUE"""),67.0)</f>
        <v>67</v>
      </c>
      <c r="H769" s="1">
        <f>IFERROR(__xludf.DUMMYFUNCTION("""COMPUTED_VALUE"""),61.0)</f>
        <v>61</v>
      </c>
      <c r="I769" s="1">
        <f>IFERROR(__xludf.DUMMYFUNCTION("""COMPUTED_VALUE"""),36.0)</f>
        <v>36</v>
      </c>
      <c r="J769" s="1">
        <f>IFERROR(__xludf.DUMMYFUNCTION("""COMPUTED_VALUE"""),93.0)</f>
        <v>93</v>
      </c>
      <c r="K769" s="1">
        <f>IFERROR(__xludf.DUMMYFUNCTION("""COMPUTED_VALUE"""),24.0)</f>
        <v>24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 t="str">
        <f>IFERROR(__xludf.DUMMYFUNCTION("""COMPUTED_VALUE"""),"C")</f>
        <v>C</v>
      </c>
      <c r="E770" s="1" t="str">
        <f>IFERROR(__xludf.DUMMYFUNCTION("""COMPUTED_VALUE"""),"Male")</f>
        <v>Male</v>
      </c>
      <c r="F770" s="1">
        <f>IFERROR(__xludf.DUMMYFUNCTION("""COMPUTED_VALUE"""),19.0)</f>
        <v>19</v>
      </c>
      <c r="G770" s="1">
        <f>IFERROR(__xludf.DUMMYFUNCTION("""COMPUTED_VALUE"""),55.0)</f>
        <v>55</v>
      </c>
      <c r="H770" s="1">
        <f>IFERROR(__xludf.DUMMYFUNCTION("""COMPUTED_VALUE"""),50.0)</f>
        <v>50</v>
      </c>
      <c r="I770" s="1">
        <f>IFERROR(__xludf.DUMMYFUNCTION("""COMPUTED_VALUE"""),96.0)</f>
        <v>96</v>
      </c>
      <c r="J770" s="1">
        <f>IFERROR(__xludf.DUMMYFUNCTION("""COMPUTED_VALUE"""),56.0)</f>
        <v>56</v>
      </c>
      <c r="K770" s="1">
        <f>IFERROR(__xludf.DUMMYFUNCTION("""COMPUTED_VALUE"""),94.0)</f>
        <v>94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 t="str">
        <f>IFERROR(__xludf.DUMMYFUNCTION("""COMPUTED_VALUE"""),"B")</f>
        <v>B</v>
      </c>
      <c r="E771" s="1" t="str">
        <f>IFERROR(__xludf.DUMMYFUNCTION("""COMPUTED_VALUE"""),"Male")</f>
        <v>Male</v>
      </c>
      <c r="F771" s="1">
        <f>IFERROR(__xludf.DUMMYFUNCTION("""COMPUTED_VALUE"""),40.0)</f>
        <v>40</v>
      </c>
      <c r="G771" s="1">
        <f>IFERROR(__xludf.DUMMYFUNCTION("""COMPUTED_VALUE"""),92.0)</f>
        <v>92</v>
      </c>
      <c r="H771" s="1">
        <f>IFERROR(__xludf.DUMMYFUNCTION("""COMPUTED_VALUE"""),95.0)</f>
        <v>95</v>
      </c>
      <c r="I771" s="1">
        <f>IFERROR(__xludf.DUMMYFUNCTION("""COMPUTED_VALUE"""),70.0)</f>
        <v>70</v>
      </c>
      <c r="J771" s="1">
        <f>IFERROR(__xludf.DUMMYFUNCTION("""COMPUTED_VALUE"""),74.0)</f>
        <v>74</v>
      </c>
      <c r="K771" s="1">
        <f>IFERROR(__xludf.DUMMYFUNCTION("""COMPUTED_VALUE"""),72.0)</f>
        <v>72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 t="str">
        <f>IFERROR(__xludf.DUMMYFUNCTION("""COMPUTED_VALUE"""),"C")</f>
        <v>C</v>
      </c>
      <c r="E772" s="1" t="str">
        <f>IFERROR(__xludf.DUMMYFUNCTION("""COMPUTED_VALUE"""),"Male")</f>
        <v>Male</v>
      </c>
      <c r="F772" s="1">
        <f>IFERROR(__xludf.DUMMYFUNCTION("""COMPUTED_VALUE"""),100.0)</f>
        <v>100</v>
      </c>
      <c r="G772" s="1">
        <f>IFERROR(__xludf.DUMMYFUNCTION("""COMPUTED_VALUE"""),39.0)</f>
        <v>39</v>
      </c>
      <c r="H772" s="1">
        <f>IFERROR(__xludf.DUMMYFUNCTION("""COMPUTED_VALUE"""),35.0)</f>
        <v>35</v>
      </c>
      <c r="I772" s="1">
        <f>IFERROR(__xludf.DUMMYFUNCTION("""COMPUTED_VALUE"""),82.0)</f>
        <v>82</v>
      </c>
      <c r="J772" s="1">
        <f>IFERROR(__xludf.DUMMYFUNCTION("""COMPUTED_VALUE"""),41.0)</f>
        <v>41</v>
      </c>
      <c r="K772" s="1">
        <f>IFERROR(__xludf.DUMMYFUNCTION("""COMPUTED_VALUE"""),83.0)</f>
        <v>83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 t="str">
        <f>IFERROR(__xludf.DUMMYFUNCTION("""COMPUTED_VALUE"""),"D")</f>
        <v>D</v>
      </c>
      <c r="E773" s="1" t="str">
        <f>IFERROR(__xludf.DUMMYFUNCTION("""COMPUTED_VALUE"""),"Female")</f>
        <v>Female</v>
      </c>
      <c r="F773" s="1">
        <f>IFERROR(__xludf.DUMMYFUNCTION("""COMPUTED_VALUE"""),27.0)</f>
        <v>27</v>
      </c>
      <c r="G773" s="1">
        <f>IFERROR(__xludf.DUMMYFUNCTION("""COMPUTED_VALUE"""),92.0)</f>
        <v>92</v>
      </c>
      <c r="H773" s="1">
        <f>IFERROR(__xludf.DUMMYFUNCTION("""COMPUTED_VALUE"""),32.0)</f>
        <v>32</v>
      </c>
      <c r="I773" s="1">
        <f>IFERROR(__xludf.DUMMYFUNCTION("""COMPUTED_VALUE"""),48.0)</f>
        <v>48</v>
      </c>
      <c r="J773" s="1">
        <f>IFERROR(__xludf.DUMMYFUNCTION("""COMPUTED_VALUE"""),90.0)</f>
        <v>90</v>
      </c>
      <c r="K773" s="1">
        <f>IFERROR(__xludf.DUMMYFUNCTION("""COMPUTED_VALUE"""),81.0)</f>
        <v>81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 t="str">
        <f>IFERROR(__xludf.DUMMYFUNCTION("""COMPUTED_VALUE"""),"A")</f>
        <v>A</v>
      </c>
      <c r="E774" s="1" t="str">
        <f>IFERROR(__xludf.DUMMYFUNCTION("""COMPUTED_VALUE"""),"Female")</f>
        <v>Female</v>
      </c>
      <c r="F774" s="1">
        <f>IFERROR(__xludf.DUMMYFUNCTION("""COMPUTED_VALUE"""),92.0)</f>
        <v>92</v>
      </c>
      <c r="G774" s="1">
        <f>IFERROR(__xludf.DUMMYFUNCTION("""COMPUTED_VALUE"""),69.0)</f>
        <v>69</v>
      </c>
      <c r="H774" s="1">
        <f>IFERROR(__xludf.DUMMYFUNCTION("""COMPUTED_VALUE"""),25.0)</f>
        <v>25</v>
      </c>
      <c r="I774" s="1">
        <f>IFERROR(__xludf.DUMMYFUNCTION("""COMPUTED_VALUE"""),99.0)</f>
        <v>99</v>
      </c>
      <c r="J774" s="1">
        <f>IFERROR(__xludf.DUMMYFUNCTION("""COMPUTED_VALUE"""),31.0)</f>
        <v>31</v>
      </c>
      <c r="K774" s="1">
        <f>IFERROR(__xludf.DUMMYFUNCTION("""COMPUTED_VALUE"""),97.0)</f>
        <v>97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 t="str">
        <f>IFERROR(__xludf.DUMMYFUNCTION("""COMPUTED_VALUE"""),"C")</f>
        <v>C</v>
      </c>
      <c r="E775" s="1" t="str">
        <f>IFERROR(__xludf.DUMMYFUNCTION("""COMPUTED_VALUE"""),"Female")</f>
        <v>Female</v>
      </c>
      <c r="F775" s="1">
        <f>IFERROR(__xludf.DUMMYFUNCTION("""COMPUTED_VALUE"""),71.0)</f>
        <v>71</v>
      </c>
      <c r="G775" s="1">
        <f>IFERROR(__xludf.DUMMYFUNCTION("""COMPUTED_VALUE"""),45.0)</f>
        <v>45</v>
      </c>
      <c r="H775" s="1">
        <f>IFERROR(__xludf.DUMMYFUNCTION("""COMPUTED_VALUE"""),77.0)</f>
        <v>77</v>
      </c>
      <c r="I775" s="1">
        <f>IFERROR(__xludf.DUMMYFUNCTION("""COMPUTED_VALUE"""),79.0)</f>
        <v>79</v>
      </c>
      <c r="J775" s="1">
        <f>IFERROR(__xludf.DUMMYFUNCTION("""COMPUTED_VALUE"""),53.0)</f>
        <v>53</v>
      </c>
      <c r="K775" s="1">
        <f>IFERROR(__xludf.DUMMYFUNCTION("""COMPUTED_VALUE"""),92.0)</f>
        <v>92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 t="str">
        <f>IFERROR(__xludf.DUMMYFUNCTION("""COMPUTED_VALUE"""),"D")</f>
        <v>D</v>
      </c>
      <c r="E776" s="1" t="str">
        <f>IFERROR(__xludf.DUMMYFUNCTION("""COMPUTED_VALUE"""),"Male")</f>
        <v>Male</v>
      </c>
      <c r="F776" s="1">
        <f>IFERROR(__xludf.DUMMYFUNCTION("""COMPUTED_VALUE"""),84.0)</f>
        <v>84</v>
      </c>
      <c r="G776" s="1">
        <f>IFERROR(__xludf.DUMMYFUNCTION("""COMPUTED_VALUE"""),50.0)</f>
        <v>50</v>
      </c>
      <c r="H776" s="1">
        <f>IFERROR(__xludf.DUMMYFUNCTION("""COMPUTED_VALUE"""),42.0)</f>
        <v>42</v>
      </c>
      <c r="I776" s="1">
        <f>IFERROR(__xludf.DUMMYFUNCTION("""COMPUTED_VALUE"""),93.0)</f>
        <v>93</v>
      </c>
      <c r="J776" s="1">
        <f>IFERROR(__xludf.DUMMYFUNCTION("""COMPUTED_VALUE"""),88.0)</f>
        <v>88</v>
      </c>
      <c r="K776" s="1">
        <f>IFERROR(__xludf.DUMMYFUNCTION("""COMPUTED_VALUE"""),86.0)</f>
        <v>86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 t="str">
        <f>IFERROR(__xludf.DUMMYFUNCTION("""COMPUTED_VALUE"""),"A")</f>
        <v>A</v>
      </c>
      <c r="E777" s="1" t="str">
        <f>IFERROR(__xludf.DUMMYFUNCTION("""COMPUTED_VALUE"""),"Male")</f>
        <v>Male</v>
      </c>
      <c r="F777" s="1">
        <f>IFERROR(__xludf.DUMMYFUNCTION("""COMPUTED_VALUE"""),47.0)</f>
        <v>47</v>
      </c>
      <c r="G777" s="1">
        <f>IFERROR(__xludf.DUMMYFUNCTION("""COMPUTED_VALUE"""),45.0)</f>
        <v>45</v>
      </c>
      <c r="H777" s="1">
        <f>IFERROR(__xludf.DUMMYFUNCTION("""COMPUTED_VALUE"""),88.0)</f>
        <v>88</v>
      </c>
      <c r="I777" s="1">
        <f>IFERROR(__xludf.DUMMYFUNCTION("""COMPUTED_VALUE"""),56.0)</f>
        <v>56</v>
      </c>
      <c r="J777" s="1">
        <f>IFERROR(__xludf.DUMMYFUNCTION("""COMPUTED_VALUE"""),98.0)</f>
        <v>98</v>
      </c>
      <c r="K777" s="1">
        <f>IFERROR(__xludf.DUMMYFUNCTION("""COMPUTED_VALUE"""),41.0)</f>
        <v>41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 t="str">
        <f>IFERROR(__xludf.DUMMYFUNCTION("""COMPUTED_VALUE"""),"D")</f>
        <v>D</v>
      </c>
      <c r="E778" s="1" t="str">
        <f>IFERROR(__xludf.DUMMYFUNCTION("""COMPUTED_VALUE"""),"Female")</f>
        <v>Female</v>
      </c>
      <c r="F778" s="1">
        <f>IFERROR(__xludf.DUMMYFUNCTION("""COMPUTED_VALUE"""),95.0)</f>
        <v>95</v>
      </c>
      <c r="G778" s="1">
        <f>IFERROR(__xludf.DUMMYFUNCTION("""COMPUTED_VALUE"""),64.0)</f>
        <v>64</v>
      </c>
      <c r="H778" s="1">
        <f>IFERROR(__xludf.DUMMYFUNCTION("""COMPUTED_VALUE"""),69.0)</f>
        <v>69</v>
      </c>
      <c r="I778" s="1">
        <f>IFERROR(__xludf.DUMMYFUNCTION("""COMPUTED_VALUE"""),49.0)</f>
        <v>49</v>
      </c>
      <c r="J778" s="1">
        <f>IFERROR(__xludf.DUMMYFUNCTION("""COMPUTED_VALUE"""),48.0)</f>
        <v>48</v>
      </c>
      <c r="K778" s="1">
        <f>IFERROR(__xludf.DUMMYFUNCTION("""COMPUTED_VALUE"""),93.0)</f>
        <v>93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 t="str">
        <f>IFERROR(__xludf.DUMMYFUNCTION("""COMPUTED_VALUE"""),"C")</f>
        <v>C</v>
      </c>
      <c r="E779" s="1" t="str">
        <f>IFERROR(__xludf.DUMMYFUNCTION("""COMPUTED_VALUE"""),"Female")</f>
        <v>Female</v>
      </c>
      <c r="F779" s="1">
        <f>IFERROR(__xludf.DUMMYFUNCTION("""COMPUTED_VALUE"""),52.0)</f>
        <v>52</v>
      </c>
      <c r="G779" s="1">
        <f>IFERROR(__xludf.DUMMYFUNCTION("""COMPUTED_VALUE"""),51.0)</f>
        <v>51</v>
      </c>
      <c r="H779" s="1">
        <f>IFERROR(__xludf.DUMMYFUNCTION("""COMPUTED_VALUE"""),43.0)</f>
        <v>43</v>
      </c>
      <c r="I779" s="1">
        <f>IFERROR(__xludf.DUMMYFUNCTION("""COMPUTED_VALUE"""),38.0)</f>
        <v>38</v>
      </c>
      <c r="J779" s="1">
        <f>IFERROR(__xludf.DUMMYFUNCTION("""COMPUTED_VALUE"""),39.0)</f>
        <v>39</v>
      </c>
      <c r="K779" s="1">
        <f>IFERROR(__xludf.DUMMYFUNCTION("""COMPUTED_VALUE"""),43.0)</f>
        <v>43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 t="str">
        <f>IFERROR(__xludf.DUMMYFUNCTION("""COMPUTED_VALUE"""),"B")</f>
        <v>B</v>
      </c>
      <c r="E780" s="1" t="str">
        <f>IFERROR(__xludf.DUMMYFUNCTION("""COMPUTED_VALUE"""),"Male")</f>
        <v>Male</v>
      </c>
      <c r="F780" s="1">
        <f>IFERROR(__xludf.DUMMYFUNCTION("""COMPUTED_VALUE"""),92.0)</f>
        <v>92</v>
      </c>
      <c r="G780" s="1">
        <f>IFERROR(__xludf.DUMMYFUNCTION("""COMPUTED_VALUE"""),28.0)</f>
        <v>28</v>
      </c>
      <c r="H780" s="1">
        <f>IFERROR(__xludf.DUMMYFUNCTION("""COMPUTED_VALUE"""),43.0)</f>
        <v>43</v>
      </c>
      <c r="I780" s="1">
        <f>IFERROR(__xludf.DUMMYFUNCTION("""COMPUTED_VALUE"""),51.0)</f>
        <v>51</v>
      </c>
      <c r="J780" s="1">
        <f>IFERROR(__xludf.DUMMYFUNCTION("""COMPUTED_VALUE"""),69.0)</f>
        <v>69</v>
      </c>
      <c r="K780" s="1">
        <f>IFERROR(__xludf.DUMMYFUNCTION("""COMPUTED_VALUE"""),73.0)</f>
        <v>73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 t="str">
        <f>IFERROR(__xludf.DUMMYFUNCTION("""COMPUTED_VALUE"""),"A")</f>
        <v>A</v>
      </c>
      <c r="E781" s="1" t="str">
        <f>IFERROR(__xludf.DUMMYFUNCTION("""COMPUTED_VALUE"""),"Male")</f>
        <v>Male</v>
      </c>
      <c r="F781" s="1">
        <f>IFERROR(__xludf.DUMMYFUNCTION("""COMPUTED_VALUE"""),62.0)</f>
        <v>62</v>
      </c>
      <c r="G781" s="1">
        <f>IFERROR(__xludf.DUMMYFUNCTION("""COMPUTED_VALUE"""),67.0)</f>
        <v>67</v>
      </c>
      <c r="H781" s="1">
        <f>IFERROR(__xludf.DUMMYFUNCTION("""COMPUTED_VALUE"""),34.0)</f>
        <v>34</v>
      </c>
      <c r="I781" s="1">
        <f>IFERROR(__xludf.DUMMYFUNCTION("""COMPUTED_VALUE"""),34.0)</f>
        <v>34</v>
      </c>
      <c r="J781" s="1">
        <f>IFERROR(__xludf.DUMMYFUNCTION("""COMPUTED_VALUE"""),62.0)</f>
        <v>62</v>
      </c>
      <c r="K781" s="1">
        <f>IFERROR(__xludf.DUMMYFUNCTION("""COMPUTED_VALUE"""),77.0)</f>
        <v>77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 t="str">
        <f>IFERROR(__xludf.DUMMYFUNCTION("""COMPUTED_VALUE"""),"A")</f>
        <v>A</v>
      </c>
      <c r="E782" s="1" t="str">
        <f>IFERROR(__xludf.DUMMYFUNCTION("""COMPUTED_VALUE"""),"Male")</f>
        <v>Male</v>
      </c>
      <c r="F782" s="1">
        <f>IFERROR(__xludf.DUMMYFUNCTION("""COMPUTED_VALUE"""),66.0)</f>
        <v>66</v>
      </c>
      <c r="G782" s="1">
        <f>IFERROR(__xludf.DUMMYFUNCTION("""COMPUTED_VALUE"""),57.0)</f>
        <v>57</v>
      </c>
      <c r="H782" s="1">
        <f>IFERROR(__xludf.DUMMYFUNCTION("""COMPUTED_VALUE"""),76.0)</f>
        <v>76</v>
      </c>
      <c r="I782" s="1">
        <f>IFERROR(__xludf.DUMMYFUNCTION("""COMPUTED_VALUE"""),90.0)</f>
        <v>90</v>
      </c>
      <c r="J782" s="1">
        <f>IFERROR(__xludf.DUMMYFUNCTION("""COMPUTED_VALUE"""),95.0)</f>
        <v>95</v>
      </c>
      <c r="K782" s="1">
        <f>IFERROR(__xludf.DUMMYFUNCTION("""COMPUTED_VALUE"""),35.0)</f>
        <v>35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 t="str">
        <f>IFERROR(__xludf.DUMMYFUNCTION("""COMPUTED_VALUE"""),"D")</f>
        <v>D</v>
      </c>
      <c r="E783" s="1" t="str">
        <f>IFERROR(__xludf.DUMMYFUNCTION("""COMPUTED_VALUE"""),"Female")</f>
        <v>Female</v>
      </c>
      <c r="F783" s="1">
        <f>IFERROR(__xludf.DUMMYFUNCTION("""COMPUTED_VALUE"""),38.0)</f>
        <v>38</v>
      </c>
      <c r="G783" s="1">
        <f>IFERROR(__xludf.DUMMYFUNCTION("""COMPUTED_VALUE"""),63.0)</f>
        <v>63</v>
      </c>
      <c r="H783" s="1">
        <f>IFERROR(__xludf.DUMMYFUNCTION("""COMPUTED_VALUE"""),37.0)</f>
        <v>37</v>
      </c>
      <c r="I783" s="1">
        <f>IFERROR(__xludf.DUMMYFUNCTION("""COMPUTED_VALUE"""),89.0)</f>
        <v>89</v>
      </c>
      <c r="J783" s="1">
        <f>IFERROR(__xludf.DUMMYFUNCTION("""COMPUTED_VALUE"""),22.0)</f>
        <v>22</v>
      </c>
      <c r="K783" s="1">
        <f>IFERROR(__xludf.DUMMYFUNCTION("""COMPUTED_VALUE"""),69.0)</f>
        <v>69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 t="str">
        <f>IFERROR(__xludf.DUMMYFUNCTION("""COMPUTED_VALUE"""),"B")</f>
        <v>B</v>
      </c>
      <c r="E784" s="1" t="str">
        <f>IFERROR(__xludf.DUMMYFUNCTION("""COMPUTED_VALUE"""),"Female")</f>
        <v>Female</v>
      </c>
      <c r="F784" s="1">
        <f>IFERROR(__xludf.DUMMYFUNCTION("""COMPUTED_VALUE"""),83.0)</f>
        <v>83</v>
      </c>
      <c r="G784" s="1">
        <f>IFERROR(__xludf.DUMMYFUNCTION("""COMPUTED_VALUE"""),63.0)</f>
        <v>63</v>
      </c>
      <c r="H784" s="1">
        <f>IFERROR(__xludf.DUMMYFUNCTION("""COMPUTED_VALUE"""),56.0)</f>
        <v>56</v>
      </c>
      <c r="I784" s="1">
        <f>IFERROR(__xludf.DUMMYFUNCTION("""COMPUTED_VALUE"""),47.0)</f>
        <v>47</v>
      </c>
      <c r="J784" s="1">
        <f>IFERROR(__xludf.DUMMYFUNCTION("""COMPUTED_VALUE"""),50.0)</f>
        <v>50</v>
      </c>
      <c r="K784" s="1">
        <f>IFERROR(__xludf.DUMMYFUNCTION("""COMPUTED_VALUE"""),79.0)</f>
        <v>79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 t="str">
        <f>IFERROR(__xludf.DUMMYFUNCTION("""COMPUTED_VALUE"""),"B")</f>
        <v>B</v>
      </c>
      <c r="E785" s="1" t="str">
        <f>IFERROR(__xludf.DUMMYFUNCTION("""COMPUTED_VALUE"""),"Female")</f>
        <v>Female</v>
      </c>
      <c r="F785" s="1">
        <f>IFERROR(__xludf.DUMMYFUNCTION("""COMPUTED_VALUE"""),15.0)</f>
        <v>15</v>
      </c>
      <c r="G785" s="1">
        <f>IFERROR(__xludf.DUMMYFUNCTION("""COMPUTED_VALUE"""),93.0)</f>
        <v>93</v>
      </c>
      <c r="H785" s="1">
        <f>IFERROR(__xludf.DUMMYFUNCTION("""COMPUTED_VALUE"""),44.0)</f>
        <v>44</v>
      </c>
      <c r="I785" s="1">
        <f>IFERROR(__xludf.DUMMYFUNCTION("""COMPUTED_VALUE"""),47.0)</f>
        <v>47</v>
      </c>
      <c r="J785" s="1">
        <f>IFERROR(__xludf.DUMMYFUNCTION("""COMPUTED_VALUE"""),79.0)</f>
        <v>79</v>
      </c>
      <c r="K785" s="1">
        <f>IFERROR(__xludf.DUMMYFUNCTION("""COMPUTED_VALUE"""),34.0)</f>
        <v>34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 t="str">
        <f>IFERROR(__xludf.DUMMYFUNCTION("""COMPUTED_VALUE"""),"B")</f>
        <v>B</v>
      </c>
      <c r="E786" s="1" t="str">
        <f>IFERROR(__xludf.DUMMYFUNCTION("""COMPUTED_VALUE"""),"Female")</f>
        <v>Female</v>
      </c>
      <c r="F786" s="1">
        <f>IFERROR(__xludf.DUMMYFUNCTION("""COMPUTED_VALUE"""),55.0)</f>
        <v>55</v>
      </c>
      <c r="G786" s="1">
        <f>IFERROR(__xludf.DUMMYFUNCTION("""COMPUTED_VALUE"""),50.0)</f>
        <v>50</v>
      </c>
      <c r="H786" s="1">
        <f>IFERROR(__xludf.DUMMYFUNCTION("""COMPUTED_VALUE"""),37.0)</f>
        <v>37</v>
      </c>
      <c r="I786" s="1">
        <f>IFERROR(__xludf.DUMMYFUNCTION("""COMPUTED_VALUE"""),72.0)</f>
        <v>72</v>
      </c>
      <c r="J786" s="1">
        <f>IFERROR(__xludf.DUMMYFUNCTION("""COMPUTED_VALUE"""),21.0)</f>
        <v>21</v>
      </c>
      <c r="K786" s="1">
        <f>IFERROR(__xludf.DUMMYFUNCTION("""COMPUTED_VALUE"""),88.0)</f>
        <v>88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 t="str">
        <f>IFERROR(__xludf.DUMMYFUNCTION("""COMPUTED_VALUE"""),"B")</f>
        <v>B</v>
      </c>
      <c r="E787" s="1" t="str">
        <f>IFERROR(__xludf.DUMMYFUNCTION("""COMPUTED_VALUE"""),"Male")</f>
        <v>Male</v>
      </c>
      <c r="F787" s="1">
        <f>IFERROR(__xludf.DUMMYFUNCTION("""COMPUTED_VALUE"""),94.0)</f>
        <v>94</v>
      </c>
      <c r="G787" s="1">
        <f>IFERROR(__xludf.DUMMYFUNCTION("""COMPUTED_VALUE"""),45.0)</f>
        <v>45</v>
      </c>
      <c r="H787" s="1">
        <f>IFERROR(__xludf.DUMMYFUNCTION("""COMPUTED_VALUE"""),89.0)</f>
        <v>89</v>
      </c>
      <c r="I787" s="1">
        <f>IFERROR(__xludf.DUMMYFUNCTION("""COMPUTED_VALUE"""),45.0)</f>
        <v>45</v>
      </c>
      <c r="J787" s="1">
        <f>IFERROR(__xludf.DUMMYFUNCTION("""COMPUTED_VALUE"""),20.0)</f>
        <v>20</v>
      </c>
      <c r="K787" s="1">
        <f>IFERROR(__xludf.DUMMYFUNCTION("""COMPUTED_VALUE"""),37.0)</f>
        <v>37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 t="str">
        <f>IFERROR(__xludf.DUMMYFUNCTION("""COMPUTED_VALUE"""),"C")</f>
        <v>C</v>
      </c>
      <c r="E788" s="1" t="str">
        <f>IFERROR(__xludf.DUMMYFUNCTION("""COMPUTED_VALUE"""),"Female")</f>
        <v>Female</v>
      </c>
      <c r="F788" s="1">
        <f>IFERROR(__xludf.DUMMYFUNCTION("""COMPUTED_VALUE"""),61.0)</f>
        <v>61</v>
      </c>
      <c r="G788" s="1">
        <f>IFERROR(__xludf.DUMMYFUNCTION("""COMPUTED_VALUE"""),39.0)</f>
        <v>39</v>
      </c>
      <c r="H788" s="1">
        <f>IFERROR(__xludf.DUMMYFUNCTION("""COMPUTED_VALUE"""),33.0)</f>
        <v>33</v>
      </c>
      <c r="I788" s="1">
        <f>IFERROR(__xludf.DUMMYFUNCTION("""COMPUTED_VALUE"""),62.0)</f>
        <v>62</v>
      </c>
      <c r="J788" s="1">
        <f>IFERROR(__xludf.DUMMYFUNCTION("""COMPUTED_VALUE"""),56.0)</f>
        <v>56</v>
      </c>
      <c r="K788" s="1">
        <f>IFERROR(__xludf.DUMMYFUNCTION("""COMPUTED_VALUE"""),56.0)</f>
        <v>56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 t="str">
        <f>IFERROR(__xludf.DUMMYFUNCTION("""COMPUTED_VALUE"""),"A")</f>
        <v>A</v>
      </c>
      <c r="E789" s="1" t="str">
        <f>IFERROR(__xludf.DUMMYFUNCTION("""COMPUTED_VALUE"""),"Male")</f>
        <v>Male</v>
      </c>
      <c r="F789" s="1">
        <f>IFERROR(__xludf.DUMMYFUNCTION("""COMPUTED_VALUE"""),78.0)</f>
        <v>78</v>
      </c>
      <c r="G789" s="1">
        <f>IFERROR(__xludf.DUMMYFUNCTION("""COMPUTED_VALUE"""),63.0)</f>
        <v>63</v>
      </c>
      <c r="H789" s="1">
        <f>IFERROR(__xludf.DUMMYFUNCTION("""COMPUTED_VALUE"""),34.0)</f>
        <v>34</v>
      </c>
      <c r="I789" s="1">
        <f>IFERROR(__xludf.DUMMYFUNCTION("""COMPUTED_VALUE"""),82.0)</f>
        <v>82</v>
      </c>
      <c r="J789" s="1">
        <f>IFERROR(__xludf.DUMMYFUNCTION("""COMPUTED_VALUE"""),21.0)</f>
        <v>21</v>
      </c>
      <c r="K789" s="1">
        <f>IFERROR(__xludf.DUMMYFUNCTION("""COMPUTED_VALUE"""),63.0)</f>
        <v>63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 t="str">
        <f>IFERROR(__xludf.DUMMYFUNCTION("""COMPUTED_VALUE"""),"D")</f>
        <v>D</v>
      </c>
      <c r="E790" s="1" t="str">
        <f>IFERROR(__xludf.DUMMYFUNCTION("""COMPUTED_VALUE"""),"Female")</f>
        <v>Female</v>
      </c>
      <c r="F790" s="1">
        <f>IFERROR(__xludf.DUMMYFUNCTION("""COMPUTED_VALUE"""),39.0)</f>
        <v>39</v>
      </c>
      <c r="G790" s="1">
        <f>IFERROR(__xludf.DUMMYFUNCTION("""COMPUTED_VALUE"""),46.0)</f>
        <v>46</v>
      </c>
      <c r="H790" s="1">
        <f>IFERROR(__xludf.DUMMYFUNCTION("""COMPUTED_VALUE"""),21.0)</f>
        <v>21</v>
      </c>
      <c r="I790" s="1">
        <f>IFERROR(__xludf.DUMMYFUNCTION("""COMPUTED_VALUE"""),62.0)</f>
        <v>62</v>
      </c>
      <c r="J790" s="1">
        <f>IFERROR(__xludf.DUMMYFUNCTION("""COMPUTED_VALUE"""),87.0)</f>
        <v>87</v>
      </c>
      <c r="K790" s="1">
        <f>IFERROR(__xludf.DUMMYFUNCTION("""COMPUTED_VALUE"""),36.0)</f>
        <v>36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 t="str">
        <f>IFERROR(__xludf.DUMMYFUNCTION("""COMPUTED_VALUE"""),"A")</f>
        <v>A</v>
      </c>
      <c r="E791" s="1" t="str">
        <f>IFERROR(__xludf.DUMMYFUNCTION("""COMPUTED_VALUE"""),"Female")</f>
        <v>Female</v>
      </c>
      <c r="F791" s="1">
        <f>IFERROR(__xludf.DUMMYFUNCTION("""COMPUTED_VALUE"""),37.0)</f>
        <v>37</v>
      </c>
      <c r="G791" s="1">
        <f>IFERROR(__xludf.DUMMYFUNCTION("""COMPUTED_VALUE"""),85.0)</f>
        <v>85</v>
      </c>
      <c r="H791" s="1">
        <f>IFERROR(__xludf.DUMMYFUNCTION("""COMPUTED_VALUE"""),49.0)</f>
        <v>49</v>
      </c>
      <c r="I791" s="1">
        <f>IFERROR(__xludf.DUMMYFUNCTION("""COMPUTED_VALUE"""),54.0)</f>
        <v>54</v>
      </c>
      <c r="J791" s="1">
        <f>IFERROR(__xludf.DUMMYFUNCTION("""COMPUTED_VALUE"""),97.0)</f>
        <v>97</v>
      </c>
      <c r="K791" s="1">
        <f>IFERROR(__xludf.DUMMYFUNCTION("""COMPUTED_VALUE"""),25.0)</f>
        <v>25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 t="str">
        <f>IFERROR(__xludf.DUMMYFUNCTION("""COMPUTED_VALUE"""),"D")</f>
        <v>D</v>
      </c>
      <c r="E792" s="1" t="str">
        <f>IFERROR(__xludf.DUMMYFUNCTION("""COMPUTED_VALUE"""),"Male")</f>
        <v>Male</v>
      </c>
      <c r="F792" s="1">
        <f>IFERROR(__xludf.DUMMYFUNCTION("""COMPUTED_VALUE"""),43.0)</f>
        <v>43</v>
      </c>
      <c r="G792" s="1">
        <f>IFERROR(__xludf.DUMMYFUNCTION("""COMPUTED_VALUE"""),35.0)</f>
        <v>35</v>
      </c>
      <c r="H792" s="1">
        <f>IFERROR(__xludf.DUMMYFUNCTION("""COMPUTED_VALUE"""),37.0)</f>
        <v>37</v>
      </c>
      <c r="I792" s="1">
        <f>IFERROR(__xludf.DUMMYFUNCTION("""COMPUTED_VALUE"""),83.0)</f>
        <v>83</v>
      </c>
      <c r="J792" s="1">
        <f>IFERROR(__xludf.DUMMYFUNCTION("""COMPUTED_VALUE"""),53.0)</f>
        <v>53</v>
      </c>
      <c r="K792" s="1">
        <f>IFERROR(__xludf.DUMMYFUNCTION("""COMPUTED_VALUE"""),43.0)</f>
        <v>43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 t="str">
        <f>IFERROR(__xludf.DUMMYFUNCTION("""COMPUTED_VALUE"""),"B")</f>
        <v>B</v>
      </c>
      <c r="E793" s="1" t="str">
        <f>IFERROR(__xludf.DUMMYFUNCTION("""COMPUTED_VALUE"""),"Female")</f>
        <v>Female</v>
      </c>
      <c r="F793" s="1">
        <f>IFERROR(__xludf.DUMMYFUNCTION("""COMPUTED_VALUE"""),50.0)</f>
        <v>50</v>
      </c>
      <c r="G793" s="1">
        <f>IFERROR(__xludf.DUMMYFUNCTION("""COMPUTED_VALUE"""),28.0)</f>
        <v>28</v>
      </c>
      <c r="H793" s="1">
        <f>IFERROR(__xludf.DUMMYFUNCTION("""COMPUTED_VALUE"""),80.0)</f>
        <v>80</v>
      </c>
      <c r="I793" s="1">
        <f>IFERROR(__xludf.DUMMYFUNCTION("""COMPUTED_VALUE"""),50.0)</f>
        <v>50</v>
      </c>
      <c r="J793" s="1">
        <f>IFERROR(__xludf.DUMMYFUNCTION("""COMPUTED_VALUE"""),91.0)</f>
        <v>91</v>
      </c>
      <c r="K793" s="1">
        <f>IFERROR(__xludf.DUMMYFUNCTION("""COMPUTED_VALUE"""),42.0)</f>
        <v>42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 t="str">
        <f>IFERROR(__xludf.DUMMYFUNCTION("""COMPUTED_VALUE"""),"C")</f>
        <v>C</v>
      </c>
      <c r="E794" s="1" t="str">
        <f>IFERROR(__xludf.DUMMYFUNCTION("""COMPUTED_VALUE"""),"Female")</f>
        <v>Female</v>
      </c>
      <c r="F794" s="1">
        <f>IFERROR(__xludf.DUMMYFUNCTION("""COMPUTED_VALUE"""),90.0)</f>
        <v>90</v>
      </c>
      <c r="G794" s="1">
        <f>IFERROR(__xludf.DUMMYFUNCTION("""COMPUTED_VALUE"""),39.0)</f>
        <v>39</v>
      </c>
      <c r="H794" s="1">
        <f>IFERROR(__xludf.DUMMYFUNCTION("""COMPUTED_VALUE"""),50.0)</f>
        <v>50</v>
      </c>
      <c r="I794" s="1">
        <f>IFERROR(__xludf.DUMMYFUNCTION("""COMPUTED_VALUE"""),99.0)</f>
        <v>99</v>
      </c>
      <c r="J794" s="1">
        <f>IFERROR(__xludf.DUMMYFUNCTION("""COMPUTED_VALUE"""),40.0)</f>
        <v>40</v>
      </c>
      <c r="K794" s="1">
        <f>IFERROR(__xludf.DUMMYFUNCTION("""COMPUTED_VALUE"""),55.0)</f>
        <v>55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 t="str">
        <f>IFERROR(__xludf.DUMMYFUNCTION("""COMPUTED_VALUE"""),"D")</f>
        <v>D</v>
      </c>
      <c r="E795" s="1" t="str">
        <f>IFERROR(__xludf.DUMMYFUNCTION("""COMPUTED_VALUE"""),"Male")</f>
        <v>Male</v>
      </c>
      <c r="F795" s="1">
        <f>IFERROR(__xludf.DUMMYFUNCTION("""COMPUTED_VALUE"""),93.0)</f>
        <v>93</v>
      </c>
      <c r="G795" s="1">
        <f>IFERROR(__xludf.DUMMYFUNCTION("""COMPUTED_VALUE"""),88.0)</f>
        <v>88</v>
      </c>
      <c r="H795" s="1">
        <f>IFERROR(__xludf.DUMMYFUNCTION("""COMPUTED_VALUE"""),65.0)</f>
        <v>65</v>
      </c>
      <c r="I795" s="1">
        <f>IFERROR(__xludf.DUMMYFUNCTION("""COMPUTED_VALUE"""),28.0)</f>
        <v>28</v>
      </c>
      <c r="J795" s="1">
        <f>IFERROR(__xludf.DUMMYFUNCTION("""COMPUTED_VALUE"""),83.0)</f>
        <v>83</v>
      </c>
      <c r="K795" s="1">
        <f>IFERROR(__xludf.DUMMYFUNCTION("""COMPUTED_VALUE"""),32.0)</f>
        <v>32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 t="str">
        <f>IFERROR(__xludf.DUMMYFUNCTION("""COMPUTED_VALUE"""),"B")</f>
        <v>B</v>
      </c>
      <c r="E796" s="1" t="str">
        <f>IFERROR(__xludf.DUMMYFUNCTION("""COMPUTED_VALUE"""),"Male")</f>
        <v>Male</v>
      </c>
      <c r="F796" s="1">
        <f>IFERROR(__xludf.DUMMYFUNCTION("""COMPUTED_VALUE"""),65.0)</f>
        <v>65</v>
      </c>
      <c r="G796" s="1">
        <f>IFERROR(__xludf.DUMMYFUNCTION("""COMPUTED_VALUE"""),36.0)</f>
        <v>36</v>
      </c>
      <c r="H796" s="1">
        <f>IFERROR(__xludf.DUMMYFUNCTION("""COMPUTED_VALUE"""),55.0)</f>
        <v>55</v>
      </c>
      <c r="I796" s="1">
        <f>IFERROR(__xludf.DUMMYFUNCTION("""COMPUTED_VALUE"""),47.0)</f>
        <v>47</v>
      </c>
      <c r="J796" s="1">
        <f>IFERROR(__xludf.DUMMYFUNCTION("""COMPUTED_VALUE"""),50.0)</f>
        <v>50</v>
      </c>
      <c r="K796" s="1">
        <f>IFERROR(__xludf.DUMMYFUNCTION("""COMPUTED_VALUE"""),36.0)</f>
        <v>36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 t="str">
        <f>IFERROR(__xludf.DUMMYFUNCTION("""COMPUTED_VALUE"""),"B")</f>
        <v>B</v>
      </c>
      <c r="E797" s="1" t="str">
        <f>IFERROR(__xludf.DUMMYFUNCTION("""COMPUTED_VALUE"""),"Male")</f>
        <v>Male</v>
      </c>
      <c r="F797" s="1">
        <f>IFERROR(__xludf.DUMMYFUNCTION("""COMPUTED_VALUE"""),30.0)</f>
        <v>30</v>
      </c>
      <c r="G797" s="1">
        <f>IFERROR(__xludf.DUMMYFUNCTION("""COMPUTED_VALUE"""),31.0)</f>
        <v>31</v>
      </c>
      <c r="H797" s="1">
        <f>IFERROR(__xludf.DUMMYFUNCTION("""COMPUTED_VALUE"""),63.0)</f>
        <v>63</v>
      </c>
      <c r="I797" s="1">
        <f>IFERROR(__xludf.DUMMYFUNCTION("""COMPUTED_VALUE"""),57.0)</f>
        <v>57</v>
      </c>
      <c r="J797" s="1">
        <f>IFERROR(__xludf.DUMMYFUNCTION("""COMPUTED_VALUE"""),84.0)</f>
        <v>84</v>
      </c>
      <c r="K797" s="1">
        <f>IFERROR(__xludf.DUMMYFUNCTION("""COMPUTED_VALUE"""),61.0)</f>
        <v>61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 t="str">
        <f>IFERROR(__xludf.DUMMYFUNCTION("""COMPUTED_VALUE"""),"B")</f>
        <v>B</v>
      </c>
      <c r="E798" s="1" t="str">
        <f>IFERROR(__xludf.DUMMYFUNCTION("""COMPUTED_VALUE"""),"Male")</f>
        <v>Male</v>
      </c>
      <c r="F798" s="1">
        <f>IFERROR(__xludf.DUMMYFUNCTION("""COMPUTED_VALUE"""),88.0)</f>
        <v>88</v>
      </c>
      <c r="G798" s="1">
        <f>IFERROR(__xludf.DUMMYFUNCTION("""COMPUTED_VALUE"""),65.0)</f>
        <v>65</v>
      </c>
      <c r="H798" s="1">
        <f>IFERROR(__xludf.DUMMYFUNCTION("""COMPUTED_VALUE"""),94.0)</f>
        <v>94</v>
      </c>
      <c r="I798" s="1">
        <f>IFERROR(__xludf.DUMMYFUNCTION("""COMPUTED_VALUE"""),23.0)</f>
        <v>23</v>
      </c>
      <c r="J798" s="1">
        <f>IFERROR(__xludf.DUMMYFUNCTION("""COMPUTED_VALUE"""),25.0)</f>
        <v>25</v>
      </c>
      <c r="K798" s="1">
        <f>IFERROR(__xludf.DUMMYFUNCTION("""COMPUTED_VALUE"""),23.0)</f>
        <v>23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 t="str">
        <f>IFERROR(__xludf.DUMMYFUNCTION("""COMPUTED_VALUE"""),"B")</f>
        <v>B</v>
      </c>
      <c r="E799" s="1" t="str">
        <f>IFERROR(__xludf.DUMMYFUNCTION("""COMPUTED_VALUE"""),"Male")</f>
        <v>Male</v>
      </c>
      <c r="F799" s="1">
        <f>IFERROR(__xludf.DUMMYFUNCTION("""COMPUTED_VALUE"""),14.0)</f>
        <v>14</v>
      </c>
      <c r="G799" s="1">
        <f>IFERROR(__xludf.DUMMYFUNCTION("""COMPUTED_VALUE"""),51.0)</f>
        <v>51</v>
      </c>
      <c r="H799" s="1">
        <f>IFERROR(__xludf.DUMMYFUNCTION("""COMPUTED_VALUE"""),27.0)</f>
        <v>27</v>
      </c>
      <c r="I799" s="1">
        <f>IFERROR(__xludf.DUMMYFUNCTION("""COMPUTED_VALUE"""),75.0)</f>
        <v>75</v>
      </c>
      <c r="J799" s="1">
        <f>IFERROR(__xludf.DUMMYFUNCTION("""COMPUTED_VALUE"""),57.0)</f>
        <v>57</v>
      </c>
      <c r="K799" s="1">
        <f>IFERROR(__xludf.DUMMYFUNCTION("""COMPUTED_VALUE"""),72.0)</f>
        <v>72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 t="str">
        <f>IFERROR(__xludf.DUMMYFUNCTION("""COMPUTED_VALUE"""),"C")</f>
        <v>C</v>
      </c>
      <c r="E800" s="1" t="str">
        <f>IFERROR(__xludf.DUMMYFUNCTION("""COMPUTED_VALUE"""),"Male")</f>
        <v>Male</v>
      </c>
      <c r="F800" s="1">
        <f>IFERROR(__xludf.DUMMYFUNCTION("""COMPUTED_VALUE"""),25.0)</f>
        <v>25</v>
      </c>
      <c r="G800" s="1">
        <f>IFERROR(__xludf.DUMMYFUNCTION("""COMPUTED_VALUE"""),90.0)</f>
        <v>90</v>
      </c>
      <c r="H800" s="1">
        <f>IFERROR(__xludf.DUMMYFUNCTION("""COMPUTED_VALUE"""),66.0)</f>
        <v>66</v>
      </c>
      <c r="I800" s="1">
        <f>IFERROR(__xludf.DUMMYFUNCTION("""COMPUTED_VALUE"""),88.0)</f>
        <v>88</v>
      </c>
      <c r="J800" s="1">
        <f>IFERROR(__xludf.DUMMYFUNCTION("""COMPUTED_VALUE"""),73.0)</f>
        <v>73</v>
      </c>
      <c r="K800" s="1">
        <f>IFERROR(__xludf.DUMMYFUNCTION("""COMPUTED_VALUE"""),75.0)</f>
        <v>75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 t="str">
        <f>IFERROR(__xludf.DUMMYFUNCTION("""COMPUTED_VALUE"""),"B")</f>
        <v>B</v>
      </c>
      <c r="E801" s="1" t="str">
        <f>IFERROR(__xludf.DUMMYFUNCTION("""COMPUTED_VALUE"""),"Female")</f>
        <v>Female</v>
      </c>
      <c r="F801" s="1">
        <f>IFERROR(__xludf.DUMMYFUNCTION("""COMPUTED_VALUE"""),97.0)</f>
        <v>97</v>
      </c>
      <c r="G801" s="1">
        <f>IFERROR(__xludf.DUMMYFUNCTION("""COMPUTED_VALUE"""),95.0)</f>
        <v>95</v>
      </c>
      <c r="H801" s="1">
        <f>IFERROR(__xludf.DUMMYFUNCTION("""COMPUTED_VALUE"""),42.0)</f>
        <v>42</v>
      </c>
      <c r="I801" s="1">
        <f>IFERROR(__xludf.DUMMYFUNCTION("""COMPUTED_VALUE"""),60.0)</f>
        <v>60</v>
      </c>
      <c r="J801" s="1">
        <f>IFERROR(__xludf.DUMMYFUNCTION("""COMPUTED_VALUE"""),63.0)</f>
        <v>63</v>
      </c>
      <c r="K801" s="1">
        <f>IFERROR(__xludf.DUMMYFUNCTION("""COMPUTED_VALUE"""),59.0)</f>
        <v>59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 t="str">
        <f>IFERROR(__xludf.DUMMYFUNCTION("""COMPUTED_VALUE"""),"A")</f>
        <v>A</v>
      </c>
      <c r="E802" s="1" t="str">
        <f>IFERROR(__xludf.DUMMYFUNCTION("""COMPUTED_VALUE"""),"Female")</f>
        <v>Female</v>
      </c>
      <c r="F802" s="1">
        <f>IFERROR(__xludf.DUMMYFUNCTION("""COMPUTED_VALUE"""),20.0)</f>
        <v>20</v>
      </c>
      <c r="G802" s="1">
        <f>IFERROR(__xludf.DUMMYFUNCTION("""COMPUTED_VALUE"""),32.0)</f>
        <v>32</v>
      </c>
      <c r="H802" s="1">
        <f>IFERROR(__xludf.DUMMYFUNCTION("""COMPUTED_VALUE"""),60.0)</f>
        <v>60</v>
      </c>
      <c r="I802" s="1">
        <f>IFERROR(__xludf.DUMMYFUNCTION("""COMPUTED_VALUE"""),58.0)</f>
        <v>58</v>
      </c>
      <c r="J802" s="1">
        <f>IFERROR(__xludf.DUMMYFUNCTION("""COMPUTED_VALUE"""),71.0)</f>
        <v>71</v>
      </c>
      <c r="K802" s="1">
        <f>IFERROR(__xludf.DUMMYFUNCTION("""COMPUTED_VALUE"""),72.0)</f>
        <v>72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 t="str">
        <f>IFERROR(__xludf.DUMMYFUNCTION("""COMPUTED_VALUE"""),"B")</f>
        <v>B</v>
      </c>
      <c r="E803" s="1" t="str">
        <f>IFERROR(__xludf.DUMMYFUNCTION("""COMPUTED_VALUE"""),"Male")</f>
        <v>Male</v>
      </c>
      <c r="F803" s="1">
        <f>IFERROR(__xludf.DUMMYFUNCTION("""COMPUTED_VALUE"""),25.0)</f>
        <v>25</v>
      </c>
      <c r="G803" s="1">
        <f>IFERROR(__xludf.DUMMYFUNCTION("""COMPUTED_VALUE"""),78.0)</f>
        <v>78</v>
      </c>
      <c r="H803" s="1">
        <f>IFERROR(__xludf.DUMMYFUNCTION("""COMPUTED_VALUE"""),63.0)</f>
        <v>63</v>
      </c>
      <c r="I803" s="1">
        <f>IFERROR(__xludf.DUMMYFUNCTION("""COMPUTED_VALUE"""),55.0)</f>
        <v>55</v>
      </c>
      <c r="J803" s="1">
        <f>IFERROR(__xludf.DUMMYFUNCTION("""COMPUTED_VALUE"""),52.0)</f>
        <v>52</v>
      </c>
      <c r="K803" s="1">
        <f>IFERROR(__xludf.DUMMYFUNCTION("""COMPUTED_VALUE"""),74.0)</f>
        <v>74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 t="str">
        <f>IFERROR(__xludf.DUMMYFUNCTION("""COMPUTED_VALUE"""),"B")</f>
        <v>B</v>
      </c>
      <c r="E804" s="1" t="str">
        <f>IFERROR(__xludf.DUMMYFUNCTION("""COMPUTED_VALUE"""),"Male")</f>
        <v>Male</v>
      </c>
      <c r="F804" s="1">
        <f>IFERROR(__xludf.DUMMYFUNCTION("""COMPUTED_VALUE"""),27.0)</f>
        <v>27</v>
      </c>
      <c r="G804" s="1">
        <f>IFERROR(__xludf.DUMMYFUNCTION("""COMPUTED_VALUE"""),37.0)</f>
        <v>37</v>
      </c>
      <c r="H804" s="1">
        <f>IFERROR(__xludf.DUMMYFUNCTION("""COMPUTED_VALUE"""),73.0)</f>
        <v>73</v>
      </c>
      <c r="I804" s="1">
        <f>IFERROR(__xludf.DUMMYFUNCTION("""COMPUTED_VALUE"""),80.0)</f>
        <v>80</v>
      </c>
      <c r="J804" s="1">
        <f>IFERROR(__xludf.DUMMYFUNCTION("""COMPUTED_VALUE"""),65.0)</f>
        <v>65</v>
      </c>
      <c r="K804" s="1">
        <f>IFERROR(__xludf.DUMMYFUNCTION("""COMPUTED_VALUE"""),68.0)</f>
        <v>68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 t="str">
        <f>IFERROR(__xludf.DUMMYFUNCTION("""COMPUTED_VALUE"""),"D")</f>
        <v>D</v>
      </c>
      <c r="E805" s="1" t="str">
        <f>IFERROR(__xludf.DUMMYFUNCTION("""COMPUTED_VALUE"""),"Male")</f>
        <v>Male</v>
      </c>
      <c r="F805" s="1">
        <f>IFERROR(__xludf.DUMMYFUNCTION("""COMPUTED_VALUE"""),43.0)</f>
        <v>43</v>
      </c>
      <c r="G805" s="1">
        <f>IFERROR(__xludf.DUMMYFUNCTION("""COMPUTED_VALUE"""),20.0)</f>
        <v>20</v>
      </c>
      <c r="H805" s="1">
        <f>IFERROR(__xludf.DUMMYFUNCTION("""COMPUTED_VALUE"""),74.0)</f>
        <v>74</v>
      </c>
      <c r="I805" s="1">
        <f>IFERROR(__xludf.DUMMYFUNCTION("""COMPUTED_VALUE"""),93.0)</f>
        <v>93</v>
      </c>
      <c r="J805" s="1">
        <f>IFERROR(__xludf.DUMMYFUNCTION("""COMPUTED_VALUE"""),36.0)</f>
        <v>36</v>
      </c>
      <c r="K805" s="1">
        <f>IFERROR(__xludf.DUMMYFUNCTION("""COMPUTED_VALUE"""),68.0)</f>
        <v>68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 t="str">
        <f>IFERROR(__xludf.DUMMYFUNCTION("""COMPUTED_VALUE"""),"C")</f>
        <v>C</v>
      </c>
      <c r="E806" s="1" t="str">
        <f>IFERROR(__xludf.DUMMYFUNCTION("""COMPUTED_VALUE"""),"Female")</f>
        <v>Female</v>
      </c>
      <c r="F806" s="1">
        <f>IFERROR(__xludf.DUMMYFUNCTION("""COMPUTED_VALUE"""),16.0)</f>
        <v>16</v>
      </c>
      <c r="G806" s="1">
        <f>IFERROR(__xludf.DUMMYFUNCTION("""COMPUTED_VALUE"""),84.0)</f>
        <v>84</v>
      </c>
      <c r="H806" s="1">
        <f>IFERROR(__xludf.DUMMYFUNCTION("""COMPUTED_VALUE"""),41.0)</f>
        <v>41</v>
      </c>
      <c r="I806" s="1">
        <f>IFERROR(__xludf.DUMMYFUNCTION("""COMPUTED_VALUE"""),27.0)</f>
        <v>27</v>
      </c>
      <c r="J806" s="1">
        <f>IFERROR(__xludf.DUMMYFUNCTION("""COMPUTED_VALUE"""),63.0)</f>
        <v>63</v>
      </c>
      <c r="K806" s="1">
        <f>IFERROR(__xludf.DUMMYFUNCTION("""COMPUTED_VALUE"""),36.0)</f>
        <v>36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 t="str">
        <f>IFERROR(__xludf.DUMMYFUNCTION("""COMPUTED_VALUE"""),"B")</f>
        <v>B</v>
      </c>
      <c r="E807" s="1" t="str">
        <f>IFERROR(__xludf.DUMMYFUNCTION("""COMPUTED_VALUE"""),"Female")</f>
        <v>Female</v>
      </c>
      <c r="F807" s="1">
        <f>IFERROR(__xludf.DUMMYFUNCTION("""COMPUTED_VALUE"""),17.0)</f>
        <v>17</v>
      </c>
      <c r="G807" s="1">
        <f>IFERROR(__xludf.DUMMYFUNCTION("""COMPUTED_VALUE"""),53.0)</f>
        <v>53</v>
      </c>
      <c r="H807" s="1">
        <f>IFERROR(__xludf.DUMMYFUNCTION("""COMPUTED_VALUE"""),32.0)</f>
        <v>32</v>
      </c>
      <c r="I807" s="1">
        <f>IFERROR(__xludf.DUMMYFUNCTION("""COMPUTED_VALUE"""),53.0)</f>
        <v>53</v>
      </c>
      <c r="J807" s="1">
        <f>IFERROR(__xludf.DUMMYFUNCTION("""COMPUTED_VALUE"""),31.0)</f>
        <v>31</v>
      </c>
      <c r="K807" s="1">
        <f>IFERROR(__xludf.DUMMYFUNCTION("""COMPUTED_VALUE"""),46.0)</f>
        <v>46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 t="str">
        <f>IFERROR(__xludf.DUMMYFUNCTION("""COMPUTED_VALUE"""),"D")</f>
        <v>D</v>
      </c>
      <c r="E808" s="1" t="str">
        <f>IFERROR(__xludf.DUMMYFUNCTION("""COMPUTED_VALUE"""),"Female")</f>
        <v>Female</v>
      </c>
      <c r="F808" s="1">
        <f>IFERROR(__xludf.DUMMYFUNCTION("""COMPUTED_VALUE"""),45.0)</f>
        <v>45</v>
      </c>
      <c r="G808" s="1">
        <f>IFERROR(__xludf.DUMMYFUNCTION("""COMPUTED_VALUE"""),97.0)</f>
        <v>97</v>
      </c>
      <c r="H808" s="1">
        <f>IFERROR(__xludf.DUMMYFUNCTION("""COMPUTED_VALUE"""),45.0)</f>
        <v>45</v>
      </c>
      <c r="I808" s="1">
        <f>IFERROR(__xludf.DUMMYFUNCTION("""COMPUTED_VALUE"""),44.0)</f>
        <v>44</v>
      </c>
      <c r="J808" s="1">
        <f>IFERROR(__xludf.DUMMYFUNCTION("""COMPUTED_VALUE"""),98.0)</f>
        <v>98</v>
      </c>
      <c r="K808" s="1">
        <f>IFERROR(__xludf.DUMMYFUNCTION("""COMPUTED_VALUE"""),73.0)</f>
        <v>73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 t="str">
        <f>IFERROR(__xludf.DUMMYFUNCTION("""COMPUTED_VALUE"""),"D")</f>
        <v>D</v>
      </c>
      <c r="E809" s="1" t="str">
        <f>IFERROR(__xludf.DUMMYFUNCTION("""COMPUTED_VALUE"""),"Male")</f>
        <v>Male</v>
      </c>
      <c r="F809" s="1">
        <f>IFERROR(__xludf.DUMMYFUNCTION("""COMPUTED_VALUE"""),23.0)</f>
        <v>23</v>
      </c>
      <c r="G809" s="1">
        <f>IFERROR(__xludf.DUMMYFUNCTION("""COMPUTED_VALUE"""),47.0)</f>
        <v>47</v>
      </c>
      <c r="H809" s="1">
        <f>IFERROR(__xludf.DUMMYFUNCTION("""COMPUTED_VALUE"""),97.0)</f>
        <v>97</v>
      </c>
      <c r="I809" s="1">
        <f>IFERROR(__xludf.DUMMYFUNCTION("""COMPUTED_VALUE"""),76.0)</f>
        <v>76</v>
      </c>
      <c r="J809" s="1">
        <f>IFERROR(__xludf.DUMMYFUNCTION("""COMPUTED_VALUE"""),93.0)</f>
        <v>93</v>
      </c>
      <c r="K809" s="1">
        <f>IFERROR(__xludf.DUMMYFUNCTION("""COMPUTED_VALUE"""),82.0)</f>
        <v>82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 t="str">
        <f>IFERROR(__xludf.DUMMYFUNCTION("""COMPUTED_VALUE"""),"B")</f>
        <v>B</v>
      </c>
      <c r="E810" s="1" t="str">
        <f>IFERROR(__xludf.DUMMYFUNCTION("""COMPUTED_VALUE"""),"Male")</f>
        <v>Male</v>
      </c>
      <c r="F810" s="1">
        <f>IFERROR(__xludf.DUMMYFUNCTION("""COMPUTED_VALUE"""),66.0)</f>
        <v>66</v>
      </c>
      <c r="G810" s="1">
        <f>IFERROR(__xludf.DUMMYFUNCTION("""COMPUTED_VALUE"""),35.0)</f>
        <v>35</v>
      </c>
      <c r="H810" s="1">
        <f>IFERROR(__xludf.DUMMYFUNCTION("""COMPUTED_VALUE"""),98.0)</f>
        <v>98</v>
      </c>
      <c r="I810" s="1">
        <f>IFERROR(__xludf.DUMMYFUNCTION("""COMPUTED_VALUE"""),83.0)</f>
        <v>83</v>
      </c>
      <c r="J810" s="1">
        <f>IFERROR(__xludf.DUMMYFUNCTION("""COMPUTED_VALUE"""),81.0)</f>
        <v>81</v>
      </c>
      <c r="K810" s="1">
        <f>IFERROR(__xludf.DUMMYFUNCTION("""COMPUTED_VALUE"""),32.0)</f>
        <v>32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 t="str">
        <f>IFERROR(__xludf.DUMMYFUNCTION("""COMPUTED_VALUE"""),"A")</f>
        <v>A</v>
      </c>
      <c r="E811" s="1" t="str">
        <f>IFERROR(__xludf.DUMMYFUNCTION("""COMPUTED_VALUE"""),"Male")</f>
        <v>Male</v>
      </c>
      <c r="F811" s="1">
        <f>IFERROR(__xludf.DUMMYFUNCTION("""COMPUTED_VALUE"""),97.0)</f>
        <v>97</v>
      </c>
      <c r="G811" s="1">
        <f>IFERROR(__xludf.DUMMYFUNCTION("""COMPUTED_VALUE"""),38.0)</f>
        <v>38</v>
      </c>
      <c r="H811" s="1">
        <f>IFERROR(__xludf.DUMMYFUNCTION("""COMPUTED_VALUE"""),69.0)</f>
        <v>69</v>
      </c>
      <c r="I811" s="1">
        <f>IFERROR(__xludf.DUMMYFUNCTION("""COMPUTED_VALUE"""),41.0)</f>
        <v>41</v>
      </c>
      <c r="J811" s="1">
        <f>IFERROR(__xludf.DUMMYFUNCTION("""COMPUTED_VALUE"""),44.0)</f>
        <v>44</v>
      </c>
      <c r="K811" s="1">
        <f>IFERROR(__xludf.DUMMYFUNCTION("""COMPUTED_VALUE"""),22.0)</f>
        <v>22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 t="str">
        <f>IFERROR(__xludf.DUMMYFUNCTION("""COMPUTED_VALUE"""),"D")</f>
        <v>D</v>
      </c>
      <c r="E812" s="1" t="str">
        <f>IFERROR(__xludf.DUMMYFUNCTION("""COMPUTED_VALUE"""),"Female")</f>
        <v>Female</v>
      </c>
      <c r="F812" s="1">
        <f>IFERROR(__xludf.DUMMYFUNCTION("""COMPUTED_VALUE"""),71.0)</f>
        <v>71</v>
      </c>
      <c r="G812" s="1">
        <f>IFERROR(__xludf.DUMMYFUNCTION("""COMPUTED_VALUE"""),55.0)</f>
        <v>55</v>
      </c>
      <c r="H812" s="1">
        <f>IFERROR(__xludf.DUMMYFUNCTION("""COMPUTED_VALUE"""),33.0)</f>
        <v>33</v>
      </c>
      <c r="I812" s="1">
        <f>IFERROR(__xludf.DUMMYFUNCTION("""COMPUTED_VALUE"""),90.0)</f>
        <v>90</v>
      </c>
      <c r="J812" s="1">
        <f>IFERROR(__xludf.DUMMYFUNCTION("""COMPUTED_VALUE"""),41.0)</f>
        <v>41</v>
      </c>
      <c r="K812" s="1">
        <f>IFERROR(__xludf.DUMMYFUNCTION("""COMPUTED_VALUE"""),31.0)</f>
        <v>31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 t="str">
        <f>IFERROR(__xludf.DUMMYFUNCTION("""COMPUTED_VALUE"""),"A")</f>
        <v>A</v>
      </c>
      <c r="E813" s="1" t="str">
        <f>IFERROR(__xludf.DUMMYFUNCTION("""COMPUTED_VALUE"""),"Male")</f>
        <v>Male</v>
      </c>
      <c r="F813" s="1">
        <f>IFERROR(__xludf.DUMMYFUNCTION("""COMPUTED_VALUE"""),81.0)</f>
        <v>81</v>
      </c>
      <c r="G813" s="1">
        <f>IFERROR(__xludf.DUMMYFUNCTION("""COMPUTED_VALUE"""),87.0)</f>
        <v>87</v>
      </c>
      <c r="H813" s="1">
        <f>IFERROR(__xludf.DUMMYFUNCTION("""COMPUTED_VALUE"""),31.0)</f>
        <v>31</v>
      </c>
      <c r="I813" s="1">
        <f>IFERROR(__xludf.DUMMYFUNCTION("""COMPUTED_VALUE"""),86.0)</f>
        <v>86</v>
      </c>
      <c r="J813" s="1">
        <f>IFERROR(__xludf.DUMMYFUNCTION("""COMPUTED_VALUE"""),58.0)</f>
        <v>58</v>
      </c>
      <c r="K813" s="1">
        <f>IFERROR(__xludf.DUMMYFUNCTION("""COMPUTED_VALUE"""),85.0)</f>
        <v>85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 t="str">
        <f>IFERROR(__xludf.DUMMYFUNCTION("""COMPUTED_VALUE"""),"B")</f>
        <v>B</v>
      </c>
      <c r="E814" s="1" t="str">
        <f>IFERROR(__xludf.DUMMYFUNCTION("""COMPUTED_VALUE"""),"Male")</f>
        <v>Male</v>
      </c>
      <c r="F814" s="1">
        <f>IFERROR(__xludf.DUMMYFUNCTION("""COMPUTED_VALUE"""),27.0)</f>
        <v>27</v>
      </c>
      <c r="G814" s="1">
        <f>IFERROR(__xludf.DUMMYFUNCTION("""COMPUTED_VALUE"""),32.0)</f>
        <v>32</v>
      </c>
      <c r="H814" s="1">
        <f>IFERROR(__xludf.DUMMYFUNCTION("""COMPUTED_VALUE"""),90.0)</f>
        <v>90</v>
      </c>
      <c r="I814" s="1">
        <f>IFERROR(__xludf.DUMMYFUNCTION("""COMPUTED_VALUE"""),94.0)</f>
        <v>94</v>
      </c>
      <c r="J814" s="1">
        <f>IFERROR(__xludf.DUMMYFUNCTION("""COMPUTED_VALUE"""),80.0)</f>
        <v>80</v>
      </c>
      <c r="K814" s="1">
        <f>IFERROR(__xludf.DUMMYFUNCTION("""COMPUTED_VALUE"""),55.0)</f>
        <v>55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 t="str">
        <f>IFERROR(__xludf.DUMMYFUNCTION("""COMPUTED_VALUE"""),"B")</f>
        <v>B</v>
      </c>
      <c r="E815" s="1" t="str">
        <f>IFERROR(__xludf.DUMMYFUNCTION("""COMPUTED_VALUE"""),"Male")</f>
        <v>Male</v>
      </c>
      <c r="F815" s="1">
        <f>IFERROR(__xludf.DUMMYFUNCTION("""COMPUTED_VALUE"""),16.0)</f>
        <v>16</v>
      </c>
      <c r="G815" s="1">
        <f>IFERROR(__xludf.DUMMYFUNCTION("""COMPUTED_VALUE"""),23.0)</f>
        <v>23</v>
      </c>
      <c r="H815" s="1">
        <f>IFERROR(__xludf.DUMMYFUNCTION("""COMPUTED_VALUE"""),41.0)</f>
        <v>41</v>
      </c>
      <c r="I815" s="1">
        <f>IFERROR(__xludf.DUMMYFUNCTION("""COMPUTED_VALUE"""),67.0)</f>
        <v>67</v>
      </c>
      <c r="J815" s="1">
        <f>IFERROR(__xludf.DUMMYFUNCTION("""COMPUTED_VALUE"""),67.0)</f>
        <v>67</v>
      </c>
      <c r="K815" s="1">
        <f>IFERROR(__xludf.DUMMYFUNCTION("""COMPUTED_VALUE"""),44.0)</f>
        <v>44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 t="str">
        <f>IFERROR(__xludf.DUMMYFUNCTION("""COMPUTED_VALUE"""),"D")</f>
        <v>D</v>
      </c>
      <c r="E816" s="1" t="str">
        <f>IFERROR(__xludf.DUMMYFUNCTION("""COMPUTED_VALUE"""),"Female")</f>
        <v>Female</v>
      </c>
      <c r="F816" s="1">
        <f>IFERROR(__xludf.DUMMYFUNCTION("""COMPUTED_VALUE"""),85.0)</f>
        <v>85</v>
      </c>
      <c r="G816" s="1">
        <f>IFERROR(__xludf.DUMMYFUNCTION("""COMPUTED_VALUE"""),41.0)</f>
        <v>41</v>
      </c>
      <c r="H816" s="1">
        <f>IFERROR(__xludf.DUMMYFUNCTION("""COMPUTED_VALUE"""),29.0)</f>
        <v>29</v>
      </c>
      <c r="I816" s="1">
        <f>IFERROR(__xludf.DUMMYFUNCTION("""COMPUTED_VALUE"""),35.0)</f>
        <v>35</v>
      </c>
      <c r="J816" s="1">
        <f>IFERROR(__xludf.DUMMYFUNCTION("""COMPUTED_VALUE"""),84.0)</f>
        <v>84</v>
      </c>
      <c r="K816" s="1">
        <f>IFERROR(__xludf.DUMMYFUNCTION("""COMPUTED_VALUE"""),41.0)</f>
        <v>41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 t="str">
        <f>IFERROR(__xludf.DUMMYFUNCTION("""COMPUTED_VALUE"""),"A")</f>
        <v>A</v>
      </c>
      <c r="E817" s="1" t="str">
        <f>IFERROR(__xludf.DUMMYFUNCTION("""COMPUTED_VALUE"""),"Female")</f>
        <v>Female</v>
      </c>
      <c r="F817" s="1">
        <f>IFERROR(__xludf.DUMMYFUNCTION("""COMPUTED_VALUE"""),100.0)</f>
        <v>100</v>
      </c>
      <c r="G817" s="1">
        <f>IFERROR(__xludf.DUMMYFUNCTION("""COMPUTED_VALUE"""),99.0)</f>
        <v>99</v>
      </c>
      <c r="H817" s="1">
        <f>IFERROR(__xludf.DUMMYFUNCTION("""COMPUTED_VALUE"""),58.0)</f>
        <v>58</v>
      </c>
      <c r="I817" s="1">
        <f>IFERROR(__xludf.DUMMYFUNCTION("""COMPUTED_VALUE"""),57.0)</f>
        <v>57</v>
      </c>
      <c r="J817" s="1">
        <f>IFERROR(__xludf.DUMMYFUNCTION("""COMPUTED_VALUE"""),71.0)</f>
        <v>71</v>
      </c>
      <c r="K817" s="1">
        <f>IFERROR(__xludf.DUMMYFUNCTION("""COMPUTED_VALUE"""),56.0)</f>
        <v>56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 t="str">
        <f>IFERROR(__xludf.DUMMYFUNCTION("""COMPUTED_VALUE"""),"C")</f>
        <v>C</v>
      </c>
      <c r="E818" s="1" t="str">
        <f>IFERROR(__xludf.DUMMYFUNCTION("""COMPUTED_VALUE"""),"Female")</f>
        <v>Female</v>
      </c>
      <c r="F818" s="1">
        <f>IFERROR(__xludf.DUMMYFUNCTION("""COMPUTED_VALUE"""),27.0)</f>
        <v>27</v>
      </c>
      <c r="G818" s="1">
        <f>IFERROR(__xludf.DUMMYFUNCTION("""COMPUTED_VALUE"""),59.0)</f>
        <v>59</v>
      </c>
      <c r="H818" s="1">
        <f>IFERROR(__xludf.DUMMYFUNCTION("""COMPUTED_VALUE"""),30.0)</f>
        <v>30</v>
      </c>
      <c r="I818" s="1">
        <f>IFERROR(__xludf.DUMMYFUNCTION("""COMPUTED_VALUE"""),49.0)</f>
        <v>49</v>
      </c>
      <c r="J818" s="1">
        <f>IFERROR(__xludf.DUMMYFUNCTION("""COMPUTED_VALUE"""),56.0)</f>
        <v>56</v>
      </c>
      <c r="K818" s="1">
        <f>IFERROR(__xludf.DUMMYFUNCTION("""COMPUTED_VALUE"""),44.0)</f>
        <v>44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 t="str">
        <f>IFERROR(__xludf.DUMMYFUNCTION("""COMPUTED_VALUE"""),"A")</f>
        <v>A</v>
      </c>
      <c r="E819" s="1" t="str">
        <f>IFERROR(__xludf.DUMMYFUNCTION("""COMPUTED_VALUE"""),"Female")</f>
        <v>Female</v>
      </c>
      <c r="F819" s="1">
        <f>IFERROR(__xludf.DUMMYFUNCTION("""COMPUTED_VALUE"""),37.0)</f>
        <v>37</v>
      </c>
      <c r="G819" s="1">
        <f>IFERROR(__xludf.DUMMYFUNCTION("""COMPUTED_VALUE"""),67.0)</f>
        <v>67</v>
      </c>
      <c r="H819" s="1">
        <f>IFERROR(__xludf.DUMMYFUNCTION("""COMPUTED_VALUE"""),92.0)</f>
        <v>92</v>
      </c>
      <c r="I819" s="1">
        <f>IFERROR(__xludf.DUMMYFUNCTION("""COMPUTED_VALUE"""),66.0)</f>
        <v>66</v>
      </c>
      <c r="J819" s="1">
        <f>IFERROR(__xludf.DUMMYFUNCTION("""COMPUTED_VALUE"""),87.0)</f>
        <v>87</v>
      </c>
      <c r="K819" s="1">
        <f>IFERROR(__xludf.DUMMYFUNCTION("""COMPUTED_VALUE"""),22.0)</f>
        <v>22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 t="str">
        <f>IFERROR(__xludf.DUMMYFUNCTION("""COMPUTED_VALUE"""),"D")</f>
        <v>D</v>
      </c>
      <c r="E820" s="1" t="str">
        <f>IFERROR(__xludf.DUMMYFUNCTION("""COMPUTED_VALUE"""),"Male")</f>
        <v>Male</v>
      </c>
      <c r="F820" s="1">
        <f>IFERROR(__xludf.DUMMYFUNCTION("""COMPUTED_VALUE"""),81.0)</f>
        <v>81</v>
      </c>
      <c r="G820" s="1">
        <f>IFERROR(__xludf.DUMMYFUNCTION("""COMPUTED_VALUE"""),85.0)</f>
        <v>85</v>
      </c>
      <c r="H820" s="1">
        <f>IFERROR(__xludf.DUMMYFUNCTION("""COMPUTED_VALUE"""),33.0)</f>
        <v>33</v>
      </c>
      <c r="I820" s="1">
        <f>IFERROR(__xludf.DUMMYFUNCTION("""COMPUTED_VALUE"""),22.0)</f>
        <v>22</v>
      </c>
      <c r="J820" s="1">
        <f>IFERROR(__xludf.DUMMYFUNCTION("""COMPUTED_VALUE"""),69.0)</f>
        <v>69</v>
      </c>
      <c r="K820" s="1">
        <f>IFERROR(__xludf.DUMMYFUNCTION("""COMPUTED_VALUE"""),44.0)</f>
        <v>44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 t="str">
        <f>IFERROR(__xludf.DUMMYFUNCTION("""COMPUTED_VALUE"""),"D")</f>
        <v>D</v>
      </c>
      <c r="E821" s="1" t="str">
        <f>IFERROR(__xludf.DUMMYFUNCTION("""COMPUTED_VALUE"""),"Male")</f>
        <v>Male</v>
      </c>
      <c r="F821" s="1">
        <f>IFERROR(__xludf.DUMMYFUNCTION("""COMPUTED_VALUE"""),60.0)</f>
        <v>60</v>
      </c>
      <c r="G821" s="1">
        <f>IFERROR(__xludf.DUMMYFUNCTION("""COMPUTED_VALUE"""),84.0)</f>
        <v>84</v>
      </c>
      <c r="H821" s="1">
        <f>IFERROR(__xludf.DUMMYFUNCTION("""COMPUTED_VALUE"""),29.0)</f>
        <v>29</v>
      </c>
      <c r="I821" s="1">
        <f>IFERROR(__xludf.DUMMYFUNCTION("""COMPUTED_VALUE"""),43.0)</f>
        <v>43</v>
      </c>
      <c r="J821" s="1">
        <f>IFERROR(__xludf.DUMMYFUNCTION("""COMPUTED_VALUE"""),95.0)</f>
        <v>95</v>
      </c>
      <c r="K821" s="1">
        <f>IFERROR(__xludf.DUMMYFUNCTION("""COMPUTED_VALUE"""),25.0)</f>
        <v>25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 t="str">
        <f>IFERROR(__xludf.DUMMYFUNCTION("""COMPUTED_VALUE"""),"A")</f>
        <v>A</v>
      </c>
      <c r="E822" s="1" t="str">
        <f>IFERROR(__xludf.DUMMYFUNCTION("""COMPUTED_VALUE"""),"Male")</f>
        <v>Male</v>
      </c>
      <c r="F822" s="1">
        <f>IFERROR(__xludf.DUMMYFUNCTION("""COMPUTED_VALUE"""),92.0)</f>
        <v>92</v>
      </c>
      <c r="G822" s="1">
        <f>IFERROR(__xludf.DUMMYFUNCTION("""COMPUTED_VALUE"""),64.0)</f>
        <v>64</v>
      </c>
      <c r="H822" s="1">
        <f>IFERROR(__xludf.DUMMYFUNCTION("""COMPUTED_VALUE"""),45.0)</f>
        <v>45</v>
      </c>
      <c r="I822" s="1">
        <f>IFERROR(__xludf.DUMMYFUNCTION("""COMPUTED_VALUE"""),79.0)</f>
        <v>79</v>
      </c>
      <c r="J822" s="1">
        <f>IFERROR(__xludf.DUMMYFUNCTION("""COMPUTED_VALUE"""),67.0)</f>
        <v>67</v>
      </c>
      <c r="K822" s="1">
        <f>IFERROR(__xludf.DUMMYFUNCTION("""COMPUTED_VALUE"""),61.0)</f>
        <v>61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 t="str">
        <f>IFERROR(__xludf.DUMMYFUNCTION("""COMPUTED_VALUE"""),"A")</f>
        <v>A</v>
      </c>
      <c r="E823" s="1" t="str">
        <f>IFERROR(__xludf.DUMMYFUNCTION("""COMPUTED_VALUE"""),"Male")</f>
        <v>Male</v>
      </c>
      <c r="F823" s="1">
        <f>IFERROR(__xludf.DUMMYFUNCTION("""COMPUTED_VALUE"""),20.0)</f>
        <v>20</v>
      </c>
      <c r="G823" s="1">
        <f>IFERROR(__xludf.DUMMYFUNCTION("""COMPUTED_VALUE"""),21.0)</f>
        <v>21</v>
      </c>
      <c r="H823" s="1">
        <f>IFERROR(__xludf.DUMMYFUNCTION("""COMPUTED_VALUE"""),88.0)</f>
        <v>88</v>
      </c>
      <c r="I823" s="1">
        <f>IFERROR(__xludf.DUMMYFUNCTION("""COMPUTED_VALUE"""),31.0)</f>
        <v>31</v>
      </c>
      <c r="J823" s="1">
        <f>IFERROR(__xludf.DUMMYFUNCTION("""COMPUTED_VALUE"""),50.0)</f>
        <v>50</v>
      </c>
      <c r="K823" s="1">
        <f>IFERROR(__xludf.DUMMYFUNCTION("""COMPUTED_VALUE"""),38.0)</f>
        <v>38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 t="str">
        <f>IFERROR(__xludf.DUMMYFUNCTION("""COMPUTED_VALUE"""),"D")</f>
        <v>D</v>
      </c>
      <c r="E824" s="1" t="str">
        <f>IFERROR(__xludf.DUMMYFUNCTION("""COMPUTED_VALUE"""),"Male")</f>
        <v>Male</v>
      </c>
      <c r="F824" s="1">
        <f>IFERROR(__xludf.DUMMYFUNCTION("""COMPUTED_VALUE"""),29.0)</f>
        <v>29</v>
      </c>
      <c r="G824" s="1">
        <f>IFERROR(__xludf.DUMMYFUNCTION("""COMPUTED_VALUE"""),96.0)</f>
        <v>96</v>
      </c>
      <c r="H824" s="1">
        <f>IFERROR(__xludf.DUMMYFUNCTION("""COMPUTED_VALUE"""),22.0)</f>
        <v>22</v>
      </c>
      <c r="I824" s="1">
        <f>IFERROR(__xludf.DUMMYFUNCTION("""COMPUTED_VALUE"""),81.0)</f>
        <v>81</v>
      </c>
      <c r="J824" s="1">
        <f>IFERROR(__xludf.DUMMYFUNCTION("""COMPUTED_VALUE"""),25.0)</f>
        <v>25</v>
      </c>
      <c r="K824" s="1">
        <f>IFERROR(__xludf.DUMMYFUNCTION("""COMPUTED_VALUE"""),33.0)</f>
        <v>33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 t="str">
        <f>IFERROR(__xludf.DUMMYFUNCTION("""COMPUTED_VALUE"""),"C")</f>
        <v>C</v>
      </c>
      <c r="E825" s="1" t="str">
        <f>IFERROR(__xludf.DUMMYFUNCTION("""COMPUTED_VALUE"""),"Male")</f>
        <v>Male</v>
      </c>
      <c r="F825" s="1">
        <f>IFERROR(__xludf.DUMMYFUNCTION("""COMPUTED_VALUE"""),18.0)</f>
        <v>18</v>
      </c>
      <c r="G825" s="1">
        <f>IFERROR(__xludf.DUMMYFUNCTION("""COMPUTED_VALUE"""),35.0)</f>
        <v>35</v>
      </c>
      <c r="H825" s="1">
        <f>IFERROR(__xludf.DUMMYFUNCTION("""COMPUTED_VALUE"""),99.0)</f>
        <v>99</v>
      </c>
      <c r="I825" s="1">
        <f>IFERROR(__xludf.DUMMYFUNCTION("""COMPUTED_VALUE"""),58.0)</f>
        <v>58</v>
      </c>
      <c r="J825" s="1">
        <f>IFERROR(__xludf.DUMMYFUNCTION("""COMPUTED_VALUE"""),68.0)</f>
        <v>68</v>
      </c>
      <c r="K825" s="1">
        <f>IFERROR(__xludf.DUMMYFUNCTION("""COMPUTED_VALUE"""),48.0)</f>
        <v>48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 t="str">
        <f>IFERROR(__xludf.DUMMYFUNCTION("""COMPUTED_VALUE"""),"A")</f>
        <v>A</v>
      </c>
      <c r="E826" s="1" t="str">
        <f>IFERROR(__xludf.DUMMYFUNCTION("""COMPUTED_VALUE"""),"Female")</f>
        <v>Female</v>
      </c>
      <c r="F826" s="1">
        <f>IFERROR(__xludf.DUMMYFUNCTION("""COMPUTED_VALUE"""),15.0)</f>
        <v>15</v>
      </c>
      <c r="G826" s="1">
        <f>IFERROR(__xludf.DUMMYFUNCTION("""COMPUTED_VALUE"""),77.0)</f>
        <v>77</v>
      </c>
      <c r="H826" s="1">
        <f>IFERROR(__xludf.DUMMYFUNCTION("""COMPUTED_VALUE"""),54.0)</f>
        <v>54</v>
      </c>
      <c r="I826" s="1">
        <f>IFERROR(__xludf.DUMMYFUNCTION("""COMPUTED_VALUE"""),90.0)</f>
        <v>90</v>
      </c>
      <c r="J826" s="1">
        <f>IFERROR(__xludf.DUMMYFUNCTION("""COMPUTED_VALUE"""),72.0)</f>
        <v>72</v>
      </c>
      <c r="K826" s="1">
        <f>IFERROR(__xludf.DUMMYFUNCTION("""COMPUTED_VALUE"""),49.0)</f>
        <v>49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 t="str">
        <f>IFERROR(__xludf.DUMMYFUNCTION("""COMPUTED_VALUE"""),"A")</f>
        <v>A</v>
      </c>
      <c r="E827" s="1" t="str">
        <f>IFERROR(__xludf.DUMMYFUNCTION("""COMPUTED_VALUE"""),"Male")</f>
        <v>Male</v>
      </c>
      <c r="F827" s="1">
        <f>IFERROR(__xludf.DUMMYFUNCTION("""COMPUTED_VALUE"""),25.0)</f>
        <v>25</v>
      </c>
      <c r="G827" s="1">
        <f>IFERROR(__xludf.DUMMYFUNCTION("""COMPUTED_VALUE"""),44.0)</f>
        <v>44</v>
      </c>
      <c r="H827" s="1">
        <f>IFERROR(__xludf.DUMMYFUNCTION("""COMPUTED_VALUE"""),59.0)</f>
        <v>59</v>
      </c>
      <c r="I827" s="1">
        <f>IFERROR(__xludf.DUMMYFUNCTION("""COMPUTED_VALUE"""),40.0)</f>
        <v>40</v>
      </c>
      <c r="J827" s="1">
        <f>IFERROR(__xludf.DUMMYFUNCTION("""COMPUTED_VALUE"""),51.0)</f>
        <v>51</v>
      </c>
      <c r="K827" s="1">
        <f>IFERROR(__xludf.DUMMYFUNCTION("""COMPUTED_VALUE"""),73.0)</f>
        <v>73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 t="str">
        <f>IFERROR(__xludf.DUMMYFUNCTION("""COMPUTED_VALUE"""),"D")</f>
        <v>D</v>
      </c>
      <c r="E828" s="1" t="str">
        <f>IFERROR(__xludf.DUMMYFUNCTION("""COMPUTED_VALUE"""),"Female")</f>
        <v>Female</v>
      </c>
      <c r="F828" s="1">
        <f>IFERROR(__xludf.DUMMYFUNCTION("""COMPUTED_VALUE"""),54.0)</f>
        <v>54</v>
      </c>
      <c r="G828" s="1">
        <f>IFERROR(__xludf.DUMMYFUNCTION("""COMPUTED_VALUE"""),63.0)</f>
        <v>63</v>
      </c>
      <c r="H828" s="1">
        <f>IFERROR(__xludf.DUMMYFUNCTION("""COMPUTED_VALUE"""),61.0)</f>
        <v>61</v>
      </c>
      <c r="I828" s="1">
        <f>IFERROR(__xludf.DUMMYFUNCTION("""COMPUTED_VALUE"""),27.0)</f>
        <v>27</v>
      </c>
      <c r="J828" s="1">
        <f>IFERROR(__xludf.DUMMYFUNCTION("""COMPUTED_VALUE"""),83.0)</f>
        <v>83</v>
      </c>
      <c r="K828" s="1">
        <f>IFERROR(__xludf.DUMMYFUNCTION("""COMPUTED_VALUE"""),21.0)</f>
        <v>21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 t="str">
        <f>IFERROR(__xludf.DUMMYFUNCTION("""COMPUTED_VALUE"""),"A")</f>
        <v>A</v>
      </c>
      <c r="E829" s="1" t="str">
        <f>IFERROR(__xludf.DUMMYFUNCTION("""COMPUTED_VALUE"""),"Male")</f>
        <v>Male</v>
      </c>
      <c r="F829" s="1">
        <f>IFERROR(__xludf.DUMMYFUNCTION("""COMPUTED_VALUE"""),96.0)</f>
        <v>96</v>
      </c>
      <c r="G829" s="1">
        <f>IFERROR(__xludf.DUMMYFUNCTION("""COMPUTED_VALUE"""),91.0)</f>
        <v>91</v>
      </c>
      <c r="H829" s="1">
        <f>IFERROR(__xludf.DUMMYFUNCTION("""COMPUTED_VALUE"""),63.0)</f>
        <v>63</v>
      </c>
      <c r="I829" s="1">
        <f>IFERROR(__xludf.DUMMYFUNCTION("""COMPUTED_VALUE"""),87.0)</f>
        <v>87</v>
      </c>
      <c r="J829" s="1">
        <f>IFERROR(__xludf.DUMMYFUNCTION("""COMPUTED_VALUE"""),72.0)</f>
        <v>72</v>
      </c>
      <c r="K829" s="1">
        <f>IFERROR(__xludf.DUMMYFUNCTION("""COMPUTED_VALUE"""),93.0)</f>
        <v>93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 t="str">
        <f>IFERROR(__xludf.DUMMYFUNCTION("""COMPUTED_VALUE"""),"D")</f>
        <v>D</v>
      </c>
      <c r="E830" s="1" t="str">
        <f>IFERROR(__xludf.DUMMYFUNCTION("""COMPUTED_VALUE"""),"Male")</f>
        <v>Male</v>
      </c>
      <c r="F830" s="1">
        <f>IFERROR(__xludf.DUMMYFUNCTION("""COMPUTED_VALUE"""),34.0)</f>
        <v>34</v>
      </c>
      <c r="G830" s="1">
        <f>IFERROR(__xludf.DUMMYFUNCTION("""COMPUTED_VALUE"""),32.0)</f>
        <v>32</v>
      </c>
      <c r="H830" s="1">
        <f>IFERROR(__xludf.DUMMYFUNCTION("""COMPUTED_VALUE"""),64.0)</f>
        <v>64</v>
      </c>
      <c r="I830" s="1">
        <f>IFERROR(__xludf.DUMMYFUNCTION("""COMPUTED_VALUE"""),74.0)</f>
        <v>74</v>
      </c>
      <c r="J830" s="1">
        <f>IFERROR(__xludf.DUMMYFUNCTION("""COMPUTED_VALUE"""),86.0)</f>
        <v>86</v>
      </c>
      <c r="K830" s="1">
        <f>IFERROR(__xludf.DUMMYFUNCTION("""COMPUTED_VALUE"""),28.0)</f>
        <v>28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 t="str">
        <f>IFERROR(__xludf.DUMMYFUNCTION("""COMPUTED_VALUE"""),"B")</f>
        <v>B</v>
      </c>
      <c r="E831" s="1" t="str">
        <f>IFERROR(__xludf.DUMMYFUNCTION("""COMPUTED_VALUE"""),"Female")</f>
        <v>Female</v>
      </c>
      <c r="F831" s="1">
        <f>IFERROR(__xludf.DUMMYFUNCTION("""COMPUTED_VALUE"""),49.0)</f>
        <v>49</v>
      </c>
      <c r="G831" s="1">
        <f>IFERROR(__xludf.DUMMYFUNCTION("""COMPUTED_VALUE"""),28.0)</f>
        <v>28</v>
      </c>
      <c r="H831" s="1">
        <f>IFERROR(__xludf.DUMMYFUNCTION("""COMPUTED_VALUE"""),92.0)</f>
        <v>92</v>
      </c>
      <c r="I831" s="1">
        <f>IFERROR(__xludf.DUMMYFUNCTION("""COMPUTED_VALUE"""),66.0)</f>
        <v>66</v>
      </c>
      <c r="J831" s="1">
        <f>IFERROR(__xludf.DUMMYFUNCTION("""COMPUTED_VALUE"""),76.0)</f>
        <v>76</v>
      </c>
      <c r="K831" s="1">
        <f>IFERROR(__xludf.DUMMYFUNCTION("""COMPUTED_VALUE"""),75.0)</f>
        <v>75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 t="str">
        <f>IFERROR(__xludf.DUMMYFUNCTION("""COMPUTED_VALUE"""),"B")</f>
        <v>B</v>
      </c>
      <c r="E832" s="1" t="str">
        <f>IFERROR(__xludf.DUMMYFUNCTION("""COMPUTED_VALUE"""),"Male")</f>
        <v>Male</v>
      </c>
      <c r="F832" s="1">
        <f>IFERROR(__xludf.DUMMYFUNCTION("""COMPUTED_VALUE"""),58.0)</f>
        <v>58</v>
      </c>
      <c r="G832" s="1">
        <f>IFERROR(__xludf.DUMMYFUNCTION("""COMPUTED_VALUE"""),99.0)</f>
        <v>99</v>
      </c>
      <c r="H832" s="1">
        <f>IFERROR(__xludf.DUMMYFUNCTION("""COMPUTED_VALUE"""),27.0)</f>
        <v>27</v>
      </c>
      <c r="I832" s="1">
        <f>IFERROR(__xludf.DUMMYFUNCTION("""COMPUTED_VALUE"""),42.0)</f>
        <v>42</v>
      </c>
      <c r="J832" s="1">
        <f>IFERROR(__xludf.DUMMYFUNCTION("""COMPUTED_VALUE"""),43.0)</f>
        <v>43</v>
      </c>
      <c r="K832" s="1">
        <f>IFERROR(__xludf.DUMMYFUNCTION("""COMPUTED_VALUE"""),96.0)</f>
        <v>96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 t="str">
        <f>IFERROR(__xludf.DUMMYFUNCTION("""COMPUTED_VALUE"""),"B")</f>
        <v>B</v>
      </c>
      <c r="E833" s="1" t="str">
        <f>IFERROR(__xludf.DUMMYFUNCTION("""COMPUTED_VALUE"""),"Female")</f>
        <v>Female</v>
      </c>
      <c r="F833" s="1">
        <f>IFERROR(__xludf.DUMMYFUNCTION("""COMPUTED_VALUE"""),44.0)</f>
        <v>44</v>
      </c>
      <c r="G833" s="1">
        <f>IFERROR(__xludf.DUMMYFUNCTION("""COMPUTED_VALUE"""),84.0)</f>
        <v>84</v>
      </c>
      <c r="H833" s="1">
        <f>IFERROR(__xludf.DUMMYFUNCTION("""COMPUTED_VALUE"""),50.0)</f>
        <v>50</v>
      </c>
      <c r="I833" s="1">
        <f>IFERROR(__xludf.DUMMYFUNCTION("""COMPUTED_VALUE"""),27.0)</f>
        <v>27</v>
      </c>
      <c r="J833" s="1">
        <f>IFERROR(__xludf.DUMMYFUNCTION("""COMPUTED_VALUE"""),89.0)</f>
        <v>89</v>
      </c>
      <c r="K833" s="1">
        <f>IFERROR(__xludf.DUMMYFUNCTION("""COMPUTED_VALUE"""),54.0)</f>
        <v>54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 t="str">
        <f>IFERROR(__xludf.DUMMYFUNCTION("""COMPUTED_VALUE"""),"D")</f>
        <v>D</v>
      </c>
      <c r="E834" s="1" t="str">
        <f>IFERROR(__xludf.DUMMYFUNCTION("""COMPUTED_VALUE"""),"Male")</f>
        <v>Male</v>
      </c>
      <c r="F834" s="1">
        <f>IFERROR(__xludf.DUMMYFUNCTION("""COMPUTED_VALUE"""),86.0)</f>
        <v>86</v>
      </c>
      <c r="G834" s="1">
        <f>IFERROR(__xludf.DUMMYFUNCTION("""COMPUTED_VALUE"""),57.0)</f>
        <v>57</v>
      </c>
      <c r="H834" s="1">
        <f>IFERROR(__xludf.DUMMYFUNCTION("""COMPUTED_VALUE"""),68.0)</f>
        <v>68</v>
      </c>
      <c r="I834" s="1">
        <f>IFERROR(__xludf.DUMMYFUNCTION("""COMPUTED_VALUE"""),60.0)</f>
        <v>60</v>
      </c>
      <c r="J834" s="1">
        <f>IFERROR(__xludf.DUMMYFUNCTION("""COMPUTED_VALUE"""),90.0)</f>
        <v>90</v>
      </c>
      <c r="K834" s="1">
        <f>IFERROR(__xludf.DUMMYFUNCTION("""COMPUTED_VALUE"""),52.0)</f>
        <v>52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 t="str">
        <f>IFERROR(__xludf.DUMMYFUNCTION("""COMPUTED_VALUE"""),"B")</f>
        <v>B</v>
      </c>
      <c r="E835" s="1" t="str">
        <f>IFERROR(__xludf.DUMMYFUNCTION("""COMPUTED_VALUE"""),"Male")</f>
        <v>Male</v>
      </c>
      <c r="F835" s="1">
        <f>IFERROR(__xludf.DUMMYFUNCTION("""COMPUTED_VALUE"""),69.0)</f>
        <v>69</v>
      </c>
      <c r="G835" s="1">
        <f>IFERROR(__xludf.DUMMYFUNCTION("""COMPUTED_VALUE"""),87.0)</f>
        <v>87</v>
      </c>
      <c r="H835" s="1">
        <f>IFERROR(__xludf.DUMMYFUNCTION("""COMPUTED_VALUE"""),65.0)</f>
        <v>65</v>
      </c>
      <c r="I835" s="1">
        <f>IFERROR(__xludf.DUMMYFUNCTION("""COMPUTED_VALUE"""),78.0)</f>
        <v>78</v>
      </c>
      <c r="J835" s="1">
        <f>IFERROR(__xludf.DUMMYFUNCTION("""COMPUTED_VALUE"""),79.0)</f>
        <v>79</v>
      </c>
      <c r="K835" s="1">
        <f>IFERROR(__xludf.DUMMYFUNCTION("""COMPUTED_VALUE"""),31.0)</f>
        <v>31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 t="str">
        <f>IFERROR(__xludf.DUMMYFUNCTION("""COMPUTED_VALUE"""),"B")</f>
        <v>B</v>
      </c>
      <c r="E836" s="1" t="str">
        <f>IFERROR(__xludf.DUMMYFUNCTION("""COMPUTED_VALUE"""),"Male")</f>
        <v>Male</v>
      </c>
      <c r="F836" s="1">
        <f>IFERROR(__xludf.DUMMYFUNCTION("""COMPUTED_VALUE"""),76.0)</f>
        <v>76</v>
      </c>
      <c r="G836" s="1">
        <f>IFERROR(__xludf.DUMMYFUNCTION("""COMPUTED_VALUE"""),39.0)</f>
        <v>39</v>
      </c>
      <c r="H836" s="1">
        <f>IFERROR(__xludf.DUMMYFUNCTION("""COMPUTED_VALUE"""),65.0)</f>
        <v>65</v>
      </c>
      <c r="I836" s="1">
        <f>IFERROR(__xludf.DUMMYFUNCTION("""COMPUTED_VALUE"""),69.0)</f>
        <v>69</v>
      </c>
      <c r="J836" s="1">
        <f>IFERROR(__xludf.DUMMYFUNCTION("""COMPUTED_VALUE"""),87.0)</f>
        <v>87</v>
      </c>
      <c r="K836" s="1">
        <f>IFERROR(__xludf.DUMMYFUNCTION("""COMPUTED_VALUE"""),31.0)</f>
        <v>31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 t="str">
        <f>IFERROR(__xludf.DUMMYFUNCTION("""COMPUTED_VALUE"""),"B")</f>
        <v>B</v>
      </c>
      <c r="E837" s="1" t="str">
        <f>IFERROR(__xludf.DUMMYFUNCTION("""COMPUTED_VALUE"""),"Male")</f>
        <v>Male</v>
      </c>
      <c r="F837" s="1">
        <f>IFERROR(__xludf.DUMMYFUNCTION("""COMPUTED_VALUE"""),76.0)</f>
        <v>76</v>
      </c>
      <c r="G837" s="1">
        <f>IFERROR(__xludf.DUMMYFUNCTION("""COMPUTED_VALUE"""),93.0)</f>
        <v>93</v>
      </c>
      <c r="H837" s="1">
        <f>IFERROR(__xludf.DUMMYFUNCTION("""COMPUTED_VALUE"""),48.0)</f>
        <v>48</v>
      </c>
      <c r="I837" s="1">
        <f>IFERROR(__xludf.DUMMYFUNCTION("""COMPUTED_VALUE"""),84.0)</f>
        <v>84</v>
      </c>
      <c r="J837" s="1">
        <f>IFERROR(__xludf.DUMMYFUNCTION("""COMPUTED_VALUE"""),98.0)</f>
        <v>98</v>
      </c>
      <c r="K837" s="1">
        <f>IFERROR(__xludf.DUMMYFUNCTION("""COMPUTED_VALUE"""),92.0)</f>
        <v>92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 t="str">
        <f>IFERROR(__xludf.DUMMYFUNCTION("""COMPUTED_VALUE"""),"A")</f>
        <v>A</v>
      </c>
      <c r="E838" s="1" t="str">
        <f>IFERROR(__xludf.DUMMYFUNCTION("""COMPUTED_VALUE"""),"Male")</f>
        <v>Male</v>
      </c>
      <c r="F838" s="1">
        <f>IFERROR(__xludf.DUMMYFUNCTION("""COMPUTED_VALUE"""),18.0)</f>
        <v>18</v>
      </c>
      <c r="G838" s="1">
        <f>IFERROR(__xludf.DUMMYFUNCTION("""COMPUTED_VALUE"""),87.0)</f>
        <v>87</v>
      </c>
      <c r="H838" s="1">
        <f>IFERROR(__xludf.DUMMYFUNCTION("""COMPUTED_VALUE"""),56.0)</f>
        <v>56</v>
      </c>
      <c r="I838" s="1">
        <f>IFERROR(__xludf.DUMMYFUNCTION("""COMPUTED_VALUE"""),88.0)</f>
        <v>88</v>
      </c>
      <c r="J838" s="1">
        <f>IFERROR(__xludf.DUMMYFUNCTION("""COMPUTED_VALUE"""),69.0)</f>
        <v>69</v>
      </c>
      <c r="K838" s="1">
        <f>IFERROR(__xludf.DUMMYFUNCTION("""COMPUTED_VALUE"""),90.0)</f>
        <v>90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 t="str">
        <f>IFERROR(__xludf.DUMMYFUNCTION("""COMPUTED_VALUE"""),"B")</f>
        <v>B</v>
      </c>
      <c r="E839" s="1" t="str">
        <f>IFERROR(__xludf.DUMMYFUNCTION("""COMPUTED_VALUE"""),"Male")</f>
        <v>Male</v>
      </c>
      <c r="F839" s="1">
        <f>IFERROR(__xludf.DUMMYFUNCTION("""COMPUTED_VALUE"""),29.0)</f>
        <v>29</v>
      </c>
      <c r="G839" s="1">
        <f>IFERROR(__xludf.DUMMYFUNCTION("""COMPUTED_VALUE"""),41.0)</f>
        <v>41</v>
      </c>
      <c r="H839" s="1">
        <f>IFERROR(__xludf.DUMMYFUNCTION("""COMPUTED_VALUE"""),84.0)</f>
        <v>84</v>
      </c>
      <c r="I839" s="1">
        <f>IFERROR(__xludf.DUMMYFUNCTION("""COMPUTED_VALUE"""),42.0)</f>
        <v>42</v>
      </c>
      <c r="J839" s="1">
        <f>IFERROR(__xludf.DUMMYFUNCTION("""COMPUTED_VALUE"""),50.0)</f>
        <v>50</v>
      </c>
      <c r="K839" s="1">
        <f>IFERROR(__xludf.DUMMYFUNCTION("""COMPUTED_VALUE"""),44.0)</f>
        <v>44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 t="str">
        <f>IFERROR(__xludf.DUMMYFUNCTION("""COMPUTED_VALUE"""),"C")</f>
        <v>C</v>
      </c>
      <c r="E840" s="1" t="str">
        <f>IFERROR(__xludf.DUMMYFUNCTION("""COMPUTED_VALUE"""),"Female")</f>
        <v>Female</v>
      </c>
      <c r="F840" s="1">
        <f>IFERROR(__xludf.DUMMYFUNCTION("""COMPUTED_VALUE"""),42.0)</f>
        <v>42</v>
      </c>
      <c r="G840" s="1">
        <f>IFERROR(__xludf.DUMMYFUNCTION("""COMPUTED_VALUE"""),47.0)</f>
        <v>47</v>
      </c>
      <c r="H840" s="1">
        <f>IFERROR(__xludf.DUMMYFUNCTION("""COMPUTED_VALUE"""),81.0)</f>
        <v>81</v>
      </c>
      <c r="I840" s="1">
        <f>IFERROR(__xludf.DUMMYFUNCTION("""COMPUTED_VALUE"""),33.0)</f>
        <v>33</v>
      </c>
      <c r="J840" s="1">
        <f>IFERROR(__xludf.DUMMYFUNCTION("""COMPUTED_VALUE"""),34.0)</f>
        <v>34</v>
      </c>
      <c r="K840" s="1">
        <f>IFERROR(__xludf.DUMMYFUNCTION("""COMPUTED_VALUE"""),90.0)</f>
        <v>90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 t="str">
        <f>IFERROR(__xludf.DUMMYFUNCTION("""COMPUTED_VALUE"""),"C")</f>
        <v>C</v>
      </c>
      <c r="E841" s="1" t="str">
        <f>IFERROR(__xludf.DUMMYFUNCTION("""COMPUTED_VALUE"""),"Female")</f>
        <v>Female</v>
      </c>
      <c r="F841" s="1">
        <f>IFERROR(__xludf.DUMMYFUNCTION("""COMPUTED_VALUE"""),45.0)</f>
        <v>45</v>
      </c>
      <c r="G841" s="1">
        <f>IFERROR(__xludf.DUMMYFUNCTION("""COMPUTED_VALUE"""),97.0)</f>
        <v>97</v>
      </c>
      <c r="H841" s="1">
        <f>IFERROR(__xludf.DUMMYFUNCTION("""COMPUTED_VALUE"""),30.0)</f>
        <v>30</v>
      </c>
      <c r="I841" s="1">
        <f>IFERROR(__xludf.DUMMYFUNCTION("""COMPUTED_VALUE"""),92.0)</f>
        <v>92</v>
      </c>
      <c r="J841" s="1">
        <f>IFERROR(__xludf.DUMMYFUNCTION("""COMPUTED_VALUE"""),43.0)</f>
        <v>43</v>
      </c>
      <c r="K841" s="1">
        <f>IFERROR(__xludf.DUMMYFUNCTION("""COMPUTED_VALUE"""),36.0)</f>
        <v>36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 t="str">
        <f>IFERROR(__xludf.DUMMYFUNCTION("""COMPUTED_VALUE"""),"A")</f>
        <v>A</v>
      </c>
      <c r="E842" s="1" t="str">
        <f>IFERROR(__xludf.DUMMYFUNCTION("""COMPUTED_VALUE"""),"Male")</f>
        <v>Male</v>
      </c>
      <c r="F842" s="1">
        <f>IFERROR(__xludf.DUMMYFUNCTION("""COMPUTED_VALUE"""),97.0)</f>
        <v>97</v>
      </c>
      <c r="G842" s="1">
        <f>IFERROR(__xludf.DUMMYFUNCTION("""COMPUTED_VALUE"""),45.0)</f>
        <v>45</v>
      </c>
      <c r="H842" s="1">
        <f>IFERROR(__xludf.DUMMYFUNCTION("""COMPUTED_VALUE"""),48.0)</f>
        <v>48</v>
      </c>
      <c r="I842" s="1">
        <f>IFERROR(__xludf.DUMMYFUNCTION("""COMPUTED_VALUE"""),28.0)</f>
        <v>28</v>
      </c>
      <c r="J842" s="1">
        <f>IFERROR(__xludf.DUMMYFUNCTION("""COMPUTED_VALUE"""),89.0)</f>
        <v>89</v>
      </c>
      <c r="K842" s="1">
        <f>IFERROR(__xludf.DUMMYFUNCTION("""COMPUTED_VALUE"""),86.0)</f>
        <v>86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 t="str">
        <f>IFERROR(__xludf.DUMMYFUNCTION("""COMPUTED_VALUE"""),"A")</f>
        <v>A</v>
      </c>
      <c r="E843" s="1" t="str">
        <f>IFERROR(__xludf.DUMMYFUNCTION("""COMPUTED_VALUE"""),"Female")</f>
        <v>Female</v>
      </c>
      <c r="F843" s="1">
        <f>IFERROR(__xludf.DUMMYFUNCTION("""COMPUTED_VALUE"""),59.0)</f>
        <v>59</v>
      </c>
      <c r="G843" s="1">
        <f>IFERROR(__xludf.DUMMYFUNCTION("""COMPUTED_VALUE"""),86.0)</f>
        <v>86</v>
      </c>
      <c r="H843" s="1">
        <f>IFERROR(__xludf.DUMMYFUNCTION("""COMPUTED_VALUE"""),58.0)</f>
        <v>58</v>
      </c>
      <c r="I843" s="1">
        <f>IFERROR(__xludf.DUMMYFUNCTION("""COMPUTED_VALUE"""),97.0)</f>
        <v>97</v>
      </c>
      <c r="J843" s="1">
        <f>IFERROR(__xludf.DUMMYFUNCTION("""COMPUTED_VALUE"""),39.0)</f>
        <v>39</v>
      </c>
      <c r="K843" s="1">
        <f>IFERROR(__xludf.DUMMYFUNCTION("""COMPUTED_VALUE"""),56.0)</f>
        <v>56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 t="str">
        <f>IFERROR(__xludf.DUMMYFUNCTION("""COMPUTED_VALUE"""),"A")</f>
        <v>A</v>
      </c>
      <c r="E844" s="1" t="str">
        <f>IFERROR(__xludf.DUMMYFUNCTION("""COMPUTED_VALUE"""),"Male")</f>
        <v>Male</v>
      </c>
      <c r="F844" s="1">
        <f>IFERROR(__xludf.DUMMYFUNCTION("""COMPUTED_VALUE"""),95.0)</f>
        <v>95</v>
      </c>
      <c r="G844" s="1">
        <f>IFERROR(__xludf.DUMMYFUNCTION("""COMPUTED_VALUE"""),58.0)</f>
        <v>58</v>
      </c>
      <c r="H844" s="1">
        <f>IFERROR(__xludf.DUMMYFUNCTION("""COMPUTED_VALUE"""),56.0)</f>
        <v>56</v>
      </c>
      <c r="I844" s="1">
        <f>IFERROR(__xludf.DUMMYFUNCTION("""COMPUTED_VALUE"""),98.0)</f>
        <v>98</v>
      </c>
      <c r="J844" s="1">
        <f>IFERROR(__xludf.DUMMYFUNCTION("""COMPUTED_VALUE"""),60.0)</f>
        <v>60</v>
      </c>
      <c r="K844" s="1">
        <f>IFERROR(__xludf.DUMMYFUNCTION("""COMPUTED_VALUE"""),85.0)</f>
        <v>85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 t="str">
        <f>IFERROR(__xludf.DUMMYFUNCTION("""COMPUTED_VALUE"""),"A")</f>
        <v>A</v>
      </c>
      <c r="E845" s="1" t="str">
        <f>IFERROR(__xludf.DUMMYFUNCTION("""COMPUTED_VALUE"""),"Female")</f>
        <v>Female</v>
      </c>
      <c r="F845" s="1">
        <f>IFERROR(__xludf.DUMMYFUNCTION("""COMPUTED_VALUE"""),86.0)</f>
        <v>86</v>
      </c>
      <c r="G845" s="1">
        <f>IFERROR(__xludf.DUMMYFUNCTION("""COMPUTED_VALUE"""),78.0)</f>
        <v>78</v>
      </c>
      <c r="H845" s="1">
        <f>IFERROR(__xludf.DUMMYFUNCTION("""COMPUTED_VALUE"""),52.0)</f>
        <v>52</v>
      </c>
      <c r="I845" s="1">
        <f>IFERROR(__xludf.DUMMYFUNCTION("""COMPUTED_VALUE"""),71.0)</f>
        <v>71</v>
      </c>
      <c r="J845" s="1">
        <f>IFERROR(__xludf.DUMMYFUNCTION("""COMPUTED_VALUE"""),83.0)</f>
        <v>83</v>
      </c>
      <c r="K845" s="1">
        <f>IFERROR(__xludf.DUMMYFUNCTION("""COMPUTED_VALUE"""),79.0)</f>
        <v>79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 t="str">
        <f>IFERROR(__xludf.DUMMYFUNCTION("""COMPUTED_VALUE"""),"C")</f>
        <v>C</v>
      </c>
      <c r="E846" s="1" t="str">
        <f>IFERROR(__xludf.DUMMYFUNCTION("""COMPUTED_VALUE"""),"Male")</f>
        <v>Male</v>
      </c>
      <c r="F846" s="1">
        <f>IFERROR(__xludf.DUMMYFUNCTION("""COMPUTED_VALUE"""),84.0)</f>
        <v>84</v>
      </c>
      <c r="G846" s="1">
        <f>IFERROR(__xludf.DUMMYFUNCTION("""COMPUTED_VALUE"""),21.0)</f>
        <v>21</v>
      </c>
      <c r="H846" s="1">
        <f>IFERROR(__xludf.DUMMYFUNCTION("""COMPUTED_VALUE"""),36.0)</f>
        <v>36</v>
      </c>
      <c r="I846" s="1">
        <f>IFERROR(__xludf.DUMMYFUNCTION("""COMPUTED_VALUE"""),34.0)</f>
        <v>34</v>
      </c>
      <c r="J846" s="1">
        <f>IFERROR(__xludf.DUMMYFUNCTION("""COMPUTED_VALUE"""),27.0)</f>
        <v>27</v>
      </c>
      <c r="K846" s="1">
        <f>IFERROR(__xludf.DUMMYFUNCTION("""COMPUTED_VALUE"""),48.0)</f>
        <v>48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 t="str">
        <f>IFERROR(__xludf.DUMMYFUNCTION("""COMPUTED_VALUE"""),"D")</f>
        <v>D</v>
      </c>
      <c r="E847" s="1" t="str">
        <f>IFERROR(__xludf.DUMMYFUNCTION("""COMPUTED_VALUE"""),"Female")</f>
        <v>Female</v>
      </c>
      <c r="F847" s="1">
        <f>IFERROR(__xludf.DUMMYFUNCTION("""COMPUTED_VALUE"""),64.0)</f>
        <v>64</v>
      </c>
      <c r="G847" s="1">
        <f>IFERROR(__xludf.DUMMYFUNCTION("""COMPUTED_VALUE"""),36.0)</f>
        <v>36</v>
      </c>
      <c r="H847" s="1">
        <f>IFERROR(__xludf.DUMMYFUNCTION("""COMPUTED_VALUE"""),44.0)</f>
        <v>44</v>
      </c>
      <c r="I847" s="1">
        <f>IFERROR(__xludf.DUMMYFUNCTION("""COMPUTED_VALUE"""),95.0)</f>
        <v>95</v>
      </c>
      <c r="J847" s="1">
        <f>IFERROR(__xludf.DUMMYFUNCTION("""COMPUTED_VALUE"""),76.0)</f>
        <v>76</v>
      </c>
      <c r="K847" s="1">
        <f>IFERROR(__xludf.DUMMYFUNCTION("""COMPUTED_VALUE"""),64.0)</f>
        <v>64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 t="str">
        <f>IFERROR(__xludf.DUMMYFUNCTION("""COMPUTED_VALUE"""),"C")</f>
        <v>C</v>
      </c>
      <c r="E848" s="1" t="str">
        <f>IFERROR(__xludf.DUMMYFUNCTION("""COMPUTED_VALUE"""),"Female")</f>
        <v>Female</v>
      </c>
      <c r="F848" s="1">
        <f>IFERROR(__xludf.DUMMYFUNCTION("""COMPUTED_VALUE"""),73.0)</f>
        <v>73</v>
      </c>
      <c r="G848" s="1">
        <f>IFERROR(__xludf.DUMMYFUNCTION("""COMPUTED_VALUE"""),79.0)</f>
        <v>79</v>
      </c>
      <c r="H848" s="1">
        <f>IFERROR(__xludf.DUMMYFUNCTION("""COMPUTED_VALUE"""),27.0)</f>
        <v>27</v>
      </c>
      <c r="I848" s="1">
        <f>IFERROR(__xludf.DUMMYFUNCTION("""COMPUTED_VALUE"""),78.0)</f>
        <v>78</v>
      </c>
      <c r="J848" s="1">
        <f>IFERROR(__xludf.DUMMYFUNCTION("""COMPUTED_VALUE"""),26.0)</f>
        <v>26</v>
      </c>
      <c r="K848" s="1">
        <f>IFERROR(__xludf.DUMMYFUNCTION("""COMPUTED_VALUE"""),85.0)</f>
        <v>85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 t="str">
        <f>IFERROR(__xludf.DUMMYFUNCTION("""COMPUTED_VALUE"""),"B")</f>
        <v>B</v>
      </c>
      <c r="E849" s="1" t="str">
        <f>IFERROR(__xludf.DUMMYFUNCTION("""COMPUTED_VALUE"""),"Male")</f>
        <v>Male</v>
      </c>
      <c r="F849" s="1">
        <f>IFERROR(__xludf.DUMMYFUNCTION("""COMPUTED_VALUE"""),29.0)</f>
        <v>29</v>
      </c>
      <c r="G849" s="1">
        <f>IFERROR(__xludf.DUMMYFUNCTION("""COMPUTED_VALUE"""),89.0)</f>
        <v>89</v>
      </c>
      <c r="H849" s="1">
        <f>IFERROR(__xludf.DUMMYFUNCTION("""COMPUTED_VALUE"""),87.0)</f>
        <v>87</v>
      </c>
      <c r="I849" s="1">
        <f>IFERROR(__xludf.DUMMYFUNCTION("""COMPUTED_VALUE"""),68.0)</f>
        <v>68</v>
      </c>
      <c r="J849" s="1">
        <f>IFERROR(__xludf.DUMMYFUNCTION("""COMPUTED_VALUE"""),44.0)</f>
        <v>44</v>
      </c>
      <c r="K849" s="1">
        <f>IFERROR(__xludf.DUMMYFUNCTION("""COMPUTED_VALUE"""),54.0)</f>
        <v>54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 t="str">
        <f>IFERROR(__xludf.DUMMYFUNCTION("""COMPUTED_VALUE"""),"D")</f>
        <v>D</v>
      </c>
      <c r="E850" s="1" t="str">
        <f>IFERROR(__xludf.DUMMYFUNCTION("""COMPUTED_VALUE"""),"Male")</f>
        <v>Male</v>
      </c>
      <c r="F850" s="1">
        <f>IFERROR(__xludf.DUMMYFUNCTION("""COMPUTED_VALUE"""),81.0)</f>
        <v>81</v>
      </c>
      <c r="G850" s="1">
        <f>IFERROR(__xludf.DUMMYFUNCTION("""COMPUTED_VALUE"""),60.0)</f>
        <v>60</v>
      </c>
      <c r="H850" s="1">
        <f>IFERROR(__xludf.DUMMYFUNCTION("""COMPUTED_VALUE"""),37.0)</f>
        <v>37</v>
      </c>
      <c r="I850" s="1">
        <f>IFERROR(__xludf.DUMMYFUNCTION("""COMPUTED_VALUE"""),97.0)</f>
        <v>97</v>
      </c>
      <c r="J850" s="1">
        <f>IFERROR(__xludf.DUMMYFUNCTION("""COMPUTED_VALUE"""),72.0)</f>
        <v>72</v>
      </c>
      <c r="K850" s="1">
        <f>IFERROR(__xludf.DUMMYFUNCTION("""COMPUTED_VALUE"""),54.0)</f>
        <v>54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 t="str">
        <f>IFERROR(__xludf.DUMMYFUNCTION("""COMPUTED_VALUE"""),"C")</f>
        <v>C</v>
      </c>
      <c r="E851" s="1" t="str">
        <f>IFERROR(__xludf.DUMMYFUNCTION("""COMPUTED_VALUE"""),"Female")</f>
        <v>Female</v>
      </c>
      <c r="F851" s="1">
        <f>IFERROR(__xludf.DUMMYFUNCTION("""COMPUTED_VALUE"""),40.0)</f>
        <v>40</v>
      </c>
      <c r="G851" s="1">
        <f>IFERROR(__xludf.DUMMYFUNCTION("""COMPUTED_VALUE"""),98.0)</f>
        <v>98</v>
      </c>
      <c r="H851" s="1">
        <f>IFERROR(__xludf.DUMMYFUNCTION("""COMPUTED_VALUE"""),38.0)</f>
        <v>38</v>
      </c>
      <c r="I851" s="1">
        <f>IFERROR(__xludf.DUMMYFUNCTION("""COMPUTED_VALUE"""),74.0)</f>
        <v>74</v>
      </c>
      <c r="J851" s="1">
        <f>IFERROR(__xludf.DUMMYFUNCTION("""COMPUTED_VALUE"""),90.0)</f>
        <v>90</v>
      </c>
      <c r="K851" s="1">
        <f>IFERROR(__xludf.DUMMYFUNCTION("""COMPUTED_VALUE"""),36.0)</f>
        <v>36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 t="str">
        <f>IFERROR(__xludf.DUMMYFUNCTION("""COMPUTED_VALUE"""),"A")</f>
        <v>A</v>
      </c>
      <c r="E852" s="1" t="str">
        <f>IFERROR(__xludf.DUMMYFUNCTION("""COMPUTED_VALUE"""),"Male")</f>
        <v>Male</v>
      </c>
      <c r="F852" s="1">
        <f>IFERROR(__xludf.DUMMYFUNCTION("""COMPUTED_VALUE"""),58.0)</f>
        <v>58</v>
      </c>
      <c r="G852" s="1">
        <f>IFERROR(__xludf.DUMMYFUNCTION("""COMPUTED_VALUE"""),36.0)</f>
        <v>36</v>
      </c>
      <c r="H852" s="1">
        <f>IFERROR(__xludf.DUMMYFUNCTION("""COMPUTED_VALUE"""),97.0)</f>
        <v>97</v>
      </c>
      <c r="I852" s="1">
        <f>IFERROR(__xludf.DUMMYFUNCTION("""COMPUTED_VALUE"""),56.0)</f>
        <v>56</v>
      </c>
      <c r="J852" s="1">
        <f>IFERROR(__xludf.DUMMYFUNCTION("""COMPUTED_VALUE"""),81.0)</f>
        <v>81</v>
      </c>
      <c r="K852" s="1">
        <f>IFERROR(__xludf.DUMMYFUNCTION("""COMPUTED_VALUE"""),37.0)</f>
        <v>37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 t="str">
        <f>IFERROR(__xludf.DUMMYFUNCTION("""COMPUTED_VALUE"""),"C")</f>
        <v>C</v>
      </c>
      <c r="E853" s="1" t="str">
        <f>IFERROR(__xludf.DUMMYFUNCTION("""COMPUTED_VALUE"""),"Female")</f>
        <v>Female</v>
      </c>
      <c r="F853" s="1">
        <f>IFERROR(__xludf.DUMMYFUNCTION("""COMPUTED_VALUE"""),87.0)</f>
        <v>87</v>
      </c>
      <c r="G853" s="1">
        <f>IFERROR(__xludf.DUMMYFUNCTION("""COMPUTED_VALUE"""),49.0)</f>
        <v>49</v>
      </c>
      <c r="H853" s="1">
        <f>IFERROR(__xludf.DUMMYFUNCTION("""COMPUTED_VALUE"""),45.0)</f>
        <v>45</v>
      </c>
      <c r="I853" s="1">
        <f>IFERROR(__xludf.DUMMYFUNCTION("""COMPUTED_VALUE"""),33.0)</f>
        <v>33</v>
      </c>
      <c r="J853" s="1">
        <f>IFERROR(__xludf.DUMMYFUNCTION("""COMPUTED_VALUE"""),72.0)</f>
        <v>72</v>
      </c>
      <c r="K853" s="1">
        <f>IFERROR(__xludf.DUMMYFUNCTION("""COMPUTED_VALUE"""),76.0)</f>
        <v>76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 t="str">
        <f>IFERROR(__xludf.DUMMYFUNCTION("""COMPUTED_VALUE"""),"C")</f>
        <v>C</v>
      </c>
      <c r="E854" s="1" t="str">
        <f>IFERROR(__xludf.DUMMYFUNCTION("""COMPUTED_VALUE"""),"Male")</f>
        <v>Male</v>
      </c>
      <c r="F854" s="1">
        <f>IFERROR(__xludf.DUMMYFUNCTION("""COMPUTED_VALUE"""),87.0)</f>
        <v>87</v>
      </c>
      <c r="G854" s="1">
        <f>IFERROR(__xludf.DUMMYFUNCTION("""COMPUTED_VALUE"""),49.0)</f>
        <v>49</v>
      </c>
      <c r="H854" s="1">
        <f>IFERROR(__xludf.DUMMYFUNCTION("""COMPUTED_VALUE"""),95.0)</f>
        <v>95</v>
      </c>
      <c r="I854" s="1">
        <f>IFERROR(__xludf.DUMMYFUNCTION("""COMPUTED_VALUE"""),23.0)</f>
        <v>23</v>
      </c>
      <c r="J854" s="1">
        <f>IFERROR(__xludf.DUMMYFUNCTION("""COMPUTED_VALUE"""),49.0)</f>
        <v>49</v>
      </c>
      <c r="K854" s="1">
        <f>IFERROR(__xludf.DUMMYFUNCTION("""COMPUTED_VALUE"""),55.0)</f>
        <v>55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 t="str">
        <f>IFERROR(__xludf.DUMMYFUNCTION("""COMPUTED_VALUE"""),"B")</f>
        <v>B</v>
      </c>
      <c r="E855" s="1" t="str">
        <f>IFERROR(__xludf.DUMMYFUNCTION("""COMPUTED_VALUE"""),"Female")</f>
        <v>Female</v>
      </c>
      <c r="F855" s="1">
        <f>IFERROR(__xludf.DUMMYFUNCTION("""COMPUTED_VALUE"""),67.0)</f>
        <v>67</v>
      </c>
      <c r="G855" s="1">
        <f>IFERROR(__xludf.DUMMYFUNCTION("""COMPUTED_VALUE"""),25.0)</f>
        <v>25</v>
      </c>
      <c r="H855" s="1">
        <f>IFERROR(__xludf.DUMMYFUNCTION("""COMPUTED_VALUE"""),72.0)</f>
        <v>72</v>
      </c>
      <c r="I855" s="1">
        <f>IFERROR(__xludf.DUMMYFUNCTION("""COMPUTED_VALUE"""),61.0)</f>
        <v>61</v>
      </c>
      <c r="J855" s="1">
        <f>IFERROR(__xludf.DUMMYFUNCTION("""COMPUTED_VALUE"""),39.0)</f>
        <v>39</v>
      </c>
      <c r="K855" s="1">
        <f>IFERROR(__xludf.DUMMYFUNCTION("""COMPUTED_VALUE"""),73.0)</f>
        <v>73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 t="str">
        <f>IFERROR(__xludf.DUMMYFUNCTION("""COMPUTED_VALUE"""),"B")</f>
        <v>B</v>
      </c>
      <c r="E856" s="1" t="str">
        <f>IFERROR(__xludf.DUMMYFUNCTION("""COMPUTED_VALUE"""),"Female")</f>
        <v>Female</v>
      </c>
      <c r="F856" s="1">
        <f>IFERROR(__xludf.DUMMYFUNCTION("""COMPUTED_VALUE"""),21.0)</f>
        <v>21</v>
      </c>
      <c r="G856" s="1">
        <f>IFERROR(__xludf.DUMMYFUNCTION("""COMPUTED_VALUE"""),90.0)</f>
        <v>90</v>
      </c>
      <c r="H856" s="1">
        <f>IFERROR(__xludf.DUMMYFUNCTION("""COMPUTED_VALUE"""),34.0)</f>
        <v>34</v>
      </c>
      <c r="I856" s="1">
        <f>IFERROR(__xludf.DUMMYFUNCTION("""COMPUTED_VALUE"""),79.0)</f>
        <v>79</v>
      </c>
      <c r="J856" s="1">
        <f>IFERROR(__xludf.DUMMYFUNCTION("""COMPUTED_VALUE"""),79.0)</f>
        <v>79</v>
      </c>
      <c r="K856" s="1">
        <f>IFERROR(__xludf.DUMMYFUNCTION("""COMPUTED_VALUE"""),68.0)</f>
        <v>68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 t="str">
        <f>IFERROR(__xludf.DUMMYFUNCTION("""COMPUTED_VALUE"""),"D")</f>
        <v>D</v>
      </c>
      <c r="E857" s="1" t="str">
        <f>IFERROR(__xludf.DUMMYFUNCTION("""COMPUTED_VALUE"""),"Female")</f>
        <v>Female</v>
      </c>
      <c r="F857" s="1">
        <f>IFERROR(__xludf.DUMMYFUNCTION("""COMPUTED_VALUE"""),50.0)</f>
        <v>50</v>
      </c>
      <c r="G857" s="1">
        <f>IFERROR(__xludf.DUMMYFUNCTION("""COMPUTED_VALUE"""),40.0)</f>
        <v>40</v>
      </c>
      <c r="H857" s="1">
        <f>IFERROR(__xludf.DUMMYFUNCTION("""COMPUTED_VALUE"""),79.0)</f>
        <v>79</v>
      </c>
      <c r="I857" s="1">
        <f>IFERROR(__xludf.DUMMYFUNCTION("""COMPUTED_VALUE"""),92.0)</f>
        <v>92</v>
      </c>
      <c r="J857" s="1">
        <f>IFERROR(__xludf.DUMMYFUNCTION("""COMPUTED_VALUE"""),81.0)</f>
        <v>81</v>
      </c>
      <c r="K857" s="1">
        <f>IFERROR(__xludf.DUMMYFUNCTION("""COMPUTED_VALUE"""),99.0)</f>
        <v>99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 t="str">
        <f>IFERROR(__xludf.DUMMYFUNCTION("""COMPUTED_VALUE"""),"D")</f>
        <v>D</v>
      </c>
      <c r="E858" s="1" t="str">
        <f>IFERROR(__xludf.DUMMYFUNCTION("""COMPUTED_VALUE"""),"Female")</f>
        <v>Female</v>
      </c>
      <c r="F858" s="1">
        <f>IFERROR(__xludf.DUMMYFUNCTION("""COMPUTED_VALUE"""),35.0)</f>
        <v>35</v>
      </c>
      <c r="G858" s="1">
        <f>IFERROR(__xludf.DUMMYFUNCTION("""COMPUTED_VALUE"""),66.0)</f>
        <v>66</v>
      </c>
      <c r="H858" s="1">
        <f>IFERROR(__xludf.DUMMYFUNCTION("""COMPUTED_VALUE"""),81.0)</f>
        <v>81</v>
      </c>
      <c r="I858" s="1">
        <f>IFERROR(__xludf.DUMMYFUNCTION("""COMPUTED_VALUE"""),29.0)</f>
        <v>29</v>
      </c>
      <c r="J858" s="1">
        <f>IFERROR(__xludf.DUMMYFUNCTION("""COMPUTED_VALUE"""),38.0)</f>
        <v>38</v>
      </c>
      <c r="K858" s="1">
        <f>IFERROR(__xludf.DUMMYFUNCTION("""COMPUTED_VALUE"""),78.0)</f>
        <v>78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 t="str">
        <f>IFERROR(__xludf.DUMMYFUNCTION("""COMPUTED_VALUE"""),"A")</f>
        <v>A</v>
      </c>
      <c r="E859" s="1" t="str">
        <f>IFERROR(__xludf.DUMMYFUNCTION("""COMPUTED_VALUE"""),"Male")</f>
        <v>Male</v>
      </c>
      <c r="F859" s="1">
        <f>IFERROR(__xludf.DUMMYFUNCTION("""COMPUTED_VALUE"""),74.0)</f>
        <v>74</v>
      </c>
      <c r="G859" s="1">
        <f>IFERROR(__xludf.DUMMYFUNCTION("""COMPUTED_VALUE"""),39.0)</f>
        <v>39</v>
      </c>
      <c r="H859" s="1">
        <f>IFERROR(__xludf.DUMMYFUNCTION("""COMPUTED_VALUE"""),77.0)</f>
        <v>77</v>
      </c>
      <c r="I859" s="1">
        <f>IFERROR(__xludf.DUMMYFUNCTION("""COMPUTED_VALUE"""),95.0)</f>
        <v>95</v>
      </c>
      <c r="J859" s="1">
        <f>IFERROR(__xludf.DUMMYFUNCTION("""COMPUTED_VALUE"""),31.0)</f>
        <v>31</v>
      </c>
      <c r="K859" s="1">
        <f>IFERROR(__xludf.DUMMYFUNCTION("""COMPUTED_VALUE"""),97.0)</f>
        <v>97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 t="str">
        <f>IFERROR(__xludf.DUMMYFUNCTION("""COMPUTED_VALUE"""),"D")</f>
        <v>D</v>
      </c>
      <c r="E860" s="1" t="str">
        <f>IFERROR(__xludf.DUMMYFUNCTION("""COMPUTED_VALUE"""),"Female")</f>
        <v>Female</v>
      </c>
      <c r="F860" s="1">
        <f>IFERROR(__xludf.DUMMYFUNCTION("""COMPUTED_VALUE"""),10.0)</f>
        <v>10</v>
      </c>
      <c r="G860" s="1">
        <f>IFERROR(__xludf.DUMMYFUNCTION("""COMPUTED_VALUE"""),34.0)</f>
        <v>34</v>
      </c>
      <c r="H860" s="1">
        <f>IFERROR(__xludf.DUMMYFUNCTION("""COMPUTED_VALUE"""),81.0)</f>
        <v>81</v>
      </c>
      <c r="I860" s="1">
        <f>IFERROR(__xludf.DUMMYFUNCTION("""COMPUTED_VALUE"""),91.0)</f>
        <v>91</v>
      </c>
      <c r="J860" s="1">
        <f>IFERROR(__xludf.DUMMYFUNCTION("""COMPUTED_VALUE"""),35.0)</f>
        <v>35</v>
      </c>
      <c r="K860" s="1">
        <f>IFERROR(__xludf.DUMMYFUNCTION("""COMPUTED_VALUE"""),32.0)</f>
        <v>32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 t="str">
        <f>IFERROR(__xludf.DUMMYFUNCTION("""COMPUTED_VALUE"""),"A")</f>
        <v>A</v>
      </c>
      <c r="E861" s="1" t="str">
        <f>IFERROR(__xludf.DUMMYFUNCTION("""COMPUTED_VALUE"""),"Male")</f>
        <v>Male</v>
      </c>
      <c r="F861" s="1">
        <f>IFERROR(__xludf.DUMMYFUNCTION("""COMPUTED_VALUE"""),11.0)</f>
        <v>11</v>
      </c>
      <c r="G861" s="1">
        <f>IFERROR(__xludf.DUMMYFUNCTION("""COMPUTED_VALUE"""),59.0)</f>
        <v>59</v>
      </c>
      <c r="H861" s="1">
        <f>IFERROR(__xludf.DUMMYFUNCTION("""COMPUTED_VALUE"""),89.0)</f>
        <v>89</v>
      </c>
      <c r="I861" s="1">
        <f>IFERROR(__xludf.DUMMYFUNCTION("""COMPUTED_VALUE"""),72.0)</f>
        <v>72</v>
      </c>
      <c r="J861" s="1">
        <f>IFERROR(__xludf.DUMMYFUNCTION("""COMPUTED_VALUE"""),22.0)</f>
        <v>22</v>
      </c>
      <c r="K861" s="1">
        <f>IFERROR(__xludf.DUMMYFUNCTION("""COMPUTED_VALUE"""),75.0)</f>
        <v>75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 t="str">
        <f>IFERROR(__xludf.DUMMYFUNCTION("""COMPUTED_VALUE"""),"B")</f>
        <v>B</v>
      </c>
      <c r="E862" s="1" t="str">
        <f>IFERROR(__xludf.DUMMYFUNCTION("""COMPUTED_VALUE"""),"Female")</f>
        <v>Female</v>
      </c>
      <c r="F862" s="1">
        <f>IFERROR(__xludf.DUMMYFUNCTION("""COMPUTED_VALUE"""),22.0)</f>
        <v>22</v>
      </c>
      <c r="G862" s="1">
        <f>IFERROR(__xludf.DUMMYFUNCTION("""COMPUTED_VALUE"""),78.0)</f>
        <v>78</v>
      </c>
      <c r="H862" s="1">
        <f>IFERROR(__xludf.DUMMYFUNCTION("""COMPUTED_VALUE"""),21.0)</f>
        <v>21</v>
      </c>
      <c r="I862" s="1">
        <f>IFERROR(__xludf.DUMMYFUNCTION("""COMPUTED_VALUE"""),47.0)</f>
        <v>47</v>
      </c>
      <c r="J862" s="1">
        <f>IFERROR(__xludf.DUMMYFUNCTION("""COMPUTED_VALUE"""),44.0)</f>
        <v>44</v>
      </c>
      <c r="K862" s="1">
        <f>IFERROR(__xludf.DUMMYFUNCTION("""COMPUTED_VALUE"""),71.0)</f>
        <v>71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 t="str">
        <f>IFERROR(__xludf.DUMMYFUNCTION("""COMPUTED_VALUE"""),"A")</f>
        <v>A</v>
      </c>
      <c r="E863" s="1" t="str">
        <f>IFERROR(__xludf.DUMMYFUNCTION("""COMPUTED_VALUE"""),"Female")</f>
        <v>Female</v>
      </c>
      <c r="F863" s="1">
        <f>IFERROR(__xludf.DUMMYFUNCTION("""COMPUTED_VALUE"""),56.0)</f>
        <v>56</v>
      </c>
      <c r="G863" s="1">
        <f>IFERROR(__xludf.DUMMYFUNCTION("""COMPUTED_VALUE"""),68.0)</f>
        <v>68</v>
      </c>
      <c r="H863" s="1">
        <f>IFERROR(__xludf.DUMMYFUNCTION("""COMPUTED_VALUE"""),45.0)</f>
        <v>45</v>
      </c>
      <c r="I863" s="1">
        <f>IFERROR(__xludf.DUMMYFUNCTION("""COMPUTED_VALUE"""),92.0)</f>
        <v>92</v>
      </c>
      <c r="J863" s="1">
        <f>IFERROR(__xludf.DUMMYFUNCTION("""COMPUTED_VALUE"""),79.0)</f>
        <v>79</v>
      </c>
      <c r="K863" s="1">
        <f>IFERROR(__xludf.DUMMYFUNCTION("""COMPUTED_VALUE"""),37.0)</f>
        <v>37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 t="str">
        <f>IFERROR(__xludf.DUMMYFUNCTION("""COMPUTED_VALUE"""),"B")</f>
        <v>B</v>
      </c>
      <c r="E864" s="1" t="str">
        <f>IFERROR(__xludf.DUMMYFUNCTION("""COMPUTED_VALUE"""),"Female")</f>
        <v>Female</v>
      </c>
      <c r="F864" s="1">
        <f>IFERROR(__xludf.DUMMYFUNCTION("""COMPUTED_VALUE"""),47.0)</f>
        <v>47</v>
      </c>
      <c r="G864" s="1">
        <f>IFERROR(__xludf.DUMMYFUNCTION("""COMPUTED_VALUE"""),69.0)</f>
        <v>69</v>
      </c>
      <c r="H864" s="1">
        <f>IFERROR(__xludf.DUMMYFUNCTION("""COMPUTED_VALUE"""),36.0)</f>
        <v>36</v>
      </c>
      <c r="I864" s="1">
        <f>IFERROR(__xludf.DUMMYFUNCTION("""COMPUTED_VALUE"""),42.0)</f>
        <v>42</v>
      </c>
      <c r="J864" s="1">
        <f>IFERROR(__xludf.DUMMYFUNCTION("""COMPUTED_VALUE"""),94.0)</f>
        <v>94</v>
      </c>
      <c r="K864" s="1">
        <f>IFERROR(__xludf.DUMMYFUNCTION("""COMPUTED_VALUE"""),48.0)</f>
        <v>48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 t="str">
        <f>IFERROR(__xludf.DUMMYFUNCTION("""COMPUTED_VALUE"""),"A")</f>
        <v>A</v>
      </c>
      <c r="E865" s="1" t="str">
        <f>IFERROR(__xludf.DUMMYFUNCTION("""COMPUTED_VALUE"""),"Female")</f>
        <v>Female</v>
      </c>
      <c r="F865" s="1">
        <f>IFERROR(__xludf.DUMMYFUNCTION("""COMPUTED_VALUE"""),42.0)</f>
        <v>42</v>
      </c>
      <c r="G865" s="1">
        <f>IFERROR(__xludf.DUMMYFUNCTION("""COMPUTED_VALUE"""),27.0)</f>
        <v>27</v>
      </c>
      <c r="H865" s="1">
        <f>IFERROR(__xludf.DUMMYFUNCTION("""COMPUTED_VALUE"""),60.0)</f>
        <v>60</v>
      </c>
      <c r="I865" s="1">
        <f>IFERROR(__xludf.DUMMYFUNCTION("""COMPUTED_VALUE"""),83.0)</f>
        <v>83</v>
      </c>
      <c r="J865" s="1">
        <f>IFERROR(__xludf.DUMMYFUNCTION("""COMPUTED_VALUE"""),93.0)</f>
        <v>93</v>
      </c>
      <c r="K865" s="1">
        <f>IFERROR(__xludf.DUMMYFUNCTION("""COMPUTED_VALUE"""),88.0)</f>
        <v>88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 t="str">
        <f>IFERROR(__xludf.DUMMYFUNCTION("""COMPUTED_VALUE"""),"A")</f>
        <v>A</v>
      </c>
      <c r="E866" s="1" t="str">
        <f>IFERROR(__xludf.DUMMYFUNCTION("""COMPUTED_VALUE"""),"Female")</f>
        <v>Female</v>
      </c>
      <c r="F866" s="1">
        <f>IFERROR(__xludf.DUMMYFUNCTION("""COMPUTED_VALUE"""),54.0)</f>
        <v>54</v>
      </c>
      <c r="G866" s="1">
        <f>IFERROR(__xludf.DUMMYFUNCTION("""COMPUTED_VALUE"""),90.0)</f>
        <v>90</v>
      </c>
      <c r="H866" s="1">
        <f>IFERROR(__xludf.DUMMYFUNCTION("""COMPUTED_VALUE"""),76.0)</f>
        <v>76</v>
      </c>
      <c r="I866" s="1">
        <f>IFERROR(__xludf.DUMMYFUNCTION("""COMPUTED_VALUE"""),50.0)</f>
        <v>50</v>
      </c>
      <c r="J866" s="1">
        <f>IFERROR(__xludf.DUMMYFUNCTION("""COMPUTED_VALUE"""),80.0)</f>
        <v>80</v>
      </c>
      <c r="K866" s="1">
        <f>IFERROR(__xludf.DUMMYFUNCTION("""COMPUTED_VALUE"""),84.0)</f>
        <v>84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 t="str">
        <f>IFERROR(__xludf.DUMMYFUNCTION("""COMPUTED_VALUE"""),"C")</f>
        <v>C</v>
      </c>
      <c r="E867" s="1" t="str">
        <f>IFERROR(__xludf.DUMMYFUNCTION("""COMPUTED_VALUE"""),"Female")</f>
        <v>Female</v>
      </c>
      <c r="F867" s="1">
        <f>IFERROR(__xludf.DUMMYFUNCTION("""COMPUTED_VALUE"""),44.0)</f>
        <v>44</v>
      </c>
      <c r="G867" s="1">
        <f>IFERROR(__xludf.DUMMYFUNCTION("""COMPUTED_VALUE"""),87.0)</f>
        <v>87</v>
      </c>
      <c r="H867" s="1">
        <f>IFERROR(__xludf.DUMMYFUNCTION("""COMPUTED_VALUE"""),72.0)</f>
        <v>72</v>
      </c>
      <c r="I867" s="1">
        <f>IFERROR(__xludf.DUMMYFUNCTION("""COMPUTED_VALUE"""),41.0)</f>
        <v>41</v>
      </c>
      <c r="J867" s="1">
        <f>IFERROR(__xludf.DUMMYFUNCTION("""COMPUTED_VALUE"""),28.0)</f>
        <v>28</v>
      </c>
      <c r="K867" s="1">
        <f>IFERROR(__xludf.DUMMYFUNCTION("""COMPUTED_VALUE"""),82.0)</f>
        <v>82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 t="str">
        <f>IFERROR(__xludf.DUMMYFUNCTION("""COMPUTED_VALUE"""),"B")</f>
        <v>B</v>
      </c>
      <c r="E868" s="1" t="str">
        <f>IFERROR(__xludf.DUMMYFUNCTION("""COMPUTED_VALUE"""),"Male")</f>
        <v>Male</v>
      </c>
      <c r="F868" s="1">
        <f>IFERROR(__xludf.DUMMYFUNCTION("""COMPUTED_VALUE"""),22.0)</f>
        <v>22</v>
      </c>
      <c r="G868" s="1">
        <f>IFERROR(__xludf.DUMMYFUNCTION("""COMPUTED_VALUE"""),82.0)</f>
        <v>82</v>
      </c>
      <c r="H868" s="1">
        <f>IFERROR(__xludf.DUMMYFUNCTION("""COMPUTED_VALUE"""),44.0)</f>
        <v>44</v>
      </c>
      <c r="I868" s="1">
        <f>IFERROR(__xludf.DUMMYFUNCTION("""COMPUTED_VALUE"""),87.0)</f>
        <v>87</v>
      </c>
      <c r="J868" s="1">
        <f>IFERROR(__xludf.DUMMYFUNCTION("""COMPUTED_VALUE"""),34.0)</f>
        <v>34</v>
      </c>
      <c r="K868" s="1">
        <f>IFERROR(__xludf.DUMMYFUNCTION("""COMPUTED_VALUE"""),80.0)</f>
        <v>80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 t="str">
        <f>IFERROR(__xludf.DUMMYFUNCTION("""COMPUTED_VALUE"""),"C")</f>
        <v>C</v>
      </c>
      <c r="E869" s="1" t="str">
        <f>IFERROR(__xludf.DUMMYFUNCTION("""COMPUTED_VALUE"""),"Female")</f>
        <v>Female</v>
      </c>
      <c r="F869" s="1">
        <f>IFERROR(__xludf.DUMMYFUNCTION("""COMPUTED_VALUE"""),62.0)</f>
        <v>62</v>
      </c>
      <c r="G869" s="1">
        <f>IFERROR(__xludf.DUMMYFUNCTION("""COMPUTED_VALUE"""),42.0)</f>
        <v>42</v>
      </c>
      <c r="H869" s="1">
        <f>IFERROR(__xludf.DUMMYFUNCTION("""COMPUTED_VALUE"""),99.0)</f>
        <v>99</v>
      </c>
      <c r="I869" s="1">
        <f>IFERROR(__xludf.DUMMYFUNCTION("""COMPUTED_VALUE"""),67.0)</f>
        <v>67</v>
      </c>
      <c r="J869" s="1">
        <f>IFERROR(__xludf.DUMMYFUNCTION("""COMPUTED_VALUE"""),78.0)</f>
        <v>78</v>
      </c>
      <c r="K869" s="1">
        <f>IFERROR(__xludf.DUMMYFUNCTION("""COMPUTED_VALUE"""),52.0)</f>
        <v>52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 t="str">
        <f>IFERROR(__xludf.DUMMYFUNCTION("""COMPUTED_VALUE"""),"D")</f>
        <v>D</v>
      </c>
      <c r="E870" s="1" t="str">
        <f>IFERROR(__xludf.DUMMYFUNCTION("""COMPUTED_VALUE"""),"Female")</f>
        <v>Female</v>
      </c>
      <c r="F870" s="1">
        <f>IFERROR(__xludf.DUMMYFUNCTION("""COMPUTED_VALUE"""),33.0)</f>
        <v>33</v>
      </c>
      <c r="G870" s="1">
        <f>IFERROR(__xludf.DUMMYFUNCTION("""COMPUTED_VALUE"""),21.0)</f>
        <v>21</v>
      </c>
      <c r="H870" s="1">
        <f>IFERROR(__xludf.DUMMYFUNCTION("""COMPUTED_VALUE"""),66.0)</f>
        <v>66</v>
      </c>
      <c r="I870" s="1">
        <f>IFERROR(__xludf.DUMMYFUNCTION("""COMPUTED_VALUE"""),53.0)</f>
        <v>53</v>
      </c>
      <c r="J870" s="1">
        <f>IFERROR(__xludf.DUMMYFUNCTION("""COMPUTED_VALUE"""),65.0)</f>
        <v>65</v>
      </c>
      <c r="K870" s="1">
        <f>IFERROR(__xludf.DUMMYFUNCTION("""COMPUTED_VALUE"""),30.0)</f>
        <v>30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 t="str">
        <f>IFERROR(__xludf.DUMMYFUNCTION("""COMPUTED_VALUE"""),"B")</f>
        <v>B</v>
      </c>
      <c r="E871" s="1" t="str">
        <f>IFERROR(__xludf.DUMMYFUNCTION("""COMPUTED_VALUE"""),"Male")</f>
        <v>Male</v>
      </c>
      <c r="F871" s="1">
        <f>IFERROR(__xludf.DUMMYFUNCTION("""COMPUTED_VALUE"""),30.0)</f>
        <v>30</v>
      </c>
      <c r="G871" s="1">
        <f>IFERROR(__xludf.DUMMYFUNCTION("""COMPUTED_VALUE"""),28.0)</f>
        <v>28</v>
      </c>
      <c r="H871" s="1">
        <f>IFERROR(__xludf.DUMMYFUNCTION("""COMPUTED_VALUE"""),32.0)</f>
        <v>32</v>
      </c>
      <c r="I871" s="1">
        <f>IFERROR(__xludf.DUMMYFUNCTION("""COMPUTED_VALUE"""),63.0)</f>
        <v>63</v>
      </c>
      <c r="J871" s="1">
        <f>IFERROR(__xludf.DUMMYFUNCTION("""COMPUTED_VALUE"""),42.0)</f>
        <v>42</v>
      </c>
      <c r="K871" s="1">
        <f>IFERROR(__xludf.DUMMYFUNCTION("""COMPUTED_VALUE"""),78.0)</f>
        <v>78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 t="str">
        <f>IFERROR(__xludf.DUMMYFUNCTION("""COMPUTED_VALUE"""),"D")</f>
        <v>D</v>
      </c>
      <c r="E872" s="1" t="str">
        <f>IFERROR(__xludf.DUMMYFUNCTION("""COMPUTED_VALUE"""),"Male")</f>
        <v>Male</v>
      </c>
      <c r="F872" s="1">
        <f>IFERROR(__xludf.DUMMYFUNCTION("""COMPUTED_VALUE"""),88.0)</f>
        <v>88</v>
      </c>
      <c r="G872" s="1">
        <f>IFERROR(__xludf.DUMMYFUNCTION("""COMPUTED_VALUE"""),86.0)</f>
        <v>86</v>
      </c>
      <c r="H872" s="1">
        <f>IFERROR(__xludf.DUMMYFUNCTION("""COMPUTED_VALUE"""),41.0)</f>
        <v>41</v>
      </c>
      <c r="I872" s="1">
        <f>IFERROR(__xludf.DUMMYFUNCTION("""COMPUTED_VALUE"""),55.0)</f>
        <v>55</v>
      </c>
      <c r="J872" s="1">
        <f>IFERROR(__xludf.DUMMYFUNCTION("""COMPUTED_VALUE"""),33.0)</f>
        <v>33</v>
      </c>
      <c r="K872" s="1">
        <f>IFERROR(__xludf.DUMMYFUNCTION("""COMPUTED_VALUE"""),50.0)</f>
        <v>50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 t="str">
        <f>IFERROR(__xludf.DUMMYFUNCTION("""COMPUTED_VALUE"""),"A")</f>
        <v>A</v>
      </c>
      <c r="E873" s="1" t="str">
        <f>IFERROR(__xludf.DUMMYFUNCTION("""COMPUTED_VALUE"""),"Female")</f>
        <v>Female</v>
      </c>
      <c r="F873" s="1">
        <f>IFERROR(__xludf.DUMMYFUNCTION("""COMPUTED_VALUE"""),19.0)</f>
        <v>19</v>
      </c>
      <c r="G873" s="1">
        <f>IFERROR(__xludf.DUMMYFUNCTION("""COMPUTED_VALUE"""),65.0)</f>
        <v>65</v>
      </c>
      <c r="H873" s="1">
        <f>IFERROR(__xludf.DUMMYFUNCTION("""COMPUTED_VALUE"""),50.0)</f>
        <v>50</v>
      </c>
      <c r="I873" s="1">
        <f>IFERROR(__xludf.DUMMYFUNCTION("""COMPUTED_VALUE"""),77.0)</f>
        <v>77</v>
      </c>
      <c r="J873" s="1">
        <f>IFERROR(__xludf.DUMMYFUNCTION("""COMPUTED_VALUE"""),98.0)</f>
        <v>98</v>
      </c>
      <c r="K873" s="1">
        <f>IFERROR(__xludf.DUMMYFUNCTION("""COMPUTED_VALUE"""),30.0)</f>
        <v>30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 t="str">
        <f>IFERROR(__xludf.DUMMYFUNCTION("""COMPUTED_VALUE"""),"C")</f>
        <v>C</v>
      </c>
      <c r="E874" s="1" t="str">
        <f>IFERROR(__xludf.DUMMYFUNCTION("""COMPUTED_VALUE"""),"Male")</f>
        <v>Male</v>
      </c>
      <c r="F874" s="1">
        <f>IFERROR(__xludf.DUMMYFUNCTION("""COMPUTED_VALUE"""),14.0)</f>
        <v>14</v>
      </c>
      <c r="G874" s="1">
        <f>IFERROR(__xludf.DUMMYFUNCTION("""COMPUTED_VALUE"""),33.0)</f>
        <v>33</v>
      </c>
      <c r="H874" s="1">
        <f>IFERROR(__xludf.DUMMYFUNCTION("""COMPUTED_VALUE"""),88.0)</f>
        <v>88</v>
      </c>
      <c r="I874" s="1">
        <f>IFERROR(__xludf.DUMMYFUNCTION("""COMPUTED_VALUE"""),87.0)</f>
        <v>87</v>
      </c>
      <c r="J874" s="1">
        <f>IFERROR(__xludf.DUMMYFUNCTION("""COMPUTED_VALUE"""),21.0)</f>
        <v>21</v>
      </c>
      <c r="K874" s="1">
        <f>IFERROR(__xludf.DUMMYFUNCTION("""COMPUTED_VALUE"""),35.0)</f>
        <v>35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 t="str">
        <f>IFERROR(__xludf.DUMMYFUNCTION("""COMPUTED_VALUE"""),"D")</f>
        <v>D</v>
      </c>
      <c r="E875" s="1" t="str">
        <f>IFERROR(__xludf.DUMMYFUNCTION("""COMPUTED_VALUE"""),"Female")</f>
        <v>Female</v>
      </c>
      <c r="F875" s="1">
        <f>IFERROR(__xludf.DUMMYFUNCTION("""COMPUTED_VALUE"""),39.0)</f>
        <v>39</v>
      </c>
      <c r="G875" s="1">
        <f>IFERROR(__xludf.DUMMYFUNCTION("""COMPUTED_VALUE"""),55.0)</f>
        <v>55</v>
      </c>
      <c r="H875" s="1">
        <f>IFERROR(__xludf.DUMMYFUNCTION("""COMPUTED_VALUE"""),47.0)</f>
        <v>47</v>
      </c>
      <c r="I875" s="1">
        <f>IFERROR(__xludf.DUMMYFUNCTION("""COMPUTED_VALUE"""),74.0)</f>
        <v>74</v>
      </c>
      <c r="J875" s="1">
        <f>IFERROR(__xludf.DUMMYFUNCTION("""COMPUTED_VALUE"""),95.0)</f>
        <v>95</v>
      </c>
      <c r="K875" s="1">
        <f>IFERROR(__xludf.DUMMYFUNCTION("""COMPUTED_VALUE"""),28.0)</f>
        <v>28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 t="str">
        <f>IFERROR(__xludf.DUMMYFUNCTION("""COMPUTED_VALUE"""),"C")</f>
        <v>C</v>
      </c>
      <c r="E876" s="1" t="str">
        <f>IFERROR(__xludf.DUMMYFUNCTION("""COMPUTED_VALUE"""),"Male")</f>
        <v>Male</v>
      </c>
      <c r="F876" s="1">
        <f>IFERROR(__xludf.DUMMYFUNCTION("""COMPUTED_VALUE"""),76.0)</f>
        <v>76</v>
      </c>
      <c r="G876" s="1">
        <f>IFERROR(__xludf.DUMMYFUNCTION("""COMPUTED_VALUE"""),45.0)</f>
        <v>45</v>
      </c>
      <c r="H876" s="1">
        <f>IFERROR(__xludf.DUMMYFUNCTION("""COMPUTED_VALUE"""),61.0)</f>
        <v>61</v>
      </c>
      <c r="I876" s="1">
        <f>IFERROR(__xludf.DUMMYFUNCTION("""COMPUTED_VALUE"""),72.0)</f>
        <v>72</v>
      </c>
      <c r="J876" s="1">
        <f>IFERROR(__xludf.DUMMYFUNCTION("""COMPUTED_VALUE"""),55.0)</f>
        <v>55</v>
      </c>
      <c r="K876" s="1">
        <f>IFERROR(__xludf.DUMMYFUNCTION("""COMPUTED_VALUE"""),57.0)</f>
        <v>57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 t="str">
        <f>IFERROR(__xludf.DUMMYFUNCTION("""COMPUTED_VALUE"""),"B")</f>
        <v>B</v>
      </c>
      <c r="E877" s="1" t="str">
        <f>IFERROR(__xludf.DUMMYFUNCTION("""COMPUTED_VALUE"""),"Female")</f>
        <v>Female</v>
      </c>
      <c r="F877" s="1">
        <f>IFERROR(__xludf.DUMMYFUNCTION("""COMPUTED_VALUE"""),39.0)</f>
        <v>39</v>
      </c>
      <c r="G877" s="1">
        <f>IFERROR(__xludf.DUMMYFUNCTION("""COMPUTED_VALUE"""),36.0)</f>
        <v>36</v>
      </c>
      <c r="H877" s="1">
        <f>IFERROR(__xludf.DUMMYFUNCTION("""COMPUTED_VALUE"""),55.0)</f>
        <v>55</v>
      </c>
      <c r="I877" s="1">
        <f>IFERROR(__xludf.DUMMYFUNCTION("""COMPUTED_VALUE"""),78.0)</f>
        <v>78</v>
      </c>
      <c r="J877" s="1">
        <f>IFERROR(__xludf.DUMMYFUNCTION("""COMPUTED_VALUE"""),75.0)</f>
        <v>75</v>
      </c>
      <c r="K877" s="1">
        <f>IFERROR(__xludf.DUMMYFUNCTION("""COMPUTED_VALUE"""),80.0)</f>
        <v>80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 t="str">
        <f>IFERROR(__xludf.DUMMYFUNCTION("""COMPUTED_VALUE"""),"C")</f>
        <v>C</v>
      </c>
      <c r="E878" s="1" t="str">
        <f>IFERROR(__xludf.DUMMYFUNCTION("""COMPUTED_VALUE"""),"Female")</f>
        <v>Female</v>
      </c>
      <c r="F878" s="1">
        <f>IFERROR(__xludf.DUMMYFUNCTION("""COMPUTED_VALUE"""),14.0)</f>
        <v>14</v>
      </c>
      <c r="G878" s="1">
        <f>IFERROR(__xludf.DUMMYFUNCTION("""COMPUTED_VALUE"""),63.0)</f>
        <v>63</v>
      </c>
      <c r="H878" s="1">
        <f>IFERROR(__xludf.DUMMYFUNCTION("""COMPUTED_VALUE"""),38.0)</f>
        <v>38</v>
      </c>
      <c r="I878" s="1">
        <f>IFERROR(__xludf.DUMMYFUNCTION("""COMPUTED_VALUE"""),77.0)</f>
        <v>77</v>
      </c>
      <c r="J878" s="1">
        <f>IFERROR(__xludf.DUMMYFUNCTION("""COMPUTED_VALUE"""),63.0)</f>
        <v>63</v>
      </c>
      <c r="K878" s="1">
        <f>IFERROR(__xludf.DUMMYFUNCTION("""COMPUTED_VALUE"""),94.0)</f>
        <v>94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 t="str">
        <f>IFERROR(__xludf.DUMMYFUNCTION("""COMPUTED_VALUE"""),"B")</f>
        <v>B</v>
      </c>
      <c r="E879" s="1" t="str">
        <f>IFERROR(__xludf.DUMMYFUNCTION("""COMPUTED_VALUE"""),"Female")</f>
        <v>Female</v>
      </c>
      <c r="F879" s="1">
        <f>IFERROR(__xludf.DUMMYFUNCTION("""COMPUTED_VALUE"""),26.0)</f>
        <v>26</v>
      </c>
      <c r="G879" s="1">
        <f>IFERROR(__xludf.DUMMYFUNCTION("""COMPUTED_VALUE"""),65.0)</f>
        <v>65</v>
      </c>
      <c r="H879" s="1">
        <f>IFERROR(__xludf.DUMMYFUNCTION("""COMPUTED_VALUE"""),67.0)</f>
        <v>67</v>
      </c>
      <c r="I879" s="1">
        <f>IFERROR(__xludf.DUMMYFUNCTION("""COMPUTED_VALUE"""),59.0)</f>
        <v>59</v>
      </c>
      <c r="J879" s="1">
        <f>IFERROR(__xludf.DUMMYFUNCTION("""COMPUTED_VALUE"""),28.0)</f>
        <v>28</v>
      </c>
      <c r="K879" s="1">
        <f>IFERROR(__xludf.DUMMYFUNCTION("""COMPUTED_VALUE"""),96.0)</f>
        <v>96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 t="str">
        <f>IFERROR(__xludf.DUMMYFUNCTION("""COMPUTED_VALUE"""),"B")</f>
        <v>B</v>
      </c>
      <c r="E880" s="1" t="str">
        <f>IFERROR(__xludf.DUMMYFUNCTION("""COMPUTED_VALUE"""),"Male")</f>
        <v>Male</v>
      </c>
      <c r="F880" s="1">
        <f>IFERROR(__xludf.DUMMYFUNCTION("""COMPUTED_VALUE"""),87.0)</f>
        <v>87</v>
      </c>
      <c r="G880" s="1">
        <f>IFERROR(__xludf.DUMMYFUNCTION("""COMPUTED_VALUE"""),59.0)</f>
        <v>59</v>
      </c>
      <c r="H880" s="1">
        <f>IFERROR(__xludf.DUMMYFUNCTION("""COMPUTED_VALUE"""),33.0)</f>
        <v>33</v>
      </c>
      <c r="I880" s="1">
        <f>IFERROR(__xludf.DUMMYFUNCTION("""COMPUTED_VALUE"""),89.0)</f>
        <v>89</v>
      </c>
      <c r="J880" s="1">
        <f>IFERROR(__xludf.DUMMYFUNCTION("""COMPUTED_VALUE"""),87.0)</f>
        <v>87</v>
      </c>
      <c r="K880" s="1">
        <f>IFERROR(__xludf.DUMMYFUNCTION("""COMPUTED_VALUE"""),49.0)</f>
        <v>49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 t="str">
        <f>IFERROR(__xludf.DUMMYFUNCTION("""COMPUTED_VALUE"""),"A")</f>
        <v>A</v>
      </c>
      <c r="E881" s="1" t="str">
        <f>IFERROR(__xludf.DUMMYFUNCTION("""COMPUTED_VALUE"""),"Male")</f>
        <v>Male</v>
      </c>
      <c r="F881" s="1">
        <f>IFERROR(__xludf.DUMMYFUNCTION("""COMPUTED_VALUE"""),46.0)</f>
        <v>46</v>
      </c>
      <c r="G881" s="1">
        <f>IFERROR(__xludf.DUMMYFUNCTION("""COMPUTED_VALUE"""),29.0)</f>
        <v>29</v>
      </c>
      <c r="H881" s="1">
        <f>IFERROR(__xludf.DUMMYFUNCTION("""COMPUTED_VALUE"""),28.0)</f>
        <v>28</v>
      </c>
      <c r="I881" s="1">
        <f>IFERROR(__xludf.DUMMYFUNCTION("""COMPUTED_VALUE"""),58.0)</f>
        <v>58</v>
      </c>
      <c r="J881" s="1">
        <f>IFERROR(__xludf.DUMMYFUNCTION("""COMPUTED_VALUE"""),94.0)</f>
        <v>94</v>
      </c>
      <c r="K881" s="1">
        <f>IFERROR(__xludf.DUMMYFUNCTION("""COMPUTED_VALUE"""),79.0)</f>
        <v>79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 t="str">
        <f>IFERROR(__xludf.DUMMYFUNCTION("""COMPUTED_VALUE"""),"D")</f>
        <v>D</v>
      </c>
      <c r="E882" s="1" t="str">
        <f>IFERROR(__xludf.DUMMYFUNCTION("""COMPUTED_VALUE"""),"Female")</f>
        <v>Female</v>
      </c>
      <c r="F882" s="1">
        <f>IFERROR(__xludf.DUMMYFUNCTION("""COMPUTED_VALUE"""),75.0)</f>
        <v>75</v>
      </c>
      <c r="G882" s="1">
        <f>IFERROR(__xludf.DUMMYFUNCTION("""COMPUTED_VALUE"""),22.0)</f>
        <v>22</v>
      </c>
      <c r="H882" s="1">
        <f>IFERROR(__xludf.DUMMYFUNCTION("""COMPUTED_VALUE"""),89.0)</f>
        <v>89</v>
      </c>
      <c r="I882" s="1">
        <f>IFERROR(__xludf.DUMMYFUNCTION("""COMPUTED_VALUE"""),77.0)</f>
        <v>77</v>
      </c>
      <c r="J882" s="1">
        <f>IFERROR(__xludf.DUMMYFUNCTION("""COMPUTED_VALUE"""),88.0)</f>
        <v>88</v>
      </c>
      <c r="K882" s="1">
        <f>IFERROR(__xludf.DUMMYFUNCTION("""COMPUTED_VALUE"""),52.0)</f>
        <v>52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 t="str">
        <f>IFERROR(__xludf.DUMMYFUNCTION("""COMPUTED_VALUE"""),"A")</f>
        <v>A</v>
      </c>
      <c r="E883" s="1" t="str">
        <f>IFERROR(__xludf.DUMMYFUNCTION("""COMPUTED_VALUE"""),"Female")</f>
        <v>Female</v>
      </c>
      <c r="F883" s="1">
        <f>IFERROR(__xludf.DUMMYFUNCTION("""COMPUTED_VALUE"""),22.0)</f>
        <v>22</v>
      </c>
      <c r="G883" s="1">
        <f>IFERROR(__xludf.DUMMYFUNCTION("""COMPUTED_VALUE"""),66.0)</f>
        <v>66</v>
      </c>
      <c r="H883" s="1">
        <f>IFERROR(__xludf.DUMMYFUNCTION("""COMPUTED_VALUE"""),84.0)</f>
        <v>84</v>
      </c>
      <c r="I883" s="1">
        <f>IFERROR(__xludf.DUMMYFUNCTION("""COMPUTED_VALUE"""),25.0)</f>
        <v>25</v>
      </c>
      <c r="J883" s="1">
        <f>IFERROR(__xludf.DUMMYFUNCTION("""COMPUTED_VALUE"""),27.0)</f>
        <v>27</v>
      </c>
      <c r="K883" s="1">
        <f>IFERROR(__xludf.DUMMYFUNCTION("""COMPUTED_VALUE"""),87.0)</f>
        <v>87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 t="str">
        <f>IFERROR(__xludf.DUMMYFUNCTION("""COMPUTED_VALUE"""),"D")</f>
        <v>D</v>
      </c>
      <c r="E884" s="1" t="str">
        <f>IFERROR(__xludf.DUMMYFUNCTION("""COMPUTED_VALUE"""),"Male")</f>
        <v>Male</v>
      </c>
      <c r="F884" s="1">
        <f>IFERROR(__xludf.DUMMYFUNCTION("""COMPUTED_VALUE"""),70.0)</f>
        <v>70</v>
      </c>
      <c r="G884" s="1">
        <f>IFERROR(__xludf.DUMMYFUNCTION("""COMPUTED_VALUE"""),60.0)</f>
        <v>60</v>
      </c>
      <c r="H884" s="1">
        <f>IFERROR(__xludf.DUMMYFUNCTION("""COMPUTED_VALUE"""),72.0)</f>
        <v>72</v>
      </c>
      <c r="I884" s="1">
        <f>IFERROR(__xludf.DUMMYFUNCTION("""COMPUTED_VALUE"""),39.0)</f>
        <v>39</v>
      </c>
      <c r="J884" s="1">
        <f>IFERROR(__xludf.DUMMYFUNCTION("""COMPUTED_VALUE"""),38.0)</f>
        <v>38</v>
      </c>
      <c r="K884" s="1">
        <f>IFERROR(__xludf.DUMMYFUNCTION("""COMPUTED_VALUE"""),60.0)</f>
        <v>60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 t="str">
        <f>IFERROR(__xludf.DUMMYFUNCTION("""COMPUTED_VALUE"""),"A")</f>
        <v>A</v>
      </c>
      <c r="E885" s="1" t="str">
        <f>IFERROR(__xludf.DUMMYFUNCTION("""COMPUTED_VALUE"""),"Female")</f>
        <v>Female</v>
      </c>
      <c r="F885" s="1">
        <f>IFERROR(__xludf.DUMMYFUNCTION("""COMPUTED_VALUE"""),53.0)</f>
        <v>53</v>
      </c>
      <c r="G885" s="1">
        <f>IFERROR(__xludf.DUMMYFUNCTION("""COMPUTED_VALUE"""),21.0)</f>
        <v>21</v>
      </c>
      <c r="H885" s="1">
        <f>IFERROR(__xludf.DUMMYFUNCTION("""COMPUTED_VALUE"""),33.0)</f>
        <v>33</v>
      </c>
      <c r="I885" s="1">
        <f>IFERROR(__xludf.DUMMYFUNCTION("""COMPUTED_VALUE"""),20.0)</f>
        <v>20</v>
      </c>
      <c r="J885" s="1">
        <f>IFERROR(__xludf.DUMMYFUNCTION("""COMPUTED_VALUE"""),27.0)</f>
        <v>27</v>
      </c>
      <c r="K885" s="1">
        <f>IFERROR(__xludf.DUMMYFUNCTION("""COMPUTED_VALUE"""),27.0)</f>
        <v>27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 t="str">
        <f>IFERROR(__xludf.DUMMYFUNCTION("""COMPUTED_VALUE"""),"A")</f>
        <v>A</v>
      </c>
      <c r="E886" s="1" t="str">
        <f>IFERROR(__xludf.DUMMYFUNCTION("""COMPUTED_VALUE"""),"Male")</f>
        <v>Male</v>
      </c>
      <c r="F886" s="1">
        <f>IFERROR(__xludf.DUMMYFUNCTION("""COMPUTED_VALUE"""),81.0)</f>
        <v>81</v>
      </c>
      <c r="G886" s="1">
        <f>IFERROR(__xludf.DUMMYFUNCTION("""COMPUTED_VALUE"""),81.0)</f>
        <v>81</v>
      </c>
      <c r="H886" s="1">
        <f>IFERROR(__xludf.DUMMYFUNCTION("""COMPUTED_VALUE"""),27.0)</f>
        <v>27</v>
      </c>
      <c r="I886" s="1">
        <f>IFERROR(__xludf.DUMMYFUNCTION("""COMPUTED_VALUE"""),79.0)</f>
        <v>79</v>
      </c>
      <c r="J886" s="1">
        <f>IFERROR(__xludf.DUMMYFUNCTION("""COMPUTED_VALUE"""),32.0)</f>
        <v>32</v>
      </c>
      <c r="K886" s="1">
        <f>IFERROR(__xludf.DUMMYFUNCTION("""COMPUTED_VALUE"""),87.0)</f>
        <v>87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 t="str">
        <f>IFERROR(__xludf.DUMMYFUNCTION("""COMPUTED_VALUE"""),"C")</f>
        <v>C</v>
      </c>
      <c r="E887" s="1" t="str">
        <f>IFERROR(__xludf.DUMMYFUNCTION("""COMPUTED_VALUE"""),"Male")</f>
        <v>Male</v>
      </c>
      <c r="F887" s="1">
        <f>IFERROR(__xludf.DUMMYFUNCTION("""COMPUTED_VALUE"""),74.0)</f>
        <v>74</v>
      </c>
      <c r="G887" s="1">
        <f>IFERROR(__xludf.DUMMYFUNCTION("""COMPUTED_VALUE"""),69.0)</f>
        <v>69</v>
      </c>
      <c r="H887" s="1">
        <f>IFERROR(__xludf.DUMMYFUNCTION("""COMPUTED_VALUE"""),72.0)</f>
        <v>72</v>
      </c>
      <c r="I887" s="1">
        <f>IFERROR(__xludf.DUMMYFUNCTION("""COMPUTED_VALUE"""),24.0)</f>
        <v>24</v>
      </c>
      <c r="J887" s="1">
        <f>IFERROR(__xludf.DUMMYFUNCTION("""COMPUTED_VALUE"""),48.0)</f>
        <v>48</v>
      </c>
      <c r="K887" s="1">
        <f>IFERROR(__xludf.DUMMYFUNCTION("""COMPUTED_VALUE"""),77.0)</f>
        <v>77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 t="str">
        <f>IFERROR(__xludf.DUMMYFUNCTION("""COMPUTED_VALUE"""),"D")</f>
        <v>D</v>
      </c>
      <c r="E888" s="1" t="str">
        <f>IFERROR(__xludf.DUMMYFUNCTION("""COMPUTED_VALUE"""),"Female")</f>
        <v>Female</v>
      </c>
      <c r="F888" s="1">
        <f>IFERROR(__xludf.DUMMYFUNCTION("""COMPUTED_VALUE"""),59.0)</f>
        <v>59</v>
      </c>
      <c r="G888" s="1">
        <f>IFERROR(__xludf.DUMMYFUNCTION("""COMPUTED_VALUE"""),38.0)</f>
        <v>38</v>
      </c>
      <c r="H888" s="1">
        <f>IFERROR(__xludf.DUMMYFUNCTION("""COMPUTED_VALUE"""),53.0)</f>
        <v>53</v>
      </c>
      <c r="I888" s="1">
        <f>IFERROR(__xludf.DUMMYFUNCTION("""COMPUTED_VALUE"""),25.0)</f>
        <v>25</v>
      </c>
      <c r="J888" s="1">
        <f>IFERROR(__xludf.DUMMYFUNCTION("""COMPUTED_VALUE"""),53.0)</f>
        <v>53</v>
      </c>
      <c r="K888" s="1">
        <f>IFERROR(__xludf.DUMMYFUNCTION("""COMPUTED_VALUE"""),96.0)</f>
        <v>96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 t="str">
        <f>IFERROR(__xludf.DUMMYFUNCTION("""COMPUTED_VALUE"""),"A")</f>
        <v>A</v>
      </c>
      <c r="E889" s="1" t="str">
        <f>IFERROR(__xludf.DUMMYFUNCTION("""COMPUTED_VALUE"""),"Male")</f>
        <v>Male</v>
      </c>
      <c r="F889" s="1">
        <f>IFERROR(__xludf.DUMMYFUNCTION("""COMPUTED_VALUE"""),89.0)</f>
        <v>89</v>
      </c>
      <c r="G889" s="1">
        <f>IFERROR(__xludf.DUMMYFUNCTION("""COMPUTED_VALUE"""),60.0)</f>
        <v>60</v>
      </c>
      <c r="H889" s="1">
        <f>IFERROR(__xludf.DUMMYFUNCTION("""COMPUTED_VALUE"""),66.0)</f>
        <v>66</v>
      </c>
      <c r="I889" s="1">
        <f>IFERROR(__xludf.DUMMYFUNCTION("""COMPUTED_VALUE"""),38.0)</f>
        <v>38</v>
      </c>
      <c r="J889" s="1">
        <f>IFERROR(__xludf.DUMMYFUNCTION("""COMPUTED_VALUE"""),37.0)</f>
        <v>37</v>
      </c>
      <c r="K889" s="1">
        <f>IFERROR(__xludf.DUMMYFUNCTION("""COMPUTED_VALUE"""),62.0)</f>
        <v>62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 t="str">
        <f>IFERROR(__xludf.DUMMYFUNCTION("""COMPUTED_VALUE"""),"B")</f>
        <v>B</v>
      </c>
      <c r="E890" s="1" t="str">
        <f>IFERROR(__xludf.DUMMYFUNCTION("""COMPUTED_VALUE"""),"Female")</f>
        <v>Female</v>
      </c>
      <c r="F890" s="1">
        <f>IFERROR(__xludf.DUMMYFUNCTION("""COMPUTED_VALUE"""),88.0)</f>
        <v>88</v>
      </c>
      <c r="G890" s="1">
        <f>IFERROR(__xludf.DUMMYFUNCTION("""COMPUTED_VALUE"""),71.0)</f>
        <v>71</v>
      </c>
      <c r="H890" s="1">
        <f>IFERROR(__xludf.DUMMYFUNCTION("""COMPUTED_VALUE"""),30.0)</f>
        <v>30</v>
      </c>
      <c r="I890" s="1">
        <f>IFERROR(__xludf.DUMMYFUNCTION("""COMPUTED_VALUE"""),34.0)</f>
        <v>34</v>
      </c>
      <c r="J890" s="1">
        <f>IFERROR(__xludf.DUMMYFUNCTION("""COMPUTED_VALUE"""),51.0)</f>
        <v>51</v>
      </c>
      <c r="K890" s="1">
        <f>IFERROR(__xludf.DUMMYFUNCTION("""COMPUTED_VALUE"""),70.0)</f>
        <v>70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 t="str">
        <f>IFERROR(__xludf.DUMMYFUNCTION("""COMPUTED_VALUE"""),"D")</f>
        <v>D</v>
      </c>
      <c r="E891" s="1" t="str">
        <f>IFERROR(__xludf.DUMMYFUNCTION("""COMPUTED_VALUE"""),"Female")</f>
        <v>Female</v>
      </c>
      <c r="F891" s="1">
        <f>IFERROR(__xludf.DUMMYFUNCTION("""COMPUTED_VALUE"""),62.0)</f>
        <v>62</v>
      </c>
      <c r="G891" s="1">
        <f>IFERROR(__xludf.DUMMYFUNCTION("""COMPUTED_VALUE"""),24.0)</f>
        <v>24</v>
      </c>
      <c r="H891" s="1">
        <f>IFERROR(__xludf.DUMMYFUNCTION("""COMPUTED_VALUE"""),25.0)</f>
        <v>25</v>
      </c>
      <c r="I891" s="1">
        <f>IFERROR(__xludf.DUMMYFUNCTION("""COMPUTED_VALUE"""),39.0)</f>
        <v>39</v>
      </c>
      <c r="J891" s="1">
        <f>IFERROR(__xludf.DUMMYFUNCTION("""COMPUTED_VALUE"""),28.0)</f>
        <v>28</v>
      </c>
      <c r="K891" s="1">
        <f>IFERROR(__xludf.DUMMYFUNCTION("""COMPUTED_VALUE"""),78.0)</f>
        <v>78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 t="str">
        <f>IFERROR(__xludf.DUMMYFUNCTION("""COMPUTED_VALUE"""),"C")</f>
        <v>C</v>
      </c>
      <c r="E892" s="1" t="str">
        <f>IFERROR(__xludf.DUMMYFUNCTION("""COMPUTED_VALUE"""),"Male")</f>
        <v>Male</v>
      </c>
      <c r="F892" s="1">
        <f>IFERROR(__xludf.DUMMYFUNCTION("""COMPUTED_VALUE"""),40.0)</f>
        <v>40</v>
      </c>
      <c r="G892" s="1">
        <f>IFERROR(__xludf.DUMMYFUNCTION("""COMPUTED_VALUE"""),73.0)</f>
        <v>73</v>
      </c>
      <c r="H892" s="1">
        <f>IFERROR(__xludf.DUMMYFUNCTION("""COMPUTED_VALUE"""),33.0)</f>
        <v>33</v>
      </c>
      <c r="I892" s="1">
        <f>IFERROR(__xludf.DUMMYFUNCTION("""COMPUTED_VALUE"""),70.0)</f>
        <v>70</v>
      </c>
      <c r="J892" s="1">
        <f>IFERROR(__xludf.DUMMYFUNCTION("""COMPUTED_VALUE"""),38.0)</f>
        <v>38</v>
      </c>
      <c r="K892" s="1">
        <f>IFERROR(__xludf.DUMMYFUNCTION("""COMPUTED_VALUE"""),35.0)</f>
        <v>35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 t="str">
        <f>IFERROR(__xludf.DUMMYFUNCTION("""COMPUTED_VALUE"""),"C")</f>
        <v>C</v>
      </c>
      <c r="E893" s="1" t="str">
        <f>IFERROR(__xludf.DUMMYFUNCTION("""COMPUTED_VALUE"""),"Male")</f>
        <v>Male</v>
      </c>
      <c r="F893" s="1">
        <f>IFERROR(__xludf.DUMMYFUNCTION("""COMPUTED_VALUE"""),51.0)</f>
        <v>51</v>
      </c>
      <c r="G893" s="1">
        <f>IFERROR(__xludf.DUMMYFUNCTION("""COMPUTED_VALUE"""),27.0)</f>
        <v>27</v>
      </c>
      <c r="H893" s="1">
        <f>IFERROR(__xludf.DUMMYFUNCTION("""COMPUTED_VALUE"""),34.0)</f>
        <v>34</v>
      </c>
      <c r="I893" s="1">
        <f>IFERROR(__xludf.DUMMYFUNCTION("""COMPUTED_VALUE"""),70.0)</f>
        <v>70</v>
      </c>
      <c r="J893" s="1">
        <f>IFERROR(__xludf.DUMMYFUNCTION("""COMPUTED_VALUE"""),46.0)</f>
        <v>46</v>
      </c>
      <c r="K893" s="1">
        <f>IFERROR(__xludf.DUMMYFUNCTION("""COMPUTED_VALUE"""),51.0)</f>
        <v>51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 t="str">
        <f>IFERROR(__xludf.DUMMYFUNCTION("""COMPUTED_VALUE"""),"A")</f>
        <v>A</v>
      </c>
      <c r="E894" s="1" t="str">
        <f>IFERROR(__xludf.DUMMYFUNCTION("""COMPUTED_VALUE"""),"Male")</f>
        <v>Male</v>
      </c>
      <c r="F894" s="1">
        <f>IFERROR(__xludf.DUMMYFUNCTION("""COMPUTED_VALUE"""),45.0)</f>
        <v>45</v>
      </c>
      <c r="G894" s="1">
        <f>IFERROR(__xludf.DUMMYFUNCTION("""COMPUTED_VALUE"""),86.0)</f>
        <v>86</v>
      </c>
      <c r="H894" s="1">
        <f>IFERROR(__xludf.DUMMYFUNCTION("""COMPUTED_VALUE"""),93.0)</f>
        <v>93</v>
      </c>
      <c r="I894" s="1">
        <f>IFERROR(__xludf.DUMMYFUNCTION("""COMPUTED_VALUE"""),20.0)</f>
        <v>20</v>
      </c>
      <c r="J894" s="1">
        <f>IFERROR(__xludf.DUMMYFUNCTION("""COMPUTED_VALUE"""),54.0)</f>
        <v>54</v>
      </c>
      <c r="K894" s="1">
        <f>IFERROR(__xludf.DUMMYFUNCTION("""COMPUTED_VALUE"""),41.0)</f>
        <v>41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 t="str">
        <f>IFERROR(__xludf.DUMMYFUNCTION("""COMPUTED_VALUE"""),"C")</f>
        <v>C</v>
      </c>
      <c r="E895" s="1" t="str">
        <f>IFERROR(__xludf.DUMMYFUNCTION("""COMPUTED_VALUE"""),"Female")</f>
        <v>Female</v>
      </c>
      <c r="F895" s="1">
        <f>IFERROR(__xludf.DUMMYFUNCTION("""COMPUTED_VALUE"""),30.0)</f>
        <v>30</v>
      </c>
      <c r="G895" s="1">
        <f>IFERROR(__xludf.DUMMYFUNCTION("""COMPUTED_VALUE"""),73.0)</f>
        <v>73</v>
      </c>
      <c r="H895" s="1">
        <f>IFERROR(__xludf.DUMMYFUNCTION("""COMPUTED_VALUE"""),49.0)</f>
        <v>49</v>
      </c>
      <c r="I895" s="1">
        <f>IFERROR(__xludf.DUMMYFUNCTION("""COMPUTED_VALUE"""),80.0)</f>
        <v>80</v>
      </c>
      <c r="J895" s="1">
        <f>IFERROR(__xludf.DUMMYFUNCTION("""COMPUTED_VALUE"""),89.0)</f>
        <v>89</v>
      </c>
      <c r="K895" s="1">
        <f>IFERROR(__xludf.DUMMYFUNCTION("""COMPUTED_VALUE"""),79.0)</f>
        <v>79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 t="str">
        <f>IFERROR(__xludf.DUMMYFUNCTION("""COMPUTED_VALUE"""),"B")</f>
        <v>B</v>
      </c>
      <c r="E896" s="1" t="str">
        <f>IFERROR(__xludf.DUMMYFUNCTION("""COMPUTED_VALUE"""),"Female")</f>
        <v>Female</v>
      </c>
      <c r="F896" s="1">
        <f>IFERROR(__xludf.DUMMYFUNCTION("""COMPUTED_VALUE"""),98.0)</f>
        <v>98</v>
      </c>
      <c r="G896" s="1">
        <f>IFERROR(__xludf.DUMMYFUNCTION("""COMPUTED_VALUE"""),83.0)</f>
        <v>83</v>
      </c>
      <c r="H896" s="1">
        <f>IFERROR(__xludf.DUMMYFUNCTION("""COMPUTED_VALUE"""),37.0)</f>
        <v>37</v>
      </c>
      <c r="I896" s="1">
        <f>IFERROR(__xludf.DUMMYFUNCTION("""COMPUTED_VALUE"""),99.0)</f>
        <v>99</v>
      </c>
      <c r="J896" s="1">
        <f>IFERROR(__xludf.DUMMYFUNCTION("""COMPUTED_VALUE"""),30.0)</f>
        <v>30</v>
      </c>
      <c r="K896" s="1">
        <f>IFERROR(__xludf.DUMMYFUNCTION("""COMPUTED_VALUE"""),86.0)</f>
        <v>86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 t="str">
        <f>IFERROR(__xludf.DUMMYFUNCTION("""COMPUTED_VALUE"""),"C")</f>
        <v>C</v>
      </c>
      <c r="E897" s="1" t="str">
        <f>IFERROR(__xludf.DUMMYFUNCTION("""COMPUTED_VALUE"""),"Female")</f>
        <v>Female</v>
      </c>
      <c r="F897" s="1">
        <f>IFERROR(__xludf.DUMMYFUNCTION("""COMPUTED_VALUE"""),65.0)</f>
        <v>65</v>
      </c>
      <c r="G897" s="1">
        <f>IFERROR(__xludf.DUMMYFUNCTION("""COMPUTED_VALUE"""),89.0)</f>
        <v>89</v>
      </c>
      <c r="H897" s="1">
        <f>IFERROR(__xludf.DUMMYFUNCTION("""COMPUTED_VALUE"""),87.0)</f>
        <v>87</v>
      </c>
      <c r="I897" s="1">
        <f>IFERROR(__xludf.DUMMYFUNCTION("""COMPUTED_VALUE"""),49.0)</f>
        <v>49</v>
      </c>
      <c r="J897" s="1">
        <f>IFERROR(__xludf.DUMMYFUNCTION("""COMPUTED_VALUE"""),45.0)</f>
        <v>45</v>
      </c>
      <c r="K897" s="1">
        <f>IFERROR(__xludf.DUMMYFUNCTION("""COMPUTED_VALUE"""),74.0)</f>
        <v>74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 t="str">
        <f>IFERROR(__xludf.DUMMYFUNCTION("""COMPUTED_VALUE"""),"B")</f>
        <v>B</v>
      </c>
      <c r="E898" s="1" t="str">
        <f>IFERROR(__xludf.DUMMYFUNCTION("""COMPUTED_VALUE"""),"Male")</f>
        <v>Male</v>
      </c>
      <c r="F898" s="1">
        <f>IFERROR(__xludf.DUMMYFUNCTION("""COMPUTED_VALUE"""),22.0)</f>
        <v>22</v>
      </c>
      <c r="G898" s="1">
        <f>IFERROR(__xludf.DUMMYFUNCTION("""COMPUTED_VALUE"""),51.0)</f>
        <v>51</v>
      </c>
      <c r="H898" s="1">
        <f>IFERROR(__xludf.DUMMYFUNCTION("""COMPUTED_VALUE"""),77.0)</f>
        <v>77</v>
      </c>
      <c r="I898" s="1">
        <f>IFERROR(__xludf.DUMMYFUNCTION("""COMPUTED_VALUE"""),91.0)</f>
        <v>91</v>
      </c>
      <c r="J898" s="1">
        <f>IFERROR(__xludf.DUMMYFUNCTION("""COMPUTED_VALUE"""),29.0)</f>
        <v>29</v>
      </c>
      <c r="K898" s="1">
        <f>IFERROR(__xludf.DUMMYFUNCTION("""COMPUTED_VALUE"""),63.0)</f>
        <v>63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 t="str">
        <f>IFERROR(__xludf.DUMMYFUNCTION("""COMPUTED_VALUE"""),"C")</f>
        <v>C</v>
      </c>
      <c r="E899" s="1" t="str">
        <f>IFERROR(__xludf.DUMMYFUNCTION("""COMPUTED_VALUE"""),"Male")</f>
        <v>Male</v>
      </c>
      <c r="F899" s="1">
        <f>IFERROR(__xludf.DUMMYFUNCTION("""COMPUTED_VALUE"""),73.0)</f>
        <v>73</v>
      </c>
      <c r="G899" s="1">
        <f>IFERROR(__xludf.DUMMYFUNCTION("""COMPUTED_VALUE"""),38.0)</f>
        <v>38</v>
      </c>
      <c r="H899" s="1">
        <f>IFERROR(__xludf.DUMMYFUNCTION("""COMPUTED_VALUE"""),40.0)</f>
        <v>40</v>
      </c>
      <c r="I899" s="1">
        <f>IFERROR(__xludf.DUMMYFUNCTION("""COMPUTED_VALUE"""),60.0)</f>
        <v>60</v>
      </c>
      <c r="J899" s="1">
        <f>IFERROR(__xludf.DUMMYFUNCTION("""COMPUTED_VALUE"""),71.0)</f>
        <v>71</v>
      </c>
      <c r="K899" s="1">
        <f>IFERROR(__xludf.DUMMYFUNCTION("""COMPUTED_VALUE"""),89.0)</f>
        <v>89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 t="str">
        <f>IFERROR(__xludf.DUMMYFUNCTION("""COMPUTED_VALUE"""),"A")</f>
        <v>A</v>
      </c>
      <c r="E900" s="1" t="str">
        <f>IFERROR(__xludf.DUMMYFUNCTION("""COMPUTED_VALUE"""),"Female")</f>
        <v>Female</v>
      </c>
      <c r="F900" s="1">
        <f>IFERROR(__xludf.DUMMYFUNCTION("""COMPUTED_VALUE"""),89.0)</f>
        <v>89</v>
      </c>
      <c r="G900" s="1">
        <f>IFERROR(__xludf.DUMMYFUNCTION("""COMPUTED_VALUE"""),91.0)</f>
        <v>91</v>
      </c>
      <c r="H900" s="1">
        <f>IFERROR(__xludf.DUMMYFUNCTION("""COMPUTED_VALUE"""),22.0)</f>
        <v>22</v>
      </c>
      <c r="I900" s="1">
        <f>IFERROR(__xludf.DUMMYFUNCTION("""COMPUTED_VALUE"""),92.0)</f>
        <v>92</v>
      </c>
      <c r="J900" s="1">
        <f>IFERROR(__xludf.DUMMYFUNCTION("""COMPUTED_VALUE"""),86.0)</f>
        <v>86</v>
      </c>
      <c r="K900" s="1">
        <f>IFERROR(__xludf.DUMMYFUNCTION("""COMPUTED_VALUE"""),91.0)</f>
        <v>91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 t="str">
        <f>IFERROR(__xludf.DUMMYFUNCTION("""COMPUTED_VALUE"""),"A")</f>
        <v>A</v>
      </c>
      <c r="E901" s="1" t="str">
        <f>IFERROR(__xludf.DUMMYFUNCTION("""COMPUTED_VALUE"""),"Female")</f>
        <v>Female</v>
      </c>
      <c r="F901" s="1">
        <f>IFERROR(__xludf.DUMMYFUNCTION("""COMPUTED_VALUE"""),44.0)</f>
        <v>44</v>
      </c>
      <c r="G901" s="1">
        <f>IFERROR(__xludf.DUMMYFUNCTION("""COMPUTED_VALUE"""),84.0)</f>
        <v>84</v>
      </c>
      <c r="H901" s="1">
        <f>IFERROR(__xludf.DUMMYFUNCTION("""COMPUTED_VALUE"""),50.0)</f>
        <v>50</v>
      </c>
      <c r="I901" s="1">
        <f>IFERROR(__xludf.DUMMYFUNCTION("""COMPUTED_VALUE"""),49.0)</f>
        <v>49</v>
      </c>
      <c r="J901" s="1">
        <f>IFERROR(__xludf.DUMMYFUNCTION("""COMPUTED_VALUE"""),26.0)</f>
        <v>26</v>
      </c>
      <c r="K901" s="1">
        <f>IFERROR(__xludf.DUMMYFUNCTION("""COMPUTED_VALUE"""),83.0)</f>
        <v>83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 t="str">
        <f>IFERROR(__xludf.DUMMYFUNCTION("""COMPUTED_VALUE"""),"D")</f>
        <v>D</v>
      </c>
      <c r="E902" s="1" t="str">
        <f>IFERROR(__xludf.DUMMYFUNCTION("""COMPUTED_VALUE"""),"Female")</f>
        <v>Female</v>
      </c>
      <c r="F902" s="1">
        <f>IFERROR(__xludf.DUMMYFUNCTION("""COMPUTED_VALUE"""),95.0)</f>
        <v>95</v>
      </c>
      <c r="G902" s="1">
        <f>IFERROR(__xludf.DUMMYFUNCTION("""COMPUTED_VALUE"""),65.0)</f>
        <v>65</v>
      </c>
      <c r="H902" s="1">
        <f>IFERROR(__xludf.DUMMYFUNCTION("""COMPUTED_VALUE"""),72.0)</f>
        <v>72</v>
      </c>
      <c r="I902" s="1">
        <f>IFERROR(__xludf.DUMMYFUNCTION("""COMPUTED_VALUE"""),71.0)</f>
        <v>71</v>
      </c>
      <c r="J902" s="1">
        <f>IFERROR(__xludf.DUMMYFUNCTION("""COMPUTED_VALUE"""),81.0)</f>
        <v>81</v>
      </c>
      <c r="K902" s="1">
        <f>IFERROR(__xludf.DUMMYFUNCTION("""COMPUTED_VALUE"""),37.0)</f>
        <v>37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 t="str">
        <f>IFERROR(__xludf.DUMMYFUNCTION("""COMPUTED_VALUE"""),"B")</f>
        <v>B</v>
      </c>
      <c r="E903" s="1" t="str">
        <f>IFERROR(__xludf.DUMMYFUNCTION("""COMPUTED_VALUE"""),"Male")</f>
        <v>Male</v>
      </c>
      <c r="F903" s="1">
        <f>IFERROR(__xludf.DUMMYFUNCTION("""COMPUTED_VALUE"""),32.0)</f>
        <v>32</v>
      </c>
      <c r="G903" s="1">
        <f>IFERROR(__xludf.DUMMYFUNCTION("""COMPUTED_VALUE"""),26.0)</f>
        <v>26</v>
      </c>
      <c r="H903" s="1">
        <f>IFERROR(__xludf.DUMMYFUNCTION("""COMPUTED_VALUE"""),30.0)</f>
        <v>30</v>
      </c>
      <c r="I903" s="1">
        <f>IFERROR(__xludf.DUMMYFUNCTION("""COMPUTED_VALUE"""),80.0)</f>
        <v>80</v>
      </c>
      <c r="J903" s="1">
        <f>IFERROR(__xludf.DUMMYFUNCTION("""COMPUTED_VALUE"""),67.0)</f>
        <v>67</v>
      </c>
      <c r="K903" s="1">
        <f>IFERROR(__xludf.DUMMYFUNCTION("""COMPUTED_VALUE"""),42.0)</f>
        <v>42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 t="str">
        <f>IFERROR(__xludf.DUMMYFUNCTION("""COMPUTED_VALUE"""),"C")</f>
        <v>C</v>
      </c>
      <c r="E904" s="1" t="str">
        <f>IFERROR(__xludf.DUMMYFUNCTION("""COMPUTED_VALUE"""),"Female")</f>
        <v>Female</v>
      </c>
      <c r="F904" s="1">
        <f>IFERROR(__xludf.DUMMYFUNCTION("""COMPUTED_VALUE"""),100.0)</f>
        <v>100</v>
      </c>
      <c r="G904" s="1">
        <f>IFERROR(__xludf.DUMMYFUNCTION("""COMPUTED_VALUE"""),31.0)</f>
        <v>31</v>
      </c>
      <c r="H904" s="1">
        <f>IFERROR(__xludf.DUMMYFUNCTION("""COMPUTED_VALUE"""),77.0)</f>
        <v>77</v>
      </c>
      <c r="I904" s="1">
        <f>IFERROR(__xludf.DUMMYFUNCTION("""COMPUTED_VALUE"""),34.0)</f>
        <v>34</v>
      </c>
      <c r="J904" s="1">
        <f>IFERROR(__xludf.DUMMYFUNCTION("""COMPUTED_VALUE"""),77.0)</f>
        <v>77</v>
      </c>
      <c r="K904" s="1">
        <f>IFERROR(__xludf.DUMMYFUNCTION("""COMPUTED_VALUE"""),66.0)</f>
        <v>66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 t="str">
        <f>IFERROR(__xludf.DUMMYFUNCTION("""COMPUTED_VALUE"""),"A")</f>
        <v>A</v>
      </c>
      <c r="E905" s="1" t="str">
        <f>IFERROR(__xludf.DUMMYFUNCTION("""COMPUTED_VALUE"""),"Female")</f>
        <v>Female</v>
      </c>
      <c r="F905" s="1">
        <f>IFERROR(__xludf.DUMMYFUNCTION("""COMPUTED_VALUE"""),84.0)</f>
        <v>84</v>
      </c>
      <c r="G905" s="1">
        <f>IFERROR(__xludf.DUMMYFUNCTION("""COMPUTED_VALUE"""),80.0)</f>
        <v>80</v>
      </c>
      <c r="H905" s="1">
        <f>IFERROR(__xludf.DUMMYFUNCTION("""COMPUTED_VALUE"""),23.0)</f>
        <v>23</v>
      </c>
      <c r="I905" s="1">
        <f>IFERROR(__xludf.DUMMYFUNCTION("""COMPUTED_VALUE"""),71.0)</f>
        <v>71</v>
      </c>
      <c r="J905" s="1">
        <f>IFERROR(__xludf.DUMMYFUNCTION("""COMPUTED_VALUE"""),34.0)</f>
        <v>34</v>
      </c>
      <c r="K905" s="1">
        <f>IFERROR(__xludf.DUMMYFUNCTION("""COMPUTED_VALUE"""),25.0)</f>
        <v>25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 t="str">
        <f>IFERROR(__xludf.DUMMYFUNCTION("""COMPUTED_VALUE"""),"B")</f>
        <v>B</v>
      </c>
      <c r="E906" s="1" t="str">
        <f>IFERROR(__xludf.DUMMYFUNCTION("""COMPUTED_VALUE"""),"Female")</f>
        <v>Female</v>
      </c>
      <c r="F906" s="1">
        <f>IFERROR(__xludf.DUMMYFUNCTION("""COMPUTED_VALUE"""),30.0)</f>
        <v>30</v>
      </c>
      <c r="G906" s="1">
        <f>IFERROR(__xludf.DUMMYFUNCTION("""COMPUTED_VALUE"""),37.0)</f>
        <v>37</v>
      </c>
      <c r="H906" s="1">
        <f>IFERROR(__xludf.DUMMYFUNCTION("""COMPUTED_VALUE"""),83.0)</f>
        <v>83</v>
      </c>
      <c r="I906" s="1">
        <f>IFERROR(__xludf.DUMMYFUNCTION("""COMPUTED_VALUE"""),54.0)</f>
        <v>54</v>
      </c>
      <c r="J906" s="1">
        <f>IFERROR(__xludf.DUMMYFUNCTION("""COMPUTED_VALUE"""),37.0)</f>
        <v>37</v>
      </c>
      <c r="K906" s="1">
        <f>IFERROR(__xludf.DUMMYFUNCTION("""COMPUTED_VALUE"""),33.0)</f>
        <v>33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 t="str">
        <f>IFERROR(__xludf.DUMMYFUNCTION("""COMPUTED_VALUE"""),"C")</f>
        <v>C</v>
      </c>
      <c r="E907" s="1" t="str">
        <f>IFERROR(__xludf.DUMMYFUNCTION("""COMPUTED_VALUE"""),"Female")</f>
        <v>Female</v>
      </c>
      <c r="F907" s="1">
        <f>IFERROR(__xludf.DUMMYFUNCTION("""COMPUTED_VALUE"""),79.0)</f>
        <v>79</v>
      </c>
      <c r="G907" s="1">
        <f>IFERROR(__xludf.DUMMYFUNCTION("""COMPUTED_VALUE"""),30.0)</f>
        <v>30</v>
      </c>
      <c r="H907" s="1">
        <f>IFERROR(__xludf.DUMMYFUNCTION("""COMPUTED_VALUE"""),58.0)</f>
        <v>58</v>
      </c>
      <c r="I907" s="1">
        <f>IFERROR(__xludf.DUMMYFUNCTION("""COMPUTED_VALUE"""),96.0)</f>
        <v>96</v>
      </c>
      <c r="J907" s="1">
        <f>IFERROR(__xludf.DUMMYFUNCTION("""COMPUTED_VALUE"""),80.0)</f>
        <v>80</v>
      </c>
      <c r="K907" s="1">
        <f>IFERROR(__xludf.DUMMYFUNCTION("""COMPUTED_VALUE"""),36.0)</f>
        <v>36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 t="str">
        <f>IFERROR(__xludf.DUMMYFUNCTION("""COMPUTED_VALUE"""),"C")</f>
        <v>C</v>
      </c>
      <c r="E908" s="1" t="str">
        <f>IFERROR(__xludf.DUMMYFUNCTION("""COMPUTED_VALUE"""),"Female")</f>
        <v>Female</v>
      </c>
      <c r="F908" s="1">
        <f>IFERROR(__xludf.DUMMYFUNCTION("""COMPUTED_VALUE"""),83.0)</f>
        <v>83</v>
      </c>
      <c r="G908" s="1">
        <f>IFERROR(__xludf.DUMMYFUNCTION("""COMPUTED_VALUE"""),85.0)</f>
        <v>85</v>
      </c>
      <c r="H908" s="1">
        <f>IFERROR(__xludf.DUMMYFUNCTION("""COMPUTED_VALUE"""),58.0)</f>
        <v>58</v>
      </c>
      <c r="I908" s="1">
        <f>IFERROR(__xludf.DUMMYFUNCTION("""COMPUTED_VALUE"""),40.0)</f>
        <v>40</v>
      </c>
      <c r="J908" s="1">
        <f>IFERROR(__xludf.DUMMYFUNCTION("""COMPUTED_VALUE"""),77.0)</f>
        <v>77</v>
      </c>
      <c r="K908" s="1">
        <f>IFERROR(__xludf.DUMMYFUNCTION("""COMPUTED_VALUE"""),53.0)</f>
        <v>53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 t="str">
        <f>IFERROR(__xludf.DUMMYFUNCTION("""COMPUTED_VALUE"""),"B")</f>
        <v>B</v>
      </c>
      <c r="E909" s="1" t="str">
        <f>IFERROR(__xludf.DUMMYFUNCTION("""COMPUTED_VALUE"""),"Female")</f>
        <v>Female</v>
      </c>
      <c r="F909" s="1">
        <f>IFERROR(__xludf.DUMMYFUNCTION("""COMPUTED_VALUE"""),66.0)</f>
        <v>66</v>
      </c>
      <c r="G909" s="1">
        <f>IFERROR(__xludf.DUMMYFUNCTION("""COMPUTED_VALUE"""),25.0)</f>
        <v>25</v>
      </c>
      <c r="H909" s="1">
        <f>IFERROR(__xludf.DUMMYFUNCTION("""COMPUTED_VALUE"""),35.0)</f>
        <v>35</v>
      </c>
      <c r="I909" s="1">
        <f>IFERROR(__xludf.DUMMYFUNCTION("""COMPUTED_VALUE"""),47.0)</f>
        <v>47</v>
      </c>
      <c r="J909" s="1">
        <f>IFERROR(__xludf.DUMMYFUNCTION("""COMPUTED_VALUE"""),31.0)</f>
        <v>31</v>
      </c>
      <c r="K909" s="1">
        <f>IFERROR(__xludf.DUMMYFUNCTION("""COMPUTED_VALUE"""),86.0)</f>
        <v>86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 t="str">
        <f>IFERROR(__xludf.DUMMYFUNCTION("""COMPUTED_VALUE"""),"B")</f>
        <v>B</v>
      </c>
      <c r="E910" s="1" t="str">
        <f>IFERROR(__xludf.DUMMYFUNCTION("""COMPUTED_VALUE"""),"Female")</f>
        <v>Female</v>
      </c>
      <c r="F910" s="1">
        <f>IFERROR(__xludf.DUMMYFUNCTION("""COMPUTED_VALUE"""),26.0)</f>
        <v>26</v>
      </c>
      <c r="G910" s="1">
        <f>IFERROR(__xludf.DUMMYFUNCTION("""COMPUTED_VALUE"""),37.0)</f>
        <v>37</v>
      </c>
      <c r="H910" s="1">
        <f>IFERROR(__xludf.DUMMYFUNCTION("""COMPUTED_VALUE"""),21.0)</f>
        <v>21</v>
      </c>
      <c r="I910" s="1">
        <f>IFERROR(__xludf.DUMMYFUNCTION("""COMPUTED_VALUE"""),25.0)</f>
        <v>25</v>
      </c>
      <c r="J910" s="1">
        <f>IFERROR(__xludf.DUMMYFUNCTION("""COMPUTED_VALUE"""),27.0)</f>
        <v>27</v>
      </c>
      <c r="K910" s="1">
        <f>IFERROR(__xludf.DUMMYFUNCTION("""COMPUTED_VALUE"""),77.0)</f>
        <v>77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 t="str">
        <f>IFERROR(__xludf.DUMMYFUNCTION("""COMPUTED_VALUE"""),"B")</f>
        <v>B</v>
      </c>
      <c r="E911" s="1" t="str">
        <f>IFERROR(__xludf.DUMMYFUNCTION("""COMPUTED_VALUE"""),"Female")</f>
        <v>Female</v>
      </c>
      <c r="F911" s="1">
        <f>IFERROR(__xludf.DUMMYFUNCTION("""COMPUTED_VALUE"""),57.0)</f>
        <v>57</v>
      </c>
      <c r="G911" s="1">
        <f>IFERROR(__xludf.DUMMYFUNCTION("""COMPUTED_VALUE"""),82.0)</f>
        <v>82</v>
      </c>
      <c r="H911" s="1">
        <f>IFERROR(__xludf.DUMMYFUNCTION("""COMPUTED_VALUE"""),76.0)</f>
        <v>76</v>
      </c>
      <c r="I911" s="1">
        <f>IFERROR(__xludf.DUMMYFUNCTION("""COMPUTED_VALUE"""),64.0)</f>
        <v>64</v>
      </c>
      <c r="J911" s="1">
        <f>IFERROR(__xludf.DUMMYFUNCTION("""COMPUTED_VALUE"""),89.0)</f>
        <v>89</v>
      </c>
      <c r="K911" s="1">
        <f>IFERROR(__xludf.DUMMYFUNCTION("""COMPUTED_VALUE"""),33.0)</f>
        <v>33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 t="str">
        <f>IFERROR(__xludf.DUMMYFUNCTION("""COMPUTED_VALUE"""),"D")</f>
        <v>D</v>
      </c>
      <c r="E912" s="1" t="str">
        <f>IFERROR(__xludf.DUMMYFUNCTION("""COMPUTED_VALUE"""),"Female")</f>
        <v>Female</v>
      </c>
      <c r="F912" s="1">
        <f>IFERROR(__xludf.DUMMYFUNCTION("""COMPUTED_VALUE"""),84.0)</f>
        <v>84</v>
      </c>
      <c r="G912" s="1">
        <f>IFERROR(__xludf.DUMMYFUNCTION("""COMPUTED_VALUE"""),64.0)</f>
        <v>64</v>
      </c>
      <c r="H912" s="1">
        <f>IFERROR(__xludf.DUMMYFUNCTION("""COMPUTED_VALUE"""),89.0)</f>
        <v>89</v>
      </c>
      <c r="I912" s="1">
        <f>IFERROR(__xludf.DUMMYFUNCTION("""COMPUTED_VALUE"""),39.0)</f>
        <v>39</v>
      </c>
      <c r="J912" s="1">
        <f>IFERROR(__xludf.DUMMYFUNCTION("""COMPUTED_VALUE"""),56.0)</f>
        <v>56</v>
      </c>
      <c r="K912" s="1">
        <f>IFERROR(__xludf.DUMMYFUNCTION("""COMPUTED_VALUE"""),85.0)</f>
        <v>85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 t="str">
        <f>IFERROR(__xludf.DUMMYFUNCTION("""COMPUTED_VALUE"""),"B")</f>
        <v>B</v>
      </c>
      <c r="E913" s="1" t="str">
        <f>IFERROR(__xludf.DUMMYFUNCTION("""COMPUTED_VALUE"""),"Female")</f>
        <v>Female</v>
      </c>
      <c r="F913" s="1">
        <f>IFERROR(__xludf.DUMMYFUNCTION("""COMPUTED_VALUE"""),18.0)</f>
        <v>18</v>
      </c>
      <c r="G913" s="1">
        <f>IFERROR(__xludf.DUMMYFUNCTION("""COMPUTED_VALUE"""),63.0)</f>
        <v>63</v>
      </c>
      <c r="H913" s="1">
        <f>IFERROR(__xludf.DUMMYFUNCTION("""COMPUTED_VALUE"""),53.0)</f>
        <v>53</v>
      </c>
      <c r="I913" s="1">
        <f>IFERROR(__xludf.DUMMYFUNCTION("""COMPUTED_VALUE"""),75.0)</f>
        <v>75</v>
      </c>
      <c r="J913" s="1">
        <f>IFERROR(__xludf.DUMMYFUNCTION("""COMPUTED_VALUE"""),28.0)</f>
        <v>28</v>
      </c>
      <c r="K913" s="1">
        <f>IFERROR(__xludf.DUMMYFUNCTION("""COMPUTED_VALUE"""),48.0)</f>
        <v>48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 t="str">
        <f>IFERROR(__xludf.DUMMYFUNCTION("""COMPUTED_VALUE"""),"C")</f>
        <v>C</v>
      </c>
      <c r="E914" s="1" t="str">
        <f>IFERROR(__xludf.DUMMYFUNCTION("""COMPUTED_VALUE"""),"Male")</f>
        <v>Male</v>
      </c>
      <c r="F914" s="1">
        <f>IFERROR(__xludf.DUMMYFUNCTION("""COMPUTED_VALUE"""),31.0)</f>
        <v>31</v>
      </c>
      <c r="G914" s="1">
        <f>IFERROR(__xludf.DUMMYFUNCTION("""COMPUTED_VALUE"""),63.0)</f>
        <v>63</v>
      </c>
      <c r="H914" s="1">
        <f>IFERROR(__xludf.DUMMYFUNCTION("""COMPUTED_VALUE"""),84.0)</f>
        <v>84</v>
      </c>
      <c r="I914" s="1">
        <f>IFERROR(__xludf.DUMMYFUNCTION("""COMPUTED_VALUE"""),61.0)</f>
        <v>61</v>
      </c>
      <c r="J914" s="1">
        <f>IFERROR(__xludf.DUMMYFUNCTION("""COMPUTED_VALUE"""),31.0)</f>
        <v>31</v>
      </c>
      <c r="K914" s="1">
        <f>IFERROR(__xludf.DUMMYFUNCTION("""COMPUTED_VALUE"""),90.0)</f>
        <v>90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 t="str">
        <f>IFERROR(__xludf.DUMMYFUNCTION("""COMPUTED_VALUE"""),"A")</f>
        <v>A</v>
      </c>
      <c r="E915" s="1" t="str">
        <f>IFERROR(__xludf.DUMMYFUNCTION("""COMPUTED_VALUE"""),"Male")</f>
        <v>Male</v>
      </c>
      <c r="F915" s="1">
        <f>IFERROR(__xludf.DUMMYFUNCTION("""COMPUTED_VALUE"""),91.0)</f>
        <v>91</v>
      </c>
      <c r="G915" s="1">
        <f>IFERROR(__xludf.DUMMYFUNCTION("""COMPUTED_VALUE"""),32.0)</f>
        <v>32</v>
      </c>
      <c r="H915" s="1">
        <f>IFERROR(__xludf.DUMMYFUNCTION("""COMPUTED_VALUE"""),89.0)</f>
        <v>89</v>
      </c>
      <c r="I915" s="1">
        <f>IFERROR(__xludf.DUMMYFUNCTION("""COMPUTED_VALUE"""),91.0)</f>
        <v>91</v>
      </c>
      <c r="J915" s="1">
        <f>IFERROR(__xludf.DUMMYFUNCTION("""COMPUTED_VALUE"""),68.0)</f>
        <v>68</v>
      </c>
      <c r="K915" s="1">
        <f>IFERROR(__xludf.DUMMYFUNCTION("""COMPUTED_VALUE"""),64.0)</f>
        <v>64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 t="str">
        <f>IFERROR(__xludf.DUMMYFUNCTION("""COMPUTED_VALUE"""),"C")</f>
        <v>C</v>
      </c>
      <c r="E916" s="1" t="str">
        <f>IFERROR(__xludf.DUMMYFUNCTION("""COMPUTED_VALUE"""),"Male")</f>
        <v>Male</v>
      </c>
      <c r="F916" s="1">
        <f>IFERROR(__xludf.DUMMYFUNCTION("""COMPUTED_VALUE"""),17.0)</f>
        <v>17</v>
      </c>
      <c r="G916" s="1">
        <f>IFERROR(__xludf.DUMMYFUNCTION("""COMPUTED_VALUE"""),29.0)</f>
        <v>29</v>
      </c>
      <c r="H916" s="1">
        <f>IFERROR(__xludf.DUMMYFUNCTION("""COMPUTED_VALUE"""),60.0)</f>
        <v>60</v>
      </c>
      <c r="I916" s="1">
        <f>IFERROR(__xludf.DUMMYFUNCTION("""COMPUTED_VALUE"""),43.0)</f>
        <v>43</v>
      </c>
      <c r="J916" s="1">
        <f>IFERROR(__xludf.DUMMYFUNCTION("""COMPUTED_VALUE"""),23.0)</f>
        <v>23</v>
      </c>
      <c r="K916" s="1">
        <f>IFERROR(__xludf.DUMMYFUNCTION("""COMPUTED_VALUE"""),34.0)</f>
        <v>34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 t="str">
        <f>IFERROR(__xludf.DUMMYFUNCTION("""COMPUTED_VALUE"""),"A")</f>
        <v>A</v>
      </c>
      <c r="E917" s="1" t="str">
        <f>IFERROR(__xludf.DUMMYFUNCTION("""COMPUTED_VALUE"""),"Male")</f>
        <v>Male</v>
      </c>
      <c r="F917" s="1">
        <f>IFERROR(__xludf.DUMMYFUNCTION("""COMPUTED_VALUE"""),71.0)</f>
        <v>71</v>
      </c>
      <c r="G917" s="1">
        <f>IFERROR(__xludf.DUMMYFUNCTION("""COMPUTED_VALUE"""),56.0)</f>
        <v>56</v>
      </c>
      <c r="H917" s="1">
        <f>IFERROR(__xludf.DUMMYFUNCTION("""COMPUTED_VALUE"""),40.0)</f>
        <v>40</v>
      </c>
      <c r="I917" s="1">
        <f>IFERROR(__xludf.DUMMYFUNCTION("""COMPUTED_VALUE"""),60.0)</f>
        <v>60</v>
      </c>
      <c r="J917" s="1">
        <f>IFERROR(__xludf.DUMMYFUNCTION("""COMPUTED_VALUE"""),85.0)</f>
        <v>85</v>
      </c>
      <c r="K917" s="1">
        <f>IFERROR(__xludf.DUMMYFUNCTION("""COMPUTED_VALUE"""),41.0)</f>
        <v>41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 t="str">
        <f>IFERROR(__xludf.DUMMYFUNCTION("""COMPUTED_VALUE"""),"B")</f>
        <v>B</v>
      </c>
      <c r="E918" s="1" t="str">
        <f>IFERROR(__xludf.DUMMYFUNCTION("""COMPUTED_VALUE"""),"Male")</f>
        <v>Male</v>
      </c>
      <c r="F918" s="1">
        <f>IFERROR(__xludf.DUMMYFUNCTION("""COMPUTED_VALUE"""),27.0)</f>
        <v>27</v>
      </c>
      <c r="G918" s="1">
        <f>IFERROR(__xludf.DUMMYFUNCTION("""COMPUTED_VALUE"""),22.0)</f>
        <v>22</v>
      </c>
      <c r="H918" s="1">
        <f>IFERROR(__xludf.DUMMYFUNCTION("""COMPUTED_VALUE"""),35.0)</f>
        <v>35</v>
      </c>
      <c r="I918" s="1">
        <f>IFERROR(__xludf.DUMMYFUNCTION("""COMPUTED_VALUE"""),22.0)</f>
        <v>22</v>
      </c>
      <c r="J918" s="1">
        <f>IFERROR(__xludf.DUMMYFUNCTION("""COMPUTED_VALUE"""),25.0)</f>
        <v>25</v>
      </c>
      <c r="K918" s="1">
        <f>IFERROR(__xludf.DUMMYFUNCTION("""COMPUTED_VALUE"""),79.0)</f>
        <v>79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 t="str">
        <f>IFERROR(__xludf.DUMMYFUNCTION("""COMPUTED_VALUE"""),"A")</f>
        <v>A</v>
      </c>
      <c r="E919" s="1" t="str">
        <f>IFERROR(__xludf.DUMMYFUNCTION("""COMPUTED_VALUE"""),"Male")</f>
        <v>Male</v>
      </c>
      <c r="F919" s="1">
        <f>IFERROR(__xludf.DUMMYFUNCTION("""COMPUTED_VALUE"""),36.0)</f>
        <v>36</v>
      </c>
      <c r="G919" s="1">
        <f>IFERROR(__xludf.DUMMYFUNCTION("""COMPUTED_VALUE"""),86.0)</f>
        <v>86</v>
      </c>
      <c r="H919" s="1">
        <f>IFERROR(__xludf.DUMMYFUNCTION("""COMPUTED_VALUE"""),28.0)</f>
        <v>28</v>
      </c>
      <c r="I919" s="1">
        <f>IFERROR(__xludf.DUMMYFUNCTION("""COMPUTED_VALUE"""),74.0)</f>
        <v>74</v>
      </c>
      <c r="J919" s="1">
        <f>IFERROR(__xludf.DUMMYFUNCTION("""COMPUTED_VALUE"""),76.0)</f>
        <v>76</v>
      </c>
      <c r="K919" s="1">
        <f>IFERROR(__xludf.DUMMYFUNCTION("""COMPUTED_VALUE"""),93.0)</f>
        <v>93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 t="str">
        <f>IFERROR(__xludf.DUMMYFUNCTION("""COMPUTED_VALUE"""),"A")</f>
        <v>A</v>
      </c>
      <c r="E920" s="1" t="str">
        <f>IFERROR(__xludf.DUMMYFUNCTION("""COMPUTED_VALUE"""),"Female")</f>
        <v>Female</v>
      </c>
      <c r="F920" s="1">
        <f>IFERROR(__xludf.DUMMYFUNCTION("""COMPUTED_VALUE"""),13.0)</f>
        <v>13</v>
      </c>
      <c r="G920" s="1">
        <f>IFERROR(__xludf.DUMMYFUNCTION("""COMPUTED_VALUE"""),47.0)</f>
        <v>47</v>
      </c>
      <c r="H920" s="1">
        <f>IFERROR(__xludf.DUMMYFUNCTION("""COMPUTED_VALUE"""),56.0)</f>
        <v>56</v>
      </c>
      <c r="I920" s="1">
        <f>IFERROR(__xludf.DUMMYFUNCTION("""COMPUTED_VALUE"""),60.0)</f>
        <v>60</v>
      </c>
      <c r="J920" s="1">
        <f>IFERROR(__xludf.DUMMYFUNCTION("""COMPUTED_VALUE"""),95.0)</f>
        <v>95</v>
      </c>
      <c r="K920" s="1">
        <f>IFERROR(__xludf.DUMMYFUNCTION("""COMPUTED_VALUE"""),68.0)</f>
        <v>68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 t="str">
        <f>IFERROR(__xludf.DUMMYFUNCTION("""COMPUTED_VALUE"""),"A")</f>
        <v>A</v>
      </c>
      <c r="E921" s="1" t="str">
        <f>IFERROR(__xludf.DUMMYFUNCTION("""COMPUTED_VALUE"""),"Female")</f>
        <v>Female</v>
      </c>
      <c r="F921" s="1">
        <f>IFERROR(__xludf.DUMMYFUNCTION("""COMPUTED_VALUE"""),30.0)</f>
        <v>30</v>
      </c>
      <c r="G921" s="1">
        <f>IFERROR(__xludf.DUMMYFUNCTION("""COMPUTED_VALUE"""),49.0)</f>
        <v>49</v>
      </c>
      <c r="H921" s="1">
        <f>IFERROR(__xludf.DUMMYFUNCTION("""COMPUTED_VALUE"""),41.0)</f>
        <v>41</v>
      </c>
      <c r="I921" s="1">
        <f>IFERROR(__xludf.DUMMYFUNCTION("""COMPUTED_VALUE"""),75.0)</f>
        <v>75</v>
      </c>
      <c r="J921" s="1">
        <f>IFERROR(__xludf.DUMMYFUNCTION("""COMPUTED_VALUE"""),95.0)</f>
        <v>95</v>
      </c>
      <c r="K921" s="1">
        <f>IFERROR(__xludf.DUMMYFUNCTION("""COMPUTED_VALUE"""),50.0)</f>
        <v>50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 t="str">
        <f>IFERROR(__xludf.DUMMYFUNCTION("""COMPUTED_VALUE"""),"D")</f>
        <v>D</v>
      </c>
      <c r="E922" s="1" t="str">
        <f>IFERROR(__xludf.DUMMYFUNCTION("""COMPUTED_VALUE"""),"Male")</f>
        <v>Male</v>
      </c>
      <c r="F922" s="1">
        <f>IFERROR(__xludf.DUMMYFUNCTION("""COMPUTED_VALUE"""),21.0)</f>
        <v>21</v>
      </c>
      <c r="G922" s="1">
        <f>IFERROR(__xludf.DUMMYFUNCTION("""COMPUTED_VALUE"""),47.0)</f>
        <v>47</v>
      </c>
      <c r="H922" s="1">
        <f>IFERROR(__xludf.DUMMYFUNCTION("""COMPUTED_VALUE"""),44.0)</f>
        <v>44</v>
      </c>
      <c r="I922" s="1">
        <f>IFERROR(__xludf.DUMMYFUNCTION("""COMPUTED_VALUE"""),86.0)</f>
        <v>86</v>
      </c>
      <c r="J922" s="1">
        <f>IFERROR(__xludf.DUMMYFUNCTION("""COMPUTED_VALUE"""),89.0)</f>
        <v>89</v>
      </c>
      <c r="K922" s="1">
        <f>IFERROR(__xludf.DUMMYFUNCTION("""COMPUTED_VALUE"""),73.0)</f>
        <v>73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 t="str">
        <f>IFERROR(__xludf.DUMMYFUNCTION("""COMPUTED_VALUE"""),"B")</f>
        <v>B</v>
      </c>
      <c r="E923" s="1" t="str">
        <f>IFERROR(__xludf.DUMMYFUNCTION("""COMPUTED_VALUE"""),"Female")</f>
        <v>Female</v>
      </c>
      <c r="F923" s="1">
        <f>IFERROR(__xludf.DUMMYFUNCTION("""COMPUTED_VALUE"""),70.0)</f>
        <v>70</v>
      </c>
      <c r="G923" s="1">
        <f>IFERROR(__xludf.DUMMYFUNCTION("""COMPUTED_VALUE"""),37.0)</f>
        <v>37</v>
      </c>
      <c r="H923" s="1">
        <f>IFERROR(__xludf.DUMMYFUNCTION("""COMPUTED_VALUE"""),40.0)</f>
        <v>40</v>
      </c>
      <c r="I923" s="1">
        <f>IFERROR(__xludf.DUMMYFUNCTION("""COMPUTED_VALUE"""),77.0)</f>
        <v>77</v>
      </c>
      <c r="J923" s="1">
        <f>IFERROR(__xludf.DUMMYFUNCTION("""COMPUTED_VALUE"""),73.0)</f>
        <v>73</v>
      </c>
      <c r="K923" s="1">
        <f>IFERROR(__xludf.DUMMYFUNCTION("""COMPUTED_VALUE"""),54.0)</f>
        <v>54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 t="str">
        <f>IFERROR(__xludf.DUMMYFUNCTION("""COMPUTED_VALUE"""),"B")</f>
        <v>B</v>
      </c>
      <c r="E924" s="1" t="str">
        <f>IFERROR(__xludf.DUMMYFUNCTION("""COMPUTED_VALUE"""),"Male")</f>
        <v>Male</v>
      </c>
      <c r="F924" s="1">
        <f>IFERROR(__xludf.DUMMYFUNCTION("""COMPUTED_VALUE"""),81.0)</f>
        <v>81</v>
      </c>
      <c r="G924" s="1">
        <f>IFERROR(__xludf.DUMMYFUNCTION("""COMPUTED_VALUE"""),69.0)</f>
        <v>69</v>
      </c>
      <c r="H924" s="1">
        <f>IFERROR(__xludf.DUMMYFUNCTION("""COMPUTED_VALUE"""),87.0)</f>
        <v>87</v>
      </c>
      <c r="I924" s="1">
        <f>IFERROR(__xludf.DUMMYFUNCTION("""COMPUTED_VALUE"""),79.0)</f>
        <v>79</v>
      </c>
      <c r="J924" s="1">
        <f>IFERROR(__xludf.DUMMYFUNCTION("""COMPUTED_VALUE"""),88.0)</f>
        <v>88</v>
      </c>
      <c r="K924" s="1">
        <f>IFERROR(__xludf.DUMMYFUNCTION("""COMPUTED_VALUE"""),25.0)</f>
        <v>25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 t="str">
        <f>IFERROR(__xludf.DUMMYFUNCTION("""COMPUTED_VALUE"""),"B")</f>
        <v>B</v>
      </c>
      <c r="E925" s="1" t="str">
        <f>IFERROR(__xludf.DUMMYFUNCTION("""COMPUTED_VALUE"""),"Female")</f>
        <v>Female</v>
      </c>
      <c r="F925" s="1">
        <f>IFERROR(__xludf.DUMMYFUNCTION("""COMPUTED_VALUE"""),92.0)</f>
        <v>92</v>
      </c>
      <c r="G925" s="1">
        <f>IFERROR(__xludf.DUMMYFUNCTION("""COMPUTED_VALUE"""),75.0)</f>
        <v>75</v>
      </c>
      <c r="H925" s="1">
        <f>IFERROR(__xludf.DUMMYFUNCTION("""COMPUTED_VALUE"""),86.0)</f>
        <v>86</v>
      </c>
      <c r="I925" s="1">
        <f>IFERROR(__xludf.DUMMYFUNCTION("""COMPUTED_VALUE"""),47.0)</f>
        <v>47</v>
      </c>
      <c r="J925" s="1">
        <f>IFERROR(__xludf.DUMMYFUNCTION("""COMPUTED_VALUE"""),40.0)</f>
        <v>40</v>
      </c>
      <c r="K925" s="1">
        <f>IFERROR(__xludf.DUMMYFUNCTION("""COMPUTED_VALUE"""),46.0)</f>
        <v>46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 t="str">
        <f>IFERROR(__xludf.DUMMYFUNCTION("""COMPUTED_VALUE"""),"A")</f>
        <v>A</v>
      </c>
      <c r="E926" s="1" t="str">
        <f>IFERROR(__xludf.DUMMYFUNCTION("""COMPUTED_VALUE"""),"Female")</f>
        <v>Female</v>
      </c>
      <c r="F926" s="1">
        <f>IFERROR(__xludf.DUMMYFUNCTION("""COMPUTED_VALUE"""),81.0)</f>
        <v>81</v>
      </c>
      <c r="G926" s="1">
        <f>IFERROR(__xludf.DUMMYFUNCTION("""COMPUTED_VALUE"""),91.0)</f>
        <v>91</v>
      </c>
      <c r="H926" s="1">
        <f>IFERROR(__xludf.DUMMYFUNCTION("""COMPUTED_VALUE"""),70.0)</f>
        <v>70</v>
      </c>
      <c r="I926" s="1">
        <f>IFERROR(__xludf.DUMMYFUNCTION("""COMPUTED_VALUE"""),68.0)</f>
        <v>68</v>
      </c>
      <c r="J926" s="1">
        <f>IFERROR(__xludf.DUMMYFUNCTION("""COMPUTED_VALUE"""),59.0)</f>
        <v>59</v>
      </c>
      <c r="K926" s="1">
        <f>IFERROR(__xludf.DUMMYFUNCTION("""COMPUTED_VALUE"""),84.0)</f>
        <v>84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 t="str">
        <f>IFERROR(__xludf.DUMMYFUNCTION("""COMPUTED_VALUE"""),"B")</f>
        <v>B</v>
      </c>
      <c r="E927" s="1" t="str">
        <f>IFERROR(__xludf.DUMMYFUNCTION("""COMPUTED_VALUE"""),"Female")</f>
        <v>Female</v>
      </c>
      <c r="F927" s="1">
        <f>IFERROR(__xludf.DUMMYFUNCTION("""COMPUTED_VALUE"""),54.0)</f>
        <v>54</v>
      </c>
      <c r="G927" s="1">
        <f>IFERROR(__xludf.DUMMYFUNCTION("""COMPUTED_VALUE"""),35.0)</f>
        <v>35</v>
      </c>
      <c r="H927" s="1">
        <f>IFERROR(__xludf.DUMMYFUNCTION("""COMPUTED_VALUE"""),27.0)</f>
        <v>27</v>
      </c>
      <c r="I927" s="1">
        <f>IFERROR(__xludf.DUMMYFUNCTION("""COMPUTED_VALUE"""),28.0)</f>
        <v>28</v>
      </c>
      <c r="J927" s="1">
        <f>IFERROR(__xludf.DUMMYFUNCTION("""COMPUTED_VALUE"""),78.0)</f>
        <v>78</v>
      </c>
      <c r="K927" s="1">
        <f>IFERROR(__xludf.DUMMYFUNCTION("""COMPUTED_VALUE"""),89.0)</f>
        <v>89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 t="str">
        <f>IFERROR(__xludf.DUMMYFUNCTION("""COMPUTED_VALUE"""),"D")</f>
        <v>D</v>
      </c>
      <c r="E928" s="1" t="str">
        <f>IFERROR(__xludf.DUMMYFUNCTION("""COMPUTED_VALUE"""),"Male")</f>
        <v>Male</v>
      </c>
      <c r="F928" s="1">
        <f>IFERROR(__xludf.DUMMYFUNCTION("""COMPUTED_VALUE"""),32.0)</f>
        <v>32</v>
      </c>
      <c r="G928" s="1">
        <f>IFERROR(__xludf.DUMMYFUNCTION("""COMPUTED_VALUE"""),57.0)</f>
        <v>57</v>
      </c>
      <c r="H928" s="1">
        <f>IFERROR(__xludf.DUMMYFUNCTION("""COMPUTED_VALUE"""),73.0)</f>
        <v>73</v>
      </c>
      <c r="I928" s="1">
        <f>IFERROR(__xludf.DUMMYFUNCTION("""COMPUTED_VALUE"""),37.0)</f>
        <v>37</v>
      </c>
      <c r="J928" s="1">
        <f>IFERROR(__xludf.DUMMYFUNCTION("""COMPUTED_VALUE"""),67.0)</f>
        <v>67</v>
      </c>
      <c r="K928" s="1">
        <f>IFERROR(__xludf.DUMMYFUNCTION("""COMPUTED_VALUE"""),27.0)</f>
        <v>27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 t="str">
        <f>IFERROR(__xludf.DUMMYFUNCTION("""COMPUTED_VALUE"""),"D")</f>
        <v>D</v>
      </c>
      <c r="E929" s="1" t="str">
        <f>IFERROR(__xludf.DUMMYFUNCTION("""COMPUTED_VALUE"""),"Female")</f>
        <v>Female</v>
      </c>
      <c r="F929" s="1">
        <f>IFERROR(__xludf.DUMMYFUNCTION("""COMPUTED_VALUE"""),91.0)</f>
        <v>91</v>
      </c>
      <c r="G929" s="1">
        <f>IFERROR(__xludf.DUMMYFUNCTION("""COMPUTED_VALUE"""),34.0)</f>
        <v>34</v>
      </c>
      <c r="H929" s="1">
        <f>IFERROR(__xludf.DUMMYFUNCTION("""COMPUTED_VALUE"""),73.0)</f>
        <v>73</v>
      </c>
      <c r="I929" s="1">
        <f>IFERROR(__xludf.DUMMYFUNCTION("""COMPUTED_VALUE"""),91.0)</f>
        <v>91</v>
      </c>
      <c r="J929" s="1">
        <f>IFERROR(__xludf.DUMMYFUNCTION("""COMPUTED_VALUE"""),40.0)</f>
        <v>40</v>
      </c>
      <c r="K929" s="1">
        <f>IFERROR(__xludf.DUMMYFUNCTION("""COMPUTED_VALUE"""),23.0)</f>
        <v>23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 t="str">
        <f>IFERROR(__xludf.DUMMYFUNCTION("""COMPUTED_VALUE"""),"B")</f>
        <v>B</v>
      </c>
      <c r="E930" s="1" t="str">
        <f>IFERROR(__xludf.DUMMYFUNCTION("""COMPUTED_VALUE"""),"Female")</f>
        <v>Female</v>
      </c>
      <c r="F930" s="1">
        <f>IFERROR(__xludf.DUMMYFUNCTION("""COMPUTED_VALUE"""),76.0)</f>
        <v>76</v>
      </c>
      <c r="G930" s="1">
        <f>IFERROR(__xludf.DUMMYFUNCTION("""COMPUTED_VALUE"""),87.0)</f>
        <v>87</v>
      </c>
      <c r="H930" s="1">
        <f>IFERROR(__xludf.DUMMYFUNCTION("""COMPUTED_VALUE"""),71.0)</f>
        <v>71</v>
      </c>
      <c r="I930" s="1">
        <f>IFERROR(__xludf.DUMMYFUNCTION("""COMPUTED_VALUE"""),64.0)</f>
        <v>64</v>
      </c>
      <c r="J930" s="1">
        <f>IFERROR(__xludf.DUMMYFUNCTION("""COMPUTED_VALUE"""),51.0)</f>
        <v>51</v>
      </c>
      <c r="K930" s="1">
        <f>IFERROR(__xludf.DUMMYFUNCTION("""COMPUTED_VALUE"""),76.0)</f>
        <v>76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 t="str">
        <f>IFERROR(__xludf.DUMMYFUNCTION("""COMPUTED_VALUE"""),"D")</f>
        <v>D</v>
      </c>
      <c r="E931" s="1" t="str">
        <f>IFERROR(__xludf.DUMMYFUNCTION("""COMPUTED_VALUE"""),"Female")</f>
        <v>Female</v>
      </c>
      <c r="F931" s="1">
        <f>IFERROR(__xludf.DUMMYFUNCTION("""COMPUTED_VALUE"""),60.0)</f>
        <v>60</v>
      </c>
      <c r="G931" s="1">
        <f>IFERROR(__xludf.DUMMYFUNCTION("""COMPUTED_VALUE"""),29.0)</f>
        <v>29</v>
      </c>
      <c r="H931" s="1">
        <f>IFERROR(__xludf.DUMMYFUNCTION("""COMPUTED_VALUE"""),98.0)</f>
        <v>98</v>
      </c>
      <c r="I931" s="1">
        <f>IFERROR(__xludf.DUMMYFUNCTION("""COMPUTED_VALUE"""),31.0)</f>
        <v>31</v>
      </c>
      <c r="J931" s="1">
        <f>IFERROR(__xludf.DUMMYFUNCTION("""COMPUTED_VALUE"""),77.0)</f>
        <v>77</v>
      </c>
      <c r="K931" s="1">
        <f>IFERROR(__xludf.DUMMYFUNCTION("""COMPUTED_VALUE"""),81.0)</f>
        <v>81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 t="str">
        <f>IFERROR(__xludf.DUMMYFUNCTION("""COMPUTED_VALUE"""),"A")</f>
        <v>A</v>
      </c>
      <c r="E932" s="1" t="str">
        <f>IFERROR(__xludf.DUMMYFUNCTION("""COMPUTED_VALUE"""),"Female")</f>
        <v>Female</v>
      </c>
      <c r="F932" s="1">
        <f>IFERROR(__xludf.DUMMYFUNCTION("""COMPUTED_VALUE"""),29.0)</f>
        <v>29</v>
      </c>
      <c r="G932" s="1">
        <f>IFERROR(__xludf.DUMMYFUNCTION("""COMPUTED_VALUE"""),68.0)</f>
        <v>68</v>
      </c>
      <c r="H932" s="1">
        <f>IFERROR(__xludf.DUMMYFUNCTION("""COMPUTED_VALUE"""),80.0)</f>
        <v>80</v>
      </c>
      <c r="I932" s="1">
        <f>IFERROR(__xludf.DUMMYFUNCTION("""COMPUTED_VALUE"""),55.0)</f>
        <v>55</v>
      </c>
      <c r="J932" s="1">
        <f>IFERROR(__xludf.DUMMYFUNCTION("""COMPUTED_VALUE"""),93.0)</f>
        <v>93</v>
      </c>
      <c r="K932" s="1">
        <f>IFERROR(__xludf.DUMMYFUNCTION("""COMPUTED_VALUE"""),32.0)</f>
        <v>32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 t="str">
        <f>IFERROR(__xludf.DUMMYFUNCTION("""COMPUTED_VALUE"""),"C")</f>
        <v>C</v>
      </c>
      <c r="E933" s="1" t="str">
        <f>IFERROR(__xludf.DUMMYFUNCTION("""COMPUTED_VALUE"""),"Male")</f>
        <v>Male</v>
      </c>
      <c r="F933" s="1">
        <f>IFERROR(__xludf.DUMMYFUNCTION("""COMPUTED_VALUE"""),13.0)</f>
        <v>13</v>
      </c>
      <c r="G933" s="1">
        <f>IFERROR(__xludf.DUMMYFUNCTION("""COMPUTED_VALUE"""),66.0)</f>
        <v>66</v>
      </c>
      <c r="H933" s="1">
        <f>IFERROR(__xludf.DUMMYFUNCTION("""COMPUTED_VALUE"""),32.0)</f>
        <v>32</v>
      </c>
      <c r="I933" s="1">
        <f>IFERROR(__xludf.DUMMYFUNCTION("""COMPUTED_VALUE"""),40.0)</f>
        <v>40</v>
      </c>
      <c r="J933" s="1">
        <f>IFERROR(__xludf.DUMMYFUNCTION("""COMPUTED_VALUE"""),78.0)</f>
        <v>78</v>
      </c>
      <c r="K933" s="1">
        <f>IFERROR(__xludf.DUMMYFUNCTION("""COMPUTED_VALUE"""),49.0)</f>
        <v>49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 t="str">
        <f>IFERROR(__xludf.DUMMYFUNCTION("""COMPUTED_VALUE"""),"B")</f>
        <v>B</v>
      </c>
      <c r="E934" s="1" t="str">
        <f>IFERROR(__xludf.DUMMYFUNCTION("""COMPUTED_VALUE"""),"Male")</f>
        <v>Male</v>
      </c>
      <c r="F934" s="1">
        <f>IFERROR(__xludf.DUMMYFUNCTION("""COMPUTED_VALUE"""),28.0)</f>
        <v>28</v>
      </c>
      <c r="G934" s="1">
        <f>IFERROR(__xludf.DUMMYFUNCTION("""COMPUTED_VALUE"""),96.0)</f>
        <v>96</v>
      </c>
      <c r="H934" s="1">
        <f>IFERROR(__xludf.DUMMYFUNCTION("""COMPUTED_VALUE"""),64.0)</f>
        <v>64</v>
      </c>
      <c r="I934" s="1">
        <f>IFERROR(__xludf.DUMMYFUNCTION("""COMPUTED_VALUE"""),43.0)</f>
        <v>43</v>
      </c>
      <c r="J934" s="1">
        <f>IFERROR(__xludf.DUMMYFUNCTION("""COMPUTED_VALUE"""),53.0)</f>
        <v>53</v>
      </c>
      <c r="K934" s="1">
        <f>IFERROR(__xludf.DUMMYFUNCTION("""COMPUTED_VALUE"""),39.0)</f>
        <v>39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 t="str">
        <f>IFERROR(__xludf.DUMMYFUNCTION("""COMPUTED_VALUE"""),"D")</f>
        <v>D</v>
      </c>
      <c r="E935" s="1" t="str">
        <f>IFERROR(__xludf.DUMMYFUNCTION("""COMPUTED_VALUE"""),"Male")</f>
        <v>Male</v>
      </c>
      <c r="F935" s="1">
        <f>IFERROR(__xludf.DUMMYFUNCTION("""COMPUTED_VALUE"""),100.0)</f>
        <v>100</v>
      </c>
      <c r="G935" s="1">
        <f>IFERROR(__xludf.DUMMYFUNCTION("""COMPUTED_VALUE"""),30.0)</f>
        <v>30</v>
      </c>
      <c r="H935" s="1">
        <f>IFERROR(__xludf.DUMMYFUNCTION("""COMPUTED_VALUE"""),92.0)</f>
        <v>92</v>
      </c>
      <c r="I935" s="1">
        <f>IFERROR(__xludf.DUMMYFUNCTION("""COMPUTED_VALUE"""),44.0)</f>
        <v>44</v>
      </c>
      <c r="J935" s="1">
        <f>IFERROR(__xludf.DUMMYFUNCTION("""COMPUTED_VALUE"""),70.0)</f>
        <v>70</v>
      </c>
      <c r="K935" s="1">
        <f>IFERROR(__xludf.DUMMYFUNCTION("""COMPUTED_VALUE"""),24.0)</f>
        <v>24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 t="str">
        <f>IFERROR(__xludf.DUMMYFUNCTION("""COMPUTED_VALUE"""),"C")</f>
        <v>C</v>
      </c>
      <c r="E936" s="1" t="str">
        <f>IFERROR(__xludf.DUMMYFUNCTION("""COMPUTED_VALUE"""),"Female")</f>
        <v>Female</v>
      </c>
      <c r="F936" s="1">
        <f>IFERROR(__xludf.DUMMYFUNCTION("""COMPUTED_VALUE"""),60.0)</f>
        <v>60</v>
      </c>
      <c r="G936" s="1">
        <f>IFERROR(__xludf.DUMMYFUNCTION("""COMPUTED_VALUE"""),89.0)</f>
        <v>89</v>
      </c>
      <c r="H936" s="1">
        <f>IFERROR(__xludf.DUMMYFUNCTION("""COMPUTED_VALUE"""),75.0)</f>
        <v>75</v>
      </c>
      <c r="I936" s="1">
        <f>IFERROR(__xludf.DUMMYFUNCTION("""COMPUTED_VALUE"""),95.0)</f>
        <v>95</v>
      </c>
      <c r="J936" s="1">
        <f>IFERROR(__xludf.DUMMYFUNCTION("""COMPUTED_VALUE"""),44.0)</f>
        <v>44</v>
      </c>
      <c r="K936" s="1">
        <f>IFERROR(__xludf.DUMMYFUNCTION("""COMPUTED_VALUE"""),91.0)</f>
        <v>91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 t="str">
        <f>IFERROR(__xludf.DUMMYFUNCTION("""COMPUTED_VALUE"""),"D")</f>
        <v>D</v>
      </c>
      <c r="E937" s="1" t="str">
        <f>IFERROR(__xludf.DUMMYFUNCTION("""COMPUTED_VALUE"""),"Male")</f>
        <v>Male</v>
      </c>
      <c r="F937" s="1">
        <f>IFERROR(__xludf.DUMMYFUNCTION("""COMPUTED_VALUE"""),20.0)</f>
        <v>20</v>
      </c>
      <c r="G937" s="1">
        <f>IFERROR(__xludf.DUMMYFUNCTION("""COMPUTED_VALUE"""),48.0)</f>
        <v>48</v>
      </c>
      <c r="H937" s="1">
        <f>IFERROR(__xludf.DUMMYFUNCTION("""COMPUTED_VALUE"""),33.0)</f>
        <v>33</v>
      </c>
      <c r="I937" s="1">
        <f>IFERROR(__xludf.DUMMYFUNCTION("""COMPUTED_VALUE"""),44.0)</f>
        <v>44</v>
      </c>
      <c r="J937" s="1">
        <f>IFERROR(__xludf.DUMMYFUNCTION("""COMPUTED_VALUE"""),26.0)</f>
        <v>26</v>
      </c>
      <c r="K937" s="1">
        <f>IFERROR(__xludf.DUMMYFUNCTION("""COMPUTED_VALUE"""),44.0)</f>
        <v>44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 t="str">
        <f>IFERROR(__xludf.DUMMYFUNCTION("""COMPUTED_VALUE"""),"A")</f>
        <v>A</v>
      </c>
      <c r="E938" s="1" t="str">
        <f>IFERROR(__xludf.DUMMYFUNCTION("""COMPUTED_VALUE"""),"Female")</f>
        <v>Female</v>
      </c>
      <c r="F938" s="1">
        <f>IFERROR(__xludf.DUMMYFUNCTION("""COMPUTED_VALUE"""),70.0)</f>
        <v>70</v>
      </c>
      <c r="G938" s="1">
        <f>IFERROR(__xludf.DUMMYFUNCTION("""COMPUTED_VALUE"""),34.0)</f>
        <v>34</v>
      </c>
      <c r="H938" s="1">
        <f>IFERROR(__xludf.DUMMYFUNCTION("""COMPUTED_VALUE"""),94.0)</f>
        <v>94</v>
      </c>
      <c r="I938" s="1">
        <f>IFERROR(__xludf.DUMMYFUNCTION("""COMPUTED_VALUE"""),49.0)</f>
        <v>49</v>
      </c>
      <c r="J938" s="1">
        <f>IFERROR(__xludf.DUMMYFUNCTION("""COMPUTED_VALUE"""),83.0)</f>
        <v>83</v>
      </c>
      <c r="K938" s="1">
        <f>IFERROR(__xludf.DUMMYFUNCTION("""COMPUTED_VALUE"""),42.0)</f>
        <v>42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 t="str">
        <f>IFERROR(__xludf.DUMMYFUNCTION("""COMPUTED_VALUE"""),"A")</f>
        <v>A</v>
      </c>
      <c r="E939" s="1" t="str">
        <f>IFERROR(__xludf.DUMMYFUNCTION("""COMPUTED_VALUE"""),"Male")</f>
        <v>Male</v>
      </c>
      <c r="F939" s="1">
        <f>IFERROR(__xludf.DUMMYFUNCTION("""COMPUTED_VALUE"""),42.0)</f>
        <v>42</v>
      </c>
      <c r="G939" s="1">
        <f>IFERROR(__xludf.DUMMYFUNCTION("""COMPUTED_VALUE"""),62.0)</f>
        <v>62</v>
      </c>
      <c r="H939" s="1">
        <f>IFERROR(__xludf.DUMMYFUNCTION("""COMPUTED_VALUE"""),39.0)</f>
        <v>39</v>
      </c>
      <c r="I939" s="1">
        <f>IFERROR(__xludf.DUMMYFUNCTION("""COMPUTED_VALUE"""),77.0)</f>
        <v>77</v>
      </c>
      <c r="J939" s="1">
        <f>IFERROR(__xludf.DUMMYFUNCTION("""COMPUTED_VALUE"""),24.0)</f>
        <v>24</v>
      </c>
      <c r="K939" s="1">
        <f>IFERROR(__xludf.DUMMYFUNCTION("""COMPUTED_VALUE"""),56.0)</f>
        <v>56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 t="str">
        <f>IFERROR(__xludf.DUMMYFUNCTION("""COMPUTED_VALUE"""),"B")</f>
        <v>B</v>
      </c>
      <c r="E940" s="1" t="str">
        <f>IFERROR(__xludf.DUMMYFUNCTION("""COMPUTED_VALUE"""),"Female")</f>
        <v>Female</v>
      </c>
      <c r="F940" s="1">
        <f>IFERROR(__xludf.DUMMYFUNCTION("""COMPUTED_VALUE"""),46.0)</f>
        <v>46</v>
      </c>
      <c r="G940" s="1">
        <f>IFERROR(__xludf.DUMMYFUNCTION("""COMPUTED_VALUE"""),89.0)</f>
        <v>89</v>
      </c>
      <c r="H940" s="1">
        <f>IFERROR(__xludf.DUMMYFUNCTION("""COMPUTED_VALUE"""),21.0)</f>
        <v>21</v>
      </c>
      <c r="I940" s="1">
        <f>IFERROR(__xludf.DUMMYFUNCTION("""COMPUTED_VALUE"""),41.0)</f>
        <v>41</v>
      </c>
      <c r="J940" s="1">
        <f>IFERROR(__xludf.DUMMYFUNCTION("""COMPUTED_VALUE"""),67.0)</f>
        <v>67</v>
      </c>
      <c r="K940" s="1">
        <f>IFERROR(__xludf.DUMMYFUNCTION("""COMPUTED_VALUE"""),70.0)</f>
        <v>70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 t="str">
        <f>IFERROR(__xludf.DUMMYFUNCTION("""COMPUTED_VALUE"""),"C")</f>
        <v>C</v>
      </c>
      <c r="E941" s="1" t="str">
        <f>IFERROR(__xludf.DUMMYFUNCTION("""COMPUTED_VALUE"""),"Female")</f>
        <v>Female</v>
      </c>
      <c r="F941" s="1">
        <f>IFERROR(__xludf.DUMMYFUNCTION("""COMPUTED_VALUE"""),16.0)</f>
        <v>16</v>
      </c>
      <c r="G941" s="1">
        <f>IFERROR(__xludf.DUMMYFUNCTION("""COMPUTED_VALUE"""),29.0)</f>
        <v>29</v>
      </c>
      <c r="H941" s="1">
        <f>IFERROR(__xludf.DUMMYFUNCTION("""COMPUTED_VALUE"""),80.0)</f>
        <v>80</v>
      </c>
      <c r="I941" s="1">
        <f>IFERROR(__xludf.DUMMYFUNCTION("""COMPUTED_VALUE"""),83.0)</f>
        <v>83</v>
      </c>
      <c r="J941" s="1">
        <f>IFERROR(__xludf.DUMMYFUNCTION("""COMPUTED_VALUE"""),71.0)</f>
        <v>71</v>
      </c>
      <c r="K941" s="1">
        <f>IFERROR(__xludf.DUMMYFUNCTION("""COMPUTED_VALUE"""),61.0)</f>
        <v>61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 t="str">
        <f>IFERROR(__xludf.DUMMYFUNCTION("""COMPUTED_VALUE"""),"C")</f>
        <v>C</v>
      </c>
      <c r="E942" s="1" t="str">
        <f>IFERROR(__xludf.DUMMYFUNCTION("""COMPUTED_VALUE"""),"Male")</f>
        <v>Male</v>
      </c>
      <c r="F942" s="1">
        <f>IFERROR(__xludf.DUMMYFUNCTION("""COMPUTED_VALUE"""),91.0)</f>
        <v>91</v>
      </c>
      <c r="G942" s="1">
        <f>IFERROR(__xludf.DUMMYFUNCTION("""COMPUTED_VALUE"""),25.0)</f>
        <v>25</v>
      </c>
      <c r="H942" s="1">
        <f>IFERROR(__xludf.DUMMYFUNCTION("""COMPUTED_VALUE"""),49.0)</f>
        <v>49</v>
      </c>
      <c r="I942" s="1">
        <f>IFERROR(__xludf.DUMMYFUNCTION("""COMPUTED_VALUE"""),66.0)</f>
        <v>66</v>
      </c>
      <c r="J942" s="1">
        <f>IFERROR(__xludf.DUMMYFUNCTION("""COMPUTED_VALUE"""),83.0)</f>
        <v>83</v>
      </c>
      <c r="K942" s="1">
        <f>IFERROR(__xludf.DUMMYFUNCTION("""COMPUTED_VALUE"""),95.0)</f>
        <v>95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 t="str">
        <f>IFERROR(__xludf.DUMMYFUNCTION("""COMPUTED_VALUE"""),"D")</f>
        <v>D</v>
      </c>
      <c r="E943" s="1" t="str">
        <f>IFERROR(__xludf.DUMMYFUNCTION("""COMPUTED_VALUE"""),"Male")</f>
        <v>Male</v>
      </c>
      <c r="F943" s="1">
        <f>IFERROR(__xludf.DUMMYFUNCTION("""COMPUTED_VALUE"""),78.0)</f>
        <v>78</v>
      </c>
      <c r="G943" s="1">
        <f>IFERROR(__xludf.DUMMYFUNCTION("""COMPUTED_VALUE"""),42.0)</f>
        <v>42</v>
      </c>
      <c r="H943" s="1">
        <f>IFERROR(__xludf.DUMMYFUNCTION("""COMPUTED_VALUE"""),90.0)</f>
        <v>90</v>
      </c>
      <c r="I943" s="1">
        <f>IFERROR(__xludf.DUMMYFUNCTION("""COMPUTED_VALUE"""),35.0)</f>
        <v>35</v>
      </c>
      <c r="J943" s="1">
        <f>IFERROR(__xludf.DUMMYFUNCTION("""COMPUTED_VALUE"""),79.0)</f>
        <v>79</v>
      </c>
      <c r="K943" s="1">
        <f>IFERROR(__xludf.DUMMYFUNCTION("""COMPUTED_VALUE"""),55.0)</f>
        <v>55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 t="str">
        <f>IFERROR(__xludf.DUMMYFUNCTION("""COMPUTED_VALUE"""),"D")</f>
        <v>D</v>
      </c>
      <c r="E944" s="1" t="str">
        <f>IFERROR(__xludf.DUMMYFUNCTION("""COMPUTED_VALUE"""),"Male")</f>
        <v>Male</v>
      </c>
      <c r="F944" s="1">
        <f>IFERROR(__xludf.DUMMYFUNCTION("""COMPUTED_VALUE"""),99.0)</f>
        <v>99</v>
      </c>
      <c r="G944" s="1">
        <f>IFERROR(__xludf.DUMMYFUNCTION("""COMPUTED_VALUE"""),74.0)</f>
        <v>74</v>
      </c>
      <c r="H944" s="1">
        <f>IFERROR(__xludf.DUMMYFUNCTION("""COMPUTED_VALUE"""),41.0)</f>
        <v>41</v>
      </c>
      <c r="I944" s="1">
        <f>IFERROR(__xludf.DUMMYFUNCTION("""COMPUTED_VALUE"""),52.0)</f>
        <v>52</v>
      </c>
      <c r="J944" s="1">
        <f>IFERROR(__xludf.DUMMYFUNCTION("""COMPUTED_VALUE"""),89.0)</f>
        <v>89</v>
      </c>
      <c r="K944" s="1">
        <f>IFERROR(__xludf.DUMMYFUNCTION("""COMPUTED_VALUE"""),82.0)</f>
        <v>82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 t="str">
        <f>IFERROR(__xludf.DUMMYFUNCTION("""COMPUTED_VALUE"""),"C")</f>
        <v>C</v>
      </c>
      <c r="E945" s="1" t="str">
        <f>IFERROR(__xludf.DUMMYFUNCTION("""COMPUTED_VALUE"""),"Male")</f>
        <v>Male</v>
      </c>
      <c r="F945" s="1">
        <f>IFERROR(__xludf.DUMMYFUNCTION("""COMPUTED_VALUE"""),48.0)</f>
        <v>48</v>
      </c>
      <c r="G945" s="1">
        <f>IFERROR(__xludf.DUMMYFUNCTION("""COMPUTED_VALUE"""),75.0)</f>
        <v>75</v>
      </c>
      <c r="H945" s="1">
        <f>IFERROR(__xludf.DUMMYFUNCTION("""COMPUTED_VALUE"""),51.0)</f>
        <v>51</v>
      </c>
      <c r="I945" s="1">
        <f>IFERROR(__xludf.DUMMYFUNCTION("""COMPUTED_VALUE"""),30.0)</f>
        <v>30</v>
      </c>
      <c r="J945" s="1">
        <f>IFERROR(__xludf.DUMMYFUNCTION("""COMPUTED_VALUE"""),63.0)</f>
        <v>63</v>
      </c>
      <c r="K945" s="1">
        <f>IFERROR(__xludf.DUMMYFUNCTION("""COMPUTED_VALUE"""),21.0)</f>
        <v>21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 t="str">
        <f>IFERROR(__xludf.DUMMYFUNCTION("""COMPUTED_VALUE"""),"B")</f>
        <v>B</v>
      </c>
      <c r="E946" s="1" t="str">
        <f>IFERROR(__xludf.DUMMYFUNCTION("""COMPUTED_VALUE"""),"Male")</f>
        <v>Male</v>
      </c>
      <c r="F946" s="1">
        <f>IFERROR(__xludf.DUMMYFUNCTION("""COMPUTED_VALUE"""),68.0)</f>
        <v>68</v>
      </c>
      <c r="G946" s="1">
        <f>IFERROR(__xludf.DUMMYFUNCTION("""COMPUTED_VALUE"""),81.0)</f>
        <v>81</v>
      </c>
      <c r="H946" s="1">
        <f>IFERROR(__xludf.DUMMYFUNCTION("""COMPUTED_VALUE"""),92.0)</f>
        <v>92</v>
      </c>
      <c r="I946" s="1">
        <f>IFERROR(__xludf.DUMMYFUNCTION("""COMPUTED_VALUE"""),38.0)</f>
        <v>38</v>
      </c>
      <c r="J946" s="1">
        <f>IFERROR(__xludf.DUMMYFUNCTION("""COMPUTED_VALUE"""),44.0)</f>
        <v>44</v>
      </c>
      <c r="K946" s="1">
        <f>IFERROR(__xludf.DUMMYFUNCTION("""COMPUTED_VALUE"""),89.0)</f>
        <v>89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 t="str">
        <f>IFERROR(__xludf.DUMMYFUNCTION("""COMPUTED_VALUE"""),"A")</f>
        <v>A</v>
      </c>
      <c r="E947" s="1" t="str">
        <f>IFERROR(__xludf.DUMMYFUNCTION("""COMPUTED_VALUE"""),"Male")</f>
        <v>Male</v>
      </c>
      <c r="F947" s="1">
        <f>IFERROR(__xludf.DUMMYFUNCTION("""COMPUTED_VALUE"""),38.0)</f>
        <v>38</v>
      </c>
      <c r="G947" s="1">
        <f>IFERROR(__xludf.DUMMYFUNCTION("""COMPUTED_VALUE"""),22.0)</f>
        <v>22</v>
      </c>
      <c r="H947" s="1">
        <f>IFERROR(__xludf.DUMMYFUNCTION("""COMPUTED_VALUE"""),84.0)</f>
        <v>84</v>
      </c>
      <c r="I947" s="1">
        <f>IFERROR(__xludf.DUMMYFUNCTION("""COMPUTED_VALUE"""),57.0)</f>
        <v>57</v>
      </c>
      <c r="J947" s="1">
        <f>IFERROR(__xludf.DUMMYFUNCTION("""COMPUTED_VALUE"""),58.0)</f>
        <v>58</v>
      </c>
      <c r="K947" s="1">
        <f>IFERROR(__xludf.DUMMYFUNCTION("""COMPUTED_VALUE"""),79.0)</f>
        <v>79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 t="str">
        <f>IFERROR(__xludf.DUMMYFUNCTION("""COMPUTED_VALUE"""),"C")</f>
        <v>C</v>
      </c>
      <c r="E948" s="1" t="str">
        <f>IFERROR(__xludf.DUMMYFUNCTION("""COMPUTED_VALUE"""),"Female")</f>
        <v>Female</v>
      </c>
      <c r="F948" s="1">
        <f>IFERROR(__xludf.DUMMYFUNCTION("""COMPUTED_VALUE"""),11.0)</f>
        <v>11</v>
      </c>
      <c r="G948" s="1">
        <f>IFERROR(__xludf.DUMMYFUNCTION("""COMPUTED_VALUE"""),75.0)</f>
        <v>75</v>
      </c>
      <c r="H948" s="1">
        <f>IFERROR(__xludf.DUMMYFUNCTION("""COMPUTED_VALUE"""),20.0)</f>
        <v>20</v>
      </c>
      <c r="I948" s="1">
        <f>IFERROR(__xludf.DUMMYFUNCTION("""COMPUTED_VALUE"""),88.0)</f>
        <v>88</v>
      </c>
      <c r="J948" s="1">
        <f>IFERROR(__xludf.DUMMYFUNCTION("""COMPUTED_VALUE"""),72.0)</f>
        <v>72</v>
      </c>
      <c r="K948" s="1">
        <f>IFERROR(__xludf.DUMMYFUNCTION("""COMPUTED_VALUE"""),56.0)</f>
        <v>56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 t="str">
        <f>IFERROR(__xludf.DUMMYFUNCTION("""COMPUTED_VALUE"""),"B")</f>
        <v>B</v>
      </c>
      <c r="E949" s="1" t="str">
        <f>IFERROR(__xludf.DUMMYFUNCTION("""COMPUTED_VALUE"""),"Female")</f>
        <v>Female</v>
      </c>
      <c r="F949" s="1">
        <f>IFERROR(__xludf.DUMMYFUNCTION("""COMPUTED_VALUE"""),71.0)</f>
        <v>71</v>
      </c>
      <c r="G949" s="1">
        <f>IFERROR(__xludf.DUMMYFUNCTION("""COMPUTED_VALUE"""),34.0)</f>
        <v>34</v>
      </c>
      <c r="H949" s="1">
        <f>IFERROR(__xludf.DUMMYFUNCTION("""COMPUTED_VALUE"""),52.0)</f>
        <v>52</v>
      </c>
      <c r="I949" s="1">
        <f>IFERROR(__xludf.DUMMYFUNCTION("""COMPUTED_VALUE"""),94.0)</f>
        <v>94</v>
      </c>
      <c r="J949" s="1">
        <f>IFERROR(__xludf.DUMMYFUNCTION("""COMPUTED_VALUE"""),45.0)</f>
        <v>45</v>
      </c>
      <c r="K949" s="1">
        <f>IFERROR(__xludf.DUMMYFUNCTION("""COMPUTED_VALUE"""),46.0)</f>
        <v>46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 t="str">
        <f>IFERROR(__xludf.DUMMYFUNCTION("""COMPUTED_VALUE"""),"C")</f>
        <v>C</v>
      </c>
      <c r="E950" s="1" t="str">
        <f>IFERROR(__xludf.DUMMYFUNCTION("""COMPUTED_VALUE"""),"Female")</f>
        <v>Female</v>
      </c>
      <c r="F950" s="1">
        <f>IFERROR(__xludf.DUMMYFUNCTION("""COMPUTED_VALUE"""),14.0)</f>
        <v>14</v>
      </c>
      <c r="G950" s="1">
        <f>IFERROR(__xludf.DUMMYFUNCTION("""COMPUTED_VALUE"""),69.0)</f>
        <v>69</v>
      </c>
      <c r="H950" s="1">
        <f>IFERROR(__xludf.DUMMYFUNCTION("""COMPUTED_VALUE"""),49.0)</f>
        <v>49</v>
      </c>
      <c r="I950" s="1">
        <f>IFERROR(__xludf.DUMMYFUNCTION("""COMPUTED_VALUE"""),32.0)</f>
        <v>32</v>
      </c>
      <c r="J950" s="1">
        <f>IFERROR(__xludf.DUMMYFUNCTION("""COMPUTED_VALUE"""),41.0)</f>
        <v>41</v>
      </c>
      <c r="K950" s="1">
        <f>IFERROR(__xludf.DUMMYFUNCTION("""COMPUTED_VALUE"""),62.0)</f>
        <v>62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 t="str">
        <f>IFERROR(__xludf.DUMMYFUNCTION("""COMPUTED_VALUE"""),"B")</f>
        <v>B</v>
      </c>
      <c r="E951" s="1" t="str">
        <f>IFERROR(__xludf.DUMMYFUNCTION("""COMPUTED_VALUE"""),"Male")</f>
        <v>Male</v>
      </c>
      <c r="F951" s="1">
        <f>IFERROR(__xludf.DUMMYFUNCTION("""COMPUTED_VALUE"""),35.0)</f>
        <v>35</v>
      </c>
      <c r="G951" s="1">
        <f>IFERROR(__xludf.DUMMYFUNCTION("""COMPUTED_VALUE"""),68.0)</f>
        <v>68</v>
      </c>
      <c r="H951" s="1">
        <f>IFERROR(__xludf.DUMMYFUNCTION("""COMPUTED_VALUE"""),64.0)</f>
        <v>64</v>
      </c>
      <c r="I951" s="1">
        <f>IFERROR(__xludf.DUMMYFUNCTION("""COMPUTED_VALUE"""),31.0)</f>
        <v>31</v>
      </c>
      <c r="J951" s="1">
        <f>IFERROR(__xludf.DUMMYFUNCTION("""COMPUTED_VALUE"""),40.0)</f>
        <v>40</v>
      </c>
      <c r="K951" s="1">
        <f>IFERROR(__xludf.DUMMYFUNCTION("""COMPUTED_VALUE"""),20.0)</f>
        <v>20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 t="str">
        <f>IFERROR(__xludf.DUMMYFUNCTION("""COMPUTED_VALUE"""),"A")</f>
        <v>A</v>
      </c>
      <c r="E952" s="1" t="str">
        <f>IFERROR(__xludf.DUMMYFUNCTION("""COMPUTED_VALUE"""),"Male")</f>
        <v>Male</v>
      </c>
      <c r="F952" s="1">
        <f>IFERROR(__xludf.DUMMYFUNCTION("""COMPUTED_VALUE"""),28.0)</f>
        <v>28</v>
      </c>
      <c r="G952" s="1">
        <f>IFERROR(__xludf.DUMMYFUNCTION("""COMPUTED_VALUE"""),29.0)</f>
        <v>29</v>
      </c>
      <c r="H952" s="1">
        <f>IFERROR(__xludf.DUMMYFUNCTION("""COMPUTED_VALUE"""),28.0)</f>
        <v>28</v>
      </c>
      <c r="I952" s="1">
        <f>IFERROR(__xludf.DUMMYFUNCTION("""COMPUTED_VALUE"""),69.0)</f>
        <v>69</v>
      </c>
      <c r="J952" s="1">
        <f>IFERROR(__xludf.DUMMYFUNCTION("""COMPUTED_VALUE"""),94.0)</f>
        <v>94</v>
      </c>
      <c r="K952" s="1">
        <f>IFERROR(__xludf.DUMMYFUNCTION("""COMPUTED_VALUE"""),82.0)</f>
        <v>82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 t="str">
        <f>IFERROR(__xludf.DUMMYFUNCTION("""COMPUTED_VALUE"""),"C")</f>
        <v>C</v>
      </c>
      <c r="E953" s="1" t="str">
        <f>IFERROR(__xludf.DUMMYFUNCTION("""COMPUTED_VALUE"""),"Male")</f>
        <v>Male</v>
      </c>
      <c r="F953" s="1">
        <f>IFERROR(__xludf.DUMMYFUNCTION("""COMPUTED_VALUE"""),15.0)</f>
        <v>15</v>
      </c>
      <c r="G953" s="1">
        <f>IFERROR(__xludf.DUMMYFUNCTION("""COMPUTED_VALUE"""),72.0)</f>
        <v>72</v>
      </c>
      <c r="H953" s="1">
        <f>IFERROR(__xludf.DUMMYFUNCTION("""COMPUTED_VALUE"""),29.0)</f>
        <v>29</v>
      </c>
      <c r="I953" s="1">
        <f>IFERROR(__xludf.DUMMYFUNCTION("""COMPUTED_VALUE"""),41.0)</f>
        <v>41</v>
      </c>
      <c r="J953" s="1">
        <f>IFERROR(__xludf.DUMMYFUNCTION("""COMPUTED_VALUE"""),87.0)</f>
        <v>87</v>
      </c>
      <c r="K953" s="1">
        <f>IFERROR(__xludf.DUMMYFUNCTION("""COMPUTED_VALUE"""),26.0)</f>
        <v>26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 t="str">
        <f>IFERROR(__xludf.DUMMYFUNCTION("""COMPUTED_VALUE"""),"C")</f>
        <v>C</v>
      </c>
      <c r="E954" s="1" t="str">
        <f>IFERROR(__xludf.DUMMYFUNCTION("""COMPUTED_VALUE"""),"Female")</f>
        <v>Female</v>
      </c>
      <c r="F954" s="1">
        <f>IFERROR(__xludf.DUMMYFUNCTION("""COMPUTED_VALUE"""),94.0)</f>
        <v>94</v>
      </c>
      <c r="G954" s="1">
        <f>IFERROR(__xludf.DUMMYFUNCTION("""COMPUTED_VALUE"""),85.0)</f>
        <v>85</v>
      </c>
      <c r="H954" s="1">
        <f>IFERROR(__xludf.DUMMYFUNCTION("""COMPUTED_VALUE"""),72.0)</f>
        <v>72</v>
      </c>
      <c r="I954" s="1">
        <f>IFERROR(__xludf.DUMMYFUNCTION("""COMPUTED_VALUE"""),45.0)</f>
        <v>45</v>
      </c>
      <c r="J954" s="1">
        <f>IFERROR(__xludf.DUMMYFUNCTION("""COMPUTED_VALUE"""),38.0)</f>
        <v>38</v>
      </c>
      <c r="K954" s="1">
        <f>IFERROR(__xludf.DUMMYFUNCTION("""COMPUTED_VALUE"""),85.0)</f>
        <v>85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 t="str">
        <f>IFERROR(__xludf.DUMMYFUNCTION("""COMPUTED_VALUE"""),"B")</f>
        <v>B</v>
      </c>
      <c r="E955" s="1" t="str">
        <f>IFERROR(__xludf.DUMMYFUNCTION("""COMPUTED_VALUE"""),"Female")</f>
        <v>Female</v>
      </c>
      <c r="F955" s="1">
        <f>IFERROR(__xludf.DUMMYFUNCTION("""COMPUTED_VALUE"""),10.0)</f>
        <v>10</v>
      </c>
      <c r="G955" s="1">
        <f>IFERROR(__xludf.DUMMYFUNCTION("""COMPUTED_VALUE"""),98.0)</f>
        <v>98</v>
      </c>
      <c r="H955" s="1">
        <f>IFERROR(__xludf.DUMMYFUNCTION("""COMPUTED_VALUE"""),24.0)</f>
        <v>24</v>
      </c>
      <c r="I955" s="1">
        <f>IFERROR(__xludf.DUMMYFUNCTION("""COMPUTED_VALUE"""),28.0)</f>
        <v>28</v>
      </c>
      <c r="J955" s="1">
        <f>IFERROR(__xludf.DUMMYFUNCTION("""COMPUTED_VALUE"""),31.0)</f>
        <v>31</v>
      </c>
      <c r="K955" s="1">
        <f>IFERROR(__xludf.DUMMYFUNCTION("""COMPUTED_VALUE"""),96.0)</f>
        <v>96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 t="str">
        <f>IFERROR(__xludf.DUMMYFUNCTION("""COMPUTED_VALUE"""),"A")</f>
        <v>A</v>
      </c>
      <c r="E956" s="1" t="str">
        <f>IFERROR(__xludf.DUMMYFUNCTION("""COMPUTED_VALUE"""),"Male")</f>
        <v>Male</v>
      </c>
      <c r="F956" s="1">
        <f>IFERROR(__xludf.DUMMYFUNCTION("""COMPUTED_VALUE"""),100.0)</f>
        <v>100</v>
      </c>
      <c r="G956" s="1">
        <f>IFERROR(__xludf.DUMMYFUNCTION("""COMPUTED_VALUE"""),89.0)</f>
        <v>89</v>
      </c>
      <c r="H956" s="1">
        <f>IFERROR(__xludf.DUMMYFUNCTION("""COMPUTED_VALUE"""),59.0)</f>
        <v>59</v>
      </c>
      <c r="I956" s="1">
        <f>IFERROR(__xludf.DUMMYFUNCTION("""COMPUTED_VALUE"""),93.0)</f>
        <v>93</v>
      </c>
      <c r="J956" s="1">
        <f>IFERROR(__xludf.DUMMYFUNCTION("""COMPUTED_VALUE"""),22.0)</f>
        <v>22</v>
      </c>
      <c r="K956" s="1">
        <f>IFERROR(__xludf.DUMMYFUNCTION("""COMPUTED_VALUE"""),55.0)</f>
        <v>55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 t="str">
        <f>IFERROR(__xludf.DUMMYFUNCTION("""COMPUTED_VALUE"""),"A")</f>
        <v>A</v>
      </c>
      <c r="E957" s="1" t="str">
        <f>IFERROR(__xludf.DUMMYFUNCTION("""COMPUTED_VALUE"""),"Male")</f>
        <v>Male</v>
      </c>
      <c r="F957" s="1">
        <f>IFERROR(__xludf.DUMMYFUNCTION("""COMPUTED_VALUE"""),35.0)</f>
        <v>35</v>
      </c>
      <c r="G957" s="1">
        <f>IFERROR(__xludf.DUMMYFUNCTION("""COMPUTED_VALUE"""),65.0)</f>
        <v>65</v>
      </c>
      <c r="H957" s="1">
        <f>IFERROR(__xludf.DUMMYFUNCTION("""COMPUTED_VALUE"""),46.0)</f>
        <v>46</v>
      </c>
      <c r="I957" s="1">
        <f>IFERROR(__xludf.DUMMYFUNCTION("""COMPUTED_VALUE"""),43.0)</f>
        <v>43</v>
      </c>
      <c r="J957" s="1">
        <f>IFERROR(__xludf.DUMMYFUNCTION("""COMPUTED_VALUE"""),43.0)</f>
        <v>43</v>
      </c>
      <c r="K957" s="1">
        <f>IFERROR(__xludf.DUMMYFUNCTION("""COMPUTED_VALUE"""),23.0)</f>
        <v>23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 t="str">
        <f>IFERROR(__xludf.DUMMYFUNCTION("""COMPUTED_VALUE"""),"B")</f>
        <v>B</v>
      </c>
      <c r="E958" s="1" t="str">
        <f>IFERROR(__xludf.DUMMYFUNCTION("""COMPUTED_VALUE"""),"Female")</f>
        <v>Female</v>
      </c>
      <c r="F958" s="1">
        <f>IFERROR(__xludf.DUMMYFUNCTION("""COMPUTED_VALUE"""),73.0)</f>
        <v>73</v>
      </c>
      <c r="G958" s="1">
        <f>IFERROR(__xludf.DUMMYFUNCTION("""COMPUTED_VALUE"""),88.0)</f>
        <v>88</v>
      </c>
      <c r="H958" s="1">
        <f>IFERROR(__xludf.DUMMYFUNCTION("""COMPUTED_VALUE"""),48.0)</f>
        <v>48</v>
      </c>
      <c r="I958" s="1">
        <f>IFERROR(__xludf.DUMMYFUNCTION("""COMPUTED_VALUE"""),82.0)</f>
        <v>82</v>
      </c>
      <c r="J958" s="1">
        <f>IFERROR(__xludf.DUMMYFUNCTION("""COMPUTED_VALUE"""),65.0)</f>
        <v>65</v>
      </c>
      <c r="K958" s="1">
        <f>IFERROR(__xludf.DUMMYFUNCTION("""COMPUTED_VALUE"""),73.0)</f>
        <v>73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 t="str">
        <f>IFERROR(__xludf.DUMMYFUNCTION("""COMPUTED_VALUE"""),"C")</f>
        <v>C</v>
      </c>
      <c r="E959" s="1" t="str">
        <f>IFERROR(__xludf.DUMMYFUNCTION("""COMPUTED_VALUE"""),"Female")</f>
        <v>Female</v>
      </c>
      <c r="F959" s="1">
        <f>IFERROR(__xludf.DUMMYFUNCTION("""COMPUTED_VALUE"""),40.0)</f>
        <v>40</v>
      </c>
      <c r="G959" s="1">
        <f>IFERROR(__xludf.DUMMYFUNCTION("""COMPUTED_VALUE"""),55.0)</f>
        <v>55</v>
      </c>
      <c r="H959" s="1">
        <f>IFERROR(__xludf.DUMMYFUNCTION("""COMPUTED_VALUE"""),65.0)</f>
        <v>65</v>
      </c>
      <c r="I959" s="1">
        <f>IFERROR(__xludf.DUMMYFUNCTION("""COMPUTED_VALUE"""),63.0)</f>
        <v>63</v>
      </c>
      <c r="J959" s="1">
        <f>IFERROR(__xludf.DUMMYFUNCTION("""COMPUTED_VALUE"""),38.0)</f>
        <v>38</v>
      </c>
      <c r="K959" s="1">
        <f>IFERROR(__xludf.DUMMYFUNCTION("""COMPUTED_VALUE"""),93.0)</f>
        <v>93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 t="str">
        <f>IFERROR(__xludf.DUMMYFUNCTION("""COMPUTED_VALUE"""),"B")</f>
        <v>B</v>
      </c>
      <c r="E960" s="1" t="str">
        <f>IFERROR(__xludf.DUMMYFUNCTION("""COMPUTED_VALUE"""),"Female")</f>
        <v>Female</v>
      </c>
      <c r="F960" s="1">
        <f>IFERROR(__xludf.DUMMYFUNCTION("""COMPUTED_VALUE"""),64.0)</f>
        <v>64</v>
      </c>
      <c r="G960" s="1">
        <f>IFERROR(__xludf.DUMMYFUNCTION("""COMPUTED_VALUE"""),57.0)</f>
        <v>57</v>
      </c>
      <c r="H960" s="1">
        <f>IFERROR(__xludf.DUMMYFUNCTION("""COMPUTED_VALUE"""),25.0)</f>
        <v>25</v>
      </c>
      <c r="I960" s="1">
        <f>IFERROR(__xludf.DUMMYFUNCTION("""COMPUTED_VALUE"""),79.0)</f>
        <v>79</v>
      </c>
      <c r="J960" s="1">
        <f>IFERROR(__xludf.DUMMYFUNCTION("""COMPUTED_VALUE"""),84.0)</f>
        <v>84</v>
      </c>
      <c r="K960" s="1">
        <f>IFERROR(__xludf.DUMMYFUNCTION("""COMPUTED_VALUE"""),83.0)</f>
        <v>83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 t="str">
        <f>IFERROR(__xludf.DUMMYFUNCTION("""COMPUTED_VALUE"""),"B")</f>
        <v>B</v>
      </c>
      <c r="E961" s="1" t="str">
        <f>IFERROR(__xludf.DUMMYFUNCTION("""COMPUTED_VALUE"""),"Female")</f>
        <v>Female</v>
      </c>
      <c r="F961" s="1">
        <f>IFERROR(__xludf.DUMMYFUNCTION("""COMPUTED_VALUE"""),81.0)</f>
        <v>81</v>
      </c>
      <c r="G961" s="1">
        <f>IFERROR(__xludf.DUMMYFUNCTION("""COMPUTED_VALUE"""),83.0)</f>
        <v>83</v>
      </c>
      <c r="H961" s="1">
        <f>IFERROR(__xludf.DUMMYFUNCTION("""COMPUTED_VALUE"""),42.0)</f>
        <v>42</v>
      </c>
      <c r="I961" s="1">
        <f>IFERROR(__xludf.DUMMYFUNCTION("""COMPUTED_VALUE"""),52.0)</f>
        <v>52</v>
      </c>
      <c r="J961" s="1">
        <f>IFERROR(__xludf.DUMMYFUNCTION("""COMPUTED_VALUE"""),35.0)</f>
        <v>35</v>
      </c>
      <c r="K961" s="1">
        <f>IFERROR(__xludf.DUMMYFUNCTION("""COMPUTED_VALUE"""),43.0)</f>
        <v>43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 t="str">
        <f>IFERROR(__xludf.DUMMYFUNCTION("""COMPUTED_VALUE"""),"B")</f>
        <v>B</v>
      </c>
      <c r="E962" s="1" t="str">
        <f>IFERROR(__xludf.DUMMYFUNCTION("""COMPUTED_VALUE"""),"Male")</f>
        <v>Male</v>
      </c>
      <c r="F962" s="1">
        <f>IFERROR(__xludf.DUMMYFUNCTION("""COMPUTED_VALUE"""),94.0)</f>
        <v>94</v>
      </c>
      <c r="G962" s="1">
        <f>IFERROR(__xludf.DUMMYFUNCTION("""COMPUTED_VALUE"""),26.0)</f>
        <v>26</v>
      </c>
      <c r="H962" s="1">
        <f>IFERROR(__xludf.DUMMYFUNCTION("""COMPUTED_VALUE"""),36.0)</f>
        <v>36</v>
      </c>
      <c r="I962" s="1">
        <f>IFERROR(__xludf.DUMMYFUNCTION("""COMPUTED_VALUE"""),44.0)</f>
        <v>44</v>
      </c>
      <c r="J962" s="1">
        <f>IFERROR(__xludf.DUMMYFUNCTION("""COMPUTED_VALUE"""),31.0)</f>
        <v>31</v>
      </c>
      <c r="K962" s="1">
        <f>IFERROR(__xludf.DUMMYFUNCTION("""COMPUTED_VALUE"""),56.0)</f>
        <v>56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 t="str">
        <f>IFERROR(__xludf.DUMMYFUNCTION("""COMPUTED_VALUE"""),"B")</f>
        <v>B</v>
      </c>
      <c r="E963" s="1" t="str">
        <f>IFERROR(__xludf.DUMMYFUNCTION("""COMPUTED_VALUE"""),"Female")</f>
        <v>Female</v>
      </c>
      <c r="F963" s="1">
        <f>IFERROR(__xludf.DUMMYFUNCTION("""COMPUTED_VALUE"""),11.0)</f>
        <v>11</v>
      </c>
      <c r="G963" s="1">
        <f>IFERROR(__xludf.DUMMYFUNCTION("""COMPUTED_VALUE"""),53.0)</f>
        <v>53</v>
      </c>
      <c r="H963" s="1">
        <f>IFERROR(__xludf.DUMMYFUNCTION("""COMPUTED_VALUE"""),23.0)</f>
        <v>23</v>
      </c>
      <c r="I963" s="1">
        <f>IFERROR(__xludf.DUMMYFUNCTION("""COMPUTED_VALUE"""),64.0)</f>
        <v>64</v>
      </c>
      <c r="J963" s="1">
        <f>IFERROR(__xludf.DUMMYFUNCTION("""COMPUTED_VALUE"""),42.0)</f>
        <v>42</v>
      </c>
      <c r="K963" s="1">
        <f>IFERROR(__xludf.DUMMYFUNCTION("""COMPUTED_VALUE"""),22.0)</f>
        <v>22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 t="str">
        <f>IFERROR(__xludf.DUMMYFUNCTION("""COMPUTED_VALUE"""),"D")</f>
        <v>D</v>
      </c>
      <c r="E964" s="1" t="str">
        <f>IFERROR(__xludf.DUMMYFUNCTION("""COMPUTED_VALUE"""),"Male")</f>
        <v>Male</v>
      </c>
      <c r="F964" s="1">
        <f>IFERROR(__xludf.DUMMYFUNCTION("""COMPUTED_VALUE"""),61.0)</f>
        <v>61</v>
      </c>
      <c r="G964" s="1">
        <f>IFERROR(__xludf.DUMMYFUNCTION("""COMPUTED_VALUE"""),63.0)</f>
        <v>63</v>
      </c>
      <c r="H964" s="1">
        <f>IFERROR(__xludf.DUMMYFUNCTION("""COMPUTED_VALUE"""),99.0)</f>
        <v>99</v>
      </c>
      <c r="I964" s="1">
        <f>IFERROR(__xludf.DUMMYFUNCTION("""COMPUTED_VALUE"""),97.0)</f>
        <v>97</v>
      </c>
      <c r="J964" s="1">
        <f>IFERROR(__xludf.DUMMYFUNCTION("""COMPUTED_VALUE"""),60.0)</f>
        <v>60</v>
      </c>
      <c r="K964" s="1">
        <f>IFERROR(__xludf.DUMMYFUNCTION("""COMPUTED_VALUE"""),80.0)</f>
        <v>80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 t="str">
        <f>IFERROR(__xludf.DUMMYFUNCTION("""COMPUTED_VALUE"""),"D")</f>
        <v>D</v>
      </c>
      <c r="E965" s="1" t="str">
        <f>IFERROR(__xludf.DUMMYFUNCTION("""COMPUTED_VALUE"""),"Male")</f>
        <v>Male</v>
      </c>
      <c r="F965" s="1">
        <f>IFERROR(__xludf.DUMMYFUNCTION("""COMPUTED_VALUE"""),66.0)</f>
        <v>66</v>
      </c>
      <c r="G965" s="1">
        <f>IFERROR(__xludf.DUMMYFUNCTION("""COMPUTED_VALUE"""),21.0)</f>
        <v>21</v>
      </c>
      <c r="H965" s="1">
        <f>IFERROR(__xludf.DUMMYFUNCTION("""COMPUTED_VALUE"""),42.0)</f>
        <v>42</v>
      </c>
      <c r="I965" s="1">
        <f>IFERROR(__xludf.DUMMYFUNCTION("""COMPUTED_VALUE"""),31.0)</f>
        <v>31</v>
      </c>
      <c r="J965" s="1">
        <f>IFERROR(__xludf.DUMMYFUNCTION("""COMPUTED_VALUE"""),53.0)</f>
        <v>53</v>
      </c>
      <c r="K965" s="1">
        <f>IFERROR(__xludf.DUMMYFUNCTION("""COMPUTED_VALUE"""),41.0)</f>
        <v>41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 t="str">
        <f>IFERROR(__xludf.DUMMYFUNCTION("""COMPUTED_VALUE"""),"C")</f>
        <v>C</v>
      </c>
      <c r="E966" s="1" t="str">
        <f>IFERROR(__xludf.DUMMYFUNCTION("""COMPUTED_VALUE"""),"Female")</f>
        <v>Female</v>
      </c>
      <c r="F966" s="1">
        <f>IFERROR(__xludf.DUMMYFUNCTION("""COMPUTED_VALUE"""),56.0)</f>
        <v>56</v>
      </c>
      <c r="G966" s="1">
        <f>IFERROR(__xludf.DUMMYFUNCTION("""COMPUTED_VALUE"""),65.0)</f>
        <v>65</v>
      </c>
      <c r="H966" s="1">
        <f>IFERROR(__xludf.DUMMYFUNCTION("""COMPUTED_VALUE"""),55.0)</f>
        <v>55</v>
      </c>
      <c r="I966" s="1">
        <f>IFERROR(__xludf.DUMMYFUNCTION("""COMPUTED_VALUE"""),60.0)</f>
        <v>60</v>
      </c>
      <c r="J966" s="1">
        <f>IFERROR(__xludf.DUMMYFUNCTION("""COMPUTED_VALUE"""),92.0)</f>
        <v>92</v>
      </c>
      <c r="K966" s="1">
        <f>IFERROR(__xludf.DUMMYFUNCTION("""COMPUTED_VALUE"""),98.0)</f>
        <v>98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 t="str">
        <f>IFERROR(__xludf.DUMMYFUNCTION("""COMPUTED_VALUE"""),"C")</f>
        <v>C</v>
      </c>
      <c r="E967" s="1" t="str">
        <f>IFERROR(__xludf.DUMMYFUNCTION("""COMPUTED_VALUE"""),"Male")</f>
        <v>Male</v>
      </c>
      <c r="F967" s="1">
        <f>IFERROR(__xludf.DUMMYFUNCTION("""COMPUTED_VALUE"""),14.0)</f>
        <v>14</v>
      </c>
      <c r="G967" s="1">
        <f>IFERROR(__xludf.DUMMYFUNCTION("""COMPUTED_VALUE"""),25.0)</f>
        <v>25</v>
      </c>
      <c r="H967" s="1">
        <f>IFERROR(__xludf.DUMMYFUNCTION("""COMPUTED_VALUE"""),65.0)</f>
        <v>65</v>
      </c>
      <c r="I967" s="1">
        <f>IFERROR(__xludf.DUMMYFUNCTION("""COMPUTED_VALUE"""),33.0)</f>
        <v>33</v>
      </c>
      <c r="J967" s="1">
        <f>IFERROR(__xludf.DUMMYFUNCTION("""COMPUTED_VALUE"""),35.0)</f>
        <v>35</v>
      </c>
      <c r="K967" s="1">
        <f>IFERROR(__xludf.DUMMYFUNCTION("""COMPUTED_VALUE"""),45.0)</f>
        <v>45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 t="str">
        <f>IFERROR(__xludf.DUMMYFUNCTION("""COMPUTED_VALUE"""),"A")</f>
        <v>A</v>
      </c>
      <c r="E968" s="1" t="str">
        <f>IFERROR(__xludf.DUMMYFUNCTION("""COMPUTED_VALUE"""),"Female")</f>
        <v>Female</v>
      </c>
      <c r="F968" s="1">
        <f>IFERROR(__xludf.DUMMYFUNCTION("""COMPUTED_VALUE"""),85.0)</f>
        <v>85</v>
      </c>
      <c r="G968" s="1">
        <f>IFERROR(__xludf.DUMMYFUNCTION("""COMPUTED_VALUE"""),44.0)</f>
        <v>44</v>
      </c>
      <c r="H968" s="1">
        <f>IFERROR(__xludf.DUMMYFUNCTION("""COMPUTED_VALUE"""),57.0)</f>
        <v>57</v>
      </c>
      <c r="I968" s="1">
        <f>IFERROR(__xludf.DUMMYFUNCTION("""COMPUTED_VALUE"""),56.0)</f>
        <v>56</v>
      </c>
      <c r="J968" s="1">
        <f>IFERROR(__xludf.DUMMYFUNCTION("""COMPUTED_VALUE"""),29.0)</f>
        <v>29</v>
      </c>
      <c r="K968" s="1">
        <f>IFERROR(__xludf.DUMMYFUNCTION("""COMPUTED_VALUE"""),76.0)</f>
        <v>76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 t="str">
        <f>IFERROR(__xludf.DUMMYFUNCTION("""COMPUTED_VALUE"""),"C")</f>
        <v>C</v>
      </c>
      <c r="E969" s="1" t="str">
        <f>IFERROR(__xludf.DUMMYFUNCTION("""COMPUTED_VALUE"""),"Female")</f>
        <v>Female</v>
      </c>
      <c r="F969" s="1">
        <f>IFERROR(__xludf.DUMMYFUNCTION("""COMPUTED_VALUE"""),77.0)</f>
        <v>77</v>
      </c>
      <c r="G969" s="1">
        <f>IFERROR(__xludf.DUMMYFUNCTION("""COMPUTED_VALUE"""),55.0)</f>
        <v>55</v>
      </c>
      <c r="H969" s="1">
        <f>IFERROR(__xludf.DUMMYFUNCTION("""COMPUTED_VALUE"""),80.0)</f>
        <v>80</v>
      </c>
      <c r="I969" s="1">
        <f>IFERROR(__xludf.DUMMYFUNCTION("""COMPUTED_VALUE"""),75.0)</f>
        <v>75</v>
      </c>
      <c r="J969" s="1">
        <f>IFERROR(__xludf.DUMMYFUNCTION("""COMPUTED_VALUE"""),85.0)</f>
        <v>85</v>
      </c>
      <c r="K969" s="1">
        <f>IFERROR(__xludf.DUMMYFUNCTION("""COMPUTED_VALUE"""),65.0)</f>
        <v>65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 t="str">
        <f>IFERROR(__xludf.DUMMYFUNCTION("""COMPUTED_VALUE"""),"D")</f>
        <v>D</v>
      </c>
      <c r="E970" s="1" t="str">
        <f>IFERROR(__xludf.DUMMYFUNCTION("""COMPUTED_VALUE"""),"Male")</f>
        <v>Male</v>
      </c>
      <c r="F970" s="1">
        <f>IFERROR(__xludf.DUMMYFUNCTION("""COMPUTED_VALUE"""),24.0)</f>
        <v>24</v>
      </c>
      <c r="G970" s="1">
        <f>IFERROR(__xludf.DUMMYFUNCTION("""COMPUTED_VALUE"""),51.0)</f>
        <v>51</v>
      </c>
      <c r="H970" s="1">
        <f>IFERROR(__xludf.DUMMYFUNCTION("""COMPUTED_VALUE"""),28.0)</f>
        <v>28</v>
      </c>
      <c r="I970" s="1">
        <f>IFERROR(__xludf.DUMMYFUNCTION("""COMPUTED_VALUE"""),28.0)</f>
        <v>28</v>
      </c>
      <c r="J970" s="1">
        <f>IFERROR(__xludf.DUMMYFUNCTION("""COMPUTED_VALUE"""),67.0)</f>
        <v>67</v>
      </c>
      <c r="K970" s="1">
        <f>IFERROR(__xludf.DUMMYFUNCTION("""COMPUTED_VALUE"""),34.0)</f>
        <v>34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 t="str">
        <f>IFERROR(__xludf.DUMMYFUNCTION("""COMPUTED_VALUE"""),"A")</f>
        <v>A</v>
      </c>
      <c r="E971" s="1" t="str">
        <f>IFERROR(__xludf.DUMMYFUNCTION("""COMPUTED_VALUE"""),"Female")</f>
        <v>Female</v>
      </c>
      <c r="F971" s="1">
        <f>IFERROR(__xludf.DUMMYFUNCTION("""COMPUTED_VALUE"""),40.0)</f>
        <v>40</v>
      </c>
      <c r="G971" s="1">
        <f>IFERROR(__xludf.DUMMYFUNCTION("""COMPUTED_VALUE"""),88.0)</f>
        <v>88</v>
      </c>
      <c r="H971" s="1">
        <f>IFERROR(__xludf.DUMMYFUNCTION("""COMPUTED_VALUE"""),78.0)</f>
        <v>78</v>
      </c>
      <c r="I971" s="1">
        <f>IFERROR(__xludf.DUMMYFUNCTION("""COMPUTED_VALUE"""),29.0)</f>
        <v>29</v>
      </c>
      <c r="J971" s="1">
        <f>IFERROR(__xludf.DUMMYFUNCTION("""COMPUTED_VALUE"""),96.0)</f>
        <v>96</v>
      </c>
      <c r="K971" s="1">
        <f>IFERROR(__xludf.DUMMYFUNCTION("""COMPUTED_VALUE"""),67.0)</f>
        <v>67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 t="str">
        <f>IFERROR(__xludf.DUMMYFUNCTION("""COMPUTED_VALUE"""),"B")</f>
        <v>B</v>
      </c>
      <c r="E972" s="1" t="str">
        <f>IFERROR(__xludf.DUMMYFUNCTION("""COMPUTED_VALUE"""),"Male")</f>
        <v>Male</v>
      </c>
      <c r="F972" s="1">
        <f>IFERROR(__xludf.DUMMYFUNCTION("""COMPUTED_VALUE"""),19.0)</f>
        <v>19</v>
      </c>
      <c r="G972" s="1">
        <f>IFERROR(__xludf.DUMMYFUNCTION("""COMPUTED_VALUE"""),71.0)</f>
        <v>71</v>
      </c>
      <c r="H972" s="1">
        <f>IFERROR(__xludf.DUMMYFUNCTION("""COMPUTED_VALUE"""),43.0)</f>
        <v>43</v>
      </c>
      <c r="I972" s="1">
        <f>IFERROR(__xludf.DUMMYFUNCTION("""COMPUTED_VALUE"""),51.0)</f>
        <v>51</v>
      </c>
      <c r="J972" s="1">
        <f>IFERROR(__xludf.DUMMYFUNCTION("""COMPUTED_VALUE"""),88.0)</f>
        <v>88</v>
      </c>
      <c r="K972" s="1">
        <f>IFERROR(__xludf.DUMMYFUNCTION("""COMPUTED_VALUE"""),71.0)</f>
        <v>71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 t="str">
        <f>IFERROR(__xludf.DUMMYFUNCTION("""COMPUTED_VALUE"""),"B")</f>
        <v>B</v>
      </c>
      <c r="E973" s="1" t="str">
        <f>IFERROR(__xludf.DUMMYFUNCTION("""COMPUTED_VALUE"""),"Female")</f>
        <v>Female</v>
      </c>
      <c r="F973" s="1">
        <f>IFERROR(__xludf.DUMMYFUNCTION("""COMPUTED_VALUE"""),83.0)</f>
        <v>83</v>
      </c>
      <c r="G973" s="1">
        <f>IFERROR(__xludf.DUMMYFUNCTION("""COMPUTED_VALUE"""),28.0)</f>
        <v>28</v>
      </c>
      <c r="H973" s="1">
        <f>IFERROR(__xludf.DUMMYFUNCTION("""COMPUTED_VALUE"""),42.0)</f>
        <v>42</v>
      </c>
      <c r="I973" s="1">
        <f>IFERROR(__xludf.DUMMYFUNCTION("""COMPUTED_VALUE"""),72.0)</f>
        <v>72</v>
      </c>
      <c r="J973" s="1">
        <f>IFERROR(__xludf.DUMMYFUNCTION("""COMPUTED_VALUE"""),80.0)</f>
        <v>80</v>
      </c>
      <c r="K973" s="1">
        <f>IFERROR(__xludf.DUMMYFUNCTION("""COMPUTED_VALUE"""),55.0)</f>
        <v>55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 t="str">
        <f>IFERROR(__xludf.DUMMYFUNCTION("""COMPUTED_VALUE"""),"C")</f>
        <v>C</v>
      </c>
      <c r="E974" s="1" t="str">
        <f>IFERROR(__xludf.DUMMYFUNCTION("""COMPUTED_VALUE"""),"Female")</f>
        <v>Female</v>
      </c>
      <c r="F974" s="1">
        <f>IFERROR(__xludf.DUMMYFUNCTION("""COMPUTED_VALUE"""),67.0)</f>
        <v>67</v>
      </c>
      <c r="G974" s="1">
        <f>IFERROR(__xludf.DUMMYFUNCTION("""COMPUTED_VALUE"""),28.0)</f>
        <v>28</v>
      </c>
      <c r="H974" s="1">
        <f>IFERROR(__xludf.DUMMYFUNCTION("""COMPUTED_VALUE"""),95.0)</f>
        <v>95</v>
      </c>
      <c r="I974" s="1">
        <f>IFERROR(__xludf.DUMMYFUNCTION("""COMPUTED_VALUE"""),21.0)</f>
        <v>21</v>
      </c>
      <c r="J974" s="1">
        <f>IFERROR(__xludf.DUMMYFUNCTION("""COMPUTED_VALUE"""),67.0)</f>
        <v>67</v>
      </c>
      <c r="K974" s="1">
        <f>IFERROR(__xludf.DUMMYFUNCTION("""COMPUTED_VALUE"""),78.0)</f>
        <v>78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 t="str">
        <f>IFERROR(__xludf.DUMMYFUNCTION("""COMPUTED_VALUE"""),"D")</f>
        <v>D</v>
      </c>
      <c r="E975" s="1" t="str">
        <f>IFERROR(__xludf.DUMMYFUNCTION("""COMPUTED_VALUE"""),"Male")</f>
        <v>Male</v>
      </c>
      <c r="F975" s="1">
        <f>IFERROR(__xludf.DUMMYFUNCTION("""COMPUTED_VALUE"""),91.0)</f>
        <v>91</v>
      </c>
      <c r="G975" s="1">
        <f>IFERROR(__xludf.DUMMYFUNCTION("""COMPUTED_VALUE"""),37.0)</f>
        <v>37</v>
      </c>
      <c r="H975" s="1">
        <f>IFERROR(__xludf.DUMMYFUNCTION("""COMPUTED_VALUE"""),37.0)</f>
        <v>37</v>
      </c>
      <c r="I975" s="1">
        <f>IFERROR(__xludf.DUMMYFUNCTION("""COMPUTED_VALUE"""),95.0)</f>
        <v>95</v>
      </c>
      <c r="J975" s="1">
        <f>IFERROR(__xludf.DUMMYFUNCTION("""COMPUTED_VALUE"""),70.0)</f>
        <v>70</v>
      </c>
      <c r="K975" s="1">
        <f>IFERROR(__xludf.DUMMYFUNCTION("""COMPUTED_VALUE"""),39.0)</f>
        <v>39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 t="str">
        <f>IFERROR(__xludf.DUMMYFUNCTION("""COMPUTED_VALUE"""),"B")</f>
        <v>B</v>
      </c>
      <c r="E976" s="1" t="str">
        <f>IFERROR(__xludf.DUMMYFUNCTION("""COMPUTED_VALUE"""),"Male")</f>
        <v>Male</v>
      </c>
      <c r="F976" s="1">
        <f>IFERROR(__xludf.DUMMYFUNCTION("""COMPUTED_VALUE"""),98.0)</f>
        <v>98</v>
      </c>
      <c r="G976" s="1">
        <f>IFERROR(__xludf.DUMMYFUNCTION("""COMPUTED_VALUE"""),80.0)</f>
        <v>80</v>
      </c>
      <c r="H976" s="1">
        <f>IFERROR(__xludf.DUMMYFUNCTION("""COMPUTED_VALUE"""),27.0)</f>
        <v>27</v>
      </c>
      <c r="I976" s="1">
        <f>IFERROR(__xludf.DUMMYFUNCTION("""COMPUTED_VALUE"""),47.0)</f>
        <v>47</v>
      </c>
      <c r="J976" s="1">
        <f>IFERROR(__xludf.DUMMYFUNCTION("""COMPUTED_VALUE"""),90.0)</f>
        <v>90</v>
      </c>
      <c r="K976" s="1">
        <f>IFERROR(__xludf.DUMMYFUNCTION("""COMPUTED_VALUE"""),89.0)</f>
        <v>89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 t="str">
        <f>IFERROR(__xludf.DUMMYFUNCTION("""COMPUTED_VALUE"""),"B")</f>
        <v>B</v>
      </c>
      <c r="E977" s="1" t="str">
        <f>IFERROR(__xludf.DUMMYFUNCTION("""COMPUTED_VALUE"""),"Male")</f>
        <v>Male</v>
      </c>
      <c r="F977" s="1">
        <f>IFERROR(__xludf.DUMMYFUNCTION("""COMPUTED_VALUE"""),20.0)</f>
        <v>20</v>
      </c>
      <c r="G977" s="1">
        <f>IFERROR(__xludf.DUMMYFUNCTION("""COMPUTED_VALUE"""),70.0)</f>
        <v>70</v>
      </c>
      <c r="H977" s="1">
        <f>IFERROR(__xludf.DUMMYFUNCTION("""COMPUTED_VALUE"""),80.0)</f>
        <v>80</v>
      </c>
      <c r="I977" s="1">
        <f>IFERROR(__xludf.DUMMYFUNCTION("""COMPUTED_VALUE"""),29.0)</f>
        <v>29</v>
      </c>
      <c r="J977" s="1">
        <f>IFERROR(__xludf.DUMMYFUNCTION("""COMPUTED_VALUE"""),68.0)</f>
        <v>68</v>
      </c>
      <c r="K977" s="1">
        <f>IFERROR(__xludf.DUMMYFUNCTION("""COMPUTED_VALUE"""),78.0)</f>
        <v>78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 t="str">
        <f>IFERROR(__xludf.DUMMYFUNCTION("""COMPUTED_VALUE"""),"C")</f>
        <v>C</v>
      </c>
      <c r="E978" s="1" t="str">
        <f>IFERROR(__xludf.DUMMYFUNCTION("""COMPUTED_VALUE"""),"Female")</f>
        <v>Female</v>
      </c>
      <c r="F978" s="1">
        <f>IFERROR(__xludf.DUMMYFUNCTION("""COMPUTED_VALUE"""),26.0)</f>
        <v>26</v>
      </c>
      <c r="G978" s="1">
        <f>IFERROR(__xludf.DUMMYFUNCTION("""COMPUTED_VALUE"""),30.0)</f>
        <v>30</v>
      </c>
      <c r="H978" s="1">
        <f>IFERROR(__xludf.DUMMYFUNCTION("""COMPUTED_VALUE"""),39.0)</f>
        <v>39</v>
      </c>
      <c r="I978" s="1">
        <f>IFERROR(__xludf.DUMMYFUNCTION("""COMPUTED_VALUE"""),58.0)</f>
        <v>58</v>
      </c>
      <c r="J978" s="1">
        <f>IFERROR(__xludf.DUMMYFUNCTION("""COMPUTED_VALUE"""),45.0)</f>
        <v>45</v>
      </c>
      <c r="K978" s="1">
        <f>IFERROR(__xludf.DUMMYFUNCTION("""COMPUTED_VALUE"""),67.0)</f>
        <v>67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 t="str">
        <f>IFERROR(__xludf.DUMMYFUNCTION("""COMPUTED_VALUE"""),"A")</f>
        <v>A</v>
      </c>
      <c r="E979" s="1" t="str">
        <f>IFERROR(__xludf.DUMMYFUNCTION("""COMPUTED_VALUE"""),"Male")</f>
        <v>Male</v>
      </c>
      <c r="F979" s="1">
        <f>IFERROR(__xludf.DUMMYFUNCTION("""COMPUTED_VALUE"""),41.0)</f>
        <v>41</v>
      </c>
      <c r="G979" s="1">
        <f>IFERROR(__xludf.DUMMYFUNCTION("""COMPUTED_VALUE"""),69.0)</f>
        <v>69</v>
      </c>
      <c r="H979" s="1">
        <f>IFERROR(__xludf.DUMMYFUNCTION("""COMPUTED_VALUE"""),79.0)</f>
        <v>79</v>
      </c>
      <c r="I979" s="1">
        <f>IFERROR(__xludf.DUMMYFUNCTION("""COMPUTED_VALUE"""),62.0)</f>
        <v>62</v>
      </c>
      <c r="J979" s="1">
        <f>IFERROR(__xludf.DUMMYFUNCTION("""COMPUTED_VALUE"""),43.0)</f>
        <v>43</v>
      </c>
      <c r="K979" s="1">
        <f>IFERROR(__xludf.DUMMYFUNCTION("""COMPUTED_VALUE"""),90.0)</f>
        <v>90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 t="str">
        <f>IFERROR(__xludf.DUMMYFUNCTION("""COMPUTED_VALUE"""),"D")</f>
        <v>D</v>
      </c>
      <c r="E980" s="1" t="str">
        <f>IFERROR(__xludf.DUMMYFUNCTION("""COMPUTED_VALUE"""),"Male")</f>
        <v>Male</v>
      </c>
      <c r="F980" s="1">
        <f>IFERROR(__xludf.DUMMYFUNCTION("""COMPUTED_VALUE"""),24.0)</f>
        <v>24</v>
      </c>
      <c r="G980" s="1">
        <f>IFERROR(__xludf.DUMMYFUNCTION("""COMPUTED_VALUE"""),52.0)</f>
        <v>52</v>
      </c>
      <c r="H980" s="1">
        <f>IFERROR(__xludf.DUMMYFUNCTION("""COMPUTED_VALUE"""),97.0)</f>
        <v>97</v>
      </c>
      <c r="I980" s="1">
        <f>IFERROR(__xludf.DUMMYFUNCTION("""COMPUTED_VALUE"""),80.0)</f>
        <v>80</v>
      </c>
      <c r="J980" s="1">
        <f>IFERROR(__xludf.DUMMYFUNCTION("""COMPUTED_VALUE"""),23.0)</f>
        <v>23</v>
      </c>
      <c r="K980" s="1">
        <f>IFERROR(__xludf.DUMMYFUNCTION("""COMPUTED_VALUE"""),81.0)</f>
        <v>81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 t="str">
        <f>IFERROR(__xludf.DUMMYFUNCTION("""COMPUTED_VALUE"""),"D")</f>
        <v>D</v>
      </c>
      <c r="E981" s="1" t="str">
        <f>IFERROR(__xludf.DUMMYFUNCTION("""COMPUTED_VALUE"""),"Male")</f>
        <v>Male</v>
      </c>
      <c r="F981" s="1">
        <f>IFERROR(__xludf.DUMMYFUNCTION("""COMPUTED_VALUE"""),20.0)</f>
        <v>20</v>
      </c>
      <c r="G981" s="1">
        <f>IFERROR(__xludf.DUMMYFUNCTION("""COMPUTED_VALUE"""),92.0)</f>
        <v>92</v>
      </c>
      <c r="H981" s="1">
        <f>IFERROR(__xludf.DUMMYFUNCTION("""COMPUTED_VALUE"""),57.0)</f>
        <v>57</v>
      </c>
      <c r="I981" s="1">
        <f>IFERROR(__xludf.DUMMYFUNCTION("""COMPUTED_VALUE"""),91.0)</f>
        <v>91</v>
      </c>
      <c r="J981" s="1">
        <f>IFERROR(__xludf.DUMMYFUNCTION("""COMPUTED_VALUE"""),56.0)</f>
        <v>56</v>
      </c>
      <c r="K981" s="1">
        <f>IFERROR(__xludf.DUMMYFUNCTION("""COMPUTED_VALUE"""),96.0)</f>
        <v>96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 t="str">
        <f>IFERROR(__xludf.DUMMYFUNCTION("""COMPUTED_VALUE"""),"B")</f>
        <v>B</v>
      </c>
      <c r="E982" s="1" t="str">
        <f>IFERROR(__xludf.DUMMYFUNCTION("""COMPUTED_VALUE"""),"Male")</f>
        <v>Male</v>
      </c>
      <c r="F982" s="1">
        <f>IFERROR(__xludf.DUMMYFUNCTION("""COMPUTED_VALUE"""),59.0)</f>
        <v>59</v>
      </c>
      <c r="G982" s="1">
        <f>IFERROR(__xludf.DUMMYFUNCTION("""COMPUTED_VALUE"""),73.0)</f>
        <v>73</v>
      </c>
      <c r="H982" s="1">
        <f>IFERROR(__xludf.DUMMYFUNCTION("""COMPUTED_VALUE"""),67.0)</f>
        <v>67</v>
      </c>
      <c r="I982" s="1">
        <f>IFERROR(__xludf.DUMMYFUNCTION("""COMPUTED_VALUE"""),91.0)</f>
        <v>91</v>
      </c>
      <c r="J982" s="1">
        <f>IFERROR(__xludf.DUMMYFUNCTION("""COMPUTED_VALUE"""),94.0)</f>
        <v>94</v>
      </c>
      <c r="K982" s="1">
        <f>IFERROR(__xludf.DUMMYFUNCTION("""COMPUTED_VALUE"""),84.0)</f>
        <v>84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 t="str">
        <f>IFERROR(__xludf.DUMMYFUNCTION("""COMPUTED_VALUE"""),"B")</f>
        <v>B</v>
      </c>
      <c r="E983" s="1" t="str">
        <f>IFERROR(__xludf.DUMMYFUNCTION("""COMPUTED_VALUE"""),"Male")</f>
        <v>Male</v>
      </c>
      <c r="F983" s="1">
        <f>IFERROR(__xludf.DUMMYFUNCTION("""COMPUTED_VALUE"""),52.0)</f>
        <v>52</v>
      </c>
      <c r="G983" s="1">
        <f>IFERROR(__xludf.DUMMYFUNCTION("""COMPUTED_VALUE"""),81.0)</f>
        <v>81</v>
      </c>
      <c r="H983" s="1">
        <f>IFERROR(__xludf.DUMMYFUNCTION("""COMPUTED_VALUE"""),27.0)</f>
        <v>27</v>
      </c>
      <c r="I983" s="1">
        <f>IFERROR(__xludf.DUMMYFUNCTION("""COMPUTED_VALUE"""),48.0)</f>
        <v>48</v>
      </c>
      <c r="J983" s="1">
        <f>IFERROR(__xludf.DUMMYFUNCTION("""COMPUTED_VALUE"""),99.0)</f>
        <v>99</v>
      </c>
      <c r="K983" s="1">
        <f>IFERROR(__xludf.DUMMYFUNCTION("""COMPUTED_VALUE"""),55.0)</f>
        <v>55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 t="str">
        <f>IFERROR(__xludf.DUMMYFUNCTION("""COMPUTED_VALUE"""),"C")</f>
        <v>C</v>
      </c>
      <c r="E984" s="1" t="str">
        <f>IFERROR(__xludf.DUMMYFUNCTION("""COMPUTED_VALUE"""),"Male")</f>
        <v>Male</v>
      </c>
      <c r="F984" s="1">
        <f>IFERROR(__xludf.DUMMYFUNCTION("""COMPUTED_VALUE"""),32.0)</f>
        <v>32</v>
      </c>
      <c r="G984" s="1">
        <f>IFERROR(__xludf.DUMMYFUNCTION("""COMPUTED_VALUE"""),53.0)</f>
        <v>53</v>
      </c>
      <c r="H984" s="1">
        <f>IFERROR(__xludf.DUMMYFUNCTION("""COMPUTED_VALUE"""),86.0)</f>
        <v>86</v>
      </c>
      <c r="I984" s="1">
        <f>IFERROR(__xludf.DUMMYFUNCTION("""COMPUTED_VALUE"""),26.0)</f>
        <v>26</v>
      </c>
      <c r="J984" s="1">
        <f>IFERROR(__xludf.DUMMYFUNCTION("""COMPUTED_VALUE"""),22.0)</f>
        <v>22</v>
      </c>
      <c r="K984" s="1">
        <f>IFERROR(__xludf.DUMMYFUNCTION("""COMPUTED_VALUE"""),38.0)</f>
        <v>38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 t="str">
        <f>IFERROR(__xludf.DUMMYFUNCTION("""COMPUTED_VALUE"""),"D")</f>
        <v>D</v>
      </c>
      <c r="E985" s="1" t="str">
        <f>IFERROR(__xludf.DUMMYFUNCTION("""COMPUTED_VALUE"""),"Male")</f>
        <v>Male</v>
      </c>
      <c r="F985" s="1">
        <f>IFERROR(__xludf.DUMMYFUNCTION("""COMPUTED_VALUE"""),41.0)</f>
        <v>41</v>
      </c>
      <c r="G985" s="1">
        <f>IFERROR(__xludf.DUMMYFUNCTION("""COMPUTED_VALUE"""),88.0)</f>
        <v>88</v>
      </c>
      <c r="H985" s="1">
        <f>IFERROR(__xludf.DUMMYFUNCTION("""COMPUTED_VALUE"""),99.0)</f>
        <v>99</v>
      </c>
      <c r="I985" s="1">
        <f>IFERROR(__xludf.DUMMYFUNCTION("""COMPUTED_VALUE"""),42.0)</f>
        <v>42</v>
      </c>
      <c r="J985" s="1">
        <f>IFERROR(__xludf.DUMMYFUNCTION("""COMPUTED_VALUE"""),49.0)</f>
        <v>49</v>
      </c>
      <c r="K985" s="1">
        <f>IFERROR(__xludf.DUMMYFUNCTION("""COMPUTED_VALUE"""),68.0)</f>
        <v>68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 t="str">
        <f>IFERROR(__xludf.DUMMYFUNCTION("""COMPUTED_VALUE"""),"B")</f>
        <v>B</v>
      </c>
      <c r="E986" s="1" t="str">
        <f>IFERROR(__xludf.DUMMYFUNCTION("""COMPUTED_VALUE"""),"Male")</f>
        <v>Male</v>
      </c>
      <c r="F986" s="1">
        <f>IFERROR(__xludf.DUMMYFUNCTION("""COMPUTED_VALUE"""),25.0)</f>
        <v>25</v>
      </c>
      <c r="G986" s="1">
        <f>IFERROR(__xludf.DUMMYFUNCTION("""COMPUTED_VALUE"""),44.0)</f>
        <v>44</v>
      </c>
      <c r="H986" s="1">
        <f>IFERROR(__xludf.DUMMYFUNCTION("""COMPUTED_VALUE"""),94.0)</f>
        <v>94</v>
      </c>
      <c r="I986" s="1">
        <f>IFERROR(__xludf.DUMMYFUNCTION("""COMPUTED_VALUE"""),59.0)</f>
        <v>59</v>
      </c>
      <c r="J986" s="1">
        <f>IFERROR(__xludf.DUMMYFUNCTION("""COMPUTED_VALUE"""),66.0)</f>
        <v>66</v>
      </c>
      <c r="K986" s="1">
        <f>IFERROR(__xludf.DUMMYFUNCTION("""COMPUTED_VALUE"""),42.0)</f>
        <v>42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 t="str">
        <f>IFERROR(__xludf.DUMMYFUNCTION("""COMPUTED_VALUE"""),"C")</f>
        <v>C</v>
      </c>
      <c r="E987" s="1" t="str">
        <f>IFERROR(__xludf.DUMMYFUNCTION("""COMPUTED_VALUE"""),"Male")</f>
        <v>Male</v>
      </c>
      <c r="F987" s="1">
        <f>IFERROR(__xludf.DUMMYFUNCTION("""COMPUTED_VALUE"""),97.0)</f>
        <v>97</v>
      </c>
      <c r="G987" s="1">
        <f>IFERROR(__xludf.DUMMYFUNCTION("""COMPUTED_VALUE"""),37.0)</f>
        <v>37</v>
      </c>
      <c r="H987" s="1">
        <f>IFERROR(__xludf.DUMMYFUNCTION("""COMPUTED_VALUE"""),45.0)</f>
        <v>45</v>
      </c>
      <c r="I987" s="1">
        <f>IFERROR(__xludf.DUMMYFUNCTION("""COMPUTED_VALUE"""),83.0)</f>
        <v>83</v>
      </c>
      <c r="J987" s="1">
        <f>IFERROR(__xludf.DUMMYFUNCTION("""COMPUTED_VALUE"""),82.0)</f>
        <v>82</v>
      </c>
      <c r="K987" s="1">
        <f>IFERROR(__xludf.DUMMYFUNCTION("""COMPUTED_VALUE"""),81.0)</f>
        <v>81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 t="str">
        <f>IFERROR(__xludf.DUMMYFUNCTION("""COMPUTED_VALUE"""),"D")</f>
        <v>D</v>
      </c>
      <c r="E988" s="1" t="str">
        <f>IFERROR(__xludf.DUMMYFUNCTION("""COMPUTED_VALUE"""),"Female")</f>
        <v>Female</v>
      </c>
      <c r="F988" s="1">
        <f>IFERROR(__xludf.DUMMYFUNCTION("""COMPUTED_VALUE"""),96.0)</f>
        <v>96</v>
      </c>
      <c r="G988" s="1">
        <f>IFERROR(__xludf.DUMMYFUNCTION("""COMPUTED_VALUE"""),96.0)</f>
        <v>96</v>
      </c>
      <c r="H988" s="1">
        <f>IFERROR(__xludf.DUMMYFUNCTION("""COMPUTED_VALUE"""),23.0)</f>
        <v>23</v>
      </c>
      <c r="I988" s="1">
        <f>IFERROR(__xludf.DUMMYFUNCTION("""COMPUTED_VALUE"""),34.0)</f>
        <v>34</v>
      </c>
      <c r="J988" s="1">
        <f>IFERROR(__xludf.DUMMYFUNCTION("""COMPUTED_VALUE"""),80.0)</f>
        <v>80</v>
      </c>
      <c r="K988" s="1">
        <f>IFERROR(__xludf.DUMMYFUNCTION("""COMPUTED_VALUE"""),66.0)</f>
        <v>66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 t="str">
        <f>IFERROR(__xludf.DUMMYFUNCTION("""COMPUTED_VALUE"""),"C")</f>
        <v>C</v>
      </c>
      <c r="E989" s="1" t="str">
        <f>IFERROR(__xludf.DUMMYFUNCTION("""COMPUTED_VALUE"""),"Female")</f>
        <v>Female</v>
      </c>
      <c r="F989" s="1">
        <f>IFERROR(__xludf.DUMMYFUNCTION("""COMPUTED_VALUE"""),96.0)</f>
        <v>96</v>
      </c>
      <c r="G989" s="1">
        <f>IFERROR(__xludf.DUMMYFUNCTION("""COMPUTED_VALUE"""),57.0)</f>
        <v>57</v>
      </c>
      <c r="H989" s="1">
        <f>IFERROR(__xludf.DUMMYFUNCTION("""COMPUTED_VALUE"""),56.0)</f>
        <v>56</v>
      </c>
      <c r="I989" s="1">
        <f>IFERROR(__xludf.DUMMYFUNCTION("""COMPUTED_VALUE"""),59.0)</f>
        <v>59</v>
      </c>
      <c r="J989" s="1">
        <f>IFERROR(__xludf.DUMMYFUNCTION("""COMPUTED_VALUE"""),24.0)</f>
        <v>24</v>
      </c>
      <c r="K989" s="1">
        <f>IFERROR(__xludf.DUMMYFUNCTION("""COMPUTED_VALUE"""),45.0)</f>
        <v>45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 t="str">
        <f>IFERROR(__xludf.DUMMYFUNCTION("""COMPUTED_VALUE"""),"A")</f>
        <v>A</v>
      </c>
      <c r="E990" s="1" t="str">
        <f>IFERROR(__xludf.DUMMYFUNCTION("""COMPUTED_VALUE"""),"Female")</f>
        <v>Female</v>
      </c>
      <c r="F990" s="1">
        <f>IFERROR(__xludf.DUMMYFUNCTION("""COMPUTED_VALUE"""),78.0)</f>
        <v>78</v>
      </c>
      <c r="G990" s="1">
        <f>IFERROR(__xludf.DUMMYFUNCTION("""COMPUTED_VALUE"""),37.0)</f>
        <v>37</v>
      </c>
      <c r="H990" s="1">
        <f>IFERROR(__xludf.DUMMYFUNCTION("""COMPUTED_VALUE"""),32.0)</f>
        <v>32</v>
      </c>
      <c r="I990" s="1">
        <f>IFERROR(__xludf.DUMMYFUNCTION("""COMPUTED_VALUE"""),52.0)</f>
        <v>52</v>
      </c>
      <c r="J990" s="1">
        <f>IFERROR(__xludf.DUMMYFUNCTION("""COMPUTED_VALUE"""),74.0)</f>
        <v>74</v>
      </c>
      <c r="K990" s="1">
        <f>IFERROR(__xludf.DUMMYFUNCTION("""COMPUTED_VALUE"""),33.0)</f>
        <v>33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 t="str">
        <f>IFERROR(__xludf.DUMMYFUNCTION("""COMPUTED_VALUE"""),"B")</f>
        <v>B</v>
      </c>
      <c r="E991" s="1" t="str">
        <f>IFERROR(__xludf.DUMMYFUNCTION("""COMPUTED_VALUE"""),"Male")</f>
        <v>Male</v>
      </c>
      <c r="F991" s="1">
        <f>IFERROR(__xludf.DUMMYFUNCTION("""COMPUTED_VALUE"""),40.0)</f>
        <v>40</v>
      </c>
      <c r="G991" s="1">
        <f>IFERROR(__xludf.DUMMYFUNCTION("""COMPUTED_VALUE"""),30.0)</f>
        <v>30</v>
      </c>
      <c r="H991" s="1">
        <f>IFERROR(__xludf.DUMMYFUNCTION("""COMPUTED_VALUE"""),62.0)</f>
        <v>62</v>
      </c>
      <c r="I991" s="1">
        <f>IFERROR(__xludf.DUMMYFUNCTION("""COMPUTED_VALUE"""),44.0)</f>
        <v>44</v>
      </c>
      <c r="J991" s="1">
        <f>IFERROR(__xludf.DUMMYFUNCTION("""COMPUTED_VALUE"""),84.0)</f>
        <v>84</v>
      </c>
      <c r="K991" s="1">
        <f>IFERROR(__xludf.DUMMYFUNCTION("""COMPUTED_VALUE"""),94.0)</f>
        <v>94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 t="str">
        <f>IFERROR(__xludf.DUMMYFUNCTION("""COMPUTED_VALUE"""),"A")</f>
        <v>A</v>
      </c>
      <c r="E992" s="1" t="str">
        <f>IFERROR(__xludf.DUMMYFUNCTION("""COMPUTED_VALUE"""),"Female")</f>
        <v>Female</v>
      </c>
      <c r="F992" s="1">
        <f>IFERROR(__xludf.DUMMYFUNCTION("""COMPUTED_VALUE"""),19.0)</f>
        <v>19</v>
      </c>
      <c r="G992" s="1">
        <f>IFERROR(__xludf.DUMMYFUNCTION("""COMPUTED_VALUE"""),45.0)</f>
        <v>45</v>
      </c>
      <c r="H992" s="1">
        <f>IFERROR(__xludf.DUMMYFUNCTION("""COMPUTED_VALUE"""),62.0)</f>
        <v>62</v>
      </c>
      <c r="I992" s="1">
        <f>IFERROR(__xludf.DUMMYFUNCTION("""COMPUTED_VALUE"""),85.0)</f>
        <v>85</v>
      </c>
      <c r="J992" s="1">
        <f>IFERROR(__xludf.DUMMYFUNCTION("""COMPUTED_VALUE"""),72.0)</f>
        <v>72</v>
      </c>
      <c r="K992" s="1">
        <f>IFERROR(__xludf.DUMMYFUNCTION("""COMPUTED_VALUE"""),99.0)</f>
        <v>99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 t="str">
        <f>IFERROR(__xludf.DUMMYFUNCTION("""COMPUTED_VALUE"""),"D")</f>
        <v>D</v>
      </c>
      <c r="E993" s="1" t="str">
        <f>IFERROR(__xludf.DUMMYFUNCTION("""COMPUTED_VALUE"""),"Female")</f>
        <v>Female</v>
      </c>
      <c r="F993" s="1">
        <f>IFERROR(__xludf.DUMMYFUNCTION("""COMPUTED_VALUE"""),26.0)</f>
        <v>26</v>
      </c>
      <c r="G993" s="1">
        <f>IFERROR(__xludf.DUMMYFUNCTION("""COMPUTED_VALUE"""),42.0)</f>
        <v>42</v>
      </c>
      <c r="H993" s="1">
        <f>IFERROR(__xludf.DUMMYFUNCTION("""COMPUTED_VALUE"""),22.0)</f>
        <v>22</v>
      </c>
      <c r="I993" s="1">
        <f>IFERROR(__xludf.DUMMYFUNCTION("""COMPUTED_VALUE"""),48.0)</f>
        <v>48</v>
      </c>
      <c r="J993" s="1">
        <f>IFERROR(__xludf.DUMMYFUNCTION("""COMPUTED_VALUE"""),52.0)</f>
        <v>52</v>
      </c>
      <c r="K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 t="str">
        <f>IFERROR(__xludf.DUMMYFUNCTION("""COMPUTED_VALUE"""),"C")</f>
        <v>C</v>
      </c>
      <c r="E994" s="1" t="str">
        <f>IFERROR(__xludf.DUMMYFUNCTION("""COMPUTED_VALUE"""),"Female")</f>
        <v>Female</v>
      </c>
      <c r="F994" s="1">
        <f>IFERROR(__xludf.DUMMYFUNCTION("""COMPUTED_VALUE"""),61.0)</f>
        <v>61</v>
      </c>
      <c r="G994" s="1">
        <f>IFERROR(__xludf.DUMMYFUNCTION("""COMPUTED_VALUE"""),31.0)</f>
        <v>31</v>
      </c>
      <c r="H994" s="1">
        <f>IFERROR(__xludf.DUMMYFUNCTION("""COMPUTED_VALUE"""),25.0)</f>
        <v>25</v>
      </c>
      <c r="I994" s="1">
        <f>IFERROR(__xludf.DUMMYFUNCTION("""COMPUTED_VALUE"""),70.0)</f>
        <v>70</v>
      </c>
      <c r="J994" s="1">
        <f>IFERROR(__xludf.DUMMYFUNCTION("""COMPUTED_VALUE"""),91.0)</f>
        <v>91</v>
      </c>
      <c r="K994" s="1">
        <f>IFERROR(__xludf.DUMMYFUNCTION("""COMPUTED_VALUE"""),72.0)</f>
        <v>72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 t="str">
        <f>IFERROR(__xludf.DUMMYFUNCTION("""COMPUTED_VALUE"""),"A")</f>
        <v>A</v>
      </c>
      <c r="E995" s="1" t="str">
        <f>IFERROR(__xludf.DUMMYFUNCTION("""COMPUTED_VALUE"""),"Male")</f>
        <v>Male</v>
      </c>
      <c r="F995" s="1">
        <f>IFERROR(__xludf.DUMMYFUNCTION("""COMPUTED_VALUE"""),38.0)</f>
        <v>38</v>
      </c>
      <c r="G995" s="1">
        <f>IFERROR(__xludf.DUMMYFUNCTION("""COMPUTED_VALUE"""),71.0)</f>
        <v>71</v>
      </c>
      <c r="H995" s="1">
        <f>IFERROR(__xludf.DUMMYFUNCTION("""COMPUTED_VALUE"""),96.0)</f>
        <v>96</v>
      </c>
      <c r="I995" s="1">
        <f>IFERROR(__xludf.DUMMYFUNCTION("""COMPUTED_VALUE"""),35.0)</f>
        <v>35</v>
      </c>
      <c r="J995" s="1">
        <f>IFERROR(__xludf.DUMMYFUNCTION("""COMPUTED_VALUE"""),64.0)</f>
        <v>64</v>
      </c>
      <c r="K995" s="1">
        <f>IFERROR(__xludf.DUMMYFUNCTION("""COMPUTED_VALUE"""),60.0)</f>
        <v>60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 t="str">
        <f>IFERROR(__xludf.DUMMYFUNCTION("""COMPUTED_VALUE"""),"B")</f>
        <v>B</v>
      </c>
      <c r="E996" s="1" t="str">
        <f>IFERROR(__xludf.DUMMYFUNCTION("""COMPUTED_VALUE"""),"Female")</f>
        <v>Female</v>
      </c>
      <c r="F996" s="1">
        <f>IFERROR(__xludf.DUMMYFUNCTION("""COMPUTED_VALUE"""),91.0)</f>
        <v>91</v>
      </c>
      <c r="G996" s="1">
        <f>IFERROR(__xludf.DUMMYFUNCTION("""COMPUTED_VALUE"""),44.0)</f>
        <v>44</v>
      </c>
      <c r="H996" s="1">
        <f>IFERROR(__xludf.DUMMYFUNCTION("""COMPUTED_VALUE"""),53.0)</f>
        <v>53</v>
      </c>
      <c r="I996" s="1">
        <f>IFERROR(__xludf.DUMMYFUNCTION("""COMPUTED_VALUE"""),93.0)</f>
        <v>93</v>
      </c>
      <c r="J996" s="1">
        <f>IFERROR(__xludf.DUMMYFUNCTION("""COMPUTED_VALUE"""),47.0)</f>
        <v>47</v>
      </c>
      <c r="K996" s="1">
        <f>IFERROR(__xludf.DUMMYFUNCTION("""COMPUTED_VALUE"""),97.0)</f>
        <v>97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 t="str">
        <f>IFERROR(__xludf.DUMMYFUNCTION("""COMPUTED_VALUE"""),"A")</f>
        <v>A</v>
      </c>
      <c r="E997" s="1" t="str">
        <f>IFERROR(__xludf.DUMMYFUNCTION("""COMPUTED_VALUE"""),"Male")</f>
        <v>Male</v>
      </c>
      <c r="F997" s="1">
        <f>IFERROR(__xludf.DUMMYFUNCTION("""COMPUTED_VALUE"""),26.0)</f>
        <v>26</v>
      </c>
      <c r="G997" s="1">
        <f>IFERROR(__xludf.DUMMYFUNCTION("""COMPUTED_VALUE"""),41.0)</f>
        <v>41</v>
      </c>
      <c r="H997" s="1">
        <f>IFERROR(__xludf.DUMMYFUNCTION("""COMPUTED_VALUE"""),34.0)</f>
        <v>34</v>
      </c>
      <c r="I997" s="1">
        <f>IFERROR(__xludf.DUMMYFUNCTION("""COMPUTED_VALUE"""),31.0)</f>
        <v>31</v>
      </c>
      <c r="J997" s="1">
        <f>IFERROR(__xludf.DUMMYFUNCTION("""COMPUTED_VALUE"""),28.0)</f>
        <v>28</v>
      </c>
      <c r="K997" s="1">
        <f>IFERROR(__xludf.DUMMYFUNCTION("""COMPUTED_VALUE"""),74.0)</f>
        <v>74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 t="str">
        <f>IFERROR(__xludf.DUMMYFUNCTION("""COMPUTED_VALUE"""),"C")</f>
        <v>C</v>
      </c>
      <c r="E998" s="1" t="str">
        <f>IFERROR(__xludf.DUMMYFUNCTION("""COMPUTED_VALUE"""),"Female")</f>
        <v>Female</v>
      </c>
      <c r="F998" s="1">
        <f>IFERROR(__xludf.DUMMYFUNCTION("""COMPUTED_VALUE"""),71.0)</f>
        <v>71</v>
      </c>
      <c r="G998" s="1">
        <f>IFERROR(__xludf.DUMMYFUNCTION("""COMPUTED_VALUE"""),92.0)</f>
        <v>92</v>
      </c>
      <c r="H998" s="1">
        <f>IFERROR(__xludf.DUMMYFUNCTION("""COMPUTED_VALUE"""),66.0)</f>
        <v>66</v>
      </c>
      <c r="I998" s="1">
        <f>IFERROR(__xludf.DUMMYFUNCTION("""COMPUTED_VALUE"""),78.0)</f>
        <v>78</v>
      </c>
      <c r="J998" s="1">
        <f>IFERROR(__xludf.DUMMYFUNCTION("""COMPUTED_VALUE"""),41.0)</f>
        <v>41</v>
      </c>
      <c r="K998" s="1">
        <f>IFERROR(__xludf.DUMMYFUNCTION("""COMPUTED_VALUE"""),78.0)</f>
        <v>78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 t="str">
        <f>IFERROR(__xludf.DUMMYFUNCTION("""COMPUTED_VALUE"""),"C")</f>
        <v>C</v>
      </c>
      <c r="E999" s="1" t="str">
        <f>IFERROR(__xludf.DUMMYFUNCTION("""COMPUTED_VALUE"""),"Female")</f>
        <v>Female</v>
      </c>
      <c r="F999" s="1">
        <f>IFERROR(__xludf.DUMMYFUNCTION("""COMPUTED_VALUE"""),37.0)</f>
        <v>37</v>
      </c>
      <c r="G999" s="1">
        <f>IFERROR(__xludf.DUMMYFUNCTION("""COMPUTED_VALUE"""),52.0)</f>
        <v>52</v>
      </c>
      <c r="H999" s="1">
        <f>IFERROR(__xludf.DUMMYFUNCTION("""COMPUTED_VALUE"""),65.0)</f>
        <v>65</v>
      </c>
      <c r="I999" s="1">
        <f>IFERROR(__xludf.DUMMYFUNCTION("""COMPUTED_VALUE"""),95.0)</f>
        <v>95</v>
      </c>
      <c r="J999" s="1">
        <f>IFERROR(__xludf.DUMMYFUNCTION("""COMPUTED_VALUE"""),75.0)</f>
        <v>75</v>
      </c>
      <c r="K999" s="1">
        <f>IFERROR(__xludf.DUMMYFUNCTION("""COMPUTED_VALUE"""),20.0)</f>
        <v>20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 t="str">
        <f>IFERROR(__xludf.DUMMYFUNCTION("""COMPUTED_VALUE"""),"C")</f>
        <v>C</v>
      </c>
      <c r="E1000" s="1" t="str">
        <f>IFERROR(__xludf.DUMMYFUNCTION("""COMPUTED_VALUE"""),"Male")</f>
        <v>Male</v>
      </c>
      <c r="F1000" s="1">
        <f>IFERROR(__xludf.DUMMYFUNCTION("""COMPUTED_VALUE"""),49.0)</f>
        <v>49</v>
      </c>
      <c r="G1000" s="1">
        <f>IFERROR(__xludf.DUMMYFUNCTION("""COMPUTED_VALUE"""),98.0)</f>
        <v>98</v>
      </c>
      <c r="H1000" s="1">
        <f>IFERROR(__xludf.DUMMYFUNCTION("""COMPUTED_VALUE"""),29.0)</f>
        <v>29</v>
      </c>
      <c r="I1000" s="1">
        <f>IFERROR(__xludf.DUMMYFUNCTION("""COMPUTED_VALUE"""),88.0)</f>
        <v>88</v>
      </c>
      <c r="J1000" s="1">
        <f>IFERROR(__xludf.DUMMYFUNCTION("""COMPUTED_VALUE"""),70.0)</f>
        <v>70</v>
      </c>
      <c r="K1000" s="1">
        <f>IFERROR(__xludf.DUMMYFUNCTION("""COMPUTED_VALUE"""),35.0)</f>
        <v>35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 t="str">
        <f>IFERROR(__xludf.DUMMYFUNCTION("""COMPUTED_VALUE"""),"A")</f>
        <v>A</v>
      </c>
      <c r="E1001" s="1" t="str">
        <f>IFERROR(__xludf.DUMMYFUNCTION("""COMPUTED_VALUE"""),"Female")</f>
        <v>Female</v>
      </c>
      <c r="F1001" s="1">
        <f>IFERROR(__xludf.DUMMYFUNCTION("""COMPUTED_VALUE"""),16.0)</f>
        <v>16</v>
      </c>
      <c r="G1001" s="1">
        <f>IFERROR(__xludf.DUMMYFUNCTION("""COMPUTED_VALUE"""),42.0)</f>
        <v>42</v>
      </c>
      <c r="H1001" s="1">
        <f>IFERROR(__xludf.DUMMYFUNCTION("""COMPUTED_VALUE"""),79.0)</f>
        <v>79</v>
      </c>
      <c r="I1001" s="1">
        <f>IFERROR(__xludf.DUMMYFUNCTION("""COMPUTED_VALUE"""),89.0)</f>
        <v>89</v>
      </c>
      <c r="J1001" s="1">
        <f>IFERROR(__xludf.DUMMYFUNCTION("""COMPUTED_VALUE"""),58.0)</f>
        <v>58</v>
      </c>
      <c r="K1001" s="1">
        <f>IFERROR(__xludf.DUMMYFUNCTION("""COMPUTED_VALUE"""),91.0)</f>
        <v>91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 t="str">
        <f>IFERROR(__xludf.DUMMYFUNCTION("""COMPUTED_VALUE"""),"A")</f>
        <v>A</v>
      </c>
      <c r="E1002" s="1" t="str">
        <f>IFERROR(__xludf.DUMMYFUNCTION("""COMPUTED_VALUE"""),"Female")</f>
        <v>Female</v>
      </c>
      <c r="F1002" s="1">
        <f>IFERROR(__xludf.DUMMYFUNCTION("""COMPUTED_VALUE"""),62.0)</f>
        <v>62</v>
      </c>
      <c r="G1002" s="1">
        <f>IFERROR(__xludf.DUMMYFUNCTION("""COMPUTED_VALUE"""),76.0)</f>
        <v>76</v>
      </c>
      <c r="H1002" s="1">
        <f>IFERROR(__xludf.DUMMYFUNCTION("""COMPUTED_VALUE"""),87.0)</f>
        <v>87</v>
      </c>
      <c r="I1002" s="1">
        <f>IFERROR(__xludf.DUMMYFUNCTION("""COMPUTED_VALUE"""),69.0)</f>
        <v>69</v>
      </c>
      <c r="J1002" s="1">
        <f>IFERROR(__xludf.DUMMYFUNCTION("""COMPUTED_VALUE"""),55.0)</f>
        <v>55</v>
      </c>
      <c r="K1002" s="1">
        <f>IFERROR(__xludf.DUMMYFUNCTION("""COMPUTED_VALUE"""),91.0)</f>
        <v>91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 t="str">
        <f>IFERROR(__xludf.DUMMYFUNCTION("""COMPUTED_VALUE"""),"C")</f>
        <v>C</v>
      </c>
      <c r="E1003" s="1" t="str">
        <f>IFERROR(__xludf.DUMMYFUNCTION("""COMPUTED_VALUE"""),"Male")</f>
        <v>Male</v>
      </c>
      <c r="F1003" s="1">
        <f>IFERROR(__xludf.DUMMYFUNCTION("""COMPUTED_VALUE"""),59.0)</f>
        <v>59</v>
      </c>
      <c r="G1003" s="1">
        <f>IFERROR(__xludf.DUMMYFUNCTION("""COMPUTED_VALUE"""),65.0)</f>
        <v>65</v>
      </c>
      <c r="H1003" s="1">
        <f>IFERROR(__xludf.DUMMYFUNCTION("""COMPUTED_VALUE"""),34.0)</f>
        <v>34</v>
      </c>
      <c r="I1003" s="1">
        <f>IFERROR(__xludf.DUMMYFUNCTION("""COMPUTED_VALUE"""),40.0)</f>
        <v>40</v>
      </c>
      <c r="J1003" s="1">
        <f>IFERROR(__xludf.DUMMYFUNCTION("""COMPUTED_VALUE"""),54.0)</f>
        <v>54</v>
      </c>
      <c r="K1003" s="1">
        <f>IFERROR(__xludf.DUMMYFUNCTION("""COMPUTED_VALUE"""),44.0)</f>
        <v>44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 t="str">
        <f>IFERROR(__xludf.DUMMYFUNCTION("""COMPUTED_VALUE"""),"A")</f>
        <v>A</v>
      </c>
      <c r="E1004" s="1" t="str">
        <f>IFERROR(__xludf.DUMMYFUNCTION("""COMPUTED_VALUE"""),"Female")</f>
        <v>Female</v>
      </c>
      <c r="F1004" s="1">
        <f>IFERROR(__xludf.DUMMYFUNCTION("""COMPUTED_VALUE"""),70.0)</f>
        <v>70</v>
      </c>
      <c r="G1004" s="1">
        <f>IFERROR(__xludf.DUMMYFUNCTION("""COMPUTED_VALUE"""),80.0)</f>
        <v>80</v>
      </c>
      <c r="H1004" s="1">
        <f>IFERROR(__xludf.DUMMYFUNCTION("""COMPUTED_VALUE"""),67.0)</f>
        <v>67</v>
      </c>
      <c r="I1004" s="1">
        <f>IFERROR(__xludf.DUMMYFUNCTION("""COMPUTED_VALUE"""),70.0)</f>
        <v>70</v>
      </c>
      <c r="J1004" s="1">
        <f>IFERROR(__xludf.DUMMYFUNCTION("""COMPUTED_VALUE"""),29.0)</f>
        <v>29</v>
      </c>
      <c r="K1004" s="1">
        <f>IFERROR(__xludf.DUMMYFUNCTION("""COMPUTED_VALUE"""),49.0)</f>
        <v>49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 t="str">
        <f>IFERROR(__xludf.DUMMYFUNCTION("""COMPUTED_VALUE"""),"A")</f>
        <v>A</v>
      </c>
      <c r="E1005" s="1" t="str">
        <f>IFERROR(__xludf.DUMMYFUNCTION("""COMPUTED_VALUE"""),"Male")</f>
        <v>Male</v>
      </c>
      <c r="F1005" s="1">
        <f>IFERROR(__xludf.DUMMYFUNCTION("""COMPUTED_VALUE"""),60.0)</f>
        <v>60</v>
      </c>
      <c r="G1005" s="1">
        <f>IFERROR(__xludf.DUMMYFUNCTION("""COMPUTED_VALUE"""),43.0)</f>
        <v>43</v>
      </c>
      <c r="H1005" s="1">
        <f>IFERROR(__xludf.DUMMYFUNCTION("""COMPUTED_VALUE"""),99.0)</f>
        <v>99</v>
      </c>
      <c r="I1005" s="1">
        <f>IFERROR(__xludf.DUMMYFUNCTION("""COMPUTED_VALUE"""),68.0)</f>
        <v>68</v>
      </c>
      <c r="J1005" s="1">
        <f>IFERROR(__xludf.DUMMYFUNCTION("""COMPUTED_VALUE"""),48.0)</f>
        <v>48</v>
      </c>
      <c r="K1005" s="1">
        <f>IFERROR(__xludf.DUMMYFUNCTION("""COMPUTED_VALUE"""),80.0)</f>
        <v>80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 t="str">
        <f>IFERROR(__xludf.DUMMYFUNCTION("""COMPUTED_VALUE"""),"A")</f>
        <v>A</v>
      </c>
      <c r="E1006" s="1" t="str">
        <f>IFERROR(__xludf.DUMMYFUNCTION("""COMPUTED_VALUE"""),"Male")</f>
        <v>Male</v>
      </c>
      <c r="F1006" s="1">
        <f>IFERROR(__xludf.DUMMYFUNCTION("""COMPUTED_VALUE"""),20.0)</f>
        <v>20</v>
      </c>
      <c r="G1006" s="1">
        <f>IFERROR(__xludf.DUMMYFUNCTION("""COMPUTED_VALUE"""),68.0)</f>
        <v>68</v>
      </c>
      <c r="H1006" s="1">
        <f>IFERROR(__xludf.DUMMYFUNCTION("""COMPUTED_VALUE"""),72.0)</f>
        <v>72</v>
      </c>
      <c r="I1006" s="1">
        <f>IFERROR(__xludf.DUMMYFUNCTION("""COMPUTED_VALUE"""),81.0)</f>
        <v>81</v>
      </c>
      <c r="J1006" s="1">
        <f>IFERROR(__xludf.DUMMYFUNCTION("""COMPUTED_VALUE"""),68.0)</f>
        <v>68</v>
      </c>
      <c r="K1006" s="1">
        <f>IFERROR(__xludf.DUMMYFUNCTION("""COMPUTED_VALUE"""),95.0)</f>
        <v>95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 t="str">
        <f>IFERROR(__xludf.DUMMYFUNCTION("""COMPUTED_VALUE"""),"A")</f>
        <v>A</v>
      </c>
      <c r="E1007" s="1" t="str">
        <f>IFERROR(__xludf.DUMMYFUNCTION("""COMPUTED_VALUE"""),"Male")</f>
        <v>Male</v>
      </c>
      <c r="F1007" s="1">
        <f>IFERROR(__xludf.DUMMYFUNCTION("""COMPUTED_VALUE"""),29.0)</f>
        <v>29</v>
      </c>
      <c r="G1007" s="1">
        <f>IFERROR(__xludf.DUMMYFUNCTION("""COMPUTED_VALUE"""),45.0)</f>
        <v>45</v>
      </c>
      <c r="H1007" s="1">
        <f>IFERROR(__xludf.DUMMYFUNCTION("""COMPUTED_VALUE"""),54.0)</f>
        <v>54</v>
      </c>
      <c r="I1007" s="1">
        <f>IFERROR(__xludf.DUMMYFUNCTION("""COMPUTED_VALUE"""),77.0)</f>
        <v>77</v>
      </c>
      <c r="J1007" s="1">
        <f>IFERROR(__xludf.DUMMYFUNCTION("""COMPUTED_VALUE"""),92.0)</f>
        <v>92</v>
      </c>
      <c r="K1007" s="1">
        <f>IFERROR(__xludf.DUMMYFUNCTION("""COMPUTED_VALUE"""),80.0)</f>
        <v>80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 t="str">
        <f>IFERROR(__xludf.DUMMYFUNCTION("""COMPUTED_VALUE"""),"A")</f>
        <v>A</v>
      </c>
      <c r="E1008" s="1" t="str">
        <f>IFERROR(__xludf.DUMMYFUNCTION("""COMPUTED_VALUE"""),"Male")</f>
        <v>Male</v>
      </c>
      <c r="F1008" s="1">
        <f>IFERROR(__xludf.DUMMYFUNCTION("""COMPUTED_VALUE"""),66.0)</f>
        <v>66</v>
      </c>
      <c r="G1008" s="1">
        <f>IFERROR(__xludf.DUMMYFUNCTION("""COMPUTED_VALUE"""),59.0)</f>
        <v>59</v>
      </c>
      <c r="H1008" s="1">
        <f>IFERROR(__xludf.DUMMYFUNCTION("""COMPUTED_VALUE"""),23.0)</f>
        <v>23</v>
      </c>
      <c r="I1008" s="1">
        <f>IFERROR(__xludf.DUMMYFUNCTION("""COMPUTED_VALUE"""),68.0)</f>
        <v>68</v>
      </c>
      <c r="J1008" s="1">
        <f>IFERROR(__xludf.DUMMYFUNCTION("""COMPUTED_VALUE"""),85.0)</f>
        <v>85</v>
      </c>
      <c r="K1008" s="1">
        <f>IFERROR(__xludf.DUMMYFUNCTION("""COMPUTED_VALUE"""),51.0)</f>
        <v>51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 t="str">
        <f>IFERROR(__xludf.DUMMYFUNCTION("""COMPUTED_VALUE"""),"B")</f>
        <v>B</v>
      </c>
      <c r="E1009" s="1" t="str">
        <f>IFERROR(__xludf.DUMMYFUNCTION("""COMPUTED_VALUE"""),"Male")</f>
        <v>Male</v>
      </c>
      <c r="F1009" s="1">
        <f>IFERROR(__xludf.DUMMYFUNCTION("""COMPUTED_VALUE"""),73.0)</f>
        <v>73</v>
      </c>
      <c r="G1009" s="1">
        <f>IFERROR(__xludf.DUMMYFUNCTION("""COMPUTED_VALUE"""),76.0)</f>
        <v>76</v>
      </c>
      <c r="H1009" s="1">
        <f>IFERROR(__xludf.DUMMYFUNCTION("""COMPUTED_VALUE"""),30.0)</f>
        <v>30</v>
      </c>
      <c r="I1009" s="1">
        <f>IFERROR(__xludf.DUMMYFUNCTION("""COMPUTED_VALUE"""),46.0)</f>
        <v>46</v>
      </c>
      <c r="J1009" s="1">
        <f>IFERROR(__xludf.DUMMYFUNCTION("""COMPUTED_VALUE"""),39.0)</f>
        <v>39</v>
      </c>
      <c r="K1009" s="1">
        <f>IFERROR(__xludf.DUMMYFUNCTION("""COMPUTED_VALUE"""),76.0)</f>
        <v>76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 t="str">
        <f>IFERROR(__xludf.DUMMYFUNCTION("""COMPUTED_VALUE"""),"D")</f>
        <v>D</v>
      </c>
      <c r="E1010" s="1" t="str">
        <f>IFERROR(__xludf.DUMMYFUNCTION("""COMPUTED_VALUE"""),"Female")</f>
        <v>Female</v>
      </c>
      <c r="F1010" s="1">
        <f>IFERROR(__xludf.DUMMYFUNCTION("""COMPUTED_VALUE"""),28.0)</f>
        <v>28</v>
      </c>
      <c r="G1010" s="1">
        <f>IFERROR(__xludf.DUMMYFUNCTION("""COMPUTED_VALUE"""),36.0)</f>
        <v>36</v>
      </c>
      <c r="H1010" s="1">
        <f>IFERROR(__xludf.DUMMYFUNCTION("""COMPUTED_VALUE"""),58.0)</f>
        <v>58</v>
      </c>
      <c r="I1010" s="1">
        <f>IFERROR(__xludf.DUMMYFUNCTION("""COMPUTED_VALUE"""),52.0)</f>
        <v>52</v>
      </c>
      <c r="J1010" s="1">
        <f>IFERROR(__xludf.DUMMYFUNCTION("""COMPUTED_VALUE"""),77.0)</f>
        <v>77</v>
      </c>
      <c r="K1010" s="1">
        <f>IFERROR(__xludf.DUMMYFUNCTION("""COMPUTED_VALUE"""),54.0)</f>
        <v>54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 t="str">
        <f>IFERROR(__xludf.DUMMYFUNCTION("""COMPUTED_VALUE"""),"A")</f>
        <v>A</v>
      </c>
      <c r="E1011" s="1" t="str">
        <f>IFERROR(__xludf.DUMMYFUNCTION("""COMPUTED_VALUE"""),"Male")</f>
        <v>Male</v>
      </c>
      <c r="F1011" s="1">
        <f>IFERROR(__xludf.DUMMYFUNCTION("""COMPUTED_VALUE"""),82.0)</f>
        <v>82</v>
      </c>
      <c r="G1011" s="1">
        <f>IFERROR(__xludf.DUMMYFUNCTION("""COMPUTED_VALUE"""),90.0)</f>
        <v>90</v>
      </c>
      <c r="H1011" s="1">
        <f>IFERROR(__xludf.DUMMYFUNCTION("""COMPUTED_VALUE"""),50.0)</f>
        <v>50</v>
      </c>
      <c r="I1011" s="1">
        <f>IFERROR(__xludf.DUMMYFUNCTION("""COMPUTED_VALUE"""),32.0)</f>
        <v>32</v>
      </c>
      <c r="J1011" s="1">
        <f>IFERROR(__xludf.DUMMYFUNCTION("""COMPUTED_VALUE"""),97.0)</f>
        <v>97</v>
      </c>
      <c r="K1011" s="1">
        <f>IFERROR(__xludf.DUMMYFUNCTION("""COMPUTED_VALUE"""),87.0)</f>
        <v>87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 t="str">
        <f>IFERROR(__xludf.DUMMYFUNCTION("""COMPUTED_VALUE"""),"D")</f>
        <v>D</v>
      </c>
      <c r="E1012" s="1" t="str">
        <f>IFERROR(__xludf.DUMMYFUNCTION("""COMPUTED_VALUE"""),"Female")</f>
        <v>Female</v>
      </c>
      <c r="F1012" s="1">
        <f>IFERROR(__xludf.DUMMYFUNCTION("""COMPUTED_VALUE"""),18.0)</f>
        <v>18</v>
      </c>
      <c r="G1012" s="1">
        <f>IFERROR(__xludf.DUMMYFUNCTION("""COMPUTED_VALUE"""),22.0)</f>
        <v>22</v>
      </c>
      <c r="H1012" s="1">
        <f>IFERROR(__xludf.DUMMYFUNCTION("""COMPUTED_VALUE"""),68.0)</f>
        <v>68</v>
      </c>
      <c r="I1012" s="1">
        <f>IFERROR(__xludf.DUMMYFUNCTION("""COMPUTED_VALUE"""),67.0)</f>
        <v>67</v>
      </c>
      <c r="J1012" s="1">
        <f>IFERROR(__xludf.DUMMYFUNCTION("""COMPUTED_VALUE"""),91.0)</f>
        <v>91</v>
      </c>
      <c r="K1012" s="1">
        <f>IFERROR(__xludf.DUMMYFUNCTION("""COMPUTED_VALUE"""),95.0)</f>
        <v>95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 t="str">
        <f>IFERROR(__xludf.DUMMYFUNCTION("""COMPUTED_VALUE"""),"B")</f>
        <v>B</v>
      </c>
      <c r="E1013" s="1" t="str">
        <f>IFERROR(__xludf.DUMMYFUNCTION("""COMPUTED_VALUE"""),"Male")</f>
        <v>Male</v>
      </c>
      <c r="F1013" s="1">
        <f>IFERROR(__xludf.DUMMYFUNCTION("""COMPUTED_VALUE"""),94.0)</f>
        <v>94</v>
      </c>
      <c r="G1013" s="1">
        <f>IFERROR(__xludf.DUMMYFUNCTION("""COMPUTED_VALUE"""),49.0)</f>
        <v>49</v>
      </c>
      <c r="H1013" s="1">
        <f>IFERROR(__xludf.DUMMYFUNCTION("""COMPUTED_VALUE"""),71.0)</f>
        <v>71</v>
      </c>
      <c r="I1013" s="1">
        <f>IFERROR(__xludf.DUMMYFUNCTION("""COMPUTED_VALUE"""),30.0)</f>
        <v>30</v>
      </c>
      <c r="J1013" s="1">
        <f>IFERROR(__xludf.DUMMYFUNCTION("""COMPUTED_VALUE"""),89.0)</f>
        <v>89</v>
      </c>
      <c r="K1013" s="1">
        <f>IFERROR(__xludf.DUMMYFUNCTION("""COMPUTED_VALUE"""),24.0)</f>
        <v>24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 t="str">
        <f>IFERROR(__xludf.DUMMYFUNCTION("""COMPUTED_VALUE"""),"D")</f>
        <v>D</v>
      </c>
      <c r="E1014" s="1" t="str">
        <f>IFERROR(__xludf.DUMMYFUNCTION("""COMPUTED_VALUE"""),"Male")</f>
        <v>Male</v>
      </c>
      <c r="F1014" s="1">
        <f>IFERROR(__xludf.DUMMYFUNCTION("""COMPUTED_VALUE"""),15.0)</f>
        <v>15</v>
      </c>
      <c r="G1014" s="1">
        <f>IFERROR(__xludf.DUMMYFUNCTION("""COMPUTED_VALUE"""),76.0)</f>
        <v>76</v>
      </c>
      <c r="H1014" s="1">
        <f>IFERROR(__xludf.DUMMYFUNCTION("""COMPUTED_VALUE"""),75.0)</f>
        <v>75</v>
      </c>
      <c r="I1014" s="1">
        <f>IFERROR(__xludf.DUMMYFUNCTION("""COMPUTED_VALUE"""),68.0)</f>
        <v>68</v>
      </c>
      <c r="J1014" s="1">
        <f>IFERROR(__xludf.DUMMYFUNCTION("""COMPUTED_VALUE"""),42.0)</f>
        <v>42</v>
      </c>
      <c r="K1014" s="1">
        <f>IFERROR(__xludf.DUMMYFUNCTION("""COMPUTED_VALUE"""),89.0)</f>
        <v>89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 t="str">
        <f>IFERROR(__xludf.DUMMYFUNCTION("""COMPUTED_VALUE"""),"C")</f>
        <v>C</v>
      </c>
      <c r="E1015" s="1" t="str">
        <f>IFERROR(__xludf.DUMMYFUNCTION("""COMPUTED_VALUE"""),"Male")</f>
        <v>Male</v>
      </c>
      <c r="F1015" s="1">
        <f>IFERROR(__xludf.DUMMYFUNCTION("""COMPUTED_VALUE"""),52.0)</f>
        <v>52</v>
      </c>
      <c r="G1015" s="1">
        <f>IFERROR(__xludf.DUMMYFUNCTION("""COMPUTED_VALUE"""),87.0)</f>
        <v>87</v>
      </c>
      <c r="H1015" s="1">
        <f>IFERROR(__xludf.DUMMYFUNCTION("""COMPUTED_VALUE"""),36.0)</f>
        <v>36</v>
      </c>
      <c r="I1015" s="1">
        <f>IFERROR(__xludf.DUMMYFUNCTION("""COMPUTED_VALUE"""),62.0)</f>
        <v>62</v>
      </c>
      <c r="J1015" s="1">
        <f>IFERROR(__xludf.DUMMYFUNCTION("""COMPUTED_VALUE"""),85.0)</f>
        <v>85</v>
      </c>
      <c r="K1015" s="1">
        <f>IFERROR(__xludf.DUMMYFUNCTION("""COMPUTED_VALUE"""),70.0)</f>
        <v>70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 t="str">
        <f>IFERROR(__xludf.DUMMYFUNCTION("""COMPUTED_VALUE"""),"B")</f>
        <v>B</v>
      </c>
      <c r="E1016" s="1" t="str">
        <f>IFERROR(__xludf.DUMMYFUNCTION("""COMPUTED_VALUE"""),"Female")</f>
        <v>Female</v>
      </c>
      <c r="F1016" s="1">
        <f>IFERROR(__xludf.DUMMYFUNCTION("""COMPUTED_VALUE"""),85.0)</f>
        <v>85</v>
      </c>
      <c r="G1016" s="1">
        <f>IFERROR(__xludf.DUMMYFUNCTION("""COMPUTED_VALUE"""),75.0)</f>
        <v>75</v>
      </c>
      <c r="H1016" s="1">
        <f>IFERROR(__xludf.DUMMYFUNCTION("""COMPUTED_VALUE"""),26.0)</f>
        <v>26</v>
      </c>
      <c r="I1016" s="1">
        <f>IFERROR(__xludf.DUMMYFUNCTION("""COMPUTED_VALUE"""),41.0)</f>
        <v>41</v>
      </c>
      <c r="J1016" s="1">
        <f>IFERROR(__xludf.DUMMYFUNCTION("""COMPUTED_VALUE"""),64.0)</f>
        <v>64</v>
      </c>
      <c r="K1016" s="1">
        <f>IFERROR(__xludf.DUMMYFUNCTION("""COMPUTED_VALUE"""),94.0)</f>
        <v>94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 t="str">
        <f>IFERROR(__xludf.DUMMYFUNCTION("""COMPUTED_VALUE"""),"D")</f>
        <v>D</v>
      </c>
      <c r="E1017" s="1" t="str">
        <f>IFERROR(__xludf.DUMMYFUNCTION("""COMPUTED_VALUE"""),"Male")</f>
        <v>Male</v>
      </c>
      <c r="F1017" s="1">
        <f>IFERROR(__xludf.DUMMYFUNCTION("""COMPUTED_VALUE"""),85.0)</f>
        <v>85</v>
      </c>
      <c r="G1017" s="1">
        <f>IFERROR(__xludf.DUMMYFUNCTION("""COMPUTED_VALUE"""),80.0)</f>
        <v>80</v>
      </c>
      <c r="H1017" s="1">
        <f>IFERROR(__xludf.DUMMYFUNCTION("""COMPUTED_VALUE"""),82.0)</f>
        <v>82</v>
      </c>
      <c r="I1017" s="1">
        <f>IFERROR(__xludf.DUMMYFUNCTION("""COMPUTED_VALUE"""),34.0)</f>
        <v>34</v>
      </c>
      <c r="J1017" s="1">
        <f>IFERROR(__xludf.DUMMYFUNCTION("""COMPUTED_VALUE"""),86.0)</f>
        <v>86</v>
      </c>
      <c r="K1017" s="1">
        <f>IFERROR(__xludf.DUMMYFUNCTION("""COMPUTED_VALUE"""),50.0)</f>
        <v>50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 t="str">
        <f>IFERROR(__xludf.DUMMYFUNCTION("""COMPUTED_VALUE"""),"C")</f>
        <v>C</v>
      </c>
      <c r="E1018" s="1" t="str">
        <f>IFERROR(__xludf.DUMMYFUNCTION("""COMPUTED_VALUE"""),"Female")</f>
        <v>Female</v>
      </c>
      <c r="F1018" s="1">
        <f>IFERROR(__xludf.DUMMYFUNCTION("""COMPUTED_VALUE"""),13.0)</f>
        <v>13</v>
      </c>
      <c r="G1018" s="1">
        <f>IFERROR(__xludf.DUMMYFUNCTION("""COMPUTED_VALUE"""),72.0)</f>
        <v>72</v>
      </c>
      <c r="H1018" s="1">
        <f>IFERROR(__xludf.DUMMYFUNCTION("""COMPUTED_VALUE"""),68.0)</f>
        <v>68</v>
      </c>
      <c r="I1018" s="1">
        <f>IFERROR(__xludf.DUMMYFUNCTION("""COMPUTED_VALUE"""),55.0)</f>
        <v>55</v>
      </c>
      <c r="J1018" s="1">
        <f>IFERROR(__xludf.DUMMYFUNCTION("""COMPUTED_VALUE"""),86.0)</f>
        <v>86</v>
      </c>
      <c r="K1018" s="1">
        <f>IFERROR(__xludf.DUMMYFUNCTION("""COMPUTED_VALUE"""),74.0)</f>
        <v>74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 t="str">
        <f>IFERROR(__xludf.DUMMYFUNCTION("""COMPUTED_VALUE"""),"C")</f>
        <v>C</v>
      </c>
      <c r="E1019" s="1" t="str">
        <f>IFERROR(__xludf.DUMMYFUNCTION("""COMPUTED_VALUE"""),"Male")</f>
        <v>Male</v>
      </c>
      <c r="F1019" s="1">
        <f>IFERROR(__xludf.DUMMYFUNCTION("""COMPUTED_VALUE"""),96.0)</f>
        <v>96</v>
      </c>
      <c r="G1019" s="1">
        <f>IFERROR(__xludf.DUMMYFUNCTION("""COMPUTED_VALUE"""),22.0)</f>
        <v>22</v>
      </c>
      <c r="H1019" s="1">
        <f>IFERROR(__xludf.DUMMYFUNCTION("""COMPUTED_VALUE"""),26.0)</f>
        <v>26</v>
      </c>
      <c r="I1019" s="1">
        <f>IFERROR(__xludf.DUMMYFUNCTION("""COMPUTED_VALUE"""),77.0)</f>
        <v>77</v>
      </c>
      <c r="J1019" s="1">
        <f>IFERROR(__xludf.DUMMYFUNCTION("""COMPUTED_VALUE"""),35.0)</f>
        <v>35</v>
      </c>
      <c r="K1019" s="1">
        <f>IFERROR(__xludf.DUMMYFUNCTION("""COMPUTED_VALUE"""),24.0)</f>
        <v>24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 t="str">
        <f>IFERROR(__xludf.DUMMYFUNCTION("""COMPUTED_VALUE"""),"A")</f>
        <v>A</v>
      </c>
      <c r="E1020" s="1" t="str">
        <f>IFERROR(__xludf.DUMMYFUNCTION("""COMPUTED_VALUE"""),"Female")</f>
        <v>Female</v>
      </c>
      <c r="F1020" s="1">
        <f>IFERROR(__xludf.DUMMYFUNCTION("""COMPUTED_VALUE"""),84.0)</f>
        <v>84</v>
      </c>
      <c r="G1020" s="1">
        <f>IFERROR(__xludf.DUMMYFUNCTION("""COMPUTED_VALUE"""),88.0)</f>
        <v>88</v>
      </c>
      <c r="H1020" s="1">
        <f>IFERROR(__xludf.DUMMYFUNCTION("""COMPUTED_VALUE"""),40.0)</f>
        <v>40</v>
      </c>
      <c r="I1020" s="1">
        <f>IFERROR(__xludf.DUMMYFUNCTION("""COMPUTED_VALUE"""),60.0)</f>
        <v>60</v>
      </c>
      <c r="J1020" s="1">
        <f>IFERROR(__xludf.DUMMYFUNCTION("""COMPUTED_VALUE"""),98.0)</f>
        <v>98</v>
      </c>
      <c r="K1020" s="1">
        <f>IFERROR(__xludf.DUMMYFUNCTION("""COMPUTED_VALUE"""),95.0)</f>
        <v>95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 t="str">
        <f>IFERROR(__xludf.DUMMYFUNCTION("""COMPUTED_VALUE"""),"C")</f>
        <v>C</v>
      </c>
      <c r="E1021" s="1" t="str">
        <f>IFERROR(__xludf.DUMMYFUNCTION("""COMPUTED_VALUE"""),"Female")</f>
        <v>Female</v>
      </c>
      <c r="F1021" s="1">
        <f>IFERROR(__xludf.DUMMYFUNCTION("""COMPUTED_VALUE"""),99.0)</f>
        <v>99</v>
      </c>
      <c r="G1021" s="1">
        <f>IFERROR(__xludf.DUMMYFUNCTION("""COMPUTED_VALUE"""),52.0)</f>
        <v>52</v>
      </c>
      <c r="H1021" s="1">
        <f>IFERROR(__xludf.DUMMYFUNCTION("""COMPUTED_VALUE"""),37.0)</f>
        <v>37</v>
      </c>
      <c r="I1021" s="1">
        <f>IFERROR(__xludf.DUMMYFUNCTION("""COMPUTED_VALUE"""),79.0)</f>
        <v>79</v>
      </c>
      <c r="J1021" s="1">
        <f>IFERROR(__xludf.DUMMYFUNCTION("""COMPUTED_VALUE"""),83.0)</f>
        <v>83</v>
      </c>
      <c r="K1021" s="1">
        <f>IFERROR(__xludf.DUMMYFUNCTION("""COMPUTED_VALUE"""),80.0)</f>
        <v>80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 t="str">
        <f>IFERROR(__xludf.DUMMYFUNCTION("""COMPUTED_VALUE"""),"B")</f>
        <v>B</v>
      </c>
      <c r="E1022" s="1" t="str">
        <f>IFERROR(__xludf.DUMMYFUNCTION("""COMPUTED_VALUE"""),"Female")</f>
        <v>Female</v>
      </c>
      <c r="F1022" s="1">
        <f>IFERROR(__xludf.DUMMYFUNCTION("""COMPUTED_VALUE"""),20.0)</f>
        <v>20</v>
      </c>
      <c r="G1022" s="1">
        <f>IFERROR(__xludf.DUMMYFUNCTION("""COMPUTED_VALUE"""),66.0)</f>
        <v>66</v>
      </c>
      <c r="H1022" s="1">
        <f>IFERROR(__xludf.DUMMYFUNCTION("""COMPUTED_VALUE"""),52.0)</f>
        <v>52</v>
      </c>
      <c r="I1022" s="1">
        <f>IFERROR(__xludf.DUMMYFUNCTION("""COMPUTED_VALUE"""),93.0)</f>
        <v>93</v>
      </c>
      <c r="J1022" s="1">
        <f>IFERROR(__xludf.DUMMYFUNCTION("""COMPUTED_VALUE"""),67.0)</f>
        <v>67</v>
      </c>
      <c r="K1022" s="1">
        <f>IFERROR(__xludf.DUMMYFUNCTION("""COMPUTED_VALUE"""),78.0)</f>
        <v>78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 t="str">
        <f>IFERROR(__xludf.DUMMYFUNCTION("""COMPUTED_VALUE"""),"C")</f>
        <v>C</v>
      </c>
      <c r="E1023" s="1" t="str">
        <f>IFERROR(__xludf.DUMMYFUNCTION("""COMPUTED_VALUE"""),"Male")</f>
        <v>Male</v>
      </c>
      <c r="F1023" s="1">
        <f>IFERROR(__xludf.DUMMYFUNCTION("""COMPUTED_VALUE"""),71.0)</f>
        <v>71</v>
      </c>
      <c r="G1023" s="1">
        <f>IFERROR(__xludf.DUMMYFUNCTION("""COMPUTED_VALUE"""),28.0)</f>
        <v>28</v>
      </c>
      <c r="H1023" s="1">
        <f>IFERROR(__xludf.DUMMYFUNCTION("""COMPUTED_VALUE"""),20.0)</f>
        <v>20</v>
      </c>
      <c r="I1023" s="1">
        <f>IFERROR(__xludf.DUMMYFUNCTION("""COMPUTED_VALUE"""),77.0)</f>
        <v>77</v>
      </c>
      <c r="J1023" s="1">
        <f>IFERROR(__xludf.DUMMYFUNCTION("""COMPUTED_VALUE"""),90.0)</f>
        <v>90</v>
      </c>
      <c r="K1023" s="1">
        <f>IFERROR(__xludf.DUMMYFUNCTION("""COMPUTED_VALUE"""),83.0)</f>
        <v>83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 t="str">
        <f>IFERROR(__xludf.DUMMYFUNCTION("""COMPUTED_VALUE"""),"D")</f>
        <v>D</v>
      </c>
      <c r="E1024" s="1" t="str">
        <f>IFERROR(__xludf.DUMMYFUNCTION("""COMPUTED_VALUE"""),"Female")</f>
        <v>Female</v>
      </c>
      <c r="F1024" s="1">
        <f>IFERROR(__xludf.DUMMYFUNCTION("""COMPUTED_VALUE"""),55.0)</f>
        <v>55</v>
      </c>
      <c r="G1024" s="1">
        <f>IFERROR(__xludf.DUMMYFUNCTION("""COMPUTED_VALUE"""),37.0)</f>
        <v>37</v>
      </c>
      <c r="H1024" s="1">
        <f>IFERROR(__xludf.DUMMYFUNCTION("""COMPUTED_VALUE"""),60.0)</f>
        <v>60</v>
      </c>
      <c r="I1024" s="1">
        <f>IFERROR(__xludf.DUMMYFUNCTION("""COMPUTED_VALUE"""),97.0)</f>
        <v>97</v>
      </c>
      <c r="J1024" s="1">
        <f>IFERROR(__xludf.DUMMYFUNCTION("""COMPUTED_VALUE"""),84.0)</f>
        <v>84</v>
      </c>
      <c r="K1024" s="1">
        <f>IFERROR(__xludf.DUMMYFUNCTION("""COMPUTED_VALUE"""),71.0)</f>
        <v>71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 t="str">
        <f>IFERROR(__xludf.DUMMYFUNCTION("""COMPUTED_VALUE"""),"C")</f>
        <v>C</v>
      </c>
      <c r="E1025" s="1" t="str">
        <f>IFERROR(__xludf.DUMMYFUNCTION("""COMPUTED_VALUE"""),"Male")</f>
        <v>Male</v>
      </c>
      <c r="F1025" s="1">
        <f>IFERROR(__xludf.DUMMYFUNCTION("""COMPUTED_VALUE"""),22.0)</f>
        <v>22</v>
      </c>
      <c r="G1025" s="1">
        <f>IFERROR(__xludf.DUMMYFUNCTION("""COMPUTED_VALUE"""),98.0)</f>
        <v>98</v>
      </c>
      <c r="H1025" s="1">
        <f>IFERROR(__xludf.DUMMYFUNCTION("""COMPUTED_VALUE"""),55.0)</f>
        <v>55</v>
      </c>
      <c r="I1025" s="1">
        <f>IFERROR(__xludf.DUMMYFUNCTION("""COMPUTED_VALUE"""),30.0)</f>
        <v>30</v>
      </c>
      <c r="J1025" s="1">
        <f>IFERROR(__xludf.DUMMYFUNCTION("""COMPUTED_VALUE"""),74.0)</f>
        <v>74</v>
      </c>
      <c r="K1025" s="1">
        <f>IFERROR(__xludf.DUMMYFUNCTION("""COMPUTED_VALUE"""),98.0)</f>
        <v>98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 t="str">
        <f>IFERROR(__xludf.DUMMYFUNCTION("""COMPUTED_VALUE"""),"D")</f>
        <v>D</v>
      </c>
      <c r="E1026" s="1" t="str">
        <f>IFERROR(__xludf.DUMMYFUNCTION("""COMPUTED_VALUE"""),"Male")</f>
        <v>Male</v>
      </c>
      <c r="F1026" s="1">
        <f>IFERROR(__xludf.DUMMYFUNCTION("""COMPUTED_VALUE"""),58.0)</f>
        <v>58</v>
      </c>
      <c r="G1026" s="1">
        <f>IFERROR(__xludf.DUMMYFUNCTION("""COMPUTED_VALUE"""),37.0)</f>
        <v>37</v>
      </c>
      <c r="H1026" s="1">
        <f>IFERROR(__xludf.DUMMYFUNCTION("""COMPUTED_VALUE"""),79.0)</f>
        <v>79</v>
      </c>
      <c r="I1026" s="1">
        <f>IFERROR(__xludf.DUMMYFUNCTION("""COMPUTED_VALUE"""),85.0)</f>
        <v>85</v>
      </c>
      <c r="J1026" s="1">
        <f>IFERROR(__xludf.DUMMYFUNCTION("""COMPUTED_VALUE"""),47.0)</f>
        <v>47</v>
      </c>
      <c r="K1026" s="1">
        <f>IFERROR(__xludf.DUMMYFUNCTION("""COMPUTED_VALUE"""),25.0)</f>
        <v>25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 t="str">
        <f>IFERROR(__xludf.DUMMYFUNCTION("""COMPUTED_VALUE"""),"B")</f>
        <v>B</v>
      </c>
      <c r="E1027" s="1" t="str">
        <f>IFERROR(__xludf.DUMMYFUNCTION("""COMPUTED_VALUE"""),"Male")</f>
        <v>Male</v>
      </c>
      <c r="F1027" s="1">
        <f>IFERROR(__xludf.DUMMYFUNCTION("""COMPUTED_VALUE"""),73.0)</f>
        <v>73</v>
      </c>
      <c r="G1027" s="1">
        <f>IFERROR(__xludf.DUMMYFUNCTION("""COMPUTED_VALUE"""),47.0)</f>
        <v>47</v>
      </c>
      <c r="H1027" s="1">
        <f>IFERROR(__xludf.DUMMYFUNCTION("""COMPUTED_VALUE"""),56.0)</f>
        <v>56</v>
      </c>
      <c r="I1027" s="1">
        <f>IFERROR(__xludf.DUMMYFUNCTION("""COMPUTED_VALUE"""),59.0)</f>
        <v>59</v>
      </c>
      <c r="J1027" s="1">
        <f>IFERROR(__xludf.DUMMYFUNCTION("""COMPUTED_VALUE"""),67.0)</f>
        <v>67</v>
      </c>
      <c r="K1027" s="1">
        <f>IFERROR(__xludf.DUMMYFUNCTION("""COMPUTED_VALUE"""),96.0)</f>
        <v>96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 t="str">
        <f>IFERROR(__xludf.DUMMYFUNCTION("""COMPUTED_VALUE"""),"B")</f>
        <v>B</v>
      </c>
      <c r="E1028" s="1" t="str">
        <f>IFERROR(__xludf.DUMMYFUNCTION("""COMPUTED_VALUE"""),"Male")</f>
        <v>Male</v>
      </c>
      <c r="F1028" s="1">
        <f>IFERROR(__xludf.DUMMYFUNCTION("""COMPUTED_VALUE"""),16.0)</f>
        <v>16</v>
      </c>
      <c r="G1028" s="1">
        <f>IFERROR(__xludf.DUMMYFUNCTION("""COMPUTED_VALUE"""),46.0)</f>
        <v>46</v>
      </c>
      <c r="H1028" s="1">
        <f>IFERROR(__xludf.DUMMYFUNCTION("""COMPUTED_VALUE"""),48.0)</f>
        <v>48</v>
      </c>
      <c r="I1028" s="1">
        <f>IFERROR(__xludf.DUMMYFUNCTION("""COMPUTED_VALUE"""),46.0)</f>
        <v>46</v>
      </c>
      <c r="J1028" s="1">
        <f>IFERROR(__xludf.DUMMYFUNCTION("""COMPUTED_VALUE"""),24.0)</f>
        <v>24</v>
      </c>
      <c r="K1028" s="1">
        <f>IFERROR(__xludf.DUMMYFUNCTION("""COMPUTED_VALUE"""),74.0)</f>
        <v>74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 t="str">
        <f>IFERROR(__xludf.DUMMYFUNCTION("""COMPUTED_VALUE"""),"C")</f>
        <v>C</v>
      </c>
      <c r="E1029" s="1" t="str">
        <f>IFERROR(__xludf.DUMMYFUNCTION("""COMPUTED_VALUE"""),"Female")</f>
        <v>Female</v>
      </c>
      <c r="F1029" s="1">
        <f>IFERROR(__xludf.DUMMYFUNCTION("""COMPUTED_VALUE"""),60.0)</f>
        <v>60</v>
      </c>
      <c r="G1029" s="1">
        <f>IFERROR(__xludf.DUMMYFUNCTION("""COMPUTED_VALUE"""),40.0)</f>
        <v>40</v>
      </c>
      <c r="H1029" s="1">
        <f>IFERROR(__xludf.DUMMYFUNCTION("""COMPUTED_VALUE"""),77.0)</f>
        <v>77</v>
      </c>
      <c r="I1029" s="1">
        <f>IFERROR(__xludf.DUMMYFUNCTION("""COMPUTED_VALUE"""),75.0)</f>
        <v>75</v>
      </c>
      <c r="J1029" s="1">
        <f>IFERROR(__xludf.DUMMYFUNCTION("""COMPUTED_VALUE"""),64.0)</f>
        <v>64</v>
      </c>
      <c r="K1029" s="1">
        <f>IFERROR(__xludf.DUMMYFUNCTION("""COMPUTED_VALUE"""),45.0)</f>
        <v>45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 t="str">
        <f>IFERROR(__xludf.DUMMYFUNCTION("""COMPUTED_VALUE"""),"B")</f>
        <v>B</v>
      </c>
      <c r="E1030" s="1" t="str">
        <f>IFERROR(__xludf.DUMMYFUNCTION("""COMPUTED_VALUE"""),"Female")</f>
        <v>Female</v>
      </c>
      <c r="F1030" s="1">
        <f>IFERROR(__xludf.DUMMYFUNCTION("""COMPUTED_VALUE"""),53.0)</f>
        <v>53</v>
      </c>
      <c r="G1030" s="1">
        <f>IFERROR(__xludf.DUMMYFUNCTION("""COMPUTED_VALUE"""),25.0)</f>
        <v>25</v>
      </c>
      <c r="H1030" s="1">
        <f>IFERROR(__xludf.DUMMYFUNCTION("""COMPUTED_VALUE"""),95.0)</f>
        <v>95</v>
      </c>
      <c r="I1030" s="1">
        <f>IFERROR(__xludf.DUMMYFUNCTION("""COMPUTED_VALUE"""),49.0)</f>
        <v>49</v>
      </c>
      <c r="J1030" s="1">
        <f>IFERROR(__xludf.DUMMYFUNCTION("""COMPUTED_VALUE"""),48.0)</f>
        <v>48</v>
      </c>
      <c r="K1030" s="1">
        <f>IFERROR(__xludf.DUMMYFUNCTION("""COMPUTED_VALUE"""),53.0)</f>
        <v>53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 t="str">
        <f>IFERROR(__xludf.DUMMYFUNCTION("""COMPUTED_VALUE"""),"A")</f>
        <v>A</v>
      </c>
      <c r="E1031" s="1" t="str">
        <f>IFERROR(__xludf.DUMMYFUNCTION("""COMPUTED_VALUE"""),"Female")</f>
        <v>Female</v>
      </c>
      <c r="F1031" s="1">
        <f>IFERROR(__xludf.DUMMYFUNCTION("""COMPUTED_VALUE"""),52.0)</f>
        <v>52</v>
      </c>
      <c r="G1031" s="1">
        <f>IFERROR(__xludf.DUMMYFUNCTION("""COMPUTED_VALUE"""),20.0)</f>
        <v>20</v>
      </c>
      <c r="H1031" s="1">
        <f>IFERROR(__xludf.DUMMYFUNCTION("""COMPUTED_VALUE"""),61.0)</f>
        <v>61</v>
      </c>
      <c r="I1031" s="1">
        <f>IFERROR(__xludf.DUMMYFUNCTION("""COMPUTED_VALUE"""),58.0)</f>
        <v>58</v>
      </c>
      <c r="J1031" s="1">
        <f>IFERROR(__xludf.DUMMYFUNCTION("""COMPUTED_VALUE"""),22.0)</f>
        <v>22</v>
      </c>
      <c r="K1031" s="1">
        <f>IFERROR(__xludf.DUMMYFUNCTION("""COMPUTED_VALUE"""),78.0)</f>
        <v>78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 t="str">
        <f>IFERROR(__xludf.DUMMYFUNCTION("""COMPUTED_VALUE"""),"B")</f>
        <v>B</v>
      </c>
      <c r="E1032" s="1" t="str">
        <f>IFERROR(__xludf.DUMMYFUNCTION("""COMPUTED_VALUE"""),"Female")</f>
        <v>Female</v>
      </c>
      <c r="F1032" s="1">
        <f>IFERROR(__xludf.DUMMYFUNCTION("""COMPUTED_VALUE"""),59.0)</f>
        <v>59</v>
      </c>
      <c r="G1032" s="1">
        <f>IFERROR(__xludf.DUMMYFUNCTION("""COMPUTED_VALUE"""),81.0)</f>
        <v>81</v>
      </c>
      <c r="H1032" s="1">
        <f>IFERROR(__xludf.DUMMYFUNCTION("""COMPUTED_VALUE"""),22.0)</f>
        <v>22</v>
      </c>
      <c r="I1032" s="1">
        <f>IFERROR(__xludf.DUMMYFUNCTION("""COMPUTED_VALUE"""),49.0)</f>
        <v>49</v>
      </c>
      <c r="J1032" s="1">
        <f>IFERROR(__xludf.DUMMYFUNCTION("""COMPUTED_VALUE"""),71.0)</f>
        <v>71</v>
      </c>
      <c r="K1032" s="1">
        <f>IFERROR(__xludf.DUMMYFUNCTION("""COMPUTED_VALUE"""),59.0)</f>
        <v>59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 t="str">
        <f>IFERROR(__xludf.DUMMYFUNCTION("""COMPUTED_VALUE"""),"B")</f>
        <v>B</v>
      </c>
      <c r="E1033" s="1" t="str">
        <f>IFERROR(__xludf.DUMMYFUNCTION("""COMPUTED_VALUE"""),"Female")</f>
        <v>Female</v>
      </c>
      <c r="F1033" s="1">
        <f>IFERROR(__xludf.DUMMYFUNCTION("""COMPUTED_VALUE"""),40.0)</f>
        <v>40</v>
      </c>
      <c r="G1033" s="1">
        <f>IFERROR(__xludf.DUMMYFUNCTION("""COMPUTED_VALUE"""),92.0)</f>
        <v>92</v>
      </c>
      <c r="H1033" s="1">
        <f>IFERROR(__xludf.DUMMYFUNCTION("""COMPUTED_VALUE"""),66.0)</f>
        <v>66</v>
      </c>
      <c r="I1033" s="1">
        <f>IFERROR(__xludf.DUMMYFUNCTION("""COMPUTED_VALUE"""),64.0)</f>
        <v>64</v>
      </c>
      <c r="J1033" s="1">
        <f>IFERROR(__xludf.DUMMYFUNCTION("""COMPUTED_VALUE"""),41.0)</f>
        <v>41</v>
      </c>
      <c r="K1033" s="1">
        <f>IFERROR(__xludf.DUMMYFUNCTION("""COMPUTED_VALUE"""),80.0)</f>
        <v>80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 t="str">
        <f>IFERROR(__xludf.DUMMYFUNCTION("""COMPUTED_VALUE"""),"B")</f>
        <v>B</v>
      </c>
      <c r="E1034" s="1" t="str">
        <f>IFERROR(__xludf.DUMMYFUNCTION("""COMPUTED_VALUE"""),"Female")</f>
        <v>Female</v>
      </c>
      <c r="F1034" s="1">
        <f>IFERROR(__xludf.DUMMYFUNCTION("""COMPUTED_VALUE"""),59.0)</f>
        <v>59</v>
      </c>
      <c r="G1034" s="1">
        <f>IFERROR(__xludf.DUMMYFUNCTION("""COMPUTED_VALUE"""),24.0)</f>
        <v>24</v>
      </c>
      <c r="H1034" s="1">
        <f>IFERROR(__xludf.DUMMYFUNCTION("""COMPUTED_VALUE"""),41.0)</f>
        <v>41</v>
      </c>
      <c r="I1034" s="1">
        <f>IFERROR(__xludf.DUMMYFUNCTION("""COMPUTED_VALUE"""),50.0)</f>
        <v>50</v>
      </c>
      <c r="J1034" s="1">
        <f>IFERROR(__xludf.DUMMYFUNCTION("""COMPUTED_VALUE"""),36.0)</f>
        <v>36</v>
      </c>
      <c r="K1034" s="1">
        <f>IFERROR(__xludf.DUMMYFUNCTION("""COMPUTED_VALUE"""),55.0)</f>
        <v>55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 t="str">
        <f>IFERROR(__xludf.DUMMYFUNCTION("""COMPUTED_VALUE"""),"A")</f>
        <v>A</v>
      </c>
      <c r="E1035" s="1" t="str">
        <f>IFERROR(__xludf.DUMMYFUNCTION("""COMPUTED_VALUE"""),"Female")</f>
        <v>Female</v>
      </c>
      <c r="F1035" s="1">
        <f>IFERROR(__xludf.DUMMYFUNCTION("""COMPUTED_VALUE"""),26.0)</f>
        <v>26</v>
      </c>
      <c r="G1035" s="1">
        <f>IFERROR(__xludf.DUMMYFUNCTION("""COMPUTED_VALUE"""),91.0)</f>
        <v>91</v>
      </c>
      <c r="H1035" s="1">
        <f>IFERROR(__xludf.DUMMYFUNCTION("""COMPUTED_VALUE"""),33.0)</f>
        <v>33</v>
      </c>
      <c r="I1035" s="1">
        <f>IFERROR(__xludf.DUMMYFUNCTION("""COMPUTED_VALUE"""),52.0)</f>
        <v>52</v>
      </c>
      <c r="J1035" s="1">
        <f>IFERROR(__xludf.DUMMYFUNCTION("""COMPUTED_VALUE"""),67.0)</f>
        <v>67</v>
      </c>
      <c r="K1035" s="1">
        <f>IFERROR(__xludf.DUMMYFUNCTION("""COMPUTED_VALUE"""),89.0)</f>
        <v>89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 t="str">
        <f>IFERROR(__xludf.DUMMYFUNCTION("""COMPUTED_VALUE"""),"A")</f>
        <v>A</v>
      </c>
      <c r="E1036" s="1" t="str">
        <f>IFERROR(__xludf.DUMMYFUNCTION("""COMPUTED_VALUE"""),"Female")</f>
        <v>Female</v>
      </c>
      <c r="F1036" s="1">
        <f>IFERROR(__xludf.DUMMYFUNCTION("""COMPUTED_VALUE"""),99.0)</f>
        <v>99</v>
      </c>
      <c r="G1036" s="1">
        <f>IFERROR(__xludf.DUMMYFUNCTION("""COMPUTED_VALUE"""),21.0)</f>
        <v>21</v>
      </c>
      <c r="H1036" s="1">
        <f>IFERROR(__xludf.DUMMYFUNCTION("""COMPUTED_VALUE"""),60.0)</f>
        <v>60</v>
      </c>
      <c r="I1036" s="1">
        <f>IFERROR(__xludf.DUMMYFUNCTION("""COMPUTED_VALUE"""),55.0)</f>
        <v>55</v>
      </c>
      <c r="J1036" s="1">
        <f>IFERROR(__xludf.DUMMYFUNCTION("""COMPUTED_VALUE"""),83.0)</f>
        <v>83</v>
      </c>
      <c r="K1036" s="1">
        <f>IFERROR(__xludf.DUMMYFUNCTION("""COMPUTED_VALUE"""),26.0)</f>
        <v>26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 t="str">
        <f>IFERROR(__xludf.DUMMYFUNCTION("""COMPUTED_VALUE"""),"A")</f>
        <v>A</v>
      </c>
      <c r="E1037" s="1" t="str">
        <f>IFERROR(__xludf.DUMMYFUNCTION("""COMPUTED_VALUE"""),"Male")</f>
        <v>Male</v>
      </c>
      <c r="F1037" s="1">
        <f>IFERROR(__xludf.DUMMYFUNCTION("""COMPUTED_VALUE"""),81.0)</f>
        <v>81</v>
      </c>
      <c r="G1037" s="1">
        <f>IFERROR(__xludf.DUMMYFUNCTION("""COMPUTED_VALUE"""),98.0)</f>
        <v>98</v>
      </c>
      <c r="H1037" s="1">
        <f>IFERROR(__xludf.DUMMYFUNCTION("""COMPUTED_VALUE"""),91.0)</f>
        <v>91</v>
      </c>
      <c r="I1037" s="1">
        <f>IFERROR(__xludf.DUMMYFUNCTION("""COMPUTED_VALUE"""),73.0)</f>
        <v>73</v>
      </c>
      <c r="J1037" s="1">
        <f>IFERROR(__xludf.DUMMYFUNCTION("""COMPUTED_VALUE"""),49.0)</f>
        <v>49</v>
      </c>
      <c r="K1037" s="1">
        <f>IFERROR(__xludf.DUMMYFUNCTION("""COMPUTED_VALUE"""),26.0)</f>
        <v>26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 t="str">
        <f>IFERROR(__xludf.DUMMYFUNCTION("""COMPUTED_VALUE"""),"A")</f>
        <v>A</v>
      </c>
      <c r="E1038" s="1" t="str">
        <f>IFERROR(__xludf.DUMMYFUNCTION("""COMPUTED_VALUE"""),"Female")</f>
        <v>Female</v>
      </c>
      <c r="F1038" s="1">
        <f>IFERROR(__xludf.DUMMYFUNCTION("""COMPUTED_VALUE"""),76.0)</f>
        <v>76</v>
      </c>
      <c r="G1038" s="1">
        <f>IFERROR(__xludf.DUMMYFUNCTION("""COMPUTED_VALUE"""),67.0)</f>
        <v>67</v>
      </c>
      <c r="H1038" s="1">
        <f>IFERROR(__xludf.DUMMYFUNCTION("""COMPUTED_VALUE"""),23.0)</f>
        <v>23</v>
      </c>
      <c r="I1038" s="1">
        <f>IFERROR(__xludf.DUMMYFUNCTION("""COMPUTED_VALUE"""),24.0)</f>
        <v>24</v>
      </c>
      <c r="J1038" s="1">
        <f>IFERROR(__xludf.DUMMYFUNCTION("""COMPUTED_VALUE"""),20.0)</f>
        <v>20</v>
      </c>
      <c r="K1038" s="1">
        <f>IFERROR(__xludf.DUMMYFUNCTION("""COMPUTED_VALUE"""),24.0)</f>
        <v>24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 t="str">
        <f>IFERROR(__xludf.DUMMYFUNCTION("""COMPUTED_VALUE"""),"A")</f>
        <v>A</v>
      </c>
      <c r="E1039" s="1" t="str">
        <f>IFERROR(__xludf.DUMMYFUNCTION("""COMPUTED_VALUE"""),"Male")</f>
        <v>Male</v>
      </c>
      <c r="F1039" s="1">
        <f>IFERROR(__xludf.DUMMYFUNCTION("""COMPUTED_VALUE"""),46.0)</f>
        <v>46</v>
      </c>
      <c r="G1039" s="1">
        <f>IFERROR(__xludf.DUMMYFUNCTION("""COMPUTED_VALUE"""),68.0)</f>
        <v>68</v>
      </c>
      <c r="H1039" s="1">
        <f>IFERROR(__xludf.DUMMYFUNCTION("""COMPUTED_VALUE"""),89.0)</f>
        <v>89</v>
      </c>
      <c r="I1039" s="1">
        <f>IFERROR(__xludf.DUMMYFUNCTION("""COMPUTED_VALUE"""),24.0)</f>
        <v>24</v>
      </c>
      <c r="J1039" s="1">
        <f>IFERROR(__xludf.DUMMYFUNCTION("""COMPUTED_VALUE"""),25.0)</f>
        <v>25</v>
      </c>
      <c r="K1039" s="1">
        <f>IFERROR(__xludf.DUMMYFUNCTION("""COMPUTED_VALUE"""),41.0)</f>
        <v>41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 t="str">
        <f>IFERROR(__xludf.DUMMYFUNCTION("""COMPUTED_VALUE"""),"C")</f>
        <v>C</v>
      </c>
      <c r="E1040" s="1" t="str">
        <f>IFERROR(__xludf.DUMMYFUNCTION("""COMPUTED_VALUE"""),"Female")</f>
        <v>Female</v>
      </c>
      <c r="F1040" s="1">
        <f>IFERROR(__xludf.DUMMYFUNCTION("""COMPUTED_VALUE"""),16.0)</f>
        <v>16</v>
      </c>
      <c r="G1040" s="1">
        <f>IFERROR(__xludf.DUMMYFUNCTION("""COMPUTED_VALUE"""),86.0)</f>
        <v>86</v>
      </c>
      <c r="H1040" s="1">
        <f>IFERROR(__xludf.DUMMYFUNCTION("""COMPUTED_VALUE"""),37.0)</f>
        <v>37</v>
      </c>
      <c r="I1040" s="1">
        <f>IFERROR(__xludf.DUMMYFUNCTION("""COMPUTED_VALUE"""),77.0)</f>
        <v>77</v>
      </c>
      <c r="J1040" s="1">
        <f>IFERROR(__xludf.DUMMYFUNCTION("""COMPUTED_VALUE"""),75.0)</f>
        <v>75</v>
      </c>
      <c r="K1040" s="1">
        <f>IFERROR(__xludf.DUMMYFUNCTION("""COMPUTED_VALUE"""),26.0)</f>
        <v>26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 t="str">
        <f>IFERROR(__xludf.DUMMYFUNCTION("""COMPUTED_VALUE"""),"B")</f>
        <v>B</v>
      </c>
      <c r="E1041" s="1" t="str">
        <f>IFERROR(__xludf.DUMMYFUNCTION("""COMPUTED_VALUE"""),"Female")</f>
        <v>Female</v>
      </c>
      <c r="F1041" s="1">
        <f>IFERROR(__xludf.DUMMYFUNCTION("""COMPUTED_VALUE"""),75.0)</f>
        <v>75</v>
      </c>
      <c r="G1041" s="1">
        <f>IFERROR(__xludf.DUMMYFUNCTION("""COMPUTED_VALUE"""),89.0)</f>
        <v>89</v>
      </c>
      <c r="H1041" s="1">
        <f>IFERROR(__xludf.DUMMYFUNCTION("""COMPUTED_VALUE"""),71.0)</f>
        <v>71</v>
      </c>
      <c r="I1041" s="1">
        <f>IFERROR(__xludf.DUMMYFUNCTION("""COMPUTED_VALUE"""),41.0)</f>
        <v>41</v>
      </c>
      <c r="J1041" s="1">
        <f>IFERROR(__xludf.DUMMYFUNCTION("""COMPUTED_VALUE"""),20.0)</f>
        <v>20</v>
      </c>
      <c r="K1041" s="1">
        <f>IFERROR(__xludf.DUMMYFUNCTION("""COMPUTED_VALUE"""),54.0)</f>
        <v>54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 t="str">
        <f>IFERROR(__xludf.DUMMYFUNCTION("""COMPUTED_VALUE"""),"A")</f>
        <v>A</v>
      </c>
      <c r="E1042" s="1" t="str">
        <f>IFERROR(__xludf.DUMMYFUNCTION("""COMPUTED_VALUE"""),"Female")</f>
        <v>Female</v>
      </c>
      <c r="F1042" s="1">
        <f>IFERROR(__xludf.DUMMYFUNCTION("""COMPUTED_VALUE"""),34.0)</f>
        <v>34</v>
      </c>
      <c r="G1042" s="1">
        <f>IFERROR(__xludf.DUMMYFUNCTION("""COMPUTED_VALUE"""),24.0)</f>
        <v>24</v>
      </c>
      <c r="H1042" s="1">
        <f>IFERROR(__xludf.DUMMYFUNCTION("""COMPUTED_VALUE"""),69.0)</f>
        <v>69</v>
      </c>
      <c r="I1042" s="1">
        <f>IFERROR(__xludf.DUMMYFUNCTION("""COMPUTED_VALUE"""),21.0)</f>
        <v>21</v>
      </c>
      <c r="J1042" s="1">
        <f>IFERROR(__xludf.DUMMYFUNCTION("""COMPUTED_VALUE"""),23.0)</f>
        <v>23</v>
      </c>
      <c r="K1042" s="1">
        <f>IFERROR(__xludf.DUMMYFUNCTION("""COMPUTED_VALUE"""),68.0)</f>
        <v>68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 t="str">
        <f>IFERROR(__xludf.DUMMYFUNCTION("""COMPUTED_VALUE"""),"A")</f>
        <v>A</v>
      </c>
      <c r="E1043" s="1" t="str">
        <f>IFERROR(__xludf.DUMMYFUNCTION("""COMPUTED_VALUE"""),"Male")</f>
        <v>Male</v>
      </c>
      <c r="F1043" s="1">
        <f>IFERROR(__xludf.DUMMYFUNCTION("""COMPUTED_VALUE"""),95.0)</f>
        <v>95</v>
      </c>
      <c r="G1043" s="1">
        <f>IFERROR(__xludf.DUMMYFUNCTION("""COMPUTED_VALUE"""),29.0)</f>
        <v>29</v>
      </c>
      <c r="H1043" s="1">
        <f>IFERROR(__xludf.DUMMYFUNCTION("""COMPUTED_VALUE"""),68.0)</f>
        <v>68</v>
      </c>
      <c r="I1043" s="1">
        <f>IFERROR(__xludf.DUMMYFUNCTION("""COMPUTED_VALUE"""),90.0)</f>
        <v>90</v>
      </c>
      <c r="J1043" s="1">
        <f>IFERROR(__xludf.DUMMYFUNCTION("""COMPUTED_VALUE"""),24.0)</f>
        <v>24</v>
      </c>
      <c r="K1043" s="1">
        <f>IFERROR(__xludf.DUMMYFUNCTION("""COMPUTED_VALUE"""),38.0)</f>
        <v>38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 t="str">
        <f>IFERROR(__xludf.DUMMYFUNCTION("""COMPUTED_VALUE"""),"A")</f>
        <v>A</v>
      </c>
      <c r="E1044" s="1" t="str">
        <f>IFERROR(__xludf.DUMMYFUNCTION("""COMPUTED_VALUE"""),"Male")</f>
        <v>Male</v>
      </c>
      <c r="F1044" s="1">
        <f>IFERROR(__xludf.DUMMYFUNCTION("""COMPUTED_VALUE"""),82.0)</f>
        <v>82</v>
      </c>
      <c r="G1044" s="1">
        <f>IFERROR(__xludf.DUMMYFUNCTION("""COMPUTED_VALUE"""),85.0)</f>
        <v>85</v>
      </c>
      <c r="H1044" s="1">
        <f>IFERROR(__xludf.DUMMYFUNCTION("""COMPUTED_VALUE"""),58.0)</f>
        <v>58</v>
      </c>
      <c r="I1044" s="1">
        <f>IFERROR(__xludf.DUMMYFUNCTION("""COMPUTED_VALUE"""),54.0)</f>
        <v>54</v>
      </c>
      <c r="J1044" s="1">
        <f>IFERROR(__xludf.DUMMYFUNCTION("""COMPUTED_VALUE"""),40.0)</f>
        <v>40</v>
      </c>
      <c r="K1044" s="1">
        <f>IFERROR(__xludf.DUMMYFUNCTION("""COMPUTED_VALUE"""),85.0)</f>
        <v>85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 t="str">
        <f>IFERROR(__xludf.DUMMYFUNCTION("""COMPUTED_VALUE"""),"B")</f>
        <v>B</v>
      </c>
      <c r="E1045" s="1" t="str">
        <f>IFERROR(__xludf.DUMMYFUNCTION("""COMPUTED_VALUE"""),"Male")</f>
        <v>Male</v>
      </c>
      <c r="F1045" s="1">
        <f>IFERROR(__xludf.DUMMYFUNCTION("""COMPUTED_VALUE"""),82.0)</f>
        <v>82</v>
      </c>
      <c r="G1045" s="1">
        <f>IFERROR(__xludf.DUMMYFUNCTION("""COMPUTED_VALUE"""),82.0)</f>
        <v>82</v>
      </c>
      <c r="H1045" s="1">
        <f>IFERROR(__xludf.DUMMYFUNCTION("""COMPUTED_VALUE"""),24.0)</f>
        <v>24</v>
      </c>
      <c r="I1045" s="1">
        <f>IFERROR(__xludf.DUMMYFUNCTION("""COMPUTED_VALUE"""),84.0)</f>
        <v>84</v>
      </c>
      <c r="J1045" s="1">
        <f>IFERROR(__xludf.DUMMYFUNCTION("""COMPUTED_VALUE"""),33.0)</f>
        <v>33</v>
      </c>
      <c r="K1045" s="1">
        <f>IFERROR(__xludf.DUMMYFUNCTION("""COMPUTED_VALUE"""),36.0)</f>
        <v>36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 t="str">
        <f>IFERROR(__xludf.DUMMYFUNCTION("""COMPUTED_VALUE"""),"C")</f>
        <v>C</v>
      </c>
      <c r="E1046" s="1" t="str">
        <f>IFERROR(__xludf.DUMMYFUNCTION("""COMPUTED_VALUE"""),"Female")</f>
        <v>Female</v>
      </c>
      <c r="F1046" s="1">
        <f>IFERROR(__xludf.DUMMYFUNCTION("""COMPUTED_VALUE"""),59.0)</f>
        <v>59</v>
      </c>
      <c r="G1046" s="1">
        <f>IFERROR(__xludf.DUMMYFUNCTION("""COMPUTED_VALUE"""),71.0)</f>
        <v>71</v>
      </c>
      <c r="H1046" s="1">
        <f>IFERROR(__xludf.DUMMYFUNCTION("""COMPUTED_VALUE"""),32.0)</f>
        <v>32</v>
      </c>
      <c r="I1046" s="1">
        <f>IFERROR(__xludf.DUMMYFUNCTION("""COMPUTED_VALUE"""),97.0)</f>
        <v>97</v>
      </c>
      <c r="J1046" s="1">
        <f>IFERROR(__xludf.DUMMYFUNCTION("""COMPUTED_VALUE"""),92.0)</f>
        <v>92</v>
      </c>
      <c r="K1046" s="1">
        <f>IFERROR(__xludf.DUMMYFUNCTION("""COMPUTED_VALUE"""),58.0)</f>
        <v>58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 t="str">
        <f>IFERROR(__xludf.DUMMYFUNCTION("""COMPUTED_VALUE"""),"A")</f>
        <v>A</v>
      </c>
      <c r="E1047" s="1" t="str">
        <f>IFERROR(__xludf.DUMMYFUNCTION("""COMPUTED_VALUE"""),"Female")</f>
        <v>Female</v>
      </c>
      <c r="F1047" s="1">
        <f>IFERROR(__xludf.DUMMYFUNCTION("""COMPUTED_VALUE"""),83.0)</f>
        <v>83</v>
      </c>
      <c r="G1047" s="1">
        <f>IFERROR(__xludf.DUMMYFUNCTION("""COMPUTED_VALUE"""),55.0)</f>
        <v>55</v>
      </c>
      <c r="H1047" s="1">
        <f>IFERROR(__xludf.DUMMYFUNCTION("""COMPUTED_VALUE"""),45.0)</f>
        <v>45</v>
      </c>
      <c r="I1047" s="1">
        <f>IFERROR(__xludf.DUMMYFUNCTION("""COMPUTED_VALUE"""),99.0)</f>
        <v>99</v>
      </c>
      <c r="J1047" s="1">
        <f>IFERROR(__xludf.DUMMYFUNCTION("""COMPUTED_VALUE"""),41.0)</f>
        <v>41</v>
      </c>
      <c r="K1047" s="1">
        <f>IFERROR(__xludf.DUMMYFUNCTION("""COMPUTED_VALUE"""),23.0)</f>
        <v>23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 t="str">
        <f>IFERROR(__xludf.DUMMYFUNCTION("""COMPUTED_VALUE"""),"A")</f>
        <v>A</v>
      </c>
      <c r="E1048" s="1" t="str">
        <f>IFERROR(__xludf.DUMMYFUNCTION("""COMPUTED_VALUE"""),"Female")</f>
        <v>Female</v>
      </c>
      <c r="F1048" s="1">
        <f>IFERROR(__xludf.DUMMYFUNCTION("""COMPUTED_VALUE"""),71.0)</f>
        <v>71</v>
      </c>
      <c r="G1048" s="1">
        <f>IFERROR(__xludf.DUMMYFUNCTION("""COMPUTED_VALUE"""),79.0)</f>
        <v>79</v>
      </c>
      <c r="H1048" s="1">
        <f>IFERROR(__xludf.DUMMYFUNCTION("""COMPUTED_VALUE"""),50.0)</f>
        <v>50</v>
      </c>
      <c r="I1048" s="1">
        <f>IFERROR(__xludf.DUMMYFUNCTION("""COMPUTED_VALUE"""),72.0)</f>
        <v>72</v>
      </c>
      <c r="J1048" s="1">
        <f>IFERROR(__xludf.DUMMYFUNCTION("""COMPUTED_VALUE"""),50.0)</f>
        <v>50</v>
      </c>
      <c r="K1048" s="1">
        <f>IFERROR(__xludf.DUMMYFUNCTION("""COMPUTED_VALUE"""),78.0)</f>
        <v>78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 t="str">
        <f>IFERROR(__xludf.DUMMYFUNCTION("""COMPUTED_VALUE"""),"D")</f>
        <v>D</v>
      </c>
      <c r="E1049" s="1" t="str">
        <f>IFERROR(__xludf.DUMMYFUNCTION("""COMPUTED_VALUE"""),"Male")</f>
        <v>Male</v>
      </c>
      <c r="F1049" s="1">
        <f>IFERROR(__xludf.DUMMYFUNCTION("""COMPUTED_VALUE"""),10.0)</f>
        <v>10</v>
      </c>
      <c r="G1049" s="1">
        <f>IFERROR(__xludf.DUMMYFUNCTION("""COMPUTED_VALUE"""),68.0)</f>
        <v>68</v>
      </c>
      <c r="H1049" s="1">
        <f>IFERROR(__xludf.DUMMYFUNCTION("""COMPUTED_VALUE"""),47.0)</f>
        <v>47</v>
      </c>
      <c r="I1049" s="1">
        <f>IFERROR(__xludf.DUMMYFUNCTION("""COMPUTED_VALUE"""),68.0)</f>
        <v>68</v>
      </c>
      <c r="J1049" s="1">
        <f>IFERROR(__xludf.DUMMYFUNCTION("""COMPUTED_VALUE"""),45.0)</f>
        <v>45</v>
      </c>
      <c r="K1049" s="1">
        <f>IFERROR(__xludf.DUMMYFUNCTION("""COMPUTED_VALUE"""),32.0)</f>
        <v>32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 t="str">
        <f>IFERROR(__xludf.DUMMYFUNCTION("""COMPUTED_VALUE"""),"C")</f>
        <v>C</v>
      </c>
      <c r="E1050" s="1" t="str">
        <f>IFERROR(__xludf.DUMMYFUNCTION("""COMPUTED_VALUE"""),"Male")</f>
        <v>Male</v>
      </c>
      <c r="F1050" s="1">
        <f>IFERROR(__xludf.DUMMYFUNCTION("""COMPUTED_VALUE"""),85.0)</f>
        <v>85</v>
      </c>
      <c r="G1050" s="1">
        <f>IFERROR(__xludf.DUMMYFUNCTION("""COMPUTED_VALUE"""),83.0)</f>
        <v>83</v>
      </c>
      <c r="H1050" s="1">
        <f>IFERROR(__xludf.DUMMYFUNCTION("""COMPUTED_VALUE"""),38.0)</f>
        <v>38</v>
      </c>
      <c r="I1050" s="1">
        <f>IFERROR(__xludf.DUMMYFUNCTION("""COMPUTED_VALUE"""),73.0)</f>
        <v>73</v>
      </c>
      <c r="J1050" s="1">
        <f>IFERROR(__xludf.DUMMYFUNCTION("""COMPUTED_VALUE"""),68.0)</f>
        <v>68</v>
      </c>
      <c r="K1050" s="1">
        <f>IFERROR(__xludf.DUMMYFUNCTION("""COMPUTED_VALUE"""),36.0)</f>
        <v>36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 t="str">
        <f>IFERROR(__xludf.DUMMYFUNCTION("""COMPUTED_VALUE"""),"D")</f>
        <v>D</v>
      </c>
      <c r="E1051" s="1" t="str">
        <f>IFERROR(__xludf.DUMMYFUNCTION("""COMPUTED_VALUE"""),"Female")</f>
        <v>Female</v>
      </c>
      <c r="F1051" s="1">
        <f>IFERROR(__xludf.DUMMYFUNCTION("""COMPUTED_VALUE"""),88.0)</f>
        <v>88</v>
      </c>
      <c r="G1051" s="1">
        <f>IFERROR(__xludf.DUMMYFUNCTION("""COMPUTED_VALUE"""),76.0)</f>
        <v>76</v>
      </c>
      <c r="H1051" s="1">
        <f>IFERROR(__xludf.DUMMYFUNCTION("""COMPUTED_VALUE"""),96.0)</f>
        <v>96</v>
      </c>
      <c r="I1051" s="1">
        <f>IFERROR(__xludf.DUMMYFUNCTION("""COMPUTED_VALUE"""),24.0)</f>
        <v>24</v>
      </c>
      <c r="J1051" s="1">
        <f>IFERROR(__xludf.DUMMYFUNCTION("""COMPUTED_VALUE"""),29.0)</f>
        <v>29</v>
      </c>
      <c r="K1051" s="1">
        <f>IFERROR(__xludf.DUMMYFUNCTION("""COMPUTED_VALUE"""),32.0)</f>
        <v>32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 t="str">
        <f>IFERROR(__xludf.DUMMYFUNCTION("""COMPUTED_VALUE"""),"A")</f>
        <v>A</v>
      </c>
      <c r="E1052" s="1" t="str">
        <f>IFERROR(__xludf.DUMMYFUNCTION("""COMPUTED_VALUE"""),"Male")</f>
        <v>Male</v>
      </c>
      <c r="F1052" s="1">
        <f>IFERROR(__xludf.DUMMYFUNCTION("""COMPUTED_VALUE"""),44.0)</f>
        <v>44</v>
      </c>
      <c r="G1052" s="1">
        <f>IFERROR(__xludf.DUMMYFUNCTION("""COMPUTED_VALUE"""),25.0)</f>
        <v>25</v>
      </c>
      <c r="H1052" s="1">
        <f>IFERROR(__xludf.DUMMYFUNCTION("""COMPUTED_VALUE"""),49.0)</f>
        <v>49</v>
      </c>
      <c r="I1052" s="1">
        <f>IFERROR(__xludf.DUMMYFUNCTION("""COMPUTED_VALUE"""),44.0)</f>
        <v>44</v>
      </c>
      <c r="J1052" s="1">
        <f>IFERROR(__xludf.DUMMYFUNCTION("""COMPUTED_VALUE"""),86.0)</f>
        <v>86</v>
      </c>
      <c r="K1052" s="1">
        <f>IFERROR(__xludf.DUMMYFUNCTION("""COMPUTED_VALUE"""),39.0)</f>
        <v>39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 t="str">
        <f>IFERROR(__xludf.DUMMYFUNCTION("""COMPUTED_VALUE"""),"C")</f>
        <v>C</v>
      </c>
      <c r="E1053" s="1" t="str">
        <f>IFERROR(__xludf.DUMMYFUNCTION("""COMPUTED_VALUE"""),"Male")</f>
        <v>Male</v>
      </c>
      <c r="F1053" s="1">
        <f>IFERROR(__xludf.DUMMYFUNCTION("""COMPUTED_VALUE"""),34.0)</f>
        <v>34</v>
      </c>
      <c r="G1053" s="1">
        <f>IFERROR(__xludf.DUMMYFUNCTION("""COMPUTED_VALUE"""),33.0)</f>
        <v>33</v>
      </c>
      <c r="H1053" s="1">
        <f>IFERROR(__xludf.DUMMYFUNCTION("""COMPUTED_VALUE"""),34.0)</f>
        <v>34</v>
      </c>
      <c r="I1053" s="1">
        <f>IFERROR(__xludf.DUMMYFUNCTION("""COMPUTED_VALUE"""),92.0)</f>
        <v>92</v>
      </c>
      <c r="J1053" s="1">
        <f>IFERROR(__xludf.DUMMYFUNCTION("""COMPUTED_VALUE"""),25.0)</f>
        <v>25</v>
      </c>
      <c r="K1053" s="1">
        <f>IFERROR(__xludf.DUMMYFUNCTION("""COMPUTED_VALUE"""),96.0)</f>
        <v>96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 t="str">
        <f>IFERROR(__xludf.DUMMYFUNCTION("""COMPUTED_VALUE"""),"C")</f>
        <v>C</v>
      </c>
      <c r="E1054" s="1" t="str">
        <f>IFERROR(__xludf.DUMMYFUNCTION("""COMPUTED_VALUE"""),"Female")</f>
        <v>Female</v>
      </c>
      <c r="F1054" s="1">
        <f>IFERROR(__xludf.DUMMYFUNCTION("""COMPUTED_VALUE"""),51.0)</f>
        <v>51</v>
      </c>
      <c r="G1054" s="1">
        <f>IFERROR(__xludf.DUMMYFUNCTION("""COMPUTED_VALUE"""),43.0)</f>
        <v>43</v>
      </c>
      <c r="H1054" s="1">
        <f>IFERROR(__xludf.DUMMYFUNCTION("""COMPUTED_VALUE"""),29.0)</f>
        <v>29</v>
      </c>
      <c r="I1054" s="1">
        <f>IFERROR(__xludf.DUMMYFUNCTION("""COMPUTED_VALUE"""),98.0)</f>
        <v>98</v>
      </c>
      <c r="J1054" s="1">
        <f>IFERROR(__xludf.DUMMYFUNCTION("""COMPUTED_VALUE"""),73.0)</f>
        <v>73</v>
      </c>
      <c r="K1054" s="1">
        <f>IFERROR(__xludf.DUMMYFUNCTION("""COMPUTED_VALUE"""),94.0)</f>
        <v>94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 t="str">
        <f>IFERROR(__xludf.DUMMYFUNCTION("""COMPUTED_VALUE"""),"B")</f>
        <v>B</v>
      </c>
      <c r="E1055" s="1" t="str">
        <f>IFERROR(__xludf.DUMMYFUNCTION("""COMPUTED_VALUE"""),"Male")</f>
        <v>Male</v>
      </c>
      <c r="F1055" s="1">
        <f>IFERROR(__xludf.DUMMYFUNCTION("""COMPUTED_VALUE"""),84.0)</f>
        <v>84</v>
      </c>
      <c r="G1055" s="1">
        <f>IFERROR(__xludf.DUMMYFUNCTION("""COMPUTED_VALUE"""),21.0)</f>
        <v>21</v>
      </c>
      <c r="H1055" s="1">
        <f>IFERROR(__xludf.DUMMYFUNCTION("""COMPUTED_VALUE"""),20.0)</f>
        <v>20</v>
      </c>
      <c r="I1055" s="1">
        <f>IFERROR(__xludf.DUMMYFUNCTION("""COMPUTED_VALUE"""),44.0)</f>
        <v>44</v>
      </c>
      <c r="J1055" s="1">
        <f>IFERROR(__xludf.DUMMYFUNCTION("""COMPUTED_VALUE"""),50.0)</f>
        <v>50</v>
      </c>
      <c r="K1055" s="1">
        <f>IFERROR(__xludf.DUMMYFUNCTION("""COMPUTED_VALUE"""),85.0)</f>
        <v>85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 t="str">
        <f>IFERROR(__xludf.DUMMYFUNCTION("""COMPUTED_VALUE"""),"A")</f>
        <v>A</v>
      </c>
      <c r="E1056" s="1" t="str">
        <f>IFERROR(__xludf.DUMMYFUNCTION("""COMPUTED_VALUE"""),"Male")</f>
        <v>Male</v>
      </c>
      <c r="F1056" s="1">
        <f>IFERROR(__xludf.DUMMYFUNCTION("""COMPUTED_VALUE"""),87.0)</f>
        <v>87</v>
      </c>
      <c r="G1056" s="1">
        <f>IFERROR(__xludf.DUMMYFUNCTION("""COMPUTED_VALUE"""),77.0)</f>
        <v>77</v>
      </c>
      <c r="H1056" s="1">
        <f>IFERROR(__xludf.DUMMYFUNCTION("""COMPUTED_VALUE"""),69.0)</f>
        <v>69</v>
      </c>
      <c r="I1056" s="1">
        <f>IFERROR(__xludf.DUMMYFUNCTION("""COMPUTED_VALUE"""),70.0)</f>
        <v>70</v>
      </c>
      <c r="J1056" s="1">
        <f>IFERROR(__xludf.DUMMYFUNCTION("""COMPUTED_VALUE"""),79.0)</f>
        <v>79</v>
      </c>
      <c r="K1056" s="1">
        <f>IFERROR(__xludf.DUMMYFUNCTION("""COMPUTED_VALUE"""),61.0)</f>
        <v>61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 t="str">
        <f>IFERROR(__xludf.DUMMYFUNCTION("""COMPUTED_VALUE"""),"A")</f>
        <v>A</v>
      </c>
      <c r="E1057" s="1" t="str">
        <f>IFERROR(__xludf.DUMMYFUNCTION("""COMPUTED_VALUE"""),"Male")</f>
        <v>Male</v>
      </c>
      <c r="F1057" s="1">
        <f>IFERROR(__xludf.DUMMYFUNCTION("""COMPUTED_VALUE"""),99.0)</f>
        <v>99</v>
      </c>
      <c r="G1057" s="1">
        <f>IFERROR(__xludf.DUMMYFUNCTION("""COMPUTED_VALUE"""),65.0)</f>
        <v>65</v>
      </c>
      <c r="H1057" s="1">
        <f>IFERROR(__xludf.DUMMYFUNCTION("""COMPUTED_VALUE"""),57.0)</f>
        <v>57</v>
      </c>
      <c r="I1057" s="1">
        <f>IFERROR(__xludf.DUMMYFUNCTION("""COMPUTED_VALUE"""),21.0)</f>
        <v>21</v>
      </c>
      <c r="J1057" s="1">
        <f>IFERROR(__xludf.DUMMYFUNCTION("""COMPUTED_VALUE"""),55.0)</f>
        <v>55</v>
      </c>
      <c r="K1057" s="1">
        <f>IFERROR(__xludf.DUMMYFUNCTION("""COMPUTED_VALUE"""),92.0)</f>
        <v>92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 t="str">
        <f>IFERROR(__xludf.DUMMYFUNCTION("""COMPUTED_VALUE"""),"A")</f>
        <v>A</v>
      </c>
      <c r="E1058" s="1" t="str">
        <f>IFERROR(__xludf.DUMMYFUNCTION("""COMPUTED_VALUE"""),"Male")</f>
        <v>Male</v>
      </c>
      <c r="F1058" s="1">
        <f>IFERROR(__xludf.DUMMYFUNCTION("""COMPUTED_VALUE"""),12.0)</f>
        <v>12</v>
      </c>
      <c r="G1058" s="1">
        <f>IFERROR(__xludf.DUMMYFUNCTION("""COMPUTED_VALUE"""),99.0)</f>
        <v>99</v>
      </c>
      <c r="H1058" s="1">
        <f>IFERROR(__xludf.DUMMYFUNCTION("""COMPUTED_VALUE"""),75.0)</f>
        <v>75</v>
      </c>
      <c r="I1058" s="1">
        <f>IFERROR(__xludf.DUMMYFUNCTION("""COMPUTED_VALUE"""),24.0)</f>
        <v>24</v>
      </c>
      <c r="J1058" s="1">
        <f>IFERROR(__xludf.DUMMYFUNCTION("""COMPUTED_VALUE"""),47.0)</f>
        <v>47</v>
      </c>
      <c r="K1058" s="1">
        <f>IFERROR(__xludf.DUMMYFUNCTION("""COMPUTED_VALUE"""),99.0)</f>
        <v>99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 t="str">
        <f>IFERROR(__xludf.DUMMYFUNCTION("""COMPUTED_VALUE"""),"A")</f>
        <v>A</v>
      </c>
      <c r="E1059" s="1" t="str">
        <f>IFERROR(__xludf.DUMMYFUNCTION("""COMPUTED_VALUE"""),"Female")</f>
        <v>Female</v>
      </c>
      <c r="F1059" s="1">
        <f>IFERROR(__xludf.DUMMYFUNCTION("""COMPUTED_VALUE"""),10.0)</f>
        <v>10</v>
      </c>
      <c r="G1059" s="1">
        <f>IFERROR(__xludf.DUMMYFUNCTION("""COMPUTED_VALUE"""),25.0)</f>
        <v>25</v>
      </c>
      <c r="H1059" s="1">
        <f>IFERROR(__xludf.DUMMYFUNCTION("""COMPUTED_VALUE"""),25.0)</f>
        <v>25</v>
      </c>
      <c r="I1059" s="1">
        <f>IFERROR(__xludf.DUMMYFUNCTION("""COMPUTED_VALUE"""),71.0)</f>
        <v>71</v>
      </c>
      <c r="J1059" s="1">
        <f>IFERROR(__xludf.DUMMYFUNCTION("""COMPUTED_VALUE"""),38.0)</f>
        <v>38</v>
      </c>
      <c r="K1059" s="1">
        <f>IFERROR(__xludf.DUMMYFUNCTION("""COMPUTED_VALUE"""),45.0)</f>
        <v>45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 t="str">
        <f>IFERROR(__xludf.DUMMYFUNCTION("""COMPUTED_VALUE"""),"A")</f>
        <v>A</v>
      </c>
      <c r="E1060" s="1" t="str">
        <f>IFERROR(__xludf.DUMMYFUNCTION("""COMPUTED_VALUE"""),"Male")</f>
        <v>Male</v>
      </c>
      <c r="F1060" s="1">
        <f>IFERROR(__xludf.DUMMYFUNCTION("""COMPUTED_VALUE"""),57.0)</f>
        <v>57</v>
      </c>
      <c r="G1060" s="1">
        <f>IFERROR(__xludf.DUMMYFUNCTION("""COMPUTED_VALUE"""),99.0)</f>
        <v>99</v>
      </c>
      <c r="H1060" s="1">
        <f>IFERROR(__xludf.DUMMYFUNCTION("""COMPUTED_VALUE"""),52.0)</f>
        <v>52</v>
      </c>
      <c r="I1060" s="1">
        <f>IFERROR(__xludf.DUMMYFUNCTION("""COMPUTED_VALUE"""),34.0)</f>
        <v>34</v>
      </c>
      <c r="J1060" s="1">
        <f>IFERROR(__xludf.DUMMYFUNCTION("""COMPUTED_VALUE"""),97.0)</f>
        <v>97</v>
      </c>
      <c r="K1060" s="1">
        <f>IFERROR(__xludf.DUMMYFUNCTION("""COMPUTED_VALUE"""),26.0)</f>
        <v>26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 t="str">
        <f>IFERROR(__xludf.DUMMYFUNCTION("""COMPUTED_VALUE"""),"D")</f>
        <v>D</v>
      </c>
      <c r="E1061" s="1" t="str">
        <f>IFERROR(__xludf.DUMMYFUNCTION("""COMPUTED_VALUE"""),"Male")</f>
        <v>Male</v>
      </c>
      <c r="F1061" s="1">
        <f>IFERROR(__xludf.DUMMYFUNCTION("""COMPUTED_VALUE"""),57.0)</f>
        <v>57</v>
      </c>
      <c r="G1061" s="1">
        <f>IFERROR(__xludf.DUMMYFUNCTION("""COMPUTED_VALUE"""),60.0)</f>
        <v>60</v>
      </c>
      <c r="H1061" s="1">
        <f>IFERROR(__xludf.DUMMYFUNCTION("""COMPUTED_VALUE"""),31.0)</f>
        <v>31</v>
      </c>
      <c r="I1061" s="1">
        <f>IFERROR(__xludf.DUMMYFUNCTION("""COMPUTED_VALUE"""),32.0)</f>
        <v>32</v>
      </c>
      <c r="J1061" s="1">
        <f>IFERROR(__xludf.DUMMYFUNCTION("""COMPUTED_VALUE"""),68.0)</f>
        <v>68</v>
      </c>
      <c r="K1061" s="1">
        <f>IFERROR(__xludf.DUMMYFUNCTION("""COMPUTED_VALUE"""),67.0)</f>
        <v>67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 t="str">
        <f>IFERROR(__xludf.DUMMYFUNCTION("""COMPUTED_VALUE"""),"C")</f>
        <v>C</v>
      </c>
      <c r="E1062" s="1" t="str">
        <f>IFERROR(__xludf.DUMMYFUNCTION("""COMPUTED_VALUE"""),"Male")</f>
        <v>Male</v>
      </c>
      <c r="F1062" s="1">
        <f>IFERROR(__xludf.DUMMYFUNCTION("""COMPUTED_VALUE"""),62.0)</f>
        <v>62</v>
      </c>
      <c r="G1062" s="1">
        <f>IFERROR(__xludf.DUMMYFUNCTION("""COMPUTED_VALUE"""),23.0)</f>
        <v>23</v>
      </c>
      <c r="H1062" s="1">
        <f>IFERROR(__xludf.DUMMYFUNCTION("""COMPUTED_VALUE"""),24.0)</f>
        <v>24</v>
      </c>
      <c r="I1062" s="1">
        <f>IFERROR(__xludf.DUMMYFUNCTION("""COMPUTED_VALUE"""),96.0)</f>
        <v>96</v>
      </c>
      <c r="J1062" s="1">
        <f>IFERROR(__xludf.DUMMYFUNCTION("""COMPUTED_VALUE"""),94.0)</f>
        <v>94</v>
      </c>
      <c r="K1062" s="1">
        <f>IFERROR(__xludf.DUMMYFUNCTION("""COMPUTED_VALUE"""),24.0)</f>
        <v>24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 t="str">
        <f>IFERROR(__xludf.DUMMYFUNCTION("""COMPUTED_VALUE"""),"B")</f>
        <v>B</v>
      </c>
      <c r="E1063" s="1" t="str">
        <f>IFERROR(__xludf.DUMMYFUNCTION("""COMPUTED_VALUE"""),"Male")</f>
        <v>Male</v>
      </c>
      <c r="F1063" s="1">
        <f>IFERROR(__xludf.DUMMYFUNCTION("""COMPUTED_VALUE"""),27.0)</f>
        <v>27</v>
      </c>
      <c r="G1063" s="1">
        <f>IFERROR(__xludf.DUMMYFUNCTION("""COMPUTED_VALUE"""),61.0)</f>
        <v>61</v>
      </c>
      <c r="H1063" s="1">
        <f>IFERROR(__xludf.DUMMYFUNCTION("""COMPUTED_VALUE"""),50.0)</f>
        <v>50</v>
      </c>
      <c r="I1063" s="1">
        <f>IFERROR(__xludf.DUMMYFUNCTION("""COMPUTED_VALUE"""),75.0)</f>
        <v>75</v>
      </c>
      <c r="J1063" s="1">
        <f>IFERROR(__xludf.DUMMYFUNCTION("""COMPUTED_VALUE"""),81.0)</f>
        <v>81</v>
      </c>
      <c r="K1063" s="1">
        <f>IFERROR(__xludf.DUMMYFUNCTION("""COMPUTED_VALUE"""),46.0)</f>
        <v>46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 t="str">
        <f>IFERROR(__xludf.DUMMYFUNCTION("""COMPUTED_VALUE"""),"D")</f>
        <v>D</v>
      </c>
      <c r="E1064" s="1" t="str">
        <f>IFERROR(__xludf.DUMMYFUNCTION("""COMPUTED_VALUE"""),"Male")</f>
        <v>Male</v>
      </c>
      <c r="F1064" s="1">
        <f>IFERROR(__xludf.DUMMYFUNCTION("""COMPUTED_VALUE"""),89.0)</f>
        <v>89</v>
      </c>
      <c r="G1064" s="1">
        <f>IFERROR(__xludf.DUMMYFUNCTION("""COMPUTED_VALUE"""),32.0)</f>
        <v>32</v>
      </c>
      <c r="H1064" s="1">
        <f>IFERROR(__xludf.DUMMYFUNCTION("""COMPUTED_VALUE"""),32.0)</f>
        <v>32</v>
      </c>
      <c r="I1064" s="1">
        <f>IFERROR(__xludf.DUMMYFUNCTION("""COMPUTED_VALUE"""),92.0)</f>
        <v>92</v>
      </c>
      <c r="J1064" s="1">
        <f>IFERROR(__xludf.DUMMYFUNCTION("""COMPUTED_VALUE"""),94.0)</f>
        <v>94</v>
      </c>
      <c r="K1064" s="1">
        <f>IFERROR(__xludf.DUMMYFUNCTION("""COMPUTED_VALUE"""),69.0)</f>
        <v>69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 t="str">
        <f>IFERROR(__xludf.DUMMYFUNCTION("""COMPUTED_VALUE"""),"B")</f>
        <v>B</v>
      </c>
      <c r="E1065" s="1" t="str">
        <f>IFERROR(__xludf.DUMMYFUNCTION("""COMPUTED_VALUE"""),"Male")</f>
        <v>Male</v>
      </c>
      <c r="F1065" s="1">
        <f>IFERROR(__xludf.DUMMYFUNCTION("""COMPUTED_VALUE"""),96.0)</f>
        <v>96</v>
      </c>
      <c r="G1065" s="1">
        <f>IFERROR(__xludf.DUMMYFUNCTION("""COMPUTED_VALUE"""),56.0)</f>
        <v>56</v>
      </c>
      <c r="H1065" s="1">
        <f>IFERROR(__xludf.DUMMYFUNCTION("""COMPUTED_VALUE"""),46.0)</f>
        <v>46</v>
      </c>
      <c r="I1065" s="1">
        <f>IFERROR(__xludf.DUMMYFUNCTION("""COMPUTED_VALUE"""),84.0)</f>
        <v>84</v>
      </c>
      <c r="J1065" s="1">
        <f>IFERROR(__xludf.DUMMYFUNCTION("""COMPUTED_VALUE"""),83.0)</f>
        <v>83</v>
      </c>
      <c r="K1065" s="1">
        <f>IFERROR(__xludf.DUMMYFUNCTION("""COMPUTED_VALUE"""),22.0)</f>
        <v>22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 t="str">
        <f>IFERROR(__xludf.DUMMYFUNCTION("""COMPUTED_VALUE"""),"A")</f>
        <v>A</v>
      </c>
      <c r="E1066" s="1" t="str">
        <f>IFERROR(__xludf.DUMMYFUNCTION("""COMPUTED_VALUE"""),"Male")</f>
        <v>Male</v>
      </c>
      <c r="F1066" s="1">
        <f>IFERROR(__xludf.DUMMYFUNCTION("""COMPUTED_VALUE"""),85.0)</f>
        <v>85</v>
      </c>
      <c r="G1066" s="1">
        <f>IFERROR(__xludf.DUMMYFUNCTION("""COMPUTED_VALUE"""),74.0)</f>
        <v>74</v>
      </c>
      <c r="H1066" s="1">
        <f>IFERROR(__xludf.DUMMYFUNCTION("""COMPUTED_VALUE"""),29.0)</f>
        <v>29</v>
      </c>
      <c r="I1066" s="1">
        <f>IFERROR(__xludf.DUMMYFUNCTION("""COMPUTED_VALUE"""),23.0)</f>
        <v>23</v>
      </c>
      <c r="J1066" s="1">
        <f>IFERROR(__xludf.DUMMYFUNCTION("""COMPUTED_VALUE"""),40.0)</f>
        <v>40</v>
      </c>
      <c r="K1066" s="1">
        <f>IFERROR(__xludf.DUMMYFUNCTION("""COMPUTED_VALUE"""),86.0)</f>
        <v>86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 t="str">
        <f>IFERROR(__xludf.DUMMYFUNCTION("""COMPUTED_VALUE"""),"B")</f>
        <v>B</v>
      </c>
      <c r="E1067" s="1" t="str">
        <f>IFERROR(__xludf.DUMMYFUNCTION("""COMPUTED_VALUE"""),"Male")</f>
        <v>Male</v>
      </c>
      <c r="F1067" s="1">
        <f>IFERROR(__xludf.DUMMYFUNCTION("""COMPUTED_VALUE"""),11.0)</f>
        <v>11</v>
      </c>
      <c r="G1067" s="1">
        <f>IFERROR(__xludf.DUMMYFUNCTION("""COMPUTED_VALUE"""),39.0)</f>
        <v>39</v>
      </c>
      <c r="H1067" s="1">
        <f>IFERROR(__xludf.DUMMYFUNCTION("""COMPUTED_VALUE"""),56.0)</f>
        <v>56</v>
      </c>
      <c r="I1067" s="1">
        <f>IFERROR(__xludf.DUMMYFUNCTION("""COMPUTED_VALUE"""),88.0)</f>
        <v>88</v>
      </c>
      <c r="J1067" s="1">
        <f>IFERROR(__xludf.DUMMYFUNCTION("""COMPUTED_VALUE"""),45.0)</f>
        <v>45</v>
      </c>
      <c r="K1067" s="1">
        <f>IFERROR(__xludf.DUMMYFUNCTION("""COMPUTED_VALUE"""),69.0)</f>
        <v>69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 t="str">
        <f>IFERROR(__xludf.DUMMYFUNCTION("""COMPUTED_VALUE"""),"D")</f>
        <v>D</v>
      </c>
      <c r="E1068" s="1" t="str">
        <f>IFERROR(__xludf.DUMMYFUNCTION("""COMPUTED_VALUE"""),"Female")</f>
        <v>Female</v>
      </c>
      <c r="F1068" s="1">
        <f>IFERROR(__xludf.DUMMYFUNCTION("""COMPUTED_VALUE"""),54.0)</f>
        <v>54</v>
      </c>
      <c r="G1068" s="1">
        <f>IFERROR(__xludf.DUMMYFUNCTION("""COMPUTED_VALUE"""),48.0)</f>
        <v>48</v>
      </c>
      <c r="H1068" s="1">
        <f>IFERROR(__xludf.DUMMYFUNCTION("""COMPUTED_VALUE"""),78.0)</f>
        <v>78</v>
      </c>
      <c r="I1068" s="1">
        <f>IFERROR(__xludf.DUMMYFUNCTION("""COMPUTED_VALUE"""),25.0)</f>
        <v>25</v>
      </c>
      <c r="J1068" s="1">
        <f>IFERROR(__xludf.DUMMYFUNCTION("""COMPUTED_VALUE"""),43.0)</f>
        <v>43</v>
      </c>
      <c r="K1068" s="1">
        <f>IFERROR(__xludf.DUMMYFUNCTION("""COMPUTED_VALUE"""),87.0)</f>
        <v>87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 t="str">
        <f>IFERROR(__xludf.DUMMYFUNCTION("""COMPUTED_VALUE"""),"D")</f>
        <v>D</v>
      </c>
      <c r="E1069" s="1" t="str">
        <f>IFERROR(__xludf.DUMMYFUNCTION("""COMPUTED_VALUE"""),"Female")</f>
        <v>Female</v>
      </c>
      <c r="F1069" s="1">
        <f>IFERROR(__xludf.DUMMYFUNCTION("""COMPUTED_VALUE"""),27.0)</f>
        <v>27</v>
      </c>
      <c r="G1069" s="1">
        <f>IFERROR(__xludf.DUMMYFUNCTION("""COMPUTED_VALUE"""),73.0)</f>
        <v>73</v>
      </c>
      <c r="H1069" s="1">
        <f>IFERROR(__xludf.DUMMYFUNCTION("""COMPUTED_VALUE"""),76.0)</f>
        <v>76</v>
      </c>
      <c r="I1069" s="1">
        <f>IFERROR(__xludf.DUMMYFUNCTION("""COMPUTED_VALUE"""),44.0)</f>
        <v>44</v>
      </c>
      <c r="J1069" s="1">
        <f>IFERROR(__xludf.DUMMYFUNCTION("""COMPUTED_VALUE"""),24.0)</f>
        <v>24</v>
      </c>
      <c r="K1069" s="1">
        <f>IFERROR(__xludf.DUMMYFUNCTION("""COMPUTED_VALUE"""),26.0)</f>
        <v>26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 t="str">
        <f>IFERROR(__xludf.DUMMYFUNCTION("""COMPUTED_VALUE"""),"D")</f>
        <v>D</v>
      </c>
      <c r="E1070" s="1" t="str">
        <f>IFERROR(__xludf.DUMMYFUNCTION("""COMPUTED_VALUE"""),"Male")</f>
        <v>Male</v>
      </c>
      <c r="F1070" s="1">
        <f>IFERROR(__xludf.DUMMYFUNCTION("""COMPUTED_VALUE"""),64.0)</f>
        <v>64</v>
      </c>
      <c r="G1070" s="1">
        <f>IFERROR(__xludf.DUMMYFUNCTION("""COMPUTED_VALUE"""),55.0)</f>
        <v>55</v>
      </c>
      <c r="H1070" s="1">
        <f>IFERROR(__xludf.DUMMYFUNCTION("""COMPUTED_VALUE"""),72.0)</f>
        <v>72</v>
      </c>
      <c r="I1070" s="1">
        <f>IFERROR(__xludf.DUMMYFUNCTION("""COMPUTED_VALUE"""),81.0)</f>
        <v>81</v>
      </c>
      <c r="J1070" s="1">
        <f>IFERROR(__xludf.DUMMYFUNCTION("""COMPUTED_VALUE"""),76.0)</f>
        <v>76</v>
      </c>
      <c r="K1070" s="1">
        <f>IFERROR(__xludf.DUMMYFUNCTION("""COMPUTED_VALUE"""),40.0)</f>
        <v>40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 t="str">
        <f>IFERROR(__xludf.DUMMYFUNCTION("""COMPUTED_VALUE"""),"B")</f>
        <v>B</v>
      </c>
      <c r="E1071" s="1" t="str">
        <f>IFERROR(__xludf.DUMMYFUNCTION("""COMPUTED_VALUE"""),"Female")</f>
        <v>Female</v>
      </c>
      <c r="F1071" s="1">
        <f>IFERROR(__xludf.DUMMYFUNCTION("""COMPUTED_VALUE"""),51.0)</f>
        <v>51</v>
      </c>
      <c r="G1071" s="1">
        <f>IFERROR(__xludf.DUMMYFUNCTION("""COMPUTED_VALUE"""),93.0)</f>
        <v>93</v>
      </c>
      <c r="H1071" s="1">
        <f>IFERROR(__xludf.DUMMYFUNCTION("""COMPUTED_VALUE"""),47.0)</f>
        <v>47</v>
      </c>
      <c r="I1071" s="1">
        <f>IFERROR(__xludf.DUMMYFUNCTION("""COMPUTED_VALUE"""),89.0)</f>
        <v>89</v>
      </c>
      <c r="J1071" s="1">
        <f>IFERROR(__xludf.DUMMYFUNCTION("""COMPUTED_VALUE"""),63.0)</f>
        <v>63</v>
      </c>
      <c r="K1071" s="1">
        <f>IFERROR(__xludf.DUMMYFUNCTION("""COMPUTED_VALUE"""),61.0)</f>
        <v>61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 t="str">
        <f>IFERROR(__xludf.DUMMYFUNCTION("""COMPUTED_VALUE"""),"C")</f>
        <v>C</v>
      </c>
      <c r="E1072" s="1" t="str">
        <f>IFERROR(__xludf.DUMMYFUNCTION("""COMPUTED_VALUE"""),"Female")</f>
        <v>Female</v>
      </c>
      <c r="F1072" s="1">
        <f>IFERROR(__xludf.DUMMYFUNCTION("""COMPUTED_VALUE"""),18.0)</f>
        <v>18</v>
      </c>
      <c r="G1072" s="1">
        <f>IFERROR(__xludf.DUMMYFUNCTION("""COMPUTED_VALUE"""),83.0)</f>
        <v>83</v>
      </c>
      <c r="H1072" s="1">
        <f>IFERROR(__xludf.DUMMYFUNCTION("""COMPUTED_VALUE"""),23.0)</f>
        <v>23</v>
      </c>
      <c r="I1072" s="1">
        <f>IFERROR(__xludf.DUMMYFUNCTION("""COMPUTED_VALUE"""),95.0)</f>
        <v>95</v>
      </c>
      <c r="J1072" s="1">
        <f>IFERROR(__xludf.DUMMYFUNCTION("""COMPUTED_VALUE"""),98.0)</f>
        <v>98</v>
      </c>
      <c r="K1072" s="1">
        <f>IFERROR(__xludf.DUMMYFUNCTION("""COMPUTED_VALUE"""),78.0)</f>
        <v>78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 t="str">
        <f>IFERROR(__xludf.DUMMYFUNCTION("""COMPUTED_VALUE"""),"D")</f>
        <v>D</v>
      </c>
      <c r="E1073" s="1" t="str">
        <f>IFERROR(__xludf.DUMMYFUNCTION("""COMPUTED_VALUE"""),"Female")</f>
        <v>Female</v>
      </c>
      <c r="F1073" s="1">
        <f>IFERROR(__xludf.DUMMYFUNCTION("""COMPUTED_VALUE"""),17.0)</f>
        <v>17</v>
      </c>
      <c r="G1073" s="1">
        <f>IFERROR(__xludf.DUMMYFUNCTION("""COMPUTED_VALUE"""),95.0)</f>
        <v>95</v>
      </c>
      <c r="H1073" s="1">
        <f>IFERROR(__xludf.DUMMYFUNCTION("""COMPUTED_VALUE"""),69.0)</f>
        <v>69</v>
      </c>
      <c r="I1073" s="1">
        <f>IFERROR(__xludf.DUMMYFUNCTION("""COMPUTED_VALUE"""),88.0)</f>
        <v>88</v>
      </c>
      <c r="J1073" s="1">
        <f>IFERROR(__xludf.DUMMYFUNCTION("""COMPUTED_VALUE"""),57.0)</f>
        <v>57</v>
      </c>
      <c r="K1073" s="1">
        <f>IFERROR(__xludf.DUMMYFUNCTION("""COMPUTED_VALUE"""),25.0)</f>
        <v>25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 t="str">
        <f>IFERROR(__xludf.DUMMYFUNCTION("""COMPUTED_VALUE"""),"D")</f>
        <v>D</v>
      </c>
      <c r="E1074" s="1" t="str">
        <f>IFERROR(__xludf.DUMMYFUNCTION("""COMPUTED_VALUE"""),"Male")</f>
        <v>Male</v>
      </c>
      <c r="F1074" s="1">
        <f>IFERROR(__xludf.DUMMYFUNCTION("""COMPUTED_VALUE"""),87.0)</f>
        <v>87</v>
      </c>
      <c r="G1074" s="1">
        <f>IFERROR(__xludf.DUMMYFUNCTION("""COMPUTED_VALUE"""),31.0)</f>
        <v>31</v>
      </c>
      <c r="H1074" s="1">
        <f>IFERROR(__xludf.DUMMYFUNCTION("""COMPUTED_VALUE"""),61.0)</f>
        <v>61</v>
      </c>
      <c r="I1074" s="1">
        <f>IFERROR(__xludf.DUMMYFUNCTION("""COMPUTED_VALUE"""),64.0)</f>
        <v>64</v>
      </c>
      <c r="J1074" s="1">
        <f>IFERROR(__xludf.DUMMYFUNCTION("""COMPUTED_VALUE"""),24.0)</f>
        <v>24</v>
      </c>
      <c r="K1074" s="1">
        <f>IFERROR(__xludf.DUMMYFUNCTION("""COMPUTED_VALUE"""),48.0)</f>
        <v>48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 t="str">
        <f>IFERROR(__xludf.DUMMYFUNCTION("""COMPUTED_VALUE"""),"B")</f>
        <v>B</v>
      </c>
      <c r="E1075" s="1" t="str">
        <f>IFERROR(__xludf.DUMMYFUNCTION("""COMPUTED_VALUE"""),"Female")</f>
        <v>Female</v>
      </c>
      <c r="F1075" s="1">
        <f>IFERROR(__xludf.DUMMYFUNCTION("""COMPUTED_VALUE"""),20.0)</f>
        <v>20</v>
      </c>
      <c r="G1075" s="1">
        <f>IFERROR(__xludf.DUMMYFUNCTION("""COMPUTED_VALUE"""),84.0)</f>
        <v>84</v>
      </c>
      <c r="H1075" s="1">
        <f>IFERROR(__xludf.DUMMYFUNCTION("""COMPUTED_VALUE"""),93.0)</f>
        <v>93</v>
      </c>
      <c r="I1075" s="1">
        <f>IFERROR(__xludf.DUMMYFUNCTION("""COMPUTED_VALUE"""),69.0)</f>
        <v>69</v>
      </c>
      <c r="J1075" s="1">
        <f>IFERROR(__xludf.DUMMYFUNCTION("""COMPUTED_VALUE"""),62.0)</f>
        <v>62</v>
      </c>
      <c r="K1075" s="1">
        <f>IFERROR(__xludf.DUMMYFUNCTION("""COMPUTED_VALUE"""),87.0)</f>
        <v>87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 t="str">
        <f>IFERROR(__xludf.DUMMYFUNCTION("""COMPUTED_VALUE"""),"C")</f>
        <v>C</v>
      </c>
      <c r="E1076" s="1" t="str">
        <f>IFERROR(__xludf.DUMMYFUNCTION("""COMPUTED_VALUE"""),"Male")</f>
        <v>Male</v>
      </c>
      <c r="F1076" s="1">
        <f>IFERROR(__xludf.DUMMYFUNCTION("""COMPUTED_VALUE"""),36.0)</f>
        <v>36</v>
      </c>
      <c r="G1076" s="1">
        <f>IFERROR(__xludf.DUMMYFUNCTION("""COMPUTED_VALUE"""),55.0)</f>
        <v>55</v>
      </c>
      <c r="H1076" s="1">
        <f>IFERROR(__xludf.DUMMYFUNCTION("""COMPUTED_VALUE"""),43.0)</f>
        <v>43</v>
      </c>
      <c r="I1076" s="1">
        <f>IFERROR(__xludf.DUMMYFUNCTION("""COMPUTED_VALUE"""),56.0)</f>
        <v>56</v>
      </c>
      <c r="J1076" s="1">
        <f>IFERROR(__xludf.DUMMYFUNCTION("""COMPUTED_VALUE"""),78.0)</f>
        <v>78</v>
      </c>
      <c r="K1076" s="1">
        <f>IFERROR(__xludf.DUMMYFUNCTION("""COMPUTED_VALUE"""),27.0)</f>
        <v>27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 t="str">
        <f>IFERROR(__xludf.DUMMYFUNCTION("""COMPUTED_VALUE"""),"D")</f>
        <v>D</v>
      </c>
      <c r="E1077" s="1" t="str">
        <f>IFERROR(__xludf.DUMMYFUNCTION("""COMPUTED_VALUE"""),"Female")</f>
        <v>Female</v>
      </c>
      <c r="F1077" s="1">
        <f>IFERROR(__xludf.DUMMYFUNCTION("""COMPUTED_VALUE"""),74.0)</f>
        <v>74</v>
      </c>
      <c r="G1077" s="1">
        <f>IFERROR(__xludf.DUMMYFUNCTION("""COMPUTED_VALUE"""),39.0)</f>
        <v>39</v>
      </c>
      <c r="H1077" s="1">
        <f>IFERROR(__xludf.DUMMYFUNCTION("""COMPUTED_VALUE"""),59.0)</f>
        <v>59</v>
      </c>
      <c r="I1077" s="1">
        <f>IFERROR(__xludf.DUMMYFUNCTION("""COMPUTED_VALUE"""),30.0)</f>
        <v>30</v>
      </c>
      <c r="J1077" s="1">
        <f>IFERROR(__xludf.DUMMYFUNCTION("""COMPUTED_VALUE"""),43.0)</f>
        <v>43</v>
      </c>
      <c r="K1077" s="1">
        <f>IFERROR(__xludf.DUMMYFUNCTION("""COMPUTED_VALUE"""),99.0)</f>
        <v>99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 t="str">
        <f>IFERROR(__xludf.DUMMYFUNCTION("""COMPUTED_VALUE"""),"D")</f>
        <v>D</v>
      </c>
      <c r="E1078" s="1" t="str">
        <f>IFERROR(__xludf.DUMMYFUNCTION("""COMPUTED_VALUE"""),"Female")</f>
        <v>Female</v>
      </c>
      <c r="F1078" s="1">
        <f>IFERROR(__xludf.DUMMYFUNCTION("""COMPUTED_VALUE"""),55.0)</f>
        <v>55</v>
      </c>
      <c r="G1078" s="1">
        <f>IFERROR(__xludf.DUMMYFUNCTION("""COMPUTED_VALUE"""),79.0)</f>
        <v>79</v>
      </c>
      <c r="H1078" s="1">
        <f>IFERROR(__xludf.DUMMYFUNCTION("""COMPUTED_VALUE"""),91.0)</f>
        <v>91</v>
      </c>
      <c r="I1078" s="1">
        <f>IFERROR(__xludf.DUMMYFUNCTION("""COMPUTED_VALUE"""),33.0)</f>
        <v>33</v>
      </c>
      <c r="J1078" s="1">
        <f>IFERROR(__xludf.DUMMYFUNCTION("""COMPUTED_VALUE"""),84.0)</f>
        <v>84</v>
      </c>
      <c r="K1078" s="1">
        <f>IFERROR(__xludf.DUMMYFUNCTION("""COMPUTED_VALUE"""),40.0)</f>
        <v>40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 t="str">
        <f>IFERROR(__xludf.DUMMYFUNCTION("""COMPUTED_VALUE"""),"A")</f>
        <v>A</v>
      </c>
      <c r="E1079" s="1" t="str">
        <f>IFERROR(__xludf.DUMMYFUNCTION("""COMPUTED_VALUE"""),"Female")</f>
        <v>Female</v>
      </c>
      <c r="F1079" s="1">
        <f>IFERROR(__xludf.DUMMYFUNCTION("""COMPUTED_VALUE"""),79.0)</f>
        <v>79</v>
      </c>
      <c r="G1079" s="1">
        <f>IFERROR(__xludf.DUMMYFUNCTION("""COMPUTED_VALUE"""),30.0)</f>
        <v>30</v>
      </c>
      <c r="H1079" s="1">
        <f>IFERROR(__xludf.DUMMYFUNCTION("""COMPUTED_VALUE"""),86.0)</f>
        <v>86</v>
      </c>
      <c r="I1079" s="1">
        <f>IFERROR(__xludf.DUMMYFUNCTION("""COMPUTED_VALUE"""),62.0)</f>
        <v>62</v>
      </c>
      <c r="J1079" s="1">
        <f>IFERROR(__xludf.DUMMYFUNCTION("""COMPUTED_VALUE"""),83.0)</f>
        <v>83</v>
      </c>
      <c r="K1079" s="1">
        <f>IFERROR(__xludf.DUMMYFUNCTION("""COMPUTED_VALUE"""),96.0)</f>
        <v>96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 t="str">
        <f>IFERROR(__xludf.DUMMYFUNCTION("""COMPUTED_VALUE"""),"B")</f>
        <v>B</v>
      </c>
      <c r="E1080" s="1" t="str">
        <f>IFERROR(__xludf.DUMMYFUNCTION("""COMPUTED_VALUE"""),"Male")</f>
        <v>Male</v>
      </c>
      <c r="F1080" s="1">
        <f>IFERROR(__xludf.DUMMYFUNCTION("""COMPUTED_VALUE"""),65.0)</f>
        <v>65</v>
      </c>
      <c r="G1080" s="1">
        <f>IFERROR(__xludf.DUMMYFUNCTION("""COMPUTED_VALUE"""),86.0)</f>
        <v>86</v>
      </c>
      <c r="H1080" s="1">
        <f>IFERROR(__xludf.DUMMYFUNCTION("""COMPUTED_VALUE"""),46.0)</f>
        <v>46</v>
      </c>
      <c r="I1080" s="1">
        <f>IFERROR(__xludf.DUMMYFUNCTION("""COMPUTED_VALUE"""),77.0)</f>
        <v>77</v>
      </c>
      <c r="J1080" s="1">
        <f>IFERROR(__xludf.DUMMYFUNCTION("""COMPUTED_VALUE"""),73.0)</f>
        <v>73</v>
      </c>
      <c r="K1080" s="1">
        <f>IFERROR(__xludf.DUMMYFUNCTION("""COMPUTED_VALUE"""),74.0)</f>
        <v>74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 t="str">
        <f>IFERROR(__xludf.DUMMYFUNCTION("""COMPUTED_VALUE"""),"A")</f>
        <v>A</v>
      </c>
      <c r="E1081" s="1" t="str">
        <f>IFERROR(__xludf.DUMMYFUNCTION("""COMPUTED_VALUE"""),"Male")</f>
        <v>Male</v>
      </c>
      <c r="F1081" s="1">
        <f>IFERROR(__xludf.DUMMYFUNCTION("""COMPUTED_VALUE"""),96.0)</f>
        <v>96</v>
      </c>
      <c r="G1081" s="1">
        <f>IFERROR(__xludf.DUMMYFUNCTION("""COMPUTED_VALUE"""),34.0)</f>
        <v>34</v>
      </c>
      <c r="H1081" s="1">
        <f>IFERROR(__xludf.DUMMYFUNCTION("""COMPUTED_VALUE"""),45.0)</f>
        <v>45</v>
      </c>
      <c r="I1081" s="1">
        <f>IFERROR(__xludf.DUMMYFUNCTION("""COMPUTED_VALUE"""),33.0)</f>
        <v>33</v>
      </c>
      <c r="J1081" s="1">
        <f>IFERROR(__xludf.DUMMYFUNCTION("""COMPUTED_VALUE"""),44.0)</f>
        <v>44</v>
      </c>
      <c r="K1081" s="1">
        <f>IFERROR(__xludf.DUMMYFUNCTION("""COMPUTED_VALUE"""),63.0)</f>
        <v>63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 t="str">
        <f>IFERROR(__xludf.DUMMYFUNCTION("""COMPUTED_VALUE"""),"B")</f>
        <v>B</v>
      </c>
      <c r="E1082" s="1" t="str">
        <f>IFERROR(__xludf.DUMMYFUNCTION("""COMPUTED_VALUE"""),"Male")</f>
        <v>Male</v>
      </c>
      <c r="F1082" s="1">
        <f>IFERROR(__xludf.DUMMYFUNCTION("""COMPUTED_VALUE"""),57.0)</f>
        <v>57</v>
      </c>
      <c r="G1082" s="1">
        <f>IFERROR(__xludf.DUMMYFUNCTION("""COMPUTED_VALUE"""),39.0)</f>
        <v>39</v>
      </c>
      <c r="H1082" s="1">
        <f>IFERROR(__xludf.DUMMYFUNCTION("""COMPUTED_VALUE"""),64.0)</f>
        <v>64</v>
      </c>
      <c r="I1082" s="1">
        <f>IFERROR(__xludf.DUMMYFUNCTION("""COMPUTED_VALUE"""),35.0)</f>
        <v>35</v>
      </c>
      <c r="J1082" s="1">
        <f>IFERROR(__xludf.DUMMYFUNCTION("""COMPUTED_VALUE"""),40.0)</f>
        <v>40</v>
      </c>
      <c r="K1082" s="1">
        <f>IFERROR(__xludf.DUMMYFUNCTION("""COMPUTED_VALUE"""),20.0)</f>
        <v>20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 t="str">
        <f>IFERROR(__xludf.DUMMYFUNCTION("""COMPUTED_VALUE"""),"D")</f>
        <v>D</v>
      </c>
      <c r="E1083" s="1" t="str">
        <f>IFERROR(__xludf.DUMMYFUNCTION("""COMPUTED_VALUE"""),"Male")</f>
        <v>Male</v>
      </c>
      <c r="F1083" s="1">
        <f>IFERROR(__xludf.DUMMYFUNCTION("""COMPUTED_VALUE"""),62.0)</f>
        <v>62</v>
      </c>
      <c r="G1083" s="1">
        <f>IFERROR(__xludf.DUMMYFUNCTION("""COMPUTED_VALUE"""),27.0)</f>
        <v>27</v>
      </c>
      <c r="H1083" s="1">
        <f>IFERROR(__xludf.DUMMYFUNCTION("""COMPUTED_VALUE"""),66.0)</f>
        <v>66</v>
      </c>
      <c r="I1083" s="1">
        <f>IFERROR(__xludf.DUMMYFUNCTION("""COMPUTED_VALUE"""),26.0)</f>
        <v>26</v>
      </c>
      <c r="J1083" s="1">
        <f>IFERROR(__xludf.DUMMYFUNCTION("""COMPUTED_VALUE"""),47.0)</f>
        <v>47</v>
      </c>
      <c r="K1083" s="1">
        <f>IFERROR(__xludf.DUMMYFUNCTION("""COMPUTED_VALUE"""),36.0)</f>
        <v>36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 t="str">
        <f>IFERROR(__xludf.DUMMYFUNCTION("""COMPUTED_VALUE"""),"A")</f>
        <v>A</v>
      </c>
      <c r="E1084" s="1" t="str">
        <f>IFERROR(__xludf.DUMMYFUNCTION("""COMPUTED_VALUE"""),"Female")</f>
        <v>Female</v>
      </c>
      <c r="F1084" s="1">
        <f>IFERROR(__xludf.DUMMYFUNCTION("""COMPUTED_VALUE"""),65.0)</f>
        <v>65</v>
      </c>
      <c r="G1084" s="1">
        <f>IFERROR(__xludf.DUMMYFUNCTION("""COMPUTED_VALUE"""),44.0)</f>
        <v>44</v>
      </c>
      <c r="H1084" s="1">
        <f>IFERROR(__xludf.DUMMYFUNCTION("""COMPUTED_VALUE"""),78.0)</f>
        <v>78</v>
      </c>
      <c r="I1084" s="1">
        <f>IFERROR(__xludf.DUMMYFUNCTION("""COMPUTED_VALUE"""),96.0)</f>
        <v>96</v>
      </c>
      <c r="J1084" s="1">
        <f>IFERROR(__xludf.DUMMYFUNCTION("""COMPUTED_VALUE"""),43.0)</f>
        <v>43</v>
      </c>
      <c r="K1084" s="1">
        <f>IFERROR(__xludf.DUMMYFUNCTION("""COMPUTED_VALUE"""),57.0)</f>
        <v>57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 t="str">
        <f>IFERROR(__xludf.DUMMYFUNCTION("""COMPUTED_VALUE"""),"A")</f>
        <v>A</v>
      </c>
      <c r="E1085" s="1" t="str">
        <f>IFERROR(__xludf.DUMMYFUNCTION("""COMPUTED_VALUE"""),"Male")</f>
        <v>Male</v>
      </c>
      <c r="F1085" s="1">
        <f>IFERROR(__xludf.DUMMYFUNCTION("""COMPUTED_VALUE"""),11.0)</f>
        <v>11</v>
      </c>
      <c r="G1085" s="1">
        <f>IFERROR(__xludf.DUMMYFUNCTION("""COMPUTED_VALUE"""),65.0)</f>
        <v>65</v>
      </c>
      <c r="H1085" s="1">
        <f>IFERROR(__xludf.DUMMYFUNCTION("""COMPUTED_VALUE"""),36.0)</f>
        <v>36</v>
      </c>
      <c r="I1085" s="1">
        <f>IFERROR(__xludf.DUMMYFUNCTION("""COMPUTED_VALUE"""),51.0)</f>
        <v>51</v>
      </c>
      <c r="J1085" s="1">
        <f>IFERROR(__xludf.DUMMYFUNCTION("""COMPUTED_VALUE"""),39.0)</f>
        <v>39</v>
      </c>
      <c r="K1085" s="1">
        <f>IFERROR(__xludf.DUMMYFUNCTION("""COMPUTED_VALUE"""),32.0)</f>
        <v>32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 t="str">
        <f>IFERROR(__xludf.DUMMYFUNCTION("""COMPUTED_VALUE"""),"A")</f>
        <v>A</v>
      </c>
      <c r="E1086" s="1" t="str">
        <f>IFERROR(__xludf.DUMMYFUNCTION("""COMPUTED_VALUE"""),"Male")</f>
        <v>Male</v>
      </c>
      <c r="F1086" s="1">
        <f>IFERROR(__xludf.DUMMYFUNCTION("""COMPUTED_VALUE"""),63.0)</f>
        <v>63</v>
      </c>
      <c r="G1086" s="1">
        <f>IFERROR(__xludf.DUMMYFUNCTION("""COMPUTED_VALUE"""),56.0)</f>
        <v>56</v>
      </c>
      <c r="H1086" s="1">
        <f>IFERROR(__xludf.DUMMYFUNCTION("""COMPUTED_VALUE"""),88.0)</f>
        <v>88</v>
      </c>
      <c r="I1086" s="1">
        <f>IFERROR(__xludf.DUMMYFUNCTION("""COMPUTED_VALUE"""),77.0)</f>
        <v>77</v>
      </c>
      <c r="J1086" s="1">
        <f>IFERROR(__xludf.DUMMYFUNCTION("""COMPUTED_VALUE"""),97.0)</f>
        <v>97</v>
      </c>
      <c r="K1086" s="1">
        <f>IFERROR(__xludf.DUMMYFUNCTION("""COMPUTED_VALUE"""),62.0)</f>
        <v>62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 t="str">
        <f>IFERROR(__xludf.DUMMYFUNCTION("""COMPUTED_VALUE"""),"A")</f>
        <v>A</v>
      </c>
      <c r="E1087" s="1" t="str">
        <f>IFERROR(__xludf.DUMMYFUNCTION("""COMPUTED_VALUE"""),"Female")</f>
        <v>Female</v>
      </c>
      <c r="F1087" s="1">
        <f>IFERROR(__xludf.DUMMYFUNCTION("""COMPUTED_VALUE"""),66.0)</f>
        <v>66</v>
      </c>
      <c r="G1087" s="1">
        <f>IFERROR(__xludf.DUMMYFUNCTION("""COMPUTED_VALUE"""),72.0)</f>
        <v>72</v>
      </c>
      <c r="H1087" s="1">
        <f>IFERROR(__xludf.DUMMYFUNCTION("""COMPUTED_VALUE"""),32.0)</f>
        <v>32</v>
      </c>
      <c r="I1087" s="1">
        <f>IFERROR(__xludf.DUMMYFUNCTION("""COMPUTED_VALUE"""),69.0)</f>
        <v>69</v>
      </c>
      <c r="J1087" s="1">
        <f>IFERROR(__xludf.DUMMYFUNCTION("""COMPUTED_VALUE"""),34.0)</f>
        <v>34</v>
      </c>
      <c r="K1087" s="1">
        <f>IFERROR(__xludf.DUMMYFUNCTION("""COMPUTED_VALUE"""),33.0)</f>
        <v>33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 t="str">
        <f>IFERROR(__xludf.DUMMYFUNCTION("""COMPUTED_VALUE"""),"C")</f>
        <v>C</v>
      </c>
      <c r="E1088" s="1" t="str">
        <f>IFERROR(__xludf.DUMMYFUNCTION("""COMPUTED_VALUE"""),"Female")</f>
        <v>Female</v>
      </c>
      <c r="F1088" s="1">
        <f>IFERROR(__xludf.DUMMYFUNCTION("""COMPUTED_VALUE"""),81.0)</f>
        <v>81</v>
      </c>
      <c r="G1088" s="1">
        <f>IFERROR(__xludf.DUMMYFUNCTION("""COMPUTED_VALUE"""),46.0)</f>
        <v>46</v>
      </c>
      <c r="H1088" s="1">
        <f>IFERROR(__xludf.DUMMYFUNCTION("""COMPUTED_VALUE"""),73.0)</f>
        <v>73</v>
      </c>
      <c r="I1088" s="1">
        <f>IFERROR(__xludf.DUMMYFUNCTION("""COMPUTED_VALUE"""),33.0)</f>
        <v>33</v>
      </c>
      <c r="J1088" s="1">
        <f>IFERROR(__xludf.DUMMYFUNCTION("""COMPUTED_VALUE"""),50.0)</f>
        <v>50</v>
      </c>
      <c r="K1088" s="1">
        <f>IFERROR(__xludf.DUMMYFUNCTION("""COMPUTED_VALUE"""),55.0)</f>
        <v>55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 t="str">
        <f>IFERROR(__xludf.DUMMYFUNCTION("""COMPUTED_VALUE"""),"A")</f>
        <v>A</v>
      </c>
      <c r="E1089" s="1" t="str">
        <f>IFERROR(__xludf.DUMMYFUNCTION("""COMPUTED_VALUE"""),"Male")</f>
        <v>Male</v>
      </c>
      <c r="F1089" s="1">
        <f>IFERROR(__xludf.DUMMYFUNCTION("""COMPUTED_VALUE"""),56.0)</f>
        <v>56</v>
      </c>
      <c r="G1089" s="1">
        <f>IFERROR(__xludf.DUMMYFUNCTION("""COMPUTED_VALUE"""),71.0)</f>
        <v>71</v>
      </c>
      <c r="H1089" s="1">
        <f>IFERROR(__xludf.DUMMYFUNCTION("""COMPUTED_VALUE"""),77.0)</f>
        <v>77</v>
      </c>
      <c r="I1089" s="1">
        <f>IFERROR(__xludf.DUMMYFUNCTION("""COMPUTED_VALUE"""),29.0)</f>
        <v>29</v>
      </c>
      <c r="J1089" s="1">
        <f>IFERROR(__xludf.DUMMYFUNCTION("""COMPUTED_VALUE"""),83.0)</f>
        <v>83</v>
      </c>
      <c r="K1089" s="1">
        <f>IFERROR(__xludf.DUMMYFUNCTION("""COMPUTED_VALUE"""),33.0)</f>
        <v>33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 t="str">
        <f>IFERROR(__xludf.DUMMYFUNCTION("""COMPUTED_VALUE"""),"C")</f>
        <v>C</v>
      </c>
      <c r="E1090" s="1" t="str">
        <f>IFERROR(__xludf.DUMMYFUNCTION("""COMPUTED_VALUE"""),"Female")</f>
        <v>Female</v>
      </c>
      <c r="F1090" s="1">
        <f>IFERROR(__xludf.DUMMYFUNCTION("""COMPUTED_VALUE"""),77.0)</f>
        <v>77</v>
      </c>
      <c r="G1090" s="1">
        <f>IFERROR(__xludf.DUMMYFUNCTION("""COMPUTED_VALUE"""),69.0)</f>
        <v>69</v>
      </c>
      <c r="H1090" s="1">
        <f>IFERROR(__xludf.DUMMYFUNCTION("""COMPUTED_VALUE"""),47.0)</f>
        <v>47</v>
      </c>
      <c r="I1090" s="1">
        <f>IFERROR(__xludf.DUMMYFUNCTION("""COMPUTED_VALUE"""),60.0)</f>
        <v>60</v>
      </c>
      <c r="J1090" s="1">
        <f>IFERROR(__xludf.DUMMYFUNCTION("""COMPUTED_VALUE"""),95.0)</f>
        <v>95</v>
      </c>
      <c r="K1090" s="1">
        <f>IFERROR(__xludf.DUMMYFUNCTION("""COMPUTED_VALUE"""),36.0)</f>
        <v>36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 t="str">
        <f>IFERROR(__xludf.DUMMYFUNCTION("""COMPUTED_VALUE"""),"B")</f>
        <v>B</v>
      </c>
      <c r="E1091" s="1" t="str">
        <f>IFERROR(__xludf.DUMMYFUNCTION("""COMPUTED_VALUE"""),"Male")</f>
        <v>Male</v>
      </c>
      <c r="F1091" s="1">
        <f>IFERROR(__xludf.DUMMYFUNCTION("""COMPUTED_VALUE"""),80.0)</f>
        <v>80</v>
      </c>
      <c r="G1091" s="1">
        <f>IFERROR(__xludf.DUMMYFUNCTION("""COMPUTED_VALUE"""),36.0)</f>
        <v>36</v>
      </c>
      <c r="H1091" s="1">
        <f>IFERROR(__xludf.DUMMYFUNCTION("""COMPUTED_VALUE"""),80.0)</f>
        <v>80</v>
      </c>
      <c r="I1091" s="1">
        <f>IFERROR(__xludf.DUMMYFUNCTION("""COMPUTED_VALUE"""),71.0)</f>
        <v>71</v>
      </c>
      <c r="J1091" s="1">
        <f>IFERROR(__xludf.DUMMYFUNCTION("""COMPUTED_VALUE"""),42.0)</f>
        <v>42</v>
      </c>
      <c r="K1091" s="1">
        <f>IFERROR(__xludf.DUMMYFUNCTION("""COMPUTED_VALUE"""),78.0)</f>
        <v>78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 t="str">
        <f>IFERROR(__xludf.DUMMYFUNCTION("""COMPUTED_VALUE"""),"C")</f>
        <v>C</v>
      </c>
      <c r="E1092" s="1" t="str">
        <f>IFERROR(__xludf.DUMMYFUNCTION("""COMPUTED_VALUE"""),"Female")</f>
        <v>Female</v>
      </c>
      <c r="F1092" s="1">
        <f>IFERROR(__xludf.DUMMYFUNCTION("""COMPUTED_VALUE"""),77.0)</f>
        <v>77</v>
      </c>
      <c r="G1092" s="1">
        <f>IFERROR(__xludf.DUMMYFUNCTION("""COMPUTED_VALUE"""),70.0)</f>
        <v>70</v>
      </c>
      <c r="H1092" s="1">
        <f>IFERROR(__xludf.DUMMYFUNCTION("""COMPUTED_VALUE"""),61.0)</f>
        <v>61</v>
      </c>
      <c r="I1092" s="1">
        <f>IFERROR(__xludf.DUMMYFUNCTION("""COMPUTED_VALUE"""),23.0)</f>
        <v>23</v>
      </c>
      <c r="J1092" s="1">
        <f>IFERROR(__xludf.DUMMYFUNCTION("""COMPUTED_VALUE"""),82.0)</f>
        <v>82</v>
      </c>
      <c r="K1092" s="1">
        <f>IFERROR(__xludf.DUMMYFUNCTION("""COMPUTED_VALUE"""),27.0)</f>
        <v>27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 t="str">
        <f>IFERROR(__xludf.DUMMYFUNCTION("""COMPUTED_VALUE"""),"B")</f>
        <v>B</v>
      </c>
      <c r="E1093" s="1" t="str">
        <f>IFERROR(__xludf.DUMMYFUNCTION("""COMPUTED_VALUE"""),"Female")</f>
        <v>Female</v>
      </c>
      <c r="F1093" s="1">
        <f>IFERROR(__xludf.DUMMYFUNCTION("""COMPUTED_VALUE"""),64.0)</f>
        <v>64</v>
      </c>
      <c r="G1093" s="1">
        <f>IFERROR(__xludf.DUMMYFUNCTION("""COMPUTED_VALUE"""),65.0)</f>
        <v>65</v>
      </c>
      <c r="H1093" s="1">
        <f>IFERROR(__xludf.DUMMYFUNCTION("""COMPUTED_VALUE"""),45.0)</f>
        <v>45</v>
      </c>
      <c r="I1093" s="1">
        <f>IFERROR(__xludf.DUMMYFUNCTION("""COMPUTED_VALUE"""),85.0)</f>
        <v>85</v>
      </c>
      <c r="J1093" s="1">
        <f>IFERROR(__xludf.DUMMYFUNCTION("""COMPUTED_VALUE"""),36.0)</f>
        <v>36</v>
      </c>
      <c r="K1093" s="1">
        <f>IFERROR(__xludf.DUMMYFUNCTION("""COMPUTED_VALUE"""),39.0)</f>
        <v>39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 t="str">
        <f>IFERROR(__xludf.DUMMYFUNCTION("""COMPUTED_VALUE"""),"C")</f>
        <v>C</v>
      </c>
      <c r="E1094" s="1" t="str">
        <f>IFERROR(__xludf.DUMMYFUNCTION("""COMPUTED_VALUE"""),"Male")</f>
        <v>Male</v>
      </c>
      <c r="F1094" s="1">
        <f>IFERROR(__xludf.DUMMYFUNCTION("""COMPUTED_VALUE"""),50.0)</f>
        <v>50</v>
      </c>
      <c r="G1094" s="1">
        <f>IFERROR(__xludf.DUMMYFUNCTION("""COMPUTED_VALUE"""),30.0)</f>
        <v>30</v>
      </c>
      <c r="H1094" s="1">
        <f>IFERROR(__xludf.DUMMYFUNCTION("""COMPUTED_VALUE"""),87.0)</f>
        <v>87</v>
      </c>
      <c r="I1094" s="1">
        <f>IFERROR(__xludf.DUMMYFUNCTION("""COMPUTED_VALUE"""),46.0)</f>
        <v>46</v>
      </c>
      <c r="J1094" s="1">
        <f>IFERROR(__xludf.DUMMYFUNCTION("""COMPUTED_VALUE"""),85.0)</f>
        <v>85</v>
      </c>
      <c r="K1094" s="1">
        <f>IFERROR(__xludf.DUMMYFUNCTION("""COMPUTED_VALUE"""),92.0)</f>
        <v>92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 t="str">
        <f>IFERROR(__xludf.DUMMYFUNCTION("""COMPUTED_VALUE"""),"D")</f>
        <v>D</v>
      </c>
      <c r="E1095" s="1" t="str">
        <f>IFERROR(__xludf.DUMMYFUNCTION("""COMPUTED_VALUE"""),"Male")</f>
        <v>Male</v>
      </c>
      <c r="F1095" s="1">
        <f>IFERROR(__xludf.DUMMYFUNCTION("""COMPUTED_VALUE"""),54.0)</f>
        <v>54</v>
      </c>
      <c r="G1095" s="1">
        <f>IFERROR(__xludf.DUMMYFUNCTION("""COMPUTED_VALUE"""),31.0)</f>
        <v>31</v>
      </c>
      <c r="H1095" s="1">
        <f>IFERROR(__xludf.DUMMYFUNCTION("""COMPUTED_VALUE"""),26.0)</f>
        <v>26</v>
      </c>
      <c r="I1095" s="1">
        <f>IFERROR(__xludf.DUMMYFUNCTION("""COMPUTED_VALUE"""),43.0)</f>
        <v>43</v>
      </c>
      <c r="J1095" s="1">
        <f>IFERROR(__xludf.DUMMYFUNCTION("""COMPUTED_VALUE"""),59.0)</f>
        <v>59</v>
      </c>
      <c r="K1095" s="1">
        <f>IFERROR(__xludf.DUMMYFUNCTION("""COMPUTED_VALUE"""),82.0)</f>
        <v>82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 t="str">
        <f>IFERROR(__xludf.DUMMYFUNCTION("""COMPUTED_VALUE"""),"D")</f>
        <v>D</v>
      </c>
      <c r="E1096" s="1" t="str">
        <f>IFERROR(__xludf.DUMMYFUNCTION("""COMPUTED_VALUE"""),"Female")</f>
        <v>Female</v>
      </c>
      <c r="F1096" s="1">
        <f>IFERROR(__xludf.DUMMYFUNCTION("""COMPUTED_VALUE"""),97.0)</f>
        <v>97</v>
      </c>
      <c r="G1096" s="1">
        <f>IFERROR(__xludf.DUMMYFUNCTION("""COMPUTED_VALUE"""),24.0)</f>
        <v>24</v>
      </c>
      <c r="H1096" s="1">
        <f>IFERROR(__xludf.DUMMYFUNCTION("""COMPUTED_VALUE"""),88.0)</f>
        <v>88</v>
      </c>
      <c r="I1096" s="1">
        <f>IFERROR(__xludf.DUMMYFUNCTION("""COMPUTED_VALUE"""),72.0)</f>
        <v>72</v>
      </c>
      <c r="J1096" s="1">
        <f>IFERROR(__xludf.DUMMYFUNCTION("""COMPUTED_VALUE"""),98.0)</f>
        <v>98</v>
      </c>
      <c r="K1096" s="1">
        <f>IFERROR(__xludf.DUMMYFUNCTION("""COMPUTED_VALUE"""),20.0)</f>
        <v>20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 t="str">
        <f>IFERROR(__xludf.DUMMYFUNCTION("""COMPUTED_VALUE"""),"A")</f>
        <v>A</v>
      </c>
      <c r="E1097" s="1" t="str">
        <f>IFERROR(__xludf.DUMMYFUNCTION("""COMPUTED_VALUE"""),"Male")</f>
        <v>Male</v>
      </c>
      <c r="F1097" s="1">
        <f>IFERROR(__xludf.DUMMYFUNCTION("""COMPUTED_VALUE"""),86.0)</f>
        <v>86</v>
      </c>
      <c r="G1097" s="1">
        <f>IFERROR(__xludf.DUMMYFUNCTION("""COMPUTED_VALUE"""),55.0)</f>
        <v>55</v>
      </c>
      <c r="H1097" s="1">
        <f>IFERROR(__xludf.DUMMYFUNCTION("""COMPUTED_VALUE"""),25.0)</f>
        <v>25</v>
      </c>
      <c r="I1097" s="1">
        <f>IFERROR(__xludf.DUMMYFUNCTION("""COMPUTED_VALUE"""),93.0)</f>
        <v>93</v>
      </c>
      <c r="J1097" s="1">
        <f>IFERROR(__xludf.DUMMYFUNCTION("""COMPUTED_VALUE"""),41.0)</f>
        <v>41</v>
      </c>
      <c r="K1097" s="1">
        <f>IFERROR(__xludf.DUMMYFUNCTION("""COMPUTED_VALUE"""),75.0)</f>
        <v>75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 t="str">
        <f>IFERROR(__xludf.DUMMYFUNCTION("""COMPUTED_VALUE"""),"D")</f>
        <v>D</v>
      </c>
      <c r="E1098" s="1" t="str">
        <f>IFERROR(__xludf.DUMMYFUNCTION("""COMPUTED_VALUE"""),"Male")</f>
        <v>Male</v>
      </c>
      <c r="F1098" s="1">
        <f>IFERROR(__xludf.DUMMYFUNCTION("""COMPUTED_VALUE"""),16.0)</f>
        <v>16</v>
      </c>
      <c r="G1098" s="1">
        <f>IFERROR(__xludf.DUMMYFUNCTION("""COMPUTED_VALUE"""),80.0)</f>
        <v>80</v>
      </c>
      <c r="H1098" s="1">
        <f>IFERROR(__xludf.DUMMYFUNCTION("""COMPUTED_VALUE"""),52.0)</f>
        <v>52</v>
      </c>
      <c r="I1098" s="1">
        <f>IFERROR(__xludf.DUMMYFUNCTION("""COMPUTED_VALUE"""),73.0)</f>
        <v>73</v>
      </c>
      <c r="J1098" s="1">
        <f>IFERROR(__xludf.DUMMYFUNCTION("""COMPUTED_VALUE"""),97.0)</f>
        <v>97</v>
      </c>
      <c r="K1098" s="1">
        <f>IFERROR(__xludf.DUMMYFUNCTION("""COMPUTED_VALUE"""),70.0)</f>
        <v>70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 t="str">
        <f>IFERROR(__xludf.DUMMYFUNCTION("""COMPUTED_VALUE"""),"D")</f>
        <v>D</v>
      </c>
      <c r="E1099" s="1" t="str">
        <f>IFERROR(__xludf.DUMMYFUNCTION("""COMPUTED_VALUE"""),"Male")</f>
        <v>Male</v>
      </c>
      <c r="F1099" s="1">
        <f>IFERROR(__xludf.DUMMYFUNCTION("""COMPUTED_VALUE"""),44.0)</f>
        <v>44</v>
      </c>
      <c r="G1099" s="1">
        <f>IFERROR(__xludf.DUMMYFUNCTION("""COMPUTED_VALUE"""),53.0)</f>
        <v>53</v>
      </c>
      <c r="H1099" s="1">
        <f>IFERROR(__xludf.DUMMYFUNCTION("""COMPUTED_VALUE"""),70.0)</f>
        <v>70</v>
      </c>
      <c r="I1099" s="1">
        <f>IFERROR(__xludf.DUMMYFUNCTION("""COMPUTED_VALUE"""),90.0)</f>
        <v>90</v>
      </c>
      <c r="J1099" s="1">
        <f>IFERROR(__xludf.DUMMYFUNCTION("""COMPUTED_VALUE"""),40.0)</f>
        <v>40</v>
      </c>
      <c r="K1099" s="1">
        <f>IFERROR(__xludf.DUMMYFUNCTION("""COMPUTED_VALUE"""),61.0)</f>
        <v>61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 t="str">
        <f>IFERROR(__xludf.DUMMYFUNCTION("""COMPUTED_VALUE"""),"D")</f>
        <v>D</v>
      </c>
      <c r="E1100" s="1" t="str">
        <f>IFERROR(__xludf.DUMMYFUNCTION("""COMPUTED_VALUE"""),"Female")</f>
        <v>Female</v>
      </c>
      <c r="F1100" s="1">
        <f>IFERROR(__xludf.DUMMYFUNCTION("""COMPUTED_VALUE"""),77.0)</f>
        <v>77</v>
      </c>
      <c r="G1100" s="1">
        <f>IFERROR(__xludf.DUMMYFUNCTION("""COMPUTED_VALUE"""),76.0)</f>
        <v>76</v>
      </c>
      <c r="H1100" s="1">
        <f>IFERROR(__xludf.DUMMYFUNCTION("""COMPUTED_VALUE"""),20.0)</f>
        <v>20</v>
      </c>
      <c r="I1100" s="1">
        <f>IFERROR(__xludf.DUMMYFUNCTION("""COMPUTED_VALUE"""),28.0)</f>
        <v>28</v>
      </c>
      <c r="J1100" s="1">
        <f>IFERROR(__xludf.DUMMYFUNCTION("""COMPUTED_VALUE"""),90.0)</f>
        <v>90</v>
      </c>
      <c r="K1100" s="1">
        <f>IFERROR(__xludf.DUMMYFUNCTION("""COMPUTED_VALUE"""),21.0)</f>
        <v>21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 t="str">
        <f>IFERROR(__xludf.DUMMYFUNCTION("""COMPUTED_VALUE"""),"B")</f>
        <v>B</v>
      </c>
      <c r="E1101" s="1" t="str">
        <f>IFERROR(__xludf.DUMMYFUNCTION("""COMPUTED_VALUE"""),"Female")</f>
        <v>Female</v>
      </c>
      <c r="F1101" s="1">
        <f>IFERROR(__xludf.DUMMYFUNCTION("""COMPUTED_VALUE"""),48.0)</f>
        <v>48</v>
      </c>
      <c r="G1101" s="1">
        <f>IFERROR(__xludf.DUMMYFUNCTION("""COMPUTED_VALUE"""),69.0)</f>
        <v>69</v>
      </c>
      <c r="H1101" s="1">
        <f>IFERROR(__xludf.DUMMYFUNCTION("""COMPUTED_VALUE"""),86.0)</f>
        <v>86</v>
      </c>
      <c r="I1101" s="1">
        <f>IFERROR(__xludf.DUMMYFUNCTION("""COMPUTED_VALUE"""),26.0)</f>
        <v>26</v>
      </c>
      <c r="J1101" s="1">
        <f>IFERROR(__xludf.DUMMYFUNCTION("""COMPUTED_VALUE"""),58.0)</f>
        <v>58</v>
      </c>
      <c r="K1101" s="1">
        <f>IFERROR(__xludf.DUMMYFUNCTION("""COMPUTED_VALUE"""),60.0)</f>
        <v>60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 t="str">
        <f>IFERROR(__xludf.DUMMYFUNCTION("""COMPUTED_VALUE"""),"C")</f>
        <v>C</v>
      </c>
      <c r="E1102" s="1" t="str">
        <f>IFERROR(__xludf.DUMMYFUNCTION("""COMPUTED_VALUE"""),"Female")</f>
        <v>Female</v>
      </c>
      <c r="F1102" s="1">
        <f>IFERROR(__xludf.DUMMYFUNCTION("""COMPUTED_VALUE"""),41.0)</f>
        <v>41</v>
      </c>
      <c r="G1102" s="1">
        <f>IFERROR(__xludf.DUMMYFUNCTION("""COMPUTED_VALUE"""),68.0)</f>
        <v>68</v>
      </c>
      <c r="H1102" s="1">
        <f>IFERROR(__xludf.DUMMYFUNCTION("""COMPUTED_VALUE"""),37.0)</f>
        <v>37</v>
      </c>
      <c r="I1102" s="1">
        <f>IFERROR(__xludf.DUMMYFUNCTION("""COMPUTED_VALUE"""),57.0)</f>
        <v>57</v>
      </c>
      <c r="J1102" s="1">
        <f>IFERROR(__xludf.DUMMYFUNCTION("""COMPUTED_VALUE"""),74.0)</f>
        <v>74</v>
      </c>
      <c r="K1102" s="1">
        <f>IFERROR(__xludf.DUMMYFUNCTION("""COMPUTED_VALUE"""),97.0)</f>
        <v>97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 t="str">
        <f>IFERROR(__xludf.DUMMYFUNCTION("""COMPUTED_VALUE"""),"A")</f>
        <v>A</v>
      </c>
      <c r="E1103" s="1" t="str">
        <f>IFERROR(__xludf.DUMMYFUNCTION("""COMPUTED_VALUE"""),"Female")</f>
        <v>Female</v>
      </c>
      <c r="F1103" s="1">
        <f>IFERROR(__xludf.DUMMYFUNCTION("""COMPUTED_VALUE"""),95.0)</f>
        <v>95</v>
      </c>
      <c r="G1103" s="1">
        <f>IFERROR(__xludf.DUMMYFUNCTION("""COMPUTED_VALUE"""),30.0)</f>
        <v>30</v>
      </c>
      <c r="H1103" s="1">
        <f>IFERROR(__xludf.DUMMYFUNCTION("""COMPUTED_VALUE"""),41.0)</f>
        <v>41</v>
      </c>
      <c r="I1103" s="1">
        <f>IFERROR(__xludf.DUMMYFUNCTION("""COMPUTED_VALUE"""),56.0)</f>
        <v>56</v>
      </c>
      <c r="J1103" s="1">
        <f>IFERROR(__xludf.DUMMYFUNCTION("""COMPUTED_VALUE"""),87.0)</f>
        <v>87</v>
      </c>
      <c r="K1103" s="1">
        <f>IFERROR(__xludf.DUMMYFUNCTION("""COMPUTED_VALUE"""),51.0)</f>
        <v>51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 t="str">
        <f>IFERROR(__xludf.DUMMYFUNCTION("""COMPUTED_VALUE"""),"A")</f>
        <v>A</v>
      </c>
      <c r="E1104" s="1" t="str">
        <f>IFERROR(__xludf.DUMMYFUNCTION("""COMPUTED_VALUE"""),"Female")</f>
        <v>Female</v>
      </c>
      <c r="F1104" s="1">
        <f>IFERROR(__xludf.DUMMYFUNCTION("""COMPUTED_VALUE"""),48.0)</f>
        <v>48</v>
      </c>
      <c r="G1104" s="1">
        <f>IFERROR(__xludf.DUMMYFUNCTION("""COMPUTED_VALUE"""),82.0)</f>
        <v>82</v>
      </c>
      <c r="H1104" s="1">
        <f>IFERROR(__xludf.DUMMYFUNCTION("""COMPUTED_VALUE"""),77.0)</f>
        <v>77</v>
      </c>
      <c r="I1104" s="1">
        <f>IFERROR(__xludf.DUMMYFUNCTION("""COMPUTED_VALUE"""),75.0)</f>
        <v>75</v>
      </c>
      <c r="J1104" s="1">
        <f>IFERROR(__xludf.DUMMYFUNCTION("""COMPUTED_VALUE"""),43.0)</f>
        <v>43</v>
      </c>
      <c r="K1104" s="1">
        <f>IFERROR(__xludf.DUMMYFUNCTION("""COMPUTED_VALUE"""),63.0)</f>
        <v>63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 t="str">
        <f>IFERROR(__xludf.DUMMYFUNCTION("""COMPUTED_VALUE"""),"B")</f>
        <v>B</v>
      </c>
      <c r="E1105" s="1" t="str">
        <f>IFERROR(__xludf.DUMMYFUNCTION("""COMPUTED_VALUE"""),"Male")</f>
        <v>Male</v>
      </c>
      <c r="F1105" s="1">
        <f>IFERROR(__xludf.DUMMYFUNCTION("""COMPUTED_VALUE"""),53.0)</f>
        <v>53</v>
      </c>
      <c r="G1105" s="1">
        <f>IFERROR(__xludf.DUMMYFUNCTION("""COMPUTED_VALUE"""),55.0)</f>
        <v>55</v>
      </c>
      <c r="H1105" s="1">
        <f>IFERROR(__xludf.DUMMYFUNCTION("""COMPUTED_VALUE"""),48.0)</f>
        <v>48</v>
      </c>
      <c r="I1105" s="1">
        <f>IFERROR(__xludf.DUMMYFUNCTION("""COMPUTED_VALUE"""),66.0)</f>
        <v>66</v>
      </c>
      <c r="J1105" s="1">
        <f>IFERROR(__xludf.DUMMYFUNCTION("""COMPUTED_VALUE"""),66.0)</f>
        <v>66</v>
      </c>
      <c r="K1105" s="1">
        <f>IFERROR(__xludf.DUMMYFUNCTION("""COMPUTED_VALUE"""),58.0)</f>
        <v>58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 t="str">
        <f>IFERROR(__xludf.DUMMYFUNCTION("""COMPUTED_VALUE"""),"D")</f>
        <v>D</v>
      </c>
      <c r="E1106" s="1" t="str">
        <f>IFERROR(__xludf.DUMMYFUNCTION("""COMPUTED_VALUE"""),"Female")</f>
        <v>Female</v>
      </c>
      <c r="F1106" s="1">
        <f>IFERROR(__xludf.DUMMYFUNCTION("""COMPUTED_VALUE"""),77.0)</f>
        <v>77</v>
      </c>
      <c r="G1106" s="1">
        <f>IFERROR(__xludf.DUMMYFUNCTION("""COMPUTED_VALUE"""),39.0)</f>
        <v>39</v>
      </c>
      <c r="H1106" s="1">
        <f>IFERROR(__xludf.DUMMYFUNCTION("""COMPUTED_VALUE"""),54.0)</f>
        <v>54</v>
      </c>
      <c r="I1106" s="1">
        <f>IFERROR(__xludf.DUMMYFUNCTION("""COMPUTED_VALUE"""),89.0)</f>
        <v>89</v>
      </c>
      <c r="J1106" s="1">
        <f>IFERROR(__xludf.DUMMYFUNCTION("""COMPUTED_VALUE"""),86.0)</f>
        <v>86</v>
      </c>
      <c r="K1106" s="1">
        <f>IFERROR(__xludf.DUMMYFUNCTION("""COMPUTED_VALUE"""),35.0)</f>
        <v>35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 t="str">
        <f>IFERROR(__xludf.DUMMYFUNCTION("""COMPUTED_VALUE"""),"C")</f>
        <v>C</v>
      </c>
      <c r="E1107" s="1" t="str">
        <f>IFERROR(__xludf.DUMMYFUNCTION("""COMPUTED_VALUE"""),"Female")</f>
        <v>Female</v>
      </c>
      <c r="F1107" s="1">
        <f>IFERROR(__xludf.DUMMYFUNCTION("""COMPUTED_VALUE"""),45.0)</f>
        <v>45</v>
      </c>
      <c r="G1107" s="1">
        <f>IFERROR(__xludf.DUMMYFUNCTION("""COMPUTED_VALUE"""),50.0)</f>
        <v>50</v>
      </c>
      <c r="H1107" s="1">
        <f>IFERROR(__xludf.DUMMYFUNCTION("""COMPUTED_VALUE"""),58.0)</f>
        <v>58</v>
      </c>
      <c r="I1107" s="1">
        <f>IFERROR(__xludf.DUMMYFUNCTION("""COMPUTED_VALUE"""),32.0)</f>
        <v>32</v>
      </c>
      <c r="J1107" s="1">
        <f>IFERROR(__xludf.DUMMYFUNCTION("""COMPUTED_VALUE"""),86.0)</f>
        <v>86</v>
      </c>
      <c r="K1107" s="1">
        <f>IFERROR(__xludf.DUMMYFUNCTION("""COMPUTED_VALUE"""),90.0)</f>
        <v>90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 t="str">
        <f>IFERROR(__xludf.DUMMYFUNCTION("""COMPUTED_VALUE"""),"C")</f>
        <v>C</v>
      </c>
      <c r="E1108" s="1" t="str">
        <f>IFERROR(__xludf.DUMMYFUNCTION("""COMPUTED_VALUE"""),"Male")</f>
        <v>Male</v>
      </c>
      <c r="F1108" s="1">
        <f>IFERROR(__xludf.DUMMYFUNCTION("""COMPUTED_VALUE"""),98.0)</f>
        <v>98</v>
      </c>
      <c r="G1108" s="1">
        <f>IFERROR(__xludf.DUMMYFUNCTION("""COMPUTED_VALUE"""),73.0)</f>
        <v>73</v>
      </c>
      <c r="H1108" s="1">
        <f>IFERROR(__xludf.DUMMYFUNCTION("""COMPUTED_VALUE"""),30.0)</f>
        <v>30</v>
      </c>
      <c r="I1108" s="1">
        <f>IFERROR(__xludf.DUMMYFUNCTION("""COMPUTED_VALUE"""),49.0)</f>
        <v>49</v>
      </c>
      <c r="J1108" s="1">
        <f>IFERROR(__xludf.DUMMYFUNCTION("""COMPUTED_VALUE"""),76.0)</f>
        <v>76</v>
      </c>
      <c r="K1108" s="1">
        <f>IFERROR(__xludf.DUMMYFUNCTION("""COMPUTED_VALUE"""),25.0)</f>
        <v>25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 t="str">
        <f>IFERROR(__xludf.DUMMYFUNCTION("""COMPUTED_VALUE"""),"A")</f>
        <v>A</v>
      </c>
      <c r="E1109" s="1" t="str">
        <f>IFERROR(__xludf.DUMMYFUNCTION("""COMPUTED_VALUE"""),"Male")</f>
        <v>Male</v>
      </c>
      <c r="F1109" s="1">
        <f>IFERROR(__xludf.DUMMYFUNCTION("""COMPUTED_VALUE"""),48.0)</f>
        <v>48</v>
      </c>
      <c r="G1109" s="1">
        <f>IFERROR(__xludf.DUMMYFUNCTION("""COMPUTED_VALUE"""),99.0)</f>
        <v>99</v>
      </c>
      <c r="H1109" s="1">
        <f>IFERROR(__xludf.DUMMYFUNCTION("""COMPUTED_VALUE"""),24.0)</f>
        <v>24</v>
      </c>
      <c r="I1109" s="1">
        <f>IFERROR(__xludf.DUMMYFUNCTION("""COMPUTED_VALUE"""),61.0)</f>
        <v>61</v>
      </c>
      <c r="J1109" s="1">
        <f>IFERROR(__xludf.DUMMYFUNCTION("""COMPUTED_VALUE"""),65.0)</f>
        <v>65</v>
      </c>
      <c r="K1109" s="1">
        <f>IFERROR(__xludf.DUMMYFUNCTION("""COMPUTED_VALUE"""),97.0)</f>
        <v>97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 t="str">
        <f>IFERROR(__xludf.DUMMYFUNCTION("""COMPUTED_VALUE"""),"A")</f>
        <v>A</v>
      </c>
      <c r="E1110" s="1" t="str">
        <f>IFERROR(__xludf.DUMMYFUNCTION("""COMPUTED_VALUE"""),"Male")</f>
        <v>Male</v>
      </c>
      <c r="F1110" s="1">
        <f>IFERROR(__xludf.DUMMYFUNCTION("""COMPUTED_VALUE"""),17.0)</f>
        <v>17</v>
      </c>
      <c r="G1110" s="1">
        <f>IFERROR(__xludf.DUMMYFUNCTION("""COMPUTED_VALUE"""),31.0)</f>
        <v>31</v>
      </c>
      <c r="H1110" s="1">
        <f>IFERROR(__xludf.DUMMYFUNCTION("""COMPUTED_VALUE"""),78.0)</f>
        <v>78</v>
      </c>
      <c r="I1110" s="1">
        <f>IFERROR(__xludf.DUMMYFUNCTION("""COMPUTED_VALUE"""),50.0)</f>
        <v>50</v>
      </c>
      <c r="J1110" s="1">
        <f>IFERROR(__xludf.DUMMYFUNCTION("""COMPUTED_VALUE"""),78.0)</f>
        <v>78</v>
      </c>
      <c r="K1110" s="1">
        <f>IFERROR(__xludf.DUMMYFUNCTION("""COMPUTED_VALUE"""),67.0)</f>
        <v>67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 t="str">
        <f>IFERROR(__xludf.DUMMYFUNCTION("""COMPUTED_VALUE"""),"A")</f>
        <v>A</v>
      </c>
      <c r="E1111" s="1" t="str">
        <f>IFERROR(__xludf.DUMMYFUNCTION("""COMPUTED_VALUE"""),"Female")</f>
        <v>Female</v>
      </c>
      <c r="F1111" s="1">
        <f>IFERROR(__xludf.DUMMYFUNCTION("""COMPUTED_VALUE"""),77.0)</f>
        <v>77</v>
      </c>
      <c r="G1111" s="1">
        <f>IFERROR(__xludf.DUMMYFUNCTION("""COMPUTED_VALUE"""),21.0)</f>
        <v>21</v>
      </c>
      <c r="H1111" s="1">
        <f>IFERROR(__xludf.DUMMYFUNCTION("""COMPUTED_VALUE"""),20.0)</f>
        <v>20</v>
      </c>
      <c r="I1111" s="1">
        <f>IFERROR(__xludf.DUMMYFUNCTION("""COMPUTED_VALUE"""),68.0)</f>
        <v>68</v>
      </c>
      <c r="J1111" s="1">
        <f>IFERROR(__xludf.DUMMYFUNCTION("""COMPUTED_VALUE"""),46.0)</f>
        <v>46</v>
      </c>
      <c r="K1111" s="1">
        <f>IFERROR(__xludf.DUMMYFUNCTION("""COMPUTED_VALUE"""),78.0)</f>
        <v>78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 t="str">
        <f>IFERROR(__xludf.DUMMYFUNCTION("""COMPUTED_VALUE"""),"B")</f>
        <v>B</v>
      </c>
      <c r="E1112" s="1" t="str">
        <f>IFERROR(__xludf.DUMMYFUNCTION("""COMPUTED_VALUE"""),"Female")</f>
        <v>Female</v>
      </c>
      <c r="F1112" s="1">
        <f>IFERROR(__xludf.DUMMYFUNCTION("""COMPUTED_VALUE"""),88.0)</f>
        <v>88</v>
      </c>
      <c r="G1112" s="1">
        <f>IFERROR(__xludf.DUMMYFUNCTION("""COMPUTED_VALUE"""),62.0)</f>
        <v>62</v>
      </c>
      <c r="H1112" s="1">
        <f>IFERROR(__xludf.DUMMYFUNCTION("""COMPUTED_VALUE"""),86.0)</f>
        <v>86</v>
      </c>
      <c r="I1112" s="1">
        <f>IFERROR(__xludf.DUMMYFUNCTION("""COMPUTED_VALUE"""),32.0)</f>
        <v>32</v>
      </c>
      <c r="J1112" s="1">
        <f>IFERROR(__xludf.DUMMYFUNCTION("""COMPUTED_VALUE"""),86.0)</f>
        <v>86</v>
      </c>
      <c r="K1112" s="1">
        <f>IFERROR(__xludf.DUMMYFUNCTION("""COMPUTED_VALUE"""),49.0)</f>
        <v>49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 t="str">
        <f>IFERROR(__xludf.DUMMYFUNCTION("""COMPUTED_VALUE"""),"D")</f>
        <v>D</v>
      </c>
      <c r="E1113" s="1" t="str">
        <f>IFERROR(__xludf.DUMMYFUNCTION("""COMPUTED_VALUE"""),"Female")</f>
        <v>Female</v>
      </c>
      <c r="F1113" s="1">
        <f>IFERROR(__xludf.DUMMYFUNCTION("""COMPUTED_VALUE"""),28.0)</f>
        <v>28</v>
      </c>
      <c r="G1113" s="1">
        <f>IFERROR(__xludf.DUMMYFUNCTION("""COMPUTED_VALUE"""),72.0)</f>
        <v>72</v>
      </c>
      <c r="H1113" s="1">
        <f>IFERROR(__xludf.DUMMYFUNCTION("""COMPUTED_VALUE"""),88.0)</f>
        <v>88</v>
      </c>
      <c r="I1113" s="1">
        <f>IFERROR(__xludf.DUMMYFUNCTION("""COMPUTED_VALUE"""),54.0)</f>
        <v>54</v>
      </c>
      <c r="J1113" s="1">
        <f>IFERROR(__xludf.DUMMYFUNCTION("""COMPUTED_VALUE"""),79.0)</f>
        <v>79</v>
      </c>
      <c r="K1113" s="1">
        <f>IFERROR(__xludf.DUMMYFUNCTION("""COMPUTED_VALUE"""),70.0)</f>
        <v>70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 t="str">
        <f>IFERROR(__xludf.DUMMYFUNCTION("""COMPUTED_VALUE"""),"A")</f>
        <v>A</v>
      </c>
      <c r="E1114" s="1" t="str">
        <f>IFERROR(__xludf.DUMMYFUNCTION("""COMPUTED_VALUE"""),"Male")</f>
        <v>Male</v>
      </c>
      <c r="F1114" s="1">
        <f>IFERROR(__xludf.DUMMYFUNCTION("""COMPUTED_VALUE"""),72.0)</f>
        <v>72</v>
      </c>
      <c r="G1114" s="1">
        <f>IFERROR(__xludf.DUMMYFUNCTION("""COMPUTED_VALUE"""),51.0)</f>
        <v>51</v>
      </c>
      <c r="H1114" s="1">
        <f>IFERROR(__xludf.DUMMYFUNCTION("""COMPUTED_VALUE"""),68.0)</f>
        <v>68</v>
      </c>
      <c r="I1114" s="1">
        <f>IFERROR(__xludf.DUMMYFUNCTION("""COMPUTED_VALUE"""),82.0)</f>
        <v>82</v>
      </c>
      <c r="J1114" s="1">
        <f>IFERROR(__xludf.DUMMYFUNCTION("""COMPUTED_VALUE"""),82.0)</f>
        <v>82</v>
      </c>
      <c r="K1114" s="1">
        <f>IFERROR(__xludf.DUMMYFUNCTION("""COMPUTED_VALUE"""),39.0)</f>
        <v>39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 t="str">
        <f>IFERROR(__xludf.DUMMYFUNCTION("""COMPUTED_VALUE"""),"A")</f>
        <v>A</v>
      </c>
      <c r="E1115" s="1" t="str">
        <f>IFERROR(__xludf.DUMMYFUNCTION("""COMPUTED_VALUE"""),"Female")</f>
        <v>Female</v>
      </c>
      <c r="F1115" s="1">
        <f>IFERROR(__xludf.DUMMYFUNCTION("""COMPUTED_VALUE"""),77.0)</f>
        <v>77</v>
      </c>
      <c r="G1115" s="1">
        <f>IFERROR(__xludf.DUMMYFUNCTION("""COMPUTED_VALUE"""),35.0)</f>
        <v>35</v>
      </c>
      <c r="H1115" s="1">
        <f>IFERROR(__xludf.DUMMYFUNCTION("""COMPUTED_VALUE"""),85.0)</f>
        <v>85</v>
      </c>
      <c r="I1115" s="1">
        <f>IFERROR(__xludf.DUMMYFUNCTION("""COMPUTED_VALUE"""),65.0)</f>
        <v>65</v>
      </c>
      <c r="J1115" s="1">
        <f>IFERROR(__xludf.DUMMYFUNCTION("""COMPUTED_VALUE"""),22.0)</f>
        <v>22</v>
      </c>
      <c r="K1115" s="1">
        <f>IFERROR(__xludf.DUMMYFUNCTION("""COMPUTED_VALUE"""),31.0)</f>
        <v>31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 t="str">
        <f>IFERROR(__xludf.DUMMYFUNCTION("""COMPUTED_VALUE"""),"B")</f>
        <v>B</v>
      </c>
      <c r="E1116" s="1" t="str">
        <f>IFERROR(__xludf.DUMMYFUNCTION("""COMPUTED_VALUE"""),"Male")</f>
        <v>Male</v>
      </c>
      <c r="F1116" s="1">
        <f>IFERROR(__xludf.DUMMYFUNCTION("""COMPUTED_VALUE"""),66.0)</f>
        <v>66</v>
      </c>
      <c r="G1116" s="1">
        <f>IFERROR(__xludf.DUMMYFUNCTION("""COMPUTED_VALUE"""),51.0)</f>
        <v>51</v>
      </c>
      <c r="H1116" s="1">
        <f>IFERROR(__xludf.DUMMYFUNCTION("""COMPUTED_VALUE"""),58.0)</f>
        <v>58</v>
      </c>
      <c r="I1116" s="1">
        <f>IFERROR(__xludf.DUMMYFUNCTION("""COMPUTED_VALUE"""),95.0)</f>
        <v>95</v>
      </c>
      <c r="J1116" s="1">
        <f>IFERROR(__xludf.DUMMYFUNCTION("""COMPUTED_VALUE"""),45.0)</f>
        <v>45</v>
      </c>
      <c r="K1116" s="1">
        <f>IFERROR(__xludf.DUMMYFUNCTION("""COMPUTED_VALUE"""),81.0)</f>
        <v>81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 t="str">
        <f>IFERROR(__xludf.DUMMYFUNCTION("""COMPUTED_VALUE"""),"A")</f>
        <v>A</v>
      </c>
      <c r="E1117" s="1" t="str">
        <f>IFERROR(__xludf.DUMMYFUNCTION("""COMPUTED_VALUE"""),"Female")</f>
        <v>Female</v>
      </c>
      <c r="F1117" s="1">
        <f>IFERROR(__xludf.DUMMYFUNCTION("""COMPUTED_VALUE"""),11.0)</f>
        <v>11</v>
      </c>
      <c r="G1117" s="1">
        <f>IFERROR(__xludf.DUMMYFUNCTION("""COMPUTED_VALUE"""),69.0)</f>
        <v>69</v>
      </c>
      <c r="H1117" s="1">
        <f>IFERROR(__xludf.DUMMYFUNCTION("""COMPUTED_VALUE"""),20.0)</f>
        <v>20</v>
      </c>
      <c r="I1117" s="1">
        <f>IFERROR(__xludf.DUMMYFUNCTION("""COMPUTED_VALUE"""),66.0)</f>
        <v>66</v>
      </c>
      <c r="J1117" s="1">
        <f>IFERROR(__xludf.DUMMYFUNCTION("""COMPUTED_VALUE"""),76.0)</f>
        <v>76</v>
      </c>
      <c r="K1117" s="1">
        <f>IFERROR(__xludf.DUMMYFUNCTION("""COMPUTED_VALUE"""),83.0)</f>
        <v>83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 t="str">
        <f>IFERROR(__xludf.DUMMYFUNCTION("""COMPUTED_VALUE"""),"A")</f>
        <v>A</v>
      </c>
      <c r="E1118" s="1" t="str">
        <f>IFERROR(__xludf.DUMMYFUNCTION("""COMPUTED_VALUE"""),"Female")</f>
        <v>Female</v>
      </c>
      <c r="F1118" s="1">
        <f>IFERROR(__xludf.DUMMYFUNCTION("""COMPUTED_VALUE"""),70.0)</f>
        <v>70</v>
      </c>
      <c r="G1118" s="1">
        <f>IFERROR(__xludf.DUMMYFUNCTION("""COMPUTED_VALUE"""),90.0)</f>
        <v>90</v>
      </c>
      <c r="H1118" s="1">
        <f>IFERROR(__xludf.DUMMYFUNCTION("""COMPUTED_VALUE"""),32.0)</f>
        <v>32</v>
      </c>
      <c r="I1118" s="1">
        <f>IFERROR(__xludf.DUMMYFUNCTION("""COMPUTED_VALUE"""),30.0)</f>
        <v>30</v>
      </c>
      <c r="J1118" s="1">
        <f>IFERROR(__xludf.DUMMYFUNCTION("""COMPUTED_VALUE"""),61.0)</f>
        <v>61</v>
      </c>
      <c r="K1118" s="1">
        <f>IFERROR(__xludf.DUMMYFUNCTION("""COMPUTED_VALUE"""),49.0)</f>
        <v>49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 t="str">
        <f>IFERROR(__xludf.DUMMYFUNCTION("""COMPUTED_VALUE"""),"B")</f>
        <v>B</v>
      </c>
      <c r="E1119" s="1" t="str">
        <f>IFERROR(__xludf.DUMMYFUNCTION("""COMPUTED_VALUE"""),"Male")</f>
        <v>Male</v>
      </c>
      <c r="F1119" s="1">
        <f>IFERROR(__xludf.DUMMYFUNCTION("""COMPUTED_VALUE"""),77.0)</f>
        <v>77</v>
      </c>
      <c r="G1119" s="1">
        <f>IFERROR(__xludf.DUMMYFUNCTION("""COMPUTED_VALUE"""),86.0)</f>
        <v>86</v>
      </c>
      <c r="H1119" s="1">
        <f>IFERROR(__xludf.DUMMYFUNCTION("""COMPUTED_VALUE"""),56.0)</f>
        <v>56</v>
      </c>
      <c r="I1119" s="1">
        <f>IFERROR(__xludf.DUMMYFUNCTION("""COMPUTED_VALUE"""),32.0)</f>
        <v>32</v>
      </c>
      <c r="J1119" s="1">
        <f>IFERROR(__xludf.DUMMYFUNCTION("""COMPUTED_VALUE"""),26.0)</f>
        <v>26</v>
      </c>
      <c r="K1119" s="1">
        <f>IFERROR(__xludf.DUMMYFUNCTION("""COMPUTED_VALUE"""),87.0)</f>
        <v>87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 t="str">
        <f>IFERROR(__xludf.DUMMYFUNCTION("""COMPUTED_VALUE"""),"B")</f>
        <v>B</v>
      </c>
      <c r="E1120" s="1" t="str">
        <f>IFERROR(__xludf.DUMMYFUNCTION("""COMPUTED_VALUE"""),"Male")</f>
        <v>Male</v>
      </c>
      <c r="F1120" s="1">
        <f>IFERROR(__xludf.DUMMYFUNCTION("""COMPUTED_VALUE"""),50.0)</f>
        <v>50</v>
      </c>
      <c r="G1120" s="1">
        <f>IFERROR(__xludf.DUMMYFUNCTION("""COMPUTED_VALUE"""),64.0)</f>
        <v>64</v>
      </c>
      <c r="H1120" s="1">
        <f>IFERROR(__xludf.DUMMYFUNCTION("""COMPUTED_VALUE"""),73.0)</f>
        <v>73</v>
      </c>
      <c r="I1120" s="1">
        <f>IFERROR(__xludf.DUMMYFUNCTION("""COMPUTED_VALUE"""),49.0)</f>
        <v>49</v>
      </c>
      <c r="J1120" s="1">
        <f>IFERROR(__xludf.DUMMYFUNCTION("""COMPUTED_VALUE"""),68.0)</f>
        <v>68</v>
      </c>
      <c r="K1120" s="1">
        <f>IFERROR(__xludf.DUMMYFUNCTION("""COMPUTED_VALUE"""),30.0)</f>
        <v>30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 t="str">
        <f>IFERROR(__xludf.DUMMYFUNCTION("""COMPUTED_VALUE"""),"D")</f>
        <v>D</v>
      </c>
      <c r="E1121" s="1" t="str">
        <f>IFERROR(__xludf.DUMMYFUNCTION("""COMPUTED_VALUE"""),"Female")</f>
        <v>Female</v>
      </c>
      <c r="F1121" s="1">
        <f>IFERROR(__xludf.DUMMYFUNCTION("""COMPUTED_VALUE"""),80.0)</f>
        <v>80</v>
      </c>
      <c r="G1121" s="1">
        <f>IFERROR(__xludf.DUMMYFUNCTION("""COMPUTED_VALUE"""),69.0)</f>
        <v>69</v>
      </c>
      <c r="H1121" s="1">
        <f>IFERROR(__xludf.DUMMYFUNCTION("""COMPUTED_VALUE"""),74.0)</f>
        <v>74</v>
      </c>
      <c r="I1121" s="1">
        <f>IFERROR(__xludf.DUMMYFUNCTION("""COMPUTED_VALUE"""),76.0)</f>
        <v>76</v>
      </c>
      <c r="J1121" s="1">
        <f>IFERROR(__xludf.DUMMYFUNCTION("""COMPUTED_VALUE"""),30.0)</f>
        <v>30</v>
      </c>
      <c r="K1121" s="1">
        <f>IFERROR(__xludf.DUMMYFUNCTION("""COMPUTED_VALUE"""),76.0)</f>
        <v>76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 t="str">
        <f>IFERROR(__xludf.DUMMYFUNCTION("""COMPUTED_VALUE"""),"D")</f>
        <v>D</v>
      </c>
      <c r="E1122" s="1" t="str">
        <f>IFERROR(__xludf.DUMMYFUNCTION("""COMPUTED_VALUE"""),"Male")</f>
        <v>Male</v>
      </c>
      <c r="F1122" s="1">
        <f>IFERROR(__xludf.DUMMYFUNCTION("""COMPUTED_VALUE"""),14.0)</f>
        <v>14</v>
      </c>
      <c r="G1122" s="1">
        <f>IFERROR(__xludf.DUMMYFUNCTION("""COMPUTED_VALUE"""),44.0)</f>
        <v>44</v>
      </c>
      <c r="H1122" s="1">
        <f>IFERROR(__xludf.DUMMYFUNCTION("""COMPUTED_VALUE"""),54.0)</f>
        <v>54</v>
      </c>
      <c r="I1122" s="1">
        <f>IFERROR(__xludf.DUMMYFUNCTION("""COMPUTED_VALUE"""),76.0)</f>
        <v>76</v>
      </c>
      <c r="J1122" s="1">
        <f>IFERROR(__xludf.DUMMYFUNCTION("""COMPUTED_VALUE"""),48.0)</f>
        <v>48</v>
      </c>
      <c r="K1122" s="1">
        <f>IFERROR(__xludf.DUMMYFUNCTION("""COMPUTED_VALUE"""),95.0)</f>
        <v>95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 t="str">
        <f>IFERROR(__xludf.DUMMYFUNCTION("""COMPUTED_VALUE"""),"D")</f>
        <v>D</v>
      </c>
      <c r="E1123" s="1" t="str">
        <f>IFERROR(__xludf.DUMMYFUNCTION("""COMPUTED_VALUE"""),"Male")</f>
        <v>Male</v>
      </c>
      <c r="F1123" s="1">
        <f>IFERROR(__xludf.DUMMYFUNCTION("""COMPUTED_VALUE"""),100.0)</f>
        <v>100</v>
      </c>
      <c r="G1123" s="1">
        <f>IFERROR(__xludf.DUMMYFUNCTION("""COMPUTED_VALUE"""),77.0)</f>
        <v>77</v>
      </c>
      <c r="H1123" s="1">
        <f>IFERROR(__xludf.DUMMYFUNCTION("""COMPUTED_VALUE"""),63.0)</f>
        <v>63</v>
      </c>
      <c r="I1123" s="1">
        <f>IFERROR(__xludf.DUMMYFUNCTION("""COMPUTED_VALUE"""),63.0)</f>
        <v>63</v>
      </c>
      <c r="J1123" s="1">
        <f>IFERROR(__xludf.DUMMYFUNCTION("""COMPUTED_VALUE"""),80.0)</f>
        <v>80</v>
      </c>
      <c r="K1123" s="1">
        <f>IFERROR(__xludf.DUMMYFUNCTION("""COMPUTED_VALUE"""),55.0)</f>
        <v>55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 t="str">
        <f>IFERROR(__xludf.DUMMYFUNCTION("""COMPUTED_VALUE"""),"B")</f>
        <v>B</v>
      </c>
      <c r="E1124" s="1" t="str">
        <f>IFERROR(__xludf.DUMMYFUNCTION("""COMPUTED_VALUE"""),"Male")</f>
        <v>Male</v>
      </c>
      <c r="F1124" s="1">
        <f>IFERROR(__xludf.DUMMYFUNCTION("""COMPUTED_VALUE"""),99.0)</f>
        <v>99</v>
      </c>
      <c r="G1124" s="1">
        <f>IFERROR(__xludf.DUMMYFUNCTION("""COMPUTED_VALUE"""),49.0)</f>
        <v>49</v>
      </c>
      <c r="H1124" s="1">
        <f>IFERROR(__xludf.DUMMYFUNCTION("""COMPUTED_VALUE"""),51.0)</f>
        <v>51</v>
      </c>
      <c r="I1124" s="1">
        <f>IFERROR(__xludf.DUMMYFUNCTION("""COMPUTED_VALUE"""),95.0)</f>
        <v>95</v>
      </c>
      <c r="J1124" s="1">
        <f>IFERROR(__xludf.DUMMYFUNCTION("""COMPUTED_VALUE"""),37.0)</f>
        <v>37</v>
      </c>
      <c r="K1124" s="1">
        <f>IFERROR(__xludf.DUMMYFUNCTION("""COMPUTED_VALUE"""),58.0)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 t="str">
        <f>IFERROR(__xludf.DUMMYFUNCTION("""COMPUTED_VALUE"""),"D")</f>
        <v>D</v>
      </c>
      <c r="E1125" s="1" t="str">
        <f>IFERROR(__xludf.DUMMYFUNCTION("""COMPUTED_VALUE"""),"Male")</f>
        <v>Male</v>
      </c>
      <c r="F1125" s="1">
        <f>IFERROR(__xludf.DUMMYFUNCTION("""COMPUTED_VALUE"""),77.0)</f>
        <v>77</v>
      </c>
      <c r="G1125" s="1">
        <f>IFERROR(__xludf.DUMMYFUNCTION("""COMPUTED_VALUE"""),54.0)</f>
        <v>54</v>
      </c>
      <c r="H1125" s="1">
        <f>IFERROR(__xludf.DUMMYFUNCTION("""COMPUTED_VALUE"""),67.0)</f>
        <v>67</v>
      </c>
      <c r="I1125" s="1">
        <f>IFERROR(__xludf.DUMMYFUNCTION("""COMPUTED_VALUE"""),82.0)</f>
        <v>82</v>
      </c>
      <c r="J1125" s="1">
        <f>IFERROR(__xludf.DUMMYFUNCTION("""COMPUTED_VALUE"""),94.0)</f>
        <v>94</v>
      </c>
      <c r="K1125" s="1">
        <f>IFERROR(__xludf.DUMMYFUNCTION("""COMPUTED_VALUE"""),90.0)</f>
        <v>90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 t="str">
        <f>IFERROR(__xludf.DUMMYFUNCTION("""COMPUTED_VALUE"""),"C")</f>
        <v>C</v>
      </c>
      <c r="E1126" s="1" t="str">
        <f>IFERROR(__xludf.DUMMYFUNCTION("""COMPUTED_VALUE"""),"Female")</f>
        <v>Female</v>
      </c>
      <c r="F1126" s="1">
        <f>IFERROR(__xludf.DUMMYFUNCTION("""COMPUTED_VALUE"""),12.0)</f>
        <v>12</v>
      </c>
      <c r="G1126" s="1">
        <f>IFERROR(__xludf.DUMMYFUNCTION("""COMPUTED_VALUE"""),86.0)</f>
        <v>86</v>
      </c>
      <c r="H1126" s="1">
        <f>IFERROR(__xludf.DUMMYFUNCTION("""COMPUTED_VALUE"""),70.0)</f>
        <v>70</v>
      </c>
      <c r="I1126" s="1">
        <f>IFERROR(__xludf.DUMMYFUNCTION("""COMPUTED_VALUE"""),73.0)</f>
        <v>73</v>
      </c>
      <c r="J1126" s="1">
        <f>IFERROR(__xludf.DUMMYFUNCTION("""COMPUTED_VALUE"""),36.0)</f>
        <v>36</v>
      </c>
      <c r="K1126" s="1">
        <f>IFERROR(__xludf.DUMMYFUNCTION("""COMPUTED_VALUE"""),30.0)</f>
        <v>30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 t="str">
        <f>IFERROR(__xludf.DUMMYFUNCTION("""COMPUTED_VALUE"""),"A")</f>
        <v>A</v>
      </c>
      <c r="E1127" s="1" t="str">
        <f>IFERROR(__xludf.DUMMYFUNCTION("""COMPUTED_VALUE"""),"Male")</f>
        <v>Male</v>
      </c>
      <c r="F1127" s="1">
        <f>IFERROR(__xludf.DUMMYFUNCTION("""COMPUTED_VALUE"""),75.0)</f>
        <v>75</v>
      </c>
      <c r="G1127" s="1">
        <f>IFERROR(__xludf.DUMMYFUNCTION("""COMPUTED_VALUE"""),95.0)</f>
        <v>95</v>
      </c>
      <c r="H1127" s="1">
        <f>IFERROR(__xludf.DUMMYFUNCTION("""COMPUTED_VALUE"""),28.0)</f>
        <v>28</v>
      </c>
      <c r="I1127" s="1">
        <f>IFERROR(__xludf.DUMMYFUNCTION("""COMPUTED_VALUE"""),95.0)</f>
        <v>95</v>
      </c>
      <c r="J1127" s="1">
        <f>IFERROR(__xludf.DUMMYFUNCTION("""COMPUTED_VALUE"""),65.0)</f>
        <v>65</v>
      </c>
      <c r="K1127" s="1">
        <f>IFERROR(__xludf.DUMMYFUNCTION("""COMPUTED_VALUE"""),26.0)</f>
        <v>26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 t="str">
        <f>IFERROR(__xludf.DUMMYFUNCTION("""COMPUTED_VALUE"""),"A")</f>
        <v>A</v>
      </c>
      <c r="E1128" s="1" t="str">
        <f>IFERROR(__xludf.DUMMYFUNCTION("""COMPUTED_VALUE"""),"Male")</f>
        <v>Male</v>
      </c>
      <c r="F1128" s="1">
        <f>IFERROR(__xludf.DUMMYFUNCTION("""COMPUTED_VALUE"""),21.0)</f>
        <v>21</v>
      </c>
      <c r="G1128" s="1">
        <f>IFERROR(__xludf.DUMMYFUNCTION("""COMPUTED_VALUE"""),62.0)</f>
        <v>62</v>
      </c>
      <c r="H1128" s="1">
        <f>IFERROR(__xludf.DUMMYFUNCTION("""COMPUTED_VALUE"""),51.0)</f>
        <v>51</v>
      </c>
      <c r="I1128" s="1">
        <f>IFERROR(__xludf.DUMMYFUNCTION("""COMPUTED_VALUE"""),84.0)</f>
        <v>84</v>
      </c>
      <c r="J1128" s="1">
        <f>IFERROR(__xludf.DUMMYFUNCTION("""COMPUTED_VALUE"""),63.0)</f>
        <v>63</v>
      </c>
      <c r="K1128" s="1">
        <f>IFERROR(__xludf.DUMMYFUNCTION("""COMPUTED_VALUE"""),78.0)</f>
        <v>78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 t="str">
        <f>IFERROR(__xludf.DUMMYFUNCTION("""COMPUTED_VALUE"""),"A")</f>
        <v>A</v>
      </c>
      <c r="E1129" s="1" t="str">
        <f>IFERROR(__xludf.DUMMYFUNCTION("""COMPUTED_VALUE"""),"Female")</f>
        <v>Female</v>
      </c>
      <c r="F1129" s="1">
        <f>IFERROR(__xludf.DUMMYFUNCTION("""COMPUTED_VALUE"""),80.0)</f>
        <v>80</v>
      </c>
      <c r="G1129" s="1">
        <f>IFERROR(__xludf.DUMMYFUNCTION("""COMPUTED_VALUE"""),23.0)</f>
        <v>23</v>
      </c>
      <c r="H1129" s="1">
        <f>IFERROR(__xludf.DUMMYFUNCTION("""COMPUTED_VALUE"""),80.0)</f>
        <v>80</v>
      </c>
      <c r="I1129" s="1">
        <f>IFERROR(__xludf.DUMMYFUNCTION("""COMPUTED_VALUE"""),72.0)</f>
        <v>72</v>
      </c>
      <c r="J1129" s="1">
        <f>IFERROR(__xludf.DUMMYFUNCTION("""COMPUTED_VALUE"""),26.0)</f>
        <v>26</v>
      </c>
      <c r="K1129" s="1">
        <f>IFERROR(__xludf.DUMMYFUNCTION("""COMPUTED_VALUE"""),82.0)</f>
        <v>82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 t="str">
        <f>IFERROR(__xludf.DUMMYFUNCTION("""COMPUTED_VALUE"""),"C")</f>
        <v>C</v>
      </c>
      <c r="E1130" s="1" t="str">
        <f>IFERROR(__xludf.DUMMYFUNCTION("""COMPUTED_VALUE"""),"Male")</f>
        <v>Male</v>
      </c>
      <c r="F1130" s="1">
        <f>IFERROR(__xludf.DUMMYFUNCTION("""COMPUTED_VALUE"""),54.0)</f>
        <v>54</v>
      </c>
      <c r="G1130" s="1">
        <f>IFERROR(__xludf.DUMMYFUNCTION("""COMPUTED_VALUE"""),58.0)</f>
        <v>58</v>
      </c>
      <c r="H1130" s="1">
        <f>IFERROR(__xludf.DUMMYFUNCTION("""COMPUTED_VALUE"""),68.0)</f>
        <v>68</v>
      </c>
      <c r="I1130" s="1">
        <f>IFERROR(__xludf.DUMMYFUNCTION("""COMPUTED_VALUE"""),87.0)</f>
        <v>87</v>
      </c>
      <c r="J1130" s="1">
        <f>IFERROR(__xludf.DUMMYFUNCTION("""COMPUTED_VALUE"""),74.0)</f>
        <v>74</v>
      </c>
      <c r="K1130" s="1">
        <f>IFERROR(__xludf.DUMMYFUNCTION("""COMPUTED_VALUE"""),50.0)</f>
        <v>50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 t="str">
        <f>IFERROR(__xludf.DUMMYFUNCTION("""COMPUTED_VALUE"""),"C")</f>
        <v>C</v>
      </c>
      <c r="E1131" s="1" t="str">
        <f>IFERROR(__xludf.DUMMYFUNCTION("""COMPUTED_VALUE"""),"Female")</f>
        <v>Female</v>
      </c>
      <c r="F1131" s="1">
        <f>IFERROR(__xludf.DUMMYFUNCTION("""COMPUTED_VALUE"""),23.0)</f>
        <v>23</v>
      </c>
      <c r="G1131" s="1">
        <f>IFERROR(__xludf.DUMMYFUNCTION("""COMPUTED_VALUE"""),67.0)</f>
        <v>67</v>
      </c>
      <c r="H1131" s="1">
        <f>IFERROR(__xludf.DUMMYFUNCTION("""COMPUTED_VALUE"""),25.0)</f>
        <v>25</v>
      </c>
      <c r="I1131" s="1">
        <f>IFERROR(__xludf.DUMMYFUNCTION("""COMPUTED_VALUE"""),94.0)</f>
        <v>94</v>
      </c>
      <c r="J1131" s="1">
        <f>IFERROR(__xludf.DUMMYFUNCTION("""COMPUTED_VALUE"""),23.0)</f>
        <v>23</v>
      </c>
      <c r="K1131" s="1">
        <f>IFERROR(__xludf.DUMMYFUNCTION("""COMPUTED_VALUE"""),72.0)</f>
        <v>72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 t="str">
        <f>IFERROR(__xludf.DUMMYFUNCTION("""COMPUTED_VALUE"""),"A")</f>
        <v>A</v>
      </c>
      <c r="E1132" s="1" t="str">
        <f>IFERROR(__xludf.DUMMYFUNCTION("""COMPUTED_VALUE"""),"Male")</f>
        <v>Male</v>
      </c>
      <c r="F1132" s="1">
        <f>IFERROR(__xludf.DUMMYFUNCTION("""COMPUTED_VALUE"""),84.0)</f>
        <v>84</v>
      </c>
      <c r="G1132" s="1">
        <f>IFERROR(__xludf.DUMMYFUNCTION("""COMPUTED_VALUE"""),33.0)</f>
        <v>33</v>
      </c>
      <c r="H1132" s="1">
        <f>IFERROR(__xludf.DUMMYFUNCTION("""COMPUTED_VALUE"""),45.0)</f>
        <v>45</v>
      </c>
      <c r="I1132" s="1">
        <f>IFERROR(__xludf.DUMMYFUNCTION("""COMPUTED_VALUE"""),71.0)</f>
        <v>71</v>
      </c>
      <c r="J1132" s="1">
        <f>IFERROR(__xludf.DUMMYFUNCTION("""COMPUTED_VALUE"""),43.0)</f>
        <v>43</v>
      </c>
      <c r="K1132" s="1">
        <f>IFERROR(__xludf.DUMMYFUNCTION("""COMPUTED_VALUE"""),94.0)</f>
        <v>94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 t="str">
        <f>IFERROR(__xludf.DUMMYFUNCTION("""COMPUTED_VALUE"""),"C")</f>
        <v>C</v>
      </c>
      <c r="E1133" s="1" t="str">
        <f>IFERROR(__xludf.DUMMYFUNCTION("""COMPUTED_VALUE"""),"Female")</f>
        <v>Female</v>
      </c>
      <c r="F1133" s="1">
        <f>IFERROR(__xludf.DUMMYFUNCTION("""COMPUTED_VALUE"""),77.0)</f>
        <v>77</v>
      </c>
      <c r="G1133" s="1">
        <f>IFERROR(__xludf.DUMMYFUNCTION("""COMPUTED_VALUE"""),97.0)</f>
        <v>97</v>
      </c>
      <c r="H1133" s="1">
        <f>IFERROR(__xludf.DUMMYFUNCTION("""COMPUTED_VALUE"""),99.0)</f>
        <v>99</v>
      </c>
      <c r="I1133" s="1">
        <f>IFERROR(__xludf.DUMMYFUNCTION("""COMPUTED_VALUE"""),75.0)</f>
        <v>75</v>
      </c>
      <c r="J1133" s="1">
        <f>IFERROR(__xludf.DUMMYFUNCTION("""COMPUTED_VALUE"""),90.0)</f>
        <v>90</v>
      </c>
      <c r="K1133" s="1">
        <f>IFERROR(__xludf.DUMMYFUNCTION("""COMPUTED_VALUE"""),60.0)</f>
        <v>60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 t="str">
        <f>IFERROR(__xludf.DUMMYFUNCTION("""COMPUTED_VALUE"""),"A")</f>
        <v>A</v>
      </c>
      <c r="E1134" s="1" t="str">
        <f>IFERROR(__xludf.DUMMYFUNCTION("""COMPUTED_VALUE"""),"Male")</f>
        <v>Male</v>
      </c>
      <c r="F1134" s="1">
        <f>IFERROR(__xludf.DUMMYFUNCTION("""COMPUTED_VALUE"""),33.0)</f>
        <v>33</v>
      </c>
      <c r="G1134" s="1">
        <f>IFERROR(__xludf.DUMMYFUNCTION("""COMPUTED_VALUE"""),22.0)</f>
        <v>22</v>
      </c>
      <c r="H1134" s="1">
        <f>IFERROR(__xludf.DUMMYFUNCTION("""COMPUTED_VALUE"""),68.0)</f>
        <v>68</v>
      </c>
      <c r="I1134" s="1">
        <f>IFERROR(__xludf.DUMMYFUNCTION("""COMPUTED_VALUE"""),26.0)</f>
        <v>26</v>
      </c>
      <c r="J1134" s="1">
        <f>IFERROR(__xludf.DUMMYFUNCTION("""COMPUTED_VALUE"""),52.0)</f>
        <v>52</v>
      </c>
      <c r="K1134" s="1">
        <f>IFERROR(__xludf.DUMMYFUNCTION("""COMPUTED_VALUE"""),25.0)</f>
        <v>25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 t="str">
        <f>IFERROR(__xludf.DUMMYFUNCTION("""COMPUTED_VALUE"""),"A")</f>
        <v>A</v>
      </c>
      <c r="E1135" s="1" t="str">
        <f>IFERROR(__xludf.DUMMYFUNCTION("""COMPUTED_VALUE"""),"Female")</f>
        <v>Female</v>
      </c>
      <c r="F1135" s="1">
        <f>IFERROR(__xludf.DUMMYFUNCTION("""COMPUTED_VALUE"""),63.0)</f>
        <v>63</v>
      </c>
      <c r="G1135" s="1">
        <f>IFERROR(__xludf.DUMMYFUNCTION("""COMPUTED_VALUE"""),29.0)</f>
        <v>29</v>
      </c>
      <c r="H1135" s="1">
        <f>IFERROR(__xludf.DUMMYFUNCTION("""COMPUTED_VALUE"""),42.0)</f>
        <v>42</v>
      </c>
      <c r="I1135" s="1">
        <f>IFERROR(__xludf.DUMMYFUNCTION("""COMPUTED_VALUE"""),74.0)</f>
        <v>74</v>
      </c>
      <c r="J1135" s="1">
        <f>IFERROR(__xludf.DUMMYFUNCTION("""COMPUTED_VALUE"""),35.0)</f>
        <v>35</v>
      </c>
      <c r="K1135" s="1">
        <f>IFERROR(__xludf.DUMMYFUNCTION("""COMPUTED_VALUE"""),53.0)</f>
        <v>53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 t="str">
        <f>IFERROR(__xludf.DUMMYFUNCTION("""COMPUTED_VALUE"""),"D")</f>
        <v>D</v>
      </c>
      <c r="E1136" s="1" t="str">
        <f>IFERROR(__xludf.DUMMYFUNCTION("""COMPUTED_VALUE"""),"Female")</f>
        <v>Female</v>
      </c>
      <c r="F1136" s="1">
        <f>IFERROR(__xludf.DUMMYFUNCTION("""COMPUTED_VALUE"""),22.0)</f>
        <v>22</v>
      </c>
      <c r="G1136" s="1">
        <f>IFERROR(__xludf.DUMMYFUNCTION("""COMPUTED_VALUE"""),54.0)</f>
        <v>54</v>
      </c>
      <c r="H1136" s="1">
        <f>IFERROR(__xludf.DUMMYFUNCTION("""COMPUTED_VALUE"""),28.0)</f>
        <v>28</v>
      </c>
      <c r="I1136" s="1">
        <f>IFERROR(__xludf.DUMMYFUNCTION("""COMPUTED_VALUE"""),56.0)</f>
        <v>56</v>
      </c>
      <c r="J1136" s="1">
        <f>IFERROR(__xludf.DUMMYFUNCTION("""COMPUTED_VALUE"""),32.0)</f>
        <v>32</v>
      </c>
      <c r="K1136" s="1">
        <f>IFERROR(__xludf.DUMMYFUNCTION("""COMPUTED_VALUE"""),62.0)</f>
        <v>62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 t="str">
        <f>IFERROR(__xludf.DUMMYFUNCTION("""COMPUTED_VALUE"""),"A")</f>
        <v>A</v>
      </c>
      <c r="E1137" s="1" t="str">
        <f>IFERROR(__xludf.DUMMYFUNCTION("""COMPUTED_VALUE"""),"Male")</f>
        <v>Male</v>
      </c>
      <c r="F1137" s="1">
        <f>IFERROR(__xludf.DUMMYFUNCTION("""COMPUTED_VALUE"""),32.0)</f>
        <v>32</v>
      </c>
      <c r="G1137" s="1">
        <f>IFERROR(__xludf.DUMMYFUNCTION("""COMPUTED_VALUE"""),55.0)</f>
        <v>55</v>
      </c>
      <c r="H1137" s="1">
        <f>IFERROR(__xludf.DUMMYFUNCTION("""COMPUTED_VALUE"""),75.0)</f>
        <v>75</v>
      </c>
      <c r="I1137" s="1">
        <f>IFERROR(__xludf.DUMMYFUNCTION("""COMPUTED_VALUE"""),86.0)</f>
        <v>86</v>
      </c>
      <c r="J1137" s="1">
        <f>IFERROR(__xludf.DUMMYFUNCTION("""COMPUTED_VALUE"""),90.0)</f>
        <v>90</v>
      </c>
      <c r="K1137" s="1">
        <f>IFERROR(__xludf.DUMMYFUNCTION("""COMPUTED_VALUE"""),42.0)</f>
        <v>42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 t="str">
        <f>IFERROR(__xludf.DUMMYFUNCTION("""COMPUTED_VALUE"""),"D")</f>
        <v>D</v>
      </c>
      <c r="E1138" s="1" t="str">
        <f>IFERROR(__xludf.DUMMYFUNCTION("""COMPUTED_VALUE"""),"Male")</f>
        <v>Male</v>
      </c>
      <c r="F1138" s="1">
        <f>IFERROR(__xludf.DUMMYFUNCTION("""COMPUTED_VALUE"""),19.0)</f>
        <v>19</v>
      </c>
      <c r="G1138" s="1">
        <f>IFERROR(__xludf.DUMMYFUNCTION("""COMPUTED_VALUE"""),61.0)</f>
        <v>61</v>
      </c>
      <c r="H1138" s="1">
        <f>IFERROR(__xludf.DUMMYFUNCTION("""COMPUTED_VALUE"""),59.0)</f>
        <v>59</v>
      </c>
      <c r="I1138" s="1">
        <f>IFERROR(__xludf.DUMMYFUNCTION("""COMPUTED_VALUE"""),35.0)</f>
        <v>35</v>
      </c>
      <c r="J1138" s="1">
        <f>IFERROR(__xludf.DUMMYFUNCTION("""COMPUTED_VALUE"""),51.0)</f>
        <v>51</v>
      </c>
      <c r="K1138" s="1">
        <f>IFERROR(__xludf.DUMMYFUNCTION("""COMPUTED_VALUE"""),51.0)</f>
        <v>51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 t="str">
        <f>IFERROR(__xludf.DUMMYFUNCTION("""COMPUTED_VALUE"""),"B")</f>
        <v>B</v>
      </c>
      <c r="E1139" s="1" t="str">
        <f>IFERROR(__xludf.DUMMYFUNCTION("""COMPUTED_VALUE"""),"Female")</f>
        <v>Female</v>
      </c>
      <c r="F1139" s="1">
        <f>IFERROR(__xludf.DUMMYFUNCTION("""COMPUTED_VALUE"""),47.0)</f>
        <v>47</v>
      </c>
      <c r="G1139" s="1">
        <f>IFERROR(__xludf.DUMMYFUNCTION("""COMPUTED_VALUE"""),24.0)</f>
        <v>24</v>
      </c>
      <c r="H1139" s="1">
        <f>IFERROR(__xludf.DUMMYFUNCTION("""COMPUTED_VALUE"""),64.0)</f>
        <v>64</v>
      </c>
      <c r="I1139" s="1">
        <f>IFERROR(__xludf.DUMMYFUNCTION("""COMPUTED_VALUE"""),74.0)</f>
        <v>74</v>
      </c>
      <c r="J1139" s="1">
        <f>IFERROR(__xludf.DUMMYFUNCTION("""COMPUTED_VALUE"""),72.0)</f>
        <v>72</v>
      </c>
      <c r="K1139" s="1">
        <f>IFERROR(__xludf.DUMMYFUNCTION("""COMPUTED_VALUE"""),51.0)</f>
        <v>51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 t="str">
        <f>IFERROR(__xludf.DUMMYFUNCTION("""COMPUTED_VALUE"""),"A")</f>
        <v>A</v>
      </c>
      <c r="E1140" s="1" t="str">
        <f>IFERROR(__xludf.DUMMYFUNCTION("""COMPUTED_VALUE"""),"Male")</f>
        <v>Male</v>
      </c>
      <c r="F1140" s="1">
        <f>IFERROR(__xludf.DUMMYFUNCTION("""COMPUTED_VALUE"""),28.0)</f>
        <v>28</v>
      </c>
      <c r="G1140" s="1">
        <f>IFERROR(__xludf.DUMMYFUNCTION("""COMPUTED_VALUE"""),63.0)</f>
        <v>63</v>
      </c>
      <c r="H1140" s="1">
        <f>IFERROR(__xludf.DUMMYFUNCTION("""COMPUTED_VALUE"""),69.0)</f>
        <v>69</v>
      </c>
      <c r="I1140" s="1">
        <f>IFERROR(__xludf.DUMMYFUNCTION("""COMPUTED_VALUE"""),97.0)</f>
        <v>97</v>
      </c>
      <c r="J1140" s="1">
        <f>IFERROR(__xludf.DUMMYFUNCTION("""COMPUTED_VALUE"""),81.0)</f>
        <v>81</v>
      </c>
      <c r="K1140" s="1">
        <f>IFERROR(__xludf.DUMMYFUNCTION("""COMPUTED_VALUE"""),38.0)</f>
        <v>38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 t="str">
        <f>IFERROR(__xludf.DUMMYFUNCTION("""COMPUTED_VALUE"""),"D")</f>
        <v>D</v>
      </c>
      <c r="E1141" s="1" t="str">
        <f>IFERROR(__xludf.DUMMYFUNCTION("""COMPUTED_VALUE"""),"Female")</f>
        <v>Female</v>
      </c>
      <c r="F1141" s="1">
        <f>IFERROR(__xludf.DUMMYFUNCTION("""COMPUTED_VALUE"""),63.0)</f>
        <v>63</v>
      </c>
      <c r="G1141" s="1">
        <f>IFERROR(__xludf.DUMMYFUNCTION("""COMPUTED_VALUE"""),92.0)</f>
        <v>92</v>
      </c>
      <c r="H1141" s="1">
        <f>IFERROR(__xludf.DUMMYFUNCTION("""COMPUTED_VALUE"""),56.0)</f>
        <v>56</v>
      </c>
      <c r="I1141" s="1">
        <f>IFERROR(__xludf.DUMMYFUNCTION("""COMPUTED_VALUE"""),37.0)</f>
        <v>37</v>
      </c>
      <c r="J1141" s="1">
        <f>IFERROR(__xludf.DUMMYFUNCTION("""COMPUTED_VALUE"""),62.0)</f>
        <v>62</v>
      </c>
      <c r="K1141" s="1">
        <f>IFERROR(__xludf.DUMMYFUNCTION("""COMPUTED_VALUE"""),44.0)</f>
        <v>44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 t="str">
        <f>IFERROR(__xludf.DUMMYFUNCTION("""COMPUTED_VALUE"""),"A")</f>
        <v>A</v>
      </c>
      <c r="E1142" s="1" t="str">
        <f>IFERROR(__xludf.DUMMYFUNCTION("""COMPUTED_VALUE"""),"Male")</f>
        <v>Male</v>
      </c>
      <c r="F1142" s="1">
        <f>IFERROR(__xludf.DUMMYFUNCTION("""COMPUTED_VALUE"""),47.0)</f>
        <v>47</v>
      </c>
      <c r="G1142" s="1">
        <f>IFERROR(__xludf.DUMMYFUNCTION("""COMPUTED_VALUE"""),83.0)</f>
        <v>83</v>
      </c>
      <c r="H1142" s="1">
        <f>IFERROR(__xludf.DUMMYFUNCTION("""COMPUTED_VALUE"""),75.0)</f>
        <v>75</v>
      </c>
      <c r="I1142" s="1">
        <f>IFERROR(__xludf.DUMMYFUNCTION("""COMPUTED_VALUE"""),39.0)</f>
        <v>39</v>
      </c>
      <c r="J1142" s="1">
        <f>IFERROR(__xludf.DUMMYFUNCTION("""COMPUTED_VALUE"""),41.0)</f>
        <v>41</v>
      </c>
      <c r="K1142" s="1">
        <f>IFERROR(__xludf.DUMMYFUNCTION("""COMPUTED_VALUE"""),77.0)</f>
        <v>77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 t="str">
        <f>IFERROR(__xludf.DUMMYFUNCTION("""COMPUTED_VALUE"""),"D")</f>
        <v>D</v>
      </c>
      <c r="E1143" s="1" t="str">
        <f>IFERROR(__xludf.DUMMYFUNCTION("""COMPUTED_VALUE"""),"Male")</f>
        <v>Male</v>
      </c>
      <c r="F1143" s="1">
        <f>IFERROR(__xludf.DUMMYFUNCTION("""COMPUTED_VALUE"""),42.0)</f>
        <v>42</v>
      </c>
      <c r="G1143" s="1">
        <f>IFERROR(__xludf.DUMMYFUNCTION("""COMPUTED_VALUE"""),91.0)</f>
        <v>91</v>
      </c>
      <c r="H1143" s="1">
        <f>IFERROR(__xludf.DUMMYFUNCTION("""COMPUTED_VALUE"""),84.0)</f>
        <v>84</v>
      </c>
      <c r="I1143" s="1">
        <f>IFERROR(__xludf.DUMMYFUNCTION("""COMPUTED_VALUE"""),82.0)</f>
        <v>82</v>
      </c>
      <c r="J1143" s="1">
        <f>IFERROR(__xludf.DUMMYFUNCTION("""COMPUTED_VALUE"""),44.0)</f>
        <v>44</v>
      </c>
      <c r="K1143" s="1">
        <f>IFERROR(__xludf.DUMMYFUNCTION("""COMPUTED_VALUE"""),42.0)</f>
        <v>42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 t="str">
        <f>IFERROR(__xludf.DUMMYFUNCTION("""COMPUTED_VALUE"""),"D")</f>
        <v>D</v>
      </c>
      <c r="E1144" s="1" t="str">
        <f>IFERROR(__xludf.DUMMYFUNCTION("""COMPUTED_VALUE"""),"Male")</f>
        <v>Male</v>
      </c>
      <c r="F1144" s="1">
        <f>IFERROR(__xludf.DUMMYFUNCTION("""COMPUTED_VALUE"""),46.0)</f>
        <v>46</v>
      </c>
      <c r="G1144" s="1">
        <f>IFERROR(__xludf.DUMMYFUNCTION("""COMPUTED_VALUE"""),32.0)</f>
        <v>32</v>
      </c>
      <c r="H1144" s="1">
        <f>IFERROR(__xludf.DUMMYFUNCTION("""COMPUTED_VALUE"""),22.0)</f>
        <v>22</v>
      </c>
      <c r="I1144" s="1">
        <f>IFERROR(__xludf.DUMMYFUNCTION("""COMPUTED_VALUE"""),38.0)</f>
        <v>38</v>
      </c>
      <c r="J1144" s="1">
        <f>IFERROR(__xludf.DUMMYFUNCTION("""COMPUTED_VALUE"""),64.0)</f>
        <v>64</v>
      </c>
      <c r="K1144" s="1">
        <f>IFERROR(__xludf.DUMMYFUNCTION("""COMPUTED_VALUE"""),43.0)</f>
        <v>43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 t="str">
        <f>IFERROR(__xludf.DUMMYFUNCTION("""COMPUTED_VALUE"""),"D")</f>
        <v>D</v>
      </c>
      <c r="E1145" s="1" t="str">
        <f>IFERROR(__xludf.DUMMYFUNCTION("""COMPUTED_VALUE"""),"Female")</f>
        <v>Female</v>
      </c>
      <c r="F1145" s="1">
        <f>IFERROR(__xludf.DUMMYFUNCTION("""COMPUTED_VALUE"""),37.0)</f>
        <v>37</v>
      </c>
      <c r="G1145" s="1">
        <f>IFERROR(__xludf.DUMMYFUNCTION("""COMPUTED_VALUE"""),53.0)</f>
        <v>53</v>
      </c>
      <c r="H1145" s="1">
        <f>IFERROR(__xludf.DUMMYFUNCTION("""COMPUTED_VALUE"""),99.0)</f>
        <v>99</v>
      </c>
      <c r="I1145" s="1">
        <f>IFERROR(__xludf.DUMMYFUNCTION("""COMPUTED_VALUE"""),49.0)</f>
        <v>49</v>
      </c>
      <c r="J1145" s="1">
        <f>IFERROR(__xludf.DUMMYFUNCTION("""COMPUTED_VALUE"""),56.0)</f>
        <v>56</v>
      </c>
      <c r="K1145" s="1">
        <f>IFERROR(__xludf.DUMMYFUNCTION("""COMPUTED_VALUE"""),50.0)</f>
        <v>50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 t="str">
        <f>IFERROR(__xludf.DUMMYFUNCTION("""COMPUTED_VALUE"""),"B")</f>
        <v>B</v>
      </c>
      <c r="E1146" s="1" t="str">
        <f>IFERROR(__xludf.DUMMYFUNCTION("""COMPUTED_VALUE"""),"Male")</f>
        <v>Male</v>
      </c>
      <c r="F1146" s="1">
        <f>IFERROR(__xludf.DUMMYFUNCTION("""COMPUTED_VALUE"""),60.0)</f>
        <v>60</v>
      </c>
      <c r="G1146" s="1">
        <f>IFERROR(__xludf.DUMMYFUNCTION("""COMPUTED_VALUE"""),44.0)</f>
        <v>44</v>
      </c>
      <c r="H1146" s="1">
        <f>IFERROR(__xludf.DUMMYFUNCTION("""COMPUTED_VALUE"""),59.0)</f>
        <v>59</v>
      </c>
      <c r="I1146" s="1">
        <f>IFERROR(__xludf.DUMMYFUNCTION("""COMPUTED_VALUE"""),44.0)</f>
        <v>44</v>
      </c>
      <c r="J1146" s="1">
        <f>IFERROR(__xludf.DUMMYFUNCTION("""COMPUTED_VALUE"""),66.0)</f>
        <v>66</v>
      </c>
      <c r="K1146" s="1">
        <f>IFERROR(__xludf.DUMMYFUNCTION("""COMPUTED_VALUE"""),52.0)</f>
        <v>52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 t="str">
        <f>IFERROR(__xludf.DUMMYFUNCTION("""COMPUTED_VALUE"""),"C")</f>
        <v>C</v>
      </c>
      <c r="E1147" s="1" t="str">
        <f>IFERROR(__xludf.DUMMYFUNCTION("""COMPUTED_VALUE"""),"Female")</f>
        <v>Female</v>
      </c>
      <c r="F1147" s="1">
        <f>IFERROR(__xludf.DUMMYFUNCTION("""COMPUTED_VALUE"""),21.0)</f>
        <v>21</v>
      </c>
      <c r="G1147" s="1">
        <f>IFERROR(__xludf.DUMMYFUNCTION("""COMPUTED_VALUE"""),70.0)</f>
        <v>70</v>
      </c>
      <c r="H1147" s="1">
        <f>IFERROR(__xludf.DUMMYFUNCTION("""COMPUTED_VALUE"""),26.0)</f>
        <v>26</v>
      </c>
      <c r="I1147" s="1">
        <f>IFERROR(__xludf.DUMMYFUNCTION("""COMPUTED_VALUE"""),89.0)</f>
        <v>89</v>
      </c>
      <c r="J1147" s="1">
        <f>IFERROR(__xludf.DUMMYFUNCTION("""COMPUTED_VALUE"""),58.0)</f>
        <v>58</v>
      </c>
      <c r="K1147" s="1">
        <f>IFERROR(__xludf.DUMMYFUNCTION("""COMPUTED_VALUE"""),33.0)</f>
        <v>33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 t="str">
        <f>IFERROR(__xludf.DUMMYFUNCTION("""COMPUTED_VALUE"""),"D")</f>
        <v>D</v>
      </c>
      <c r="E1148" s="1" t="str">
        <f>IFERROR(__xludf.DUMMYFUNCTION("""COMPUTED_VALUE"""),"Male")</f>
        <v>Male</v>
      </c>
      <c r="F1148" s="1">
        <f>IFERROR(__xludf.DUMMYFUNCTION("""COMPUTED_VALUE"""),79.0)</f>
        <v>79</v>
      </c>
      <c r="G1148" s="1">
        <f>IFERROR(__xludf.DUMMYFUNCTION("""COMPUTED_VALUE"""),27.0)</f>
        <v>27</v>
      </c>
      <c r="H1148" s="1">
        <f>IFERROR(__xludf.DUMMYFUNCTION("""COMPUTED_VALUE"""),63.0)</f>
        <v>63</v>
      </c>
      <c r="I1148" s="1">
        <f>IFERROR(__xludf.DUMMYFUNCTION("""COMPUTED_VALUE"""),35.0)</f>
        <v>35</v>
      </c>
      <c r="J1148" s="1">
        <f>IFERROR(__xludf.DUMMYFUNCTION("""COMPUTED_VALUE"""),25.0)</f>
        <v>25</v>
      </c>
      <c r="K1148" s="1">
        <f>IFERROR(__xludf.DUMMYFUNCTION("""COMPUTED_VALUE"""),56.0)</f>
        <v>56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 t="str">
        <f>IFERROR(__xludf.DUMMYFUNCTION("""COMPUTED_VALUE"""),"B")</f>
        <v>B</v>
      </c>
      <c r="E1149" s="1" t="str">
        <f>IFERROR(__xludf.DUMMYFUNCTION("""COMPUTED_VALUE"""),"Male")</f>
        <v>Male</v>
      </c>
      <c r="F1149" s="1">
        <f>IFERROR(__xludf.DUMMYFUNCTION("""COMPUTED_VALUE"""),61.0)</f>
        <v>61</v>
      </c>
      <c r="G1149" s="1">
        <f>IFERROR(__xludf.DUMMYFUNCTION("""COMPUTED_VALUE"""),81.0)</f>
        <v>81</v>
      </c>
      <c r="H1149" s="1">
        <f>IFERROR(__xludf.DUMMYFUNCTION("""COMPUTED_VALUE"""),45.0)</f>
        <v>45</v>
      </c>
      <c r="I1149" s="1">
        <f>IFERROR(__xludf.DUMMYFUNCTION("""COMPUTED_VALUE"""),50.0)</f>
        <v>50</v>
      </c>
      <c r="J1149" s="1">
        <f>IFERROR(__xludf.DUMMYFUNCTION("""COMPUTED_VALUE"""),78.0)</f>
        <v>78</v>
      </c>
      <c r="K1149" s="1">
        <f>IFERROR(__xludf.DUMMYFUNCTION("""COMPUTED_VALUE"""),35.0)</f>
        <v>35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 t="str">
        <f>IFERROR(__xludf.DUMMYFUNCTION("""COMPUTED_VALUE"""),"C")</f>
        <v>C</v>
      </c>
      <c r="E1150" s="1" t="str">
        <f>IFERROR(__xludf.DUMMYFUNCTION("""COMPUTED_VALUE"""),"Male")</f>
        <v>Male</v>
      </c>
      <c r="F1150" s="1">
        <f>IFERROR(__xludf.DUMMYFUNCTION("""COMPUTED_VALUE"""),21.0)</f>
        <v>21</v>
      </c>
      <c r="G1150" s="1">
        <f>IFERROR(__xludf.DUMMYFUNCTION("""COMPUTED_VALUE"""),85.0)</f>
        <v>85</v>
      </c>
      <c r="H1150" s="1">
        <f>IFERROR(__xludf.DUMMYFUNCTION("""COMPUTED_VALUE"""),41.0)</f>
        <v>41</v>
      </c>
      <c r="I1150" s="1">
        <f>IFERROR(__xludf.DUMMYFUNCTION("""COMPUTED_VALUE"""),60.0)</f>
        <v>60</v>
      </c>
      <c r="J1150" s="1">
        <f>IFERROR(__xludf.DUMMYFUNCTION("""COMPUTED_VALUE"""),76.0)</f>
        <v>76</v>
      </c>
      <c r="K1150" s="1">
        <f>IFERROR(__xludf.DUMMYFUNCTION("""COMPUTED_VALUE"""),76.0)</f>
        <v>76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 t="str">
        <f>IFERROR(__xludf.DUMMYFUNCTION("""COMPUTED_VALUE"""),"A")</f>
        <v>A</v>
      </c>
      <c r="E1151" s="1" t="str">
        <f>IFERROR(__xludf.DUMMYFUNCTION("""COMPUTED_VALUE"""),"Female")</f>
        <v>Female</v>
      </c>
      <c r="F1151" s="1">
        <f>IFERROR(__xludf.DUMMYFUNCTION("""COMPUTED_VALUE"""),98.0)</f>
        <v>98</v>
      </c>
      <c r="G1151" s="1">
        <f>IFERROR(__xludf.DUMMYFUNCTION("""COMPUTED_VALUE"""),50.0)</f>
        <v>50</v>
      </c>
      <c r="H1151" s="1">
        <f>IFERROR(__xludf.DUMMYFUNCTION("""COMPUTED_VALUE"""),60.0)</f>
        <v>60</v>
      </c>
      <c r="I1151" s="1">
        <f>IFERROR(__xludf.DUMMYFUNCTION("""COMPUTED_VALUE"""),47.0)</f>
        <v>47</v>
      </c>
      <c r="J1151" s="1">
        <f>IFERROR(__xludf.DUMMYFUNCTION("""COMPUTED_VALUE"""),89.0)</f>
        <v>89</v>
      </c>
      <c r="K1151" s="1">
        <f>IFERROR(__xludf.DUMMYFUNCTION("""COMPUTED_VALUE"""),59.0)</f>
        <v>59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 t="str">
        <f>IFERROR(__xludf.DUMMYFUNCTION("""COMPUTED_VALUE"""),"A")</f>
        <v>A</v>
      </c>
      <c r="E1152" s="1" t="str">
        <f>IFERROR(__xludf.DUMMYFUNCTION("""COMPUTED_VALUE"""),"Male")</f>
        <v>Male</v>
      </c>
      <c r="F1152" s="1">
        <f>IFERROR(__xludf.DUMMYFUNCTION("""COMPUTED_VALUE"""),84.0)</f>
        <v>84</v>
      </c>
      <c r="G1152" s="1">
        <f>IFERROR(__xludf.DUMMYFUNCTION("""COMPUTED_VALUE"""),51.0)</f>
        <v>51</v>
      </c>
      <c r="H1152" s="1">
        <f>IFERROR(__xludf.DUMMYFUNCTION("""COMPUTED_VALUE"""),28.0)</f>
        <v>28</v>
      </c>
      <c r="I1152" s="1">
        <f>IFERROR(__xludf.DUMMYFUNCTION("""COMPUTED_VALUE"""),87.0)</f>
        <v>87</v>
      </c>
      <c r="J1152" s="1">
        <f>IFERROR(__xludf.DUMMYFUNCTION("""COMPUTED_VALUE"""),25.0)</f>
        <v>25</v>
      </c>
      <c r="K1152" s="1">
        <f>IFERROR(__xludf.DUMMYFUNCTION("""COMPUTED_VALUE"""),65.0)</f>
        <v>65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 t="str">
        <f>IFERROR(__xludf.DUMMYFUNCTION("""COMPUTED_VALUE"""),"D")</f>
        <v>D</v>
      </c>
      <c r="E1153" s="1" t="str">
        <f>IFERROR(__xludf.DUMMYFUNCTION("""COMPUTED_VALUE"""),"Female")</f>
        <v>Female</v>
      </c>
      <c r="F1153" s="1">
        <f>IFERROR(__xludf.DUMMYFUNCTION("""COMPUTED_VALUE"""),15.0)</f>
        <v>15</v>
      </c>
      <c r="G1153" s="1">
        <f>IFERROR(__xludf.DUMMYFUNCTION("""COMPUTED_VALUE"""),66.0)</f>
        <v>66</v>
      </c>
      <c r="H1153" s="1">
        <f>IFERROR(__xludf.DUMMYFUNCTION("""COMPUTED_VALUE"""),53.0)</f>
        <v>53</v>
      </c>
      <c r="I1153" s="1">
        <f>IFERROR(__xludf.DUMMYFUNCTION("""COMPUTED_VALUE"""),23.0)</f>
        <v>23</v>
      </c>
      <c r="J1153" s="1">
        <f>IFERROR(__xludf.DUMMYFUNCTION("""COMPUTED_VALUE"""),71.0)</f>
        <v>71</v>
      </c>
      <c r="K1153" s="1">
        <f>IFERROR(__xludf.DUMMYFUNCTION("""COMPUTED_VALUE"""),93.0)</f>
        <v>93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 t="str">
        <f>IFERROR(__xludf.DUMMYFUNCTION("""COMPUTED_VALUE"""),"D")</f>
        <v>D</v>
      </c>
      <c r="E1154" s="1" t="str">
        <f>IFERROR(__xludf.DUMMYFUNCTION("""COMPUTED_VALUE"""),"Female")</f>
        <v>Female</v>
      </c>
      <c r="F1154" s="1">
        <f>IFERROR(__xludf.DUMMYFUNCTION("""COMPUTED_VALUE"""),95.0)</f>
        <v>95</v>
      </c>
      <c r="G1154" s="1">
        <f>IFERROR(__xludf.DUMMYFUNCTION("""COMPUTED_VALUE"""),25.0)</f>
        <v>25</v>
      </c>
      <c r="H1154" s="1">
        <f>IFERROR(__xludf.DUMMYFUNCTION("""COMPUTED_VALUE"""),31.0)</f>
        <v>31</v>
      </c>
      <c r="I1154" s="1">
        <f>IFERROR(__xludf.DUMMYFUNCTION("""COMPUTED_VALUE"""),87.0)</f>
        <v>87</v>
      </c>
      <c r="J1154" s="1">
        <f>IFERROR(__xludf.DUMMYFUNCTION("""COMPUTED_VALUE"""),73.0)</f>
        <v>73</v>
      </c>
      <c r="K1154" s="1">
        <f>IFERROR(__xludf.DUMMYFUNCTION("""COMPUTED_VALUE"""),74.0)</f>
        <v>74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 t="str">
        <f>IFERROR(__xludf.DUMMYFUNCTION("""COMPUTED_VALUE"""),"C")</f>
        <v>C</v>
      </c>
      <c r="E1155" s="1" t="str">
        <f>IFERROR(__xludf.DUMMYFUNCTION("""COMPUTED_VALUE"""),"Male")</f>
        <v>Male</v>
      </c>
      <c r="F1155" s="1">
        <f>IFERROR(__xludf.DUMMYFUNCTION("""COMPUTED_VALUE"""),30.0)</f>
        <v>30</v>
      </c>
      <c r="G1155" s="1">
        <f>IFERROR(__xludf.DUMMYFUNCTION("""COMPUTED_VALUE"""),29.0)</f>
        <v>29</v>
      </c>
      <c r="H1155" s="1">
        <f>IFERROR(__xludf.DUMMYFUNCTION("""COMPUTED_VALUE"""),85.0)</f>
        <v>85</v>
      </c>
      <c r="I1155" s="1">
        <f>IFERROR(__xludf.DUMMYFUNCTION("""COMPUTED_VALUE"""),45.0)</f>
        <v>45</v>
      </c>
      <c r="J1155" s="1">
        <f>IFERROR(__xludf.DUMMYFUNCTION("""COMPUTED_VALUE"""),36.0)</f>
        <v>36</v>
      </c>
      <c r="K1155" s="1">
        <f>IFERROR(__xludf.DUMMYFUNCTION("""COMPUTED_VALUE"""),79.0)</f>
        <v>79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 t="str">
        <f>IFERROR(__xludf.DUMMYFUNCTION("""COMPUTED_VALUE"""),"B")</f>
        <v>B</v>
      </c>
      <c r="E1156" s="1" t="str">
        <f>IFERROR(__xludf.DUMMYFUNCTION("""COMPUTED_VALUE"""),"Male")</f>
        <v>Male</v>
      </c>
      <c r="F1156" s="1">
        <f>IFERROR(__xludf.DUMMYFUNCTION("""COMPUTED_VALUE"""),18.0)</f>
        <v>18</v>
      </c>
      <c r="G1156" s="1">
        <f>IFERROR(__xludf.DUMMYFUNCTION("""COMPUTED_VALUE"""),35.0)</f>
        <v>35</v>
      </c>
      <c r="H1156" s="1">
        <f>IFERROR(__xludf.DUMMYFUNCTION("""COMPUTED_VALUE"""),98.0)</f>
        <v>98</v>
      </c>
      <c r="I1156" s="1">
        <f>IFERROR(__xludf.DUMMYFUNCTION("""COMPUTED_VALUE"""),82.0)</f>
        <v>82</v>
      </c>
      <c r="J1156" s="1">
        <f>IFERROR(__xludf.DUMMYFUNCTION("""COMPUTED_VALUE"""),27.0)</f>
        <v>27</v>
      </c>
      <c r="K1156" s="1">
        <f>IFERROR(__xludf.DUMMYFUNCTION("""COMPUTED_VALUE"""),31.0)</f>
        <v>31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 t="str">
        <f>IFERROR(__xludf.DUMMYFUNCTION("""COMPUTED_VALUE"""),"B")</f>
        <v>B</v>
      </c>
      <c r="E1157" s="1" t="str">
        <f>IFERROR(__xludf.DUMMYFUNCTION("""COMPUTED_VALUE"""),"Female")</f>
        <v>Female</v>
      </c>
      <c r="F1157" s="1">
        <f>IFERROR(__xludf.DUMMYFUNCTION("""COMPUTED_VALUE"""),16.0)</f>
        <v>16</v>
      </c>
      <c r="G1157" s="1">
        <f>IFERROR(__xludf.DUMMYFUNCTION("""COMPUTED_VALUE"""),72.0)</f>
        <v>72</v>
      </c>
      <c r="H1157" s="1">
        <f>IFERROR(__xludf.DUMMYFUNCTION("""COMPUTED_VALUE"""),47.0)</f>
        <v>47</v>
      </c>
      <c r="I1157" s="1">
        <f>IFERROR(__xludf.DUMMYFUNCTION("""COMPUTED_VALUE"""),40.0)</f>
        <v>40</v>
      </c>
      <c r="J1157" s="1">
        <f>IFERROR(__xludf.DUMMYFUNCTION("""COMPUTED_VALUE"""),72.0)</f>
        <v>72</v>
      </c>
      <c r="K1157" s="1">
        <f>IFERROR(__xludf.DUMMYFUNCTION("""COMPUTED_VALUE"""),95.0)</f>
        <v>95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 t="str">
        <f>IFERROR(__xludf.DUMMYFUNCTION("""COMPUTED_VALUE"""),"C")</f>
        <v>C</v>
      </c>
      <c r="E1158" s="1" t="str">
        <f>IFERROR(__xludf.DUMMYFUNCTION("""COMPUTED_VALUE"""),"Male")</f>
        <v>Male</v>
      </c>
      <c r="F1158" s="1">
        <f>IFERROR(__xludf.DUMMYFUNCTION("""COMPUTED_VALUE"""),55.0)</f>
        <v>55</v>
      </c>
      <c r="G1158" s="1">
        <f>IFERROR(__xludf.DUMMYFUNCTION("""COMPUTED_VALUE"""),82.0)</f>
        <v>82</v>
      </c>
      <c r="H1158" s="1">
        <f>IFERROR(__xludf.DUMMYFUNCTION("""COMPUTED_VALUE"""),82.0)</f>
        <v>82</v>
      </c>
      <c r="I1158" s="1">
        <f>IFERROR(__xludf.DUMMYFUNCTION("""COMPUTED_VALUE"""),85.0)</f>
        <v>85</v>
      </c>
      <c r="J1158" s="1">
        <f>IFERROR(__xludf.DUMMYFUNCTION("""COMPUTED_VALUE"""),31.0)</f>
        <v>31</v>
      </c>
      <c r="K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 t="str">
        <f>IFERROR(__xludf.DUMMYFUNCTION("""COMPUTED_VALUE"""),"C")</f>
        <v>C</v>
      </c>
      <c r="E1159" s="1" t="str">
        <f>IFERROR(__xludf.DUMMYFUNCTION("""COMPUTED_VALUE"""),"Male")</f>
        <v>Male</v>
      </c>
      <c r="F1159" s="1">
        <f>IFERROR(__xludf.DUMMYFUNCTION("""COMPUTED_VALUE"""),28.0)</f>
        <v>28</v>
      </c>
      <c r="G1159" s="1">
        <f>IFERROR(__xludf.DUMMYFUNCTION("""COMPUTED_VALUE"""),21.0)</f>
        <v>21</v>
      </c>
      <c r="H1159" s="1">
        <f>IFERROR(__xludf.DUMMYFUNCTION("""COMPUTED_VALUE"""),80.0)</f>
        <v>80</v>
      </c>
      <c r="I1159" s="1">
        <f>IFERROR(__xludf.DUMMYFUNCTION("""COMPUTED_VALUE"""),99.0)</f>
        <v>99</v>
      </c>
      <c r="J1159" s="1">
        <f>IFERROR(__xludf.DUMMYFUNCTION("""COMPUTED_VALUE"""),39.0)</f>
        <v>39</v>
      </c>
      <c r="K1159" s="1">
        <f>IFERROR(__xludf.DUMMYFUNCTION("""COMPUTED_VALUE"""),45.0)</f>
        <v>45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 t="str">
        <f>IFERROR(__xludf.DUMMYFUNCTION("""COMPUTED_VALUE"""),"C")</f>
        <v>C</v>
      </c>
      <c r="E1160" s="1" t="str">
        <f>IFERROR(__xludf.DUMMYFUNCTION("""COMPUTED_VALUE"""),"Female")</f>
        <v>Female</v>
      </c>
      <c r="F1160" s="1">
        <f>IFERROR(__xludf.DUMMYFUNCTION("""COMPUTED_VALUE"""),79.0)</f>
        <v>79</v>
      </c>
      <c r="G1160" s="1">
        <f>IFERROR(__xludf.DUMMYFUNCTION("""COMPUTED_VALUE"""),99.0)</f>
        <v>99</v>
      </c>
      <c r="H1160" s="1">
        <f>IFERROR(__xludf.DUMMYFUNCTION("""COMPUTED_VALUE"""),36.0)</f>
        <v>36</v>
      </c>
      <c r="I1160" s="1">
        <f>IFERROR(__xludf.DUMMYFUNCTION("""COMPUTED_VALUE"""),51.0)</f>
        <v>51</v>
      </c>
      <c r="J1160" s="1">
        <f>IFERROR(__xludf.DUMMYFUNCTION("""COMPUTED_VALUE"""),22.0)</f>
        <v>22</v>
      </c>
      <c r="K1160" s="1">
        <f>IFERROR(__xludf.DUMMYFUNCTION("""COMPUTED_VALUE"""),26.0)</f>
        <v>26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 t="str">
        <f>IFERROR(__xludf.DUMMYFUNCTION("""COMPUTED_VALUE"""),"B")</f>
        <v>B</v>
      </c>
      <c r="E1161" s="1" t="str">
        <f>IFERROR(__xludf.DUMMYFUNCTION("""COMPUTED_VALUE"""),"Male")</f>
        <v>Male</v>
      </c>
      <c r="F1161" s="1">
        <f>IFERROR(__xludf.DUMMYFUNCTION("""COMPUTED_VALUE"""),92.0)</f>
        <v>92</v>
      </c>
      <c r="G1161" s="1">
        <f>IFERROR(__xludf.DUMMYFUNCTION("""COMPUTED_VALUE"""),88.0)</f>
        <v>88</v>
      </c>
      <c r="H1161" s="1">
        <f>IFERROR(__xludf.DUMMYFUNCTION("""COMPUTED_VALUE"""),33.0)</f>
        <v>33</v>
      </c>
      <c r="I1161" s="1">
        <f>IFERROR(__xludf.DUMMYFUNCTION("""COMPUTED_VALUE"""),32.0)</f>
        <v>32</v>
      </c>
      <c r="J1161" s="1">
        <f>IFERROR(__xludf.DUMMYFUNCTION("""COMPUTED_VALUE"""),47.0)</f>
        <v>47</v>
      </c>
      <c r="K1161" s="1">
        <f>IFERROR(__xludf.DUMMYFUNCTION("""COMPUTED_VALUE"""),67.0)</f>
        <v>67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 t="str">
        <f>IFERROR(__xludf.DUMMYFUNCTION("""COMPUTED_VALUE"""),"A")</f>
        <v>A</v>
      </c>
      <c r="E1162" s="1" t="str">
        <f>IFERROR(__xludf.DUMMYFUNCTION("""COMPUTED_VALUE"""),"Male")</f>
        <v>Male</v>
      </c>
      <c r="F1162" s="1">
        <f>IFERROR(__xludf.DUMMYFUNCTION("""COMPUTED_VALUE"""),10.0)</f>
        <v>10</v>
      </c>
      <c r="G1162" s="1">
        <f>IFERROR(__xludf.DUMMYFUNCTION("""COMPUTED_VALUE"""),93.0)</f>
        <v>93</v>
      </c>
      <c r="H1162" s="1">
        <f>IFERROR(__xludf.DUMMYFUNCTION("""COMPUTED_VALUE"""),81.0)</f>
        <v>81</v>
      </c>
      <c r="I1162" s="1">
        <f>IFERROR(__xludf.DUMMYFUNCTION("""COMPUTED_VALUE"""),84.0)</f>
        <v>84</v>
      </c>
      <c r="J1162" s="1">
        <f>IFERROR(__xludf.DUMMYFUNCTION("""COMPUTED_VALUE"""),39.0)</f>
        <v>39</v>
      </c>
      <c r="K1162" s="1">
        <f>IFERROR(__xludf.DUMMYFUNCTION("""COMPUTED_VALUE"""),63.0)</f>
        <v>63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 t="str">
        <f>IFERROR(__xludf.DUMMYFUNCTION("""COMPUTED_VALUE"""),"D")</f>
        <v>D</v>
      </c>
      <c r="E1163" s="1" t="str">
        <f>IFERROR(__xludf.DUMMYFUNCTION("""COMPUTED_VALUE"""),"Female")</f>
        <v>Female</v>
      </c>
      <c r="F1163" s="1">
        <f>IFERROR(__xludf.DUMMYFUNCTION("""COMPUTED_VALUE"""),10.0)</f>
        <v>10</v>
      </c>
      <c r="G1163" s="1">
        <f>IFERROR(__xludf.DUMMYFUNCTION("""COMPUTED_VALUE"""),80.0)</f>
        <v>80</v>
      </c>
      <c r="H1163" s="1">
        <f>IFERROR(__xludf.DUMMYFUNCTION("""COMPUTED_VALUE"""),72.0)</f>
        <v>72</v>
      </c>
      <c r="I1163" s="1">
        <f>IFERROR(__xludf.DUMMYFUNCTION("""COMPUTED_VALUE"""),87.0)</f>
        <v>87</v>
      </c>
      <c r="J1163" s="1">
        <f>IFERROR(__xludf.DUMMYFUNCTION("""COMPUTED_VALUE"""),98.0)</f>
        <v>98</v>
      </c>
      <c r="K1163" s="1">
        <f>IFERROR(__xludf.DUMMYFUNCTION("""COMPUTED_VALUE"""),42.0)</f>
        <v>42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 t="str">
        <f>IFERROR(__xludf.DUMMYFUNCTION("""COMPUTED_VALUE"""),"A")</f>
        <v>A</v>
      </c>
      <c r="E1164" s="1" t="str">
        <f>IFERROR(__xludf.DUMMYFUNCTION("""COMPUTED_VALUE"""),"Female")</f>
        <v>Female</v>
      </c>
      <c r="F1164" s="1">
        <f>IFERROR(__xludf.DUMMYFUNCTION("""COMPUTED_VALUE"""),42.0)</f>
        <v>42</v>
      </c>
      <c r="G1164" s="1">
        <f>IFERROR(__xludf.DUMMYFUNCTION("""COMPUTED_VALUE"""),74.0)</f>
        <v>74</v>
      </c>
      <c r="H1164" s="1">
        <f>IFERROR(__xludf.DUMMYFUNCTION("""COMPUTED_VALUE"""),34.0)</f>
        <v>34</v>
      </c>
      <c r="I1164" s="1">
        <f>IFERROR(__xludf.DUMMYFUNCTION("""COMPUTED_VALUE"""),99.0)</f>
        <v>99</v>
      </c>
      <c r="J1164" s="1">
        <f>IFERROR(__xludf.DUMMYFUNCTION("""COMPUTED_VALUE"""),58.0)</f>
        <v>58</v>
      </c>
      <c r="K1164" s="1">
        <f>IFERROR(__xludf.DUMMYFUNCTION("""COMPUTED_VALUE"""),49.0)</f>
        <v>49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 t="str">
        <f>IFERROR(__xludf.DUMMYFUNCTION("""COMPUTED_VALUE"""),"B")</f>
        <v>B</v>
      </c>
      <c r="E1165" s="1" t="str">
        <f>IFERROR(__xludf.DUMMYFUNCTION("""COMPUTED_VALUE"""),"Female")</f>
        <v>Female</v>
      </c>
      <c r="F1165" s="1">
        <f>IFERROR(__xludf.DUMMYFUNCTION("""COMPUTED_VALUE"""),82.0)</f>
        <v>82</v>
      </c>
      <c r="G1165" s="1">
        <f>IFERROR(__xludf.DUMMYFUNCTION("""COMPUTED_VALUE"""),92.0)</f>
        <v>92</v>
      </c>
      <c r="H1165" s="1">
        <f>IFERROR(__xludf.DUMMYFUNCTION("""COMPUTED_VALUE"""),66.0)</f>
        <v>66</v>
      </c>
      <c r="I1165" s="1">
        <f>IFERROR(__xludf.DUMMYFUNCTION("""COMPUTED_VALUE"""),78.0)</f>
        <v>78</v>
      </c>
      <c r="J1165" s="1">
        <f>IFERROR(__xludf.DUMMYFUNCTION("""COMPUTED_VALUE"""),71.0)</f>
        <v>71</v>
      </c>
      <c r="K1165" s="1">
        <f>IFERROR(__xludf.DUMMYFUNCTION("""COMPUTED_VALUE"""),45.0)</f>
        <v>45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 t="str">
        <f>IFERROR(__xludf.DUMMYFUNCTION("""COMPUTED_VALUE"""),"A")</f>
        <v>A</v>
      </c>
      <c r="E1166" s="1" t="str">
        <f>IFERROR(__xludf.DUMMYFUNCTION("""COMPUTED_VALUE"""),"Female")</f>
        <v>Female</v>
      </c>
      <c r="F1166" s="1">
        <f>IFERROR(__xludf.DUMMYFUNCTION("""COMPUTED_VALUE"""),96.0)</f>
        <v>96</v>
      </c>
      <c r="G1166" s="1">
        <f>IFERROR(__xludf.DUMMYFUNCTION("""COMPUTED_VALUE"""),26.0)</f>
        <v>26</v>
      </c>
      <c r="H1166" s="1">
        <f>IFERROR(__xludf.DUMMYFUNCTION("""COMPUTED_VALUE"""),41.0)</f>
        <v>41</v>
      </c>
      <c r="I1166" s="1">
        <f>IFERROR(__xludf.DUMMYFUNCTION("""COMPUTED_VALUE"""),40.0)</f>
        <v>40</v>
      </c>
      <c r="J1166" s="1">
        <f>IFERROR(__xludf.DUMMYFUNCTION("""COMPUTED_VALUE"""),51.0)</f>
        <v>51</v>
      </c>
      <c r="K1166" s="1">
        <f>IFERROR(__xludf.DUMMYFUNCTION("""COMPUTED_VALUE"""),45.0)</f>
        <v>45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 t="str">
        <f>IFERROR(__xludf.DUMMYFUNCTION("""COMPUTED_VALUE"""),"A")</f>
        <v>A</v>
      </c>
      <c r="E1167" s="1" t="str">
        <f>IFERROR(__xludf.DUMMYFUNCTION("""COMPUTED_VALUE"""),"Male")</f>
        <v>Male</v>
      </c>
      <c r="F1167" s="1">
        <f>IFERROR(__xludf.DUMMYFUNCTION("""COMPUTED_VALUE"""),51.0)</f>
        <v>51</v>
      </c>
      <c r="G1167" s="1">
        <f>IFERROR(__xludf.DUMMYFUNCTION("""COMPUTED_VALUE"""),76.0)</f>
        <v>76</v>
      </c>
      <c r="H1167" s="1">
        <f>IFERROR(__xludf.DUMMYFUNCTION("""COMPUTED_VALUE"""),58.0)</f>
        <v>58</v>
      </c>
      <c r="I1167" s="1">
        <f>IFERROR(__xludf.DUMMYFUNCTION("""COMPUTED_VALUE"""),47.0)</f>
        <v>47</v>
      </c>
      <c r="J1167" s="1">
        <f>IFERROR(__xludf.DUMMYFUNCTION("""COMPUTED_VALUE"""),61.0)</f>
        <v>61</v>
      </c>
      <c r="K1167" s="1">
        <f>IFERROR(__xludf.DUMMYFUNCTION("""COMPUTED_VALUE"""),69.0)</f>
        <v>69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 t="str">
        <f>IFERROR(__xludf.DUMMYFUNCTION("""COMPUTED_VALUE"""),"A")</f>
        <v>A</v>
      </c>
      <c r="E1168" s="1" t="str">
        <f>IFERROR(__xludf.DUMMYFUNCTION("""COMPUTED_VALUE"""),"Male")</f>
        <v>Male</v>
      </c>
      <c r="F1168" s="1">
        <f>IFERROR(__xludf.DUMMYFUNCTION("""COMPUTED_VALUE"""),59.0)</f>
        <v>59</v>
      </c>
      <c r="G1168" s="1">
        <f>IFERROR(__xludf.DUMMYFUNCTION("""COMPUTED_VALUE"""),79.0)</f>
        <v>79</v>
      </c>
      <c r="H1168" s="1">
        <f>IFERROR(__xludf.DUMMYFUNCTION("""COMPUTED_VALUE"""),46.0)</f>
        <v>46</v>
      </c>
      <c r="I1168" s="1">
        <f>IFERROR(__xludf.DUMMYFUNCTION("""COMPUTED_VALUE"""),78.0)</f>
        <v>78</v>
      </c>
      <c r="J1168" s="1">
        <f>IFERROR(__xludf.DUMMYFUNCTION("""COMPUTED_VALUE"""),65.0)</f>
        <v>65</v>
      </c>
      <c r="K1168" s="1">
        <f>IFERROR(__xludf.DUMMYFUNCTION("""COMPUTED_VALUE"""),27.0)</f>
        <v>27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 t="str">
        <f>IFERROR(__xludf.DUMMYFUNCTION("""COMPUTED_VALUE"""),"A")</f>
        <v>A</v>
      </c>
      <c r="E1169" s="1" t="str">
        <f>IFERROR(__xludf.DUMMYFUNCTION("""COMPUTED_VALUE"""),"Female")</f>
        <v>Female</v>
      </c>
      <c r="F1169" s="1">
        <f>IFERROR(__xludf.DUMMYFUNCTION("""COMPUTED_VALUE"""),55.0)</f>
        <v>55</v>
      </c>
      <c r="G1169" s="1">
        <f>IFERROR(__xludf.DUMMYFUNCTION("""COMPUTED_VALUE"""),95.0)</f>
        <v>95</v>
      </c>
      <c r="H1169" s="1">
        <f>IFERROR(__xludf.DUMMYFUNCTION("""COMPUTED_VALUE"""),91.0)</f>
        <v>91</v>
      </c>
      <c r="I1169" s="1">
        <f>IFERROR(__xludf.DUMMYFUNCTION("""COMPUTED_VALUE"""),81.0)</f>
        <v>81</v>
      </c>
      <c r="J1169" s="1">
        <f>IFERROR(__xludf.DUMMYFUNCTION("""COMPUTED_VALUE"""),82.0)</f>
        <v>82</v>
      </c>
      <c r="K1169" s="1">
        <f>IFERROR(__xludf.DUMMYFUNCTION("""COMPUTED_VALUE"""),72.0)</f>
        <v>72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 t="str">
        <f>IFERROR(__xludf.DUMMYFUNCTION("""COMPUTED_VALUE"""),"A")</f>
        <v>A</v>
      </c>
      <c r="E1170" s="1" t="str">
        <f>IFERROR(__xludf.DUMMYFUNCTION("""COMPUTED_VALUE"""),"Female")</f>
        <v>Female</v>
      </c>
      <c r="F1170" s="1">
        <f>IFERROR(__xludf.DUMMYFUNCTION("""COMPUTED_VALUE"""),35.0)</f>
        <v>35</v>
      </c>
      <c r="G1170" s="1">
        <f>IFERROR(__xludf.DUMMYFUNCTION("""COMPUTED_VALUE"""),80.0)</f>
        <v>80</v>
      </c>
      <c r="H1170" s="1">
        <f>IFERROR(__xludf.DUMMYFUNCTION("""COMPUTED_VALUE"""),24.0)</f>
        <v>24</v>
      </c>
      <c r="I1170" s="1">
        <f>IFERROR(__xludf.DUMMYFUNCTION("""COMPUTED_VALUE"""),20.0)</f>
        <v>20</v>
      </c>
      <c r="J1170" s="1">
        <f>IFERROR(__xludf.DUMMYFUNCTION("""COMPUTED_VALUE"""),48.0)</f>
        <v>48</v>
      </c>
      <c r="K1170" s="1">
        <f>IFERROR(__xludf.DUMMYFUNCTION("""COMPUTED_VALUE"""),50.0)</f>
        <v>50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 t="str">
        <f>IFERROR(__xludf.DUMMYFUNCTION("""COMPUTED_VALUE"""),"B")</f>
        <v>B</v>
      </c>
      <c r="E1171" s="1" t="str">
        <f>IFERROR(__xludf.DUMMYFUNCTION("""COMPUTED_VALUE"""),"Female")</f>
        <v>Female</v>
      </c>
      <c r="F1171" s="1">
        <f>IFERROR(__xludf.DUMMYFUNCTION("""COMPUTED_VALUE"""),16.0)</f>
        <v>16</v>
      </c>
      <c r="G1171" s="1">
        <f>IFERROR(__xludf.DUMMYFUNCTION("""COMPUTED_VALUE"""),44.0)</f>
        <v>44</v>
      </c>
      <c r="H1171" s="1">
        <f>IFERROR(__xludf.DUMMYFUNCTION("""COMPUTED_VALUE"""),38.0)</f>
        <v>38</v>
      </c>
      <c r="I1171" s="1">
        <f>IFERROR(__xludf.DUMMYFUNCTION("""COMPUTED_VALUE"""),65.0)</f>
        <v>65</v>
      </c>
      <c r="J1171" s="1">
        <f>IFERROR(__xludf.DUMMYFUNCTION("""COMPUTED_VALUE"""),69.0)</f>
        <v>69</v>
      </c>
      <c r="K1171" s="1">
        <f>IFERROR(__xludf.DUMMYFUNCTION("""COMPUTED_VALUE"""),74.0)</f>
        <v>74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 t="str">
        <f>IFERROR(__xludf.DUMMYFUNCTION("""COMPUTED_VALUE"""),"B")</f>
        <v>B</v>
      </c>
      <c r="E1172" s="1" t="str">
        <f>IFERROR(__xludf.DUMMYFUNCTION("""COMPUTED_VALUE"""),"Male")</f>
        <v>Male</v>
      </c>
      <c r="F1172" s="1">
        <f>IFERROR(__xludf.DUMMYFUNCTION("""COMPUTED_VALUE"""),36.0)</f>
        <v>36</v>
      </c>
      <c r="G1172" s="1">
        <f>IFERROR(__xludf.DUMMYFUNCTION("""COMPUTED_VALUE"""),36.0)</f>
        <v>36</v>
      </c>
      <c r="H1172" s="1">
        <f>IFERROR(__xludf.DUMMYFUNCTION("""COMPUTED_VALUE"""),49.0)</f>
        <v>49</v>
      </c>
      <c r="I1172" s="1">
        <f>IFERROR(__xludf.DUMMYFUNCTION("""COMPUTED_VALUE"""),52.0)</f>
        <v>52</v>
      </c>
      <c r="J1172" s="1">
        <f>IFERROR(__xludf.DUMMYFUNCTION("""COMPUTED_VALUE"""),20.0)</f>
        <v>20</v>
      </c>
      <c r="K1172" s="1">
        <f>IFERROR(__xludf.DUMMYFUNCTION("""COMPUTED_VALUE"""),28.0)</f>
        <v>28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 t="str">
        <f>IFERROR(__xludf.DUMMYFUNCTION("""COMPUTED_VALUE"""),"C")</f>
        <v>C</v>
      </c>
      <c r="E1173" s="1" t="str">
        <f>IFERROR(__xludf.DUMMYFUNCTION("""COMPUTED_VALUE"""),"Male")</f>
        <v>Male</v>
      </c>
      <c r="F1173" s="1">
        <f>IFERROR(__xludf.DUMMYFUNCTION("""COMPUTED_VALUE"""),77.0)</f>
        <v>77</v>
      </c>
      <c r="G1173" s="1">
        <f>IFERROR(__xludf.DUMMYFUNCTION("""COMPUTED_VALUE"""),55.0)</f>
        <v>55</v>
      </c>
      <c r="H1173" s="1">
        <f>IFERROR(__xludf.DUMMYFUNCTION("""COMPUTED_VALUE"""),32.0)</f>
        <v>32</v>
      </c>
      <c r="I1173" s="1">
        <f>IFERROR(__xludf.DUMMYFUNCTION("""COMPUTED_VALUE"""),36.0)</f>
        <v>36</v>
      </c>
      <c r="J1173" s="1">
        <f>IFERROR(__xludf.DUMMYFUNCTION("""COMPUTED_VALUE"""),68.0)</f>
        <v>68</v>
      </c>
      <c r="K1173" s="1">
        <f>IFERROR(__xludf.DUMMYFUNCTION("""COMPUTED_VALUE"""),90.0)</f>
        <v>90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 t="str">
        <f>IFERROR(__xludf.DUMMYFUNCTION("""COMPUTED_VALUE"""),"D")</f>
        <v>D</v>
      </c>
      <c r="E1174" s="1" t="str">
        <f>IFERROR(__xludf.DUMMYFUNCTION("""COMPUTED_VALUE"""),"Male")</f>
        <v>Male</v>
      </c>
      <c r="F1174" s="1">
        <f>IFERROR(__xludf.DUMMYFUNCTION("""COMPUTED_VALUE"""),59.0)</f>
        <v>59</v>
      </c>
      <c r="G1174" s="1">
        <f>IFERROR(__xludf.DUMMYFUNCTION("""COMPUTED_VALUE"""),33.0)</f>
        <v>33</v>
      </c>
      <c r="H1174" s="1">
        <f>IFERROR(__xludf.DUMMYFUNCTION("""COMPUTED_VALUE"""),33.0)</f>
        <v>33</v>
      </c>
      <c r="I1174" s="1">
        <f>IFERROR(__xludf.DUMMYFUNCTION("""COMPUTED_VALUE"""),69.0)</f>
        <v>69</v>
      </c>
      <c r="J1174" s="1">
        <f>IFERROR(__xludf.DUMMYFUNCTION("""COMPUTED_VALUE"""),25.0)</f>
        <v>25</v>
      </c>
      <c r="K1174" s="1">
        <f>IFERROR(__xludf.DUMMYFUNCTION("""COMPUTED_VALUE"""),86.0)</f>
        <v>86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 t="str">
        <f>IFERROR(__xludf.DUMMYFUNCTION("""COMPUTED_VALUE"""),"C")</f>
        <v>C</v>
      </c>
      <c r="E1175" s="1" t="str">
        <f>IFERROR(__xludf.DUMMYFUNCTION("""COMPUTED_VALUE"""),"Female")</f>
        <v>Female</v>
      </c>
      <c r="F1175" s="1">
        <f>IFERROR(__xludf.DUMMYFUNCTION("""COMPUTED_VALUE"""),22.0)</f>
        <v>22</v>
      </c>
      <c r="G1175" s="1">
        <f>IFERROR(__xludf.DUMMYFUNCTION("""COMPUTED_VALUE"""),22.0)</f>
        <v>22</v>
      </c>
      <c r="H1175" s="1">
        <f>IFERROR(__xludf.DUMMYFUNCTION("""COMPUTED_VALUE"""),69.0)</f>
        <v>69</v>
      </c>
      <c r="I1175" s="1">
        <f>IFERROR(__xludf.DUMMYFUNCTION("""COMPUTED_VALUE"""),38.0)</f>
        <v>38</v>
      </c>
      <c r="J1175" s="1">
        <f>IFERROR(__xludf.DUMMYFUNCTION("""COMPUTED_VALUE"""),96.0)</f>
        <v>96</v>
      </c>
      <c r="K1175" s="1">
        <f>IFERROR(__xludf.DUMMYFUNCTION("""COMPUTED_VALUE"""),95.0)</f>
        <v>95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 t="str">
        <f>IFERROR(__xludf.DUMMYFUNCTION("""COMPUTED_VALUE"""),"D")</f>
        <v>D</v>
      </c>
      <c r="E1176" s="1" t="str">
        <f>IFERROR(__xludf.DUMMYFUNCTION("""COMPUTED_VALUE"""),"Female")</f>
        <v>Female</v>
      </c>
      <c r="F1176" s="1">
        <f>IFERROR(__xludf.DUMMYFUNCTION("""COMPUTED_VALUE"""),78.0)</f>
        <v>78</v>
      </c>
      <c r="G1176" s="1">
        <f>IFERROR(__xludf.DUMMYFUNCTION("""COMPUTED_VALUE"""),71.0)</f>
        <v>71</v>
      </c>
      <c r="H1176" s="1">
        <f>IFERROR(__xludf.DUMMYFUNCTION("""COMPUTED_VALUE"""),60.0)</f>
        <v>60</v>
      </c>
      <c r="I1176" s="1">
        <f>IFERROR(__xludf.DUMMYFUNCTION("""COMPUTED_VALUE"""),88.0)</f>
        <v>88</v>
      </c>
      <c r="J1176" s="1">
        <f>IFERROR(__xludf.DUMMYFUNCTION("""COMPUTED_VALUE"""),47.0)</f>
        <v>47</v>
      </c>
      <c r="K1176" s="1">
        <f>IFERROR(__xludf.DUMMYFUNCTION("""COMPUTED_VALUE"""),43.0)</f>
        <v>43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 t="str">
        <f>IFERROR(__xludf.DUMMYFUNCTION("""COMPUTED_VALUE"""),"A")</f>
        <v>A</v>
      </c>
      <c r="E1177" s="1" t="str">
        <f>IFERROR(__xludf.DUMMYFUNCTION("""COMPUTED_VALUE"""),"Female")</f>
        <v>Female</v>
      </c>
      <c r="F1177" s="1">
        <f>IFERROR(__xludf.DUMMYFUNCTION("""COMPUTED_VALUE"""),93.0)</f>
        <v>93</v>
      </c>
      <c r="G1177" s="1">
        <f>IFERROR(__xludf.DUMMYFUNCTION("""COMPUTED_VALUE"""),26.0)</f>
        <v>26</v>
      </c>
      <c r="H1177" s="1">
        <f>IFERROR(__xludf.DUMMYFUNCTION("""COMPUTED_VALUE"""),22.0)</f>
        <v>22</v>
      </c>
      <c r="I1177" s="1">
        <f>IFERROR(__xludf.DUMMYFUNCTION("""COMPUTED_VALUE"""),66.0)</f>
        <v>66</v>
      </c>
      <c r="J1177" s="1">
        <f>IFERROR(__xludf.DUMMYFUNCTION("""COMPUTED_VALUE"""),41.0)</f>
        <v>41</v>
      </c>
      <c r="K1177" s="1">
        <f>IFERROR(__xludf.DUMMYFUNCTION("""COMPUTED_VALUE"""),29.0)</f>
        <v>29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 t="str">
        <f>IFERROR(__xludf.DUMMYFUNCTION("""COMPUTED_VALUE"""),"B")</f>
        <v>B</v>
      </c>
      <c r="E1178" s="1" t="str">
        <f>IFERROR(__xludf.DUMMYFUNCTION("""COMPUTED_VALUE"""),"Male")</f>
        <v>Male</v>
      </c>
      <c r="F1178" s="1">
        <f>IFERROR(__xludf.DUMMYFUNCTION("""COMPUTED_VALUE"""),53.0)</f>
        <v>53</v>
      </c>
      <c r="G1178" s="1">
        <f>IFERROR(__xludf.DUMMYFUNCTION("""COMPUTED_VALUE"""),79.0)</f>
        <v>79</v>
      </c>
      <c r="H1178" s="1">
        <f>IFERROR(__xludf.DUMMYFUNCTION("""COMPUTED_VALUE"""),49.0)</f>
        <v>49</v>
      </c>
      <c r="I1178" s="1">
        <f>IFERROR(__xludf.DUMMYFUNCTION("""COMPUTED_VALUE"""),45.0)</f>
        <v>45</v>
      </c>
      <c r="J1178" s="1">
        <f>IFERROR(__xludf.DUMMYFUNCTION("""COMPUTED_VALUE"""),57.0)</f>
        <v>57</v>
      </c>
      <c r="K1178" s="1">
        <f>IFERROR(__xludf.DUMMYFUNCTION("""COMPUTED_VALUE"""),41.0)</f>
        <v>41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 t="str">
        <f>IFERROR(__xludf.DUMMYFUNCTION("""COMPUTED_VALUE"""),"C")</f>
        <v>C</v>
      </c>
      <c r="E1179" s="1" t="str">
        <f>IFERROR(__xludf.DUMMYFUNCTION("""COMPUTED_VALUE"""),"Female")</f>
        <v>Female</v>
      </c>
      <c r="F1179" s="1">
        <f>IFERROR(__xludf.DUMMYFUNCTION("""COMPUTED_VALUE"""),45.0)</f>
        <v>45</v>
      </c>
      <c r="G1179" s="1">
        <f>IFERROR(__xludf.DUMMYFUNCTION("""COMPUTED_VALUE"""),31.0)</f>
        <v>31</v>
      </c>
      <c r="H1179" s="1">
        <f>IFERROR(__xludf.DUMMYFUNCTION("""COMPUTED_VALUE"""),45.0)</f>
        <v>45</v>
      </c>
      <c r="I1179" s="1">
        <f>IFERROR(__xludf.DUMMYFUNCTION("""COMPUTED_VALUE"""),68.0)</f>
        <v>68</v>
      </c>
      <c r="J1179" s="1">
        <f>IFERROR(__xludf.DUMMYFUNCTION("""COMPUTED_VALUE"""),92.0)</f>
        <v>92</v>
      </c>
      <c r="K1179" s="1">
        <f>IFERROR(__xludf.DUMMYFUNCTION("""COMPUTED_VALUE"""),65.0)</f>
        <v>65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 t="str">
        <f>IFERROR(__xludf.DUMMYFUNCTION("""COMPUTED_VALUE"""),"B")</f>
        <v>B</v>
      </c>
      <c r="E1180" s="1" t="str">
        <f>IFERROR(__xludf.DUMMYFUNCTION("""COMPUTED_VALUE"""),"Female")</f>
        <v>Female</v>
      </c>
      <c r="F1180" s="1">
        <f>IFERROR(__xludf.DUMMYFUNCTION("""COMPUTED_VALUE"""),55.0)</f>
        <v>55</v>
      </c>
      <c r="G1180" s="1">
        <f>IFERROR(__xludf.DUMMYFUNCTION("""COMPUTED_VALUE"""),82.0)</f>
        <v>82</v>
      </c>
      <c r="H1180" s="1">
        <f>IFERROR(__xludf.DUMMYFUNCTION("""COMPUTED_VALUE"""),27.0)</f>
        <v>27</v>
      </c>
      <c r="I1180" s="1">
        <f>IFERROR(__xludf.DUMMYFUNCTION("""COMPUTED_VALUE"""),30.0)</f>
        <v>30</v>
      </c>
      <c r="J1180" s="1">
        <f>IFERROR(__xludf.DUMMYFUNCTION("""COMPUTED_VALUE"""),48.0)</f>
        <v>48</v>
      </c>
      <c r="K1180" s="1">
        <f>IFERROR(__xludf.DUMMYFUNCTION("""COMPUTED_VALUE"""),84.0)</f>
        <v>84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 t="str">
        <f>IFERROR(__xludf.DUMMYFUNCTION("""COMPUTED_VALUE"""),"D")</f>
        <v>D</v>
      </c>
      <c r="E1181" s="1" t="str">
        <f>IFERROR(__xludf.DUMMYFUNCTION("""COMPUTED_VALUE"""),"Male")</f>
        <v>Male</v>
      </c>
      <c r="F1181" s="1">
        <f>IFERROR(__xludf.DUMMYFUNCTION("""COMPUTED_VALUE"""),41.0)</f>
        <v>41</v>
      </c>
      <c r="G1181" s="1">
        <f>IFERROR(__xludf.DUMMYFUNCTION("""COMPUTED_VALUE"""),39.0)</f>
        <v>39</v>
      </c>
      <c r="H1181" s="1">
        <f>IFERROR(__xludf.DUMMYFUNCTION("""COMPUTED_VALUE"""),41.0)</f>
        <v>41</v>
      </c>
      <c r="I1181" s="1">
        <f>IFERROR(__xludf.DUMMYFUNCTION("""COMPUTED_VALUE"""),87.0)</f>
        <v>87</v>
      </c>
      <c r="J1181" s="1">
        <f>IFERROR(__xludf.DUMMYFUNCTION("""COMPUTED_VALUE"""),86.0)</f>
        <v>86</v>
      </c>
      <c r="K1181" s="1">
        <f>IFERROR(__xludf.DUMMYFUNCTION("""COMPUTED_VALUE"""),81.0)</f>
        <v>81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 t="str">
        <f>IFERROR(__xludf.DUMMYFUNCTION("""COMPUTED_VALUE"""),"B")</f>
        <v>B</v>
      </c>
      <c r="E1182" s="1" t="str">
        <f>IFERROR(__xludf.DUMMYFUNCTION("""COMPUTED_VALUE"""),"Male")</f>
        <v>Male</v>
      </c>
      <c r="F1182" s="1">
        <f>IFERROR(__xludf.DUMMYFUNCTION("""COMPUTED_VALUE"""),59.0)</f>
        <v>59</v>
      </c>
      <c r="G1182" s="1">
        <f>IFERROR(__xludf.DUMMYFUNCTION("""COMPUTED_VALUE"""),40.0)</f>
        <v>40</v>
      </c>
      <c r="H1182" s="1">
        <f>IFERROR(__xludf.DUMMYFUNCTION("""COMPUTED_VALUE"""),86.0)</f>
        <v>86</v>
      </c>
      <c r="I1182" s="1">
        <f>IFERROR(__xludf.DUMMYFUNCTION("""COMPUTED_VALUE"""),22.0)</f>
        <v>22</v>
      </c>
      <c r="J1182" s="1">
        <f>IFERROR(__xludf.DUMMYFUNCTION("""COMPUTED_VALUE"""),98.0)</f>
        <v>98</v>
      </c>
      <c r="K1182" s="1">
        <f>IFERROR(__xludf.DUMMYFUNCTION("""COMPUTED_VALUE"""),89.0)</f>
        <v>89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 t="str">
        <f>IFERROR(__xludf.DUMMYFUNCTION("""COMPUTED_VALUE"""),"B")</f>
        <v>B</v>
      </c>
      <c r="E1183" s="1" t="str">
        <f>IFERROR(__xludf.DUMMYFUNCTION("""COMPUTED_VALUE"""),"Female")</f>
        <v>Female</v>
      </c>
      <c r="F1183" s="1">
        <f>IFERROR(__xludf.DUMMYFUNCTION("""COMPUTED_VALUE"""),19.0)</f>
        <v>19</v>
      </c>
      <c r="G1183" s="1">
        <f>IFERROR(__xludf.DUMMYFUNCTION("""COMPUTED_VALUE"""),84.0)</f>
        <v>84</v>
      </c>
      <c r="H1183" s="1">
        <f>IFERROR(__xludf.DUMMYFUNCTION("""COMPUTED_VALUE"""),65.0)</f>
        <v>65</v>
      </c>
      <c r="I1183" s="1">
        <f>IFERROR(__xludf.DUMMYFUNCTION("""COMPUTED_VALUE"""),20.0)</f>
        <v>20</v>
      </c>
      <c r="J1183" s="1">
        <f>IFERROR(__xludf.DUMMYFUNCTION("""COMPUTED_VALUE"""),73.0)</f>
        <v>73</v>
      </c>
      <c r="K1183" s="1">
        <f>IFERROR(__xludf.DUMMYFUNCTION("""COMPUTED_VALUE"""),66.0)</f>
        <v>66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 t="str">
        <f>IFERROR(__xludf.DUMMYFUNCTION("""COMPUTED_VALUE"""),"D")</f>
        <v>D</v>
      </c>
      <c r="E1184" s="1" t="str">
        <f>IFERROR(__xludf.DUMMYFUNCTION("""COMPUTED_VALUE"""),"Female")</f>
        <v>Female</v>
      </c>
      <c r="F1184" s="1">
        <f>IFERROR(__xludf.DUMMYFUNCTION("""COMPUTED_VALUE"""),20.0)</f>
        <v>20</v>
      </c>
      <c r="G1184" s="1">
        <f>IFERROR(__xludf.DUMMYFUNCTION("""COMPUTED_VALUE"""),99.0)</f>
        <v>99</v>
      </c>
      <c r="H1184" s="1">
        <f>IFERROR(__xludf.DUMMYFUNCTION("""COMPUTED_VALUE"""),66.0)</f>
        <v>66</v>
      </c>
      <c r="I1184" s="1">
        <f>IFERROR(__xludf.DUMMYFUNCTION("""COMPUTED_VALUE"""),41.0)</f>
        <v>41</v>
      </c>
      <c r="J1184" s="1">
        <f>IFERROR(__xludf.DUMMYFUNCTION("""COMPUTED_VALUE"""),28.0)</f>
        <v>28</v>
      </c>
      <c r="K1184" s="1">
        <f>IFERROR(__xludf.DUMMYFUNCTION("""COMPUTED_VALUE"""),23.0)</f>
        <v>23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 t="str">
        <f>IFERROR(__xludf.DUMMYFUNCTION("""COMPUTED_VALUE"""),"B")</f>
        <v>B</v>
      </c>
      <c r="E1185" s="1" t="str">
        <f>IFERROR(__xludf.DUMMYFUNCTION("""COMPUTED_VALUE"""),"Male")</f>
        <v>Male</v>
      </c>
      <c r="F1185" s="1">
        <f>IFERROR(__xludf.DUMMYFUNCTION("""COMPUTED_VALUE"""),94.0)</f>
        <v>94</v>
      </c>
      <c r="G1185" s="1">
        <f>IFERROR(__xludf.DUMMYFUNCTION("""COMPUTED_VALUE"""),89.0)</f>
        <v>89</v>
      </c>
      <c r="H1185" s="1">
        <f>IFERROR(__xludf.DUMMYFUNCTION("""COMPUTED_VALUE"""),24.0)</f>
        <v>24</v>
      </c>
      <c r="I1185" s="1">
        <f>IFERROR(__xludf.DUMMYFUNCTION("""COMPUTED_VALUE"""),81.0)</f>
        <v>81</v>
      </c>
      <c r="J1185" s="1">
        <f>IFERROR(__xludf.DUMMYFUNCTION("""COMPUTED_VALUE"""),85.0)</f>
        <v>85</v>
      </c>
      <c r="K1185" s="1">
        <f>IFERROR(__xludf.DUMMYFUNCTION("""COMPUTED_VALUE"""),51.0)</f>
        <v>51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 t="str">
        <f>IFERROR(__xludf.DUMMYFUNCTION("""COMPUTED_VALUE"""),"A")</f>
        <v>A</v>
      </c>
      <c r="E1186" s="1" t="str">
        <f>IFERROR(__xludf.DUMMYFUNCTION("""COMPUTED_VALUE"""),"Female")</f>
        <v>Female</v>
      </c>
      <c r="F1186" s="1">
        <f>IFERROR(__xludf.DUMMYFUNCTION("""COMPUTED_VALUE"""),21.0)</f>
        <v>21</v>
      </c>
      <c r="G1186" s="1">
        <f>IFERROR(__xludf.DUMMYFUNCTION("""COMPUTED_VALUE"""),86.0)</f>
        <v>86</v>
      </c>
      <c r="H1186" s="1">
        <f>IFERROR(__xludf.DUMMYFUNCTION("""COMPUTED_VALUE"""),52.0)</f>
        <v>52</v>
      </c>
      <c r="I1186" s="1">
        <f>IFERROR(__xludf.DUMMYFUNCTION("""COMPUTED_VALUE"""),45.0)</f>
        <v>45</v>
      </c>
      <c r="J1186" s="1">
        <f>IFERROR(__xludf.DUMMYFUNCTION("""COMPUTED_VALUE"""),66.0)</f>
        <v>66</v>
      </c>
      <c r="K1186" s="1">
        <f>IFERROR(__xludf.DUMMYFUNCTION("""COMPUTED_VALUE"""),51.0)</f>
        <v>51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 t="str">
        <f>IFERROR(__xludf.DUMMYFUNCTION("""COMPUTED_VALUE"""),"D")</f>
        <v>D</v>
      </c>
      <c r="E1187" s="1" t="str">
        <f>IFERROR(__xludf.DUMMYFUNCTION("""COMPUTED_VALUE"""),"Female")</f>
        <v>Female</v>
      </c>
      <c r="F1187" s="1">
        <f>IFERROR(__xludf.DUMMYFUNCTION("""COMPUTED_VALUE"""),51.0)</f>
        <v>51</v>
      </c>
      <c r="G1187" s="1">
        <f>IFERROR(__xludf.DUMMYFUNCTION("""COMPUTED_VALUE"""),60.0)</f>
        <v>60</v>
      </c>
      <c r="H1187" s="1">
        <f>IFERROR(__xludf.DUMMYFUNCTION("""COMPUTED_VALUE"""),20.0)</f>
        <v>20</v>
      </c>
      <c r="I1187" s="1">
        <f>IFERROR(__xludf.DUMMYFUNCTION("""COMPUTED_VALUE"""),58.0)</f>
        <v>58</v>
      </c>
      <c r="J1187" s="1">
        <f>IFERROR(__xludf.DUMMYFUNCTION("""COMPUTED_VALUE"""),43.0)</f>
        <v>43</v>
      </c>
      <c r="K1187" s="1">
        <f>IFERROR(__xludf.DUMMYFUNCTION("""COMPUTED_VALUE"""),26.0)</f>
        <v>26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 t="str">
        <f>IFERROR(__xludf.DUMMYFUNCTION("""COMPUTED_VALUE"""),"D")</f>
        <v>D</v>
      </c>
      <c r="E1188" s="1" t="str">
        <f>IFERROR(__xludf.DUMMYFUNCTION("""COMPUTED_VALUE"""),"Female")</f>
        <v>Female</v>
      </c>
      <c r="F1188" s="1">
        <f>IFERROR(__xludf.DUMMYFUNCTION("""COMPUTED_VALUE"""),58.0)</f>
        <v>58</v>
      </c>
      <c r="G1188" s="1">
        <f>IFERROR(__xludf.DUMMYFUNCTION("""COMPUTED_VALUE"""),46.0)</f>
        <v>46</v>
      </c>
      <c r="H1188" s="1">
        <f>IFERROR(__xludf.DUMMYFUNCTION("""COMPUTED_VALUE"""),52.0)</f>
        <v>52</v>
      </c>
      <c r="I1188" s="1">
        <f>IFERROR(__xludf.DUMMYFUNCTION("""COMPUTED_VALUE"""),44.0)</f>
        <v>44</v>
      </c>
      <c r="J1188" s="1">
        <f>IFERROR(__xludf.DUMMYFUNCTION("""COMPUTED_VALUE"""),86.0)</f>
        <v>86</v>
      </c>
      <c r="K1188" s="1">
        <f>IFERROR(__xludf.DUMMYFUNCTION("""COMPUTED_VALUE"""),32.0)</f>
        <v>32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 t="str">
        <f>IFERROR(__xludf.DUMMYFUNCTION("""COMPUTED_VALUE"""),"B")</f>
        <v>B</v>
      </c>
      <c r="E1189" s="1" t="str">
        <f>IFERROR(__xludf.DUMMYFUNCTION("""COMPUTED_VALUE"""),"Female")</f>
        <v>Female</v>
      </c>
      <c r="F1189" s="1">
        <f>IFERROR(__xludf.DUMMYFUNCTION("""COMPUTED_VALUE"""),27.0)</f>
        <v>27</v>
      </c>
      <c r="G1189" s="1">
        <f>IFERROR(__xludf.DUMMYFUNCTION("""COMPUTED_VALUE"""),90.0)</f>
        <v>90</v>
      </c>
      <c r="H1189" s="1">
        <f>IFERROR(__xludf.DUMMYFUNCTION("""COMPUTED_VALUE"""),59.0)</f>
        <v>59</v>
      </c>
      <c r="I1189" s="1">
        <f>IFERROR(__xludf.DUMMYFUNCTION("""COMPUTED_VALUE"""),99.0)</f>
        <v>99</v>
      </c>
      <c r="J1189" s="1">
        <f>IFERROR(__xludf.DUMMYFUNCTION("""COMPUTED_VALUE"""),71.0)</f>
        <v>71</v>
      </c>
      <c r="K1189" s="1">
        <f>IFERROR(__xludf.DUMMYFUNCTION("""COMPUTED_VALUE"""),40.0)</f>
        <v>40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 t="str">
        <f>IFERROR(__xludf.DUMMYFUNCTION("""COMPUTED_VALUE"""),"C")</f>
        <v>C</v>
      </c>
      <c r="E1190" s="1" t="str">
        <f>IFERROR(__xludf.DUMMYFUNCTION("""COMPUTED_VALUE"""),"Male")</f>
        <v>Male</v>
      </c>
      <c r="F1190" s="1">
        <f>IFERROR(__xludf.DUMMYFUNCTION("""COMPUTED_VALUE"""),27.0)</f>
        <v>27</v>
      </c>
      <c r="G1190" s="1">
        <f>IFERROR(__xludf.DUMMYFUNCTION("""COMPUTED_VALUE"""),74.0)</f>
        <v>74</v>
      </c>
      <c r="H1190" s="1">
        <f>IFERROR(__xludf.DUMMYFUNCTION("""COMPUTED_VALUE"""),96.0)</f>
        <v>96</v>
      </c>
      <c r="I1190" s="1">
        <f>IFERROR(__xludf.DUMMYFUNCTION("""COMPUTED_VALUE"""),38.0)</f>
        <v>38</v>
      </c>
      <c r="J1190" s="1">
        <f>IFERROR(__xludf.DUMMYFUNCTION("""COMPUTED_VALUE"""),49.0)</f>
        <v>49</v>
      </c>
      <c r="K1190" s="1">
        <f>IFERROR(__xludf.DUMMYFUNCTION("""COMPUTED_VALUE"""),59.0)</f>
        <v>59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 t="str">
        <f>IFERROR(__xludf.DUMMYFUNCTION("""COMPUTED_VALUE"""),"D")</f>
        <v>D</v>
      </c>
      <c r="E1191" s="1" t="str">
        <f>IFERROR(__xludf.DUMMYFUNCTION("""COMPUTED_VALUE"""),"Female")</f>
        <v>Female</v>
      </c>
      <c r="F1191" s="1">
        <f>IFERROR(__xludf.DUMMYFUNCTION("""COMPUTED_VALUE"""),97.0)</f>
        <v>97</v>
      </c>
      <c r="G1191" s="1">
        <f>IFERROR(__xludf.DUMMYFUNCTION("""COMPUTED_VALUE"""),95.0)</f>
        <v>95</v>
      </c>
      <c r="H1191" s="1">
        <f>IFERROR(__xludf.DUMMYFUNCTION("""COMPUTED_VALUE"""),93.0)</f>
        <v>93</v>
      </c>
      <c r="I1191" s="1">
        <f>IFERROR(__xludf.DUMMYFUNCTION("""COMPUTED_VALUE"""),35.0)</f>
        <v>35</v>
      </c>
      <c r="J1191" s="1">
        <f>IFERROR(__xludf.DUMMYFUNCTION("""COMPUTED_VALUE"""),73.0)</f>
        <v>73</v>
      </c>
      <c r="K1191" s="1">
        <f>IFERROR(__xludf.DUMMYFUNCTION("""COMPUTED_VALUE"""),91.0)</f>
        <v>91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 t="str">
        <f>IFERROR(__xludf.DUMMYFUNCTION("""COMPUTED_VALUE"""),"C")</f>
        <v>C</v>
      </c>
      <c r="E1192" s="1" t="str">
        <f>IFERROR(__xludf.DUMMYFUNCTION("""COMPUTED_VALUE"""),"Female")</f>
        <v>Female</v>
      </c>
      <c r="F1192" s="1">
        <f>IFERROR(__xludf.DUMMYFUNCTION("""COMPUTED_VALUE"""),87.0)</f>
        <v>87</v>
      </c>
      <c r="G1192" s="1">
        <f>IFERROR(__xludf.DUMMYFUNCTION("""COMPUTED_VALUE"""),50.0)</f>
        <v>50</v>
      </c>
      <c r="H1192" s="1">
        <f>IFERROR(__xludf.DUMMYFUNCTION("""COMPUTED_VALUE"""),58.0)</f>
        <v>58</v>
      </c>
      <c r="I1192" s="1">
        <f>IFERROR(__xludf.DUMMYFUNCTION("""COMPUTED_VALUE"""),72.0)</f>
        <v>72</v>
      </c>
      <c r="J1192" s="1">
        <f>IFERROR(__xludf.DUMMYFUNCTION("""COMPUTED_VALUE"""),41.0)</f>
        <v>41</v>
      </c>
      <c r="K1192" s="1">
        <f>IFERROR(__xludf.DUMMYFUNCTION("""COMPUTED_VALUE"""),62.0)</f>
        <v>62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 t="str">
        <f>IFERROR(__xludf.DUMMYFUNCTION("""COMPUTED_VALUE"""),"C")</f>
        <v>C</v>
      </c>
      <c r="E1193" s="1" t="str">
        <f>IFERROR(__xludf.DUMMYFUNCTION("""COMPUTED_VALUE"""),"Female")</f>
        <v>Female</v>
      </c>
      <c r="F1193" s="1">
        <f>IFERROR(__xludf.DUMMYFUNCTION("""COMPUTED_VALUE"""),82.0)</f>
        <v>82</v>
      </c>
      <c r="G1193" s="1">
        <f>IFERROR(__xludf.DUMMYFUNCTION("""COMPUTED_VALUE"""),54.0)</f>
        <v>54</v>
      </c>
      <c r="H1193" s="1">
        <f>IFERROR(__xludf.DUMMYFUNCTION("""COMPUTED_VALUE"""),42.0)</f>
        <v>42</v>
      </c>
      <c r="I1193" s="1">
        <f>IFERROR(__xludf.DUMMYFUNCTION("""COMPUTED_VALUE"""),45.0)</f>
        <v>45</v>
      </c>
      <c r="J1193" s="1">
        <f>IFERROR(__xludf.DUMMYFUNCTION("""COMPUTED_VALUE"""),89.0)</f>
        <v>89</v>
      </c>
      <c r="K1193" s="1">
        <f>IFERROR(__xludf.DUMMYFUNCTION("""COMPUTED_VALUE"""),59.0)</f>
        <v>59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 t="str">
        <f>IFERROR(__xludf.DUMMYFUNCTION("""COMPUTED_VALUE"""),"C")</f>
        <v>C</v>
      </c>
      <c r="E1194" s="1" t="str">
        <f>IFERROR(__xludf.DUMMYFUNCTION("""COMPUTED_VALUE"""),"Female")</f>
        <v>Female</v>
      </c>
      <c r="F1194" s="1">
        <f>IFERROR(__xludf.DUMMYFUNCTION("""COMPUTED_VALUE"""),32.0)</f>
        <v>32</v>
      </c>
      <c r="G1194" s="1">
        <f>IFERROR(__xludf.DUMMYFUNCTION("""COMPUTED_VALUE"""),80.0)</f>
        <v>80</v>
      </c>
      <c r="H1194" s="1">
        <f>IFERROR(__xludf.DUMMYFUNCTION("""COMPUTED_VALUE"""),55.0)</f>
        <v>55</v>
      </c>
      <c r="I1194" s="1">
        <f>IFERROR(__xludf.DUMMYFUNCTION("""COMPUTED_VALUE"""),58.0)</f>
        <v>58</v>
      </c>
      <c r="J1194" s="1">
        <f>IFERROR(__xludf.DUMMYFUNCTION("""COMPUTED_VALUE"""),68.0)</f>
        <v>68</v>
      </c>
      <c r="K1194" s="1">
        <f>IFERROR(__xludf.DUMMYFUNCTION("""COMPUTED_VALUE"""),63.0)</f>
        <v>63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 t="str">
        <f>IFERROR(__xludf.DUMMYFUNCTION("""COMPUTED_VALUE"""),"D")</f>
        <v>D</v>
      </c>
      <c r="E1195" s="1" t="str">
        <f>IFERROR(__xludf.DUMMYFUNCTION("""COMPUTED_VALUE"""),"Female")</f>
        <v>Female</v>
      </c>
      <c r="F1195" s="1">
        <f>IFERROR(__xludf.DUMMYFUNCTION("""COMPUTED_VALUE"""),17.0)</f>
        <v>17</v>
      </c>
      <c r="G1195" s="1">
        <f>IFERROR(__xludf.DUMMYFUNCTION("""COMPUTED_VALUE"""),96.0)</f>
        <v>96</v>
      </c>
      <c r="H1195" s="1">
        <f>IFERROR(__xludf.DUMMYFUNCTION("""COMPUTED_VALUE"""),28.0)</f>
        <v>28</v>
      </c>
      <c r="I1195" s="1">
        <f>IFERROR(__xludf.DUMMYFUNCTION("""COMPUTED_VALUE"""),66.0)</f>
        <v>66</v>
      </c>
      <c r="J1195" s="1">
        <f>IFERROR(__xludf.DUMMYFUNCTION("""COMPUTED_VALUE"""),55.0)</f>
        <v>55</v>
      </c>
      <c r="K1195" s="1">
        <f>IFERROR(__xludf.DUMMYFUNCTION("""COMPUTED_VALUE"""),36.0)</f>
        <v>36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 t="str">
        <f>IFERROR(__xludf.DUMMYFUNCTION("""COMPUTED_VALUE"""),"B")</f>
        <v>B</v>
      </c>
      <c r="E1196" s="1" t="str">
        <f>IFERROR(__xludf.DUMMYFUNCTION("""COMPUTED_VALUE"""),"Male")</f>
        <v>Male</v>
      </c>
      <c r="F1196" s="1">
        <f>IFERROR(__xludf.DUMMYFUNCTION("""COMPUTED_VALUE"""),36.0)</f>
        <v>36</v>
      </c>
      <c r="G1196" s="1">
        <f>IFERROR(__xludf.DUMMYFUNCTION("""COMPUTED_VALUE"""),51.0)</f>
        <v>51</v>
      </c>
      <c r="H1196" s="1">
        <f>IFERROR(__xludf.DUMMYFUNCTION("""COMPUTED_VALUE"""),44.0)</f>
        <v>44</v>
      </c>
      <c r="I1196" s="1">
        <f>IFERROR(__xludf.DUMMYFUNCTION("""COMPUTED_VALUE"""),77.0)</f>
        <v>77</v>
      </c>
      <c r="J1196" s="1">
        <f>IFERROR(__xludf.DUMMYFUNCTION("""COMPUTED_VALUE"""),53.0)</f>
        <v>53</v>
      </c>
      <c r="K1196" s="1">
        <f>IFERROR(__xludf.DUMMYFUNCTION("""COMPUTED_VALUE"""),46.0)</f>
        <v>46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 t="str">
        <f>IFERROR(__xludf.DUMMYFUNCTION("""COMPUTED_VALUE"""),"A")</f>
        <v>A</v>
      </c>
      <c r="E1197" s="1" t="str">
        <f>IFERROR(__xludf.DUMMYFUNCTION("""COMPUTED_VALUE"""),"Female")</f>
        <v>Female</v>
      </c>
      <c r="F1197" s="1">
        <f>IFERROR(__xludf.DUMMYFUNCTION("""COMPUTED_VALUE"""),38.0)</f>
        <v>38</v>
      </c>
      <c r="G1197" s="1">
        <f>IFERROR(__xludf.DUMMYFUNCTION("""COMPUTED_VALUE"""),21.0)</f>
        <v>21</v>
      </c>
      <c r="H1197" s="1">
        <f>IFERROR(__xludf.DUMMYFUNCTION("""COMPUTED_VALUE"""),94.0)</f>
        <v>94</v>
      </c>
      <c r="I1197" s="1">
        <f>IFERROR(__xludf.DUMMYFUNCTION("""COMPUTED_VALUE"""),54.0)</f>
        <v>54</v>
      </c>
      <c r="J1197" s="1">
        <f>IFERROR(__xludf.DUMMYFUNCTION("""COMPUTED_VALUE"""),99.0)</f>
        <v>99</v>
      </c>
      <c r="K1197" s="1">
        <f>IFERROR(__xludf.DUMMYFUNCTION("""COMPUTED_VALUE"""),51.0)</f>
        <v>51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 t="str">
        <f>IFERROR(__xludf.DUMMYFUNCTION("""COMPUTED_VALUE"""),"A")</f>
        <v>A</v>
      </c>
      <c r="E1198" s="1" t="str">
        <f>IFERROR(__xludf.DUMMYFUNCTION("""COMPUTED_VALUE"""),"Male")</f>
        <v>Male</v>
      </c>
      <c r="F1198" s="1">
        <f>IFERROR(__xludf.DUMMYFUNCTION("""COMPUTED_VALUE"""),77.0)</f>
        <v>77</v>
      </c>
      <c r="G1198" s="1">
        <f>IFERROR(__xludf.DUMMYFUNCTION("""COMPUTED_VALUE"""),94.0)</f>
        <v>94</v>
      </c>
      <c r="H1198" s="1">
        <f>IFERROR(__xludf.DUMMYFUNCTION("""COMPUTED_VALUE"""),77.0)</f>
        <v>77</v>
      </c>
      <c r="I1198" s="1">
        <f>IFERROR(__xludf.DUMMYFUNCTION("""COMPUTED_VALUE"""),89.0)</f>
        <v>89</v>
      </c>
      <c r="J1198" s="1">
        <f>IFERROR(__xludf.DUMMYFUNCTION("""COMPUTED_VALUE"""),29.0)</f>
        <v>29</v>
      </c>
      <c r="K1198" s="1">
        <f>IFERROR(__xludf.DUMMYFUNCTION("""COMPUTED_VALUE"""),59.0)</f>
        <v>59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 t="str">
        <f>IFERROR(__xludf.DUMMYFUNCTION("""COMPUTED_VALUE"""),"C")</f>
        <v>C</v>
      </c>
      <c r="E1199" s="1" t="str">
        <f>IFERROR(__xludf.DUMMYFUNCTION("""COMPUTED_VALUE"""),"Male")</f>
        <v>Male</v>
      </c>
      <c r="F1199" s="1">
        <f>IFERROR(__xludf.DUMMYFUNCTION("""COMPUTED_VALUE"""),37.0)</f>
        <v>37</v>
      </c>
      <c r="G1199" s="1">
        <f>IFERROR(__xludf.DUMMYFUNCTION("""COMPUTED_VALUE"""),87.0)</f>
        <v>87</v>
      </c>
      <c r="H1199" s="1">
        <f>IFERROR(__xludf.DUMMYFUNCTION("""COMPUTED_VALUE"""),46.0)</f>
        <v>46</v>
      </c>
      <c r="I1199" s="1">
        <f>IFERROR(__xludf.DUMMYFUNCTION("""COMPUTED_VALUE"""),50.0)</f>
        <v>50</v>
      </c>
      <c r="J1199" s="1">
        <f>IFERROR(__xludf.DUMMYFUNCTION("""COMPUTED_VALUE"""),72.0)</f>
        <v>72</v>
      </c>
      <c r="K1199" s="1">
        <f>IFERROR(__xludf.DUMMYFUNCTION("""COMPUTED_VALUE"""),49.0)</f>
        <v>49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 t="str">
        <f>IFERROR(__xludf.DUMMYFUNCTION("""COMPUTED_VALUE"""),"C")</f>
        <v>C</v>
      </c>
      <c r="E1200" s="1" t="str">
        <f>IFERROR(__xludf.DUMMYFUNCTION("""COMPUTED_VALUE"""),"Female")</f>
        <v>Female</v>
      </c>
      <c r="F1200" s="1">
        <f>IFERROR(__xludf.DUMMYFUNCTION("""COMPUTED_VALUE"""),47.0)</f>
        <v>47</v>
      </c>
      <c r="G1200" s="1">
        <f>IFERROR(__xludf.DUMMYFUNCTION("""COMPUTED_VALUE"""),91.0)</f>
        <v>91</v>
      </c>
      <c r="H1200" s="1">
        <f>IFERROR(__xludf.DUMMYFUNCTION("""COMPUTED_VALUE"""),80.0)</f>
        <v>80</v>
      </c>
      <c r="I1200" s="1">
        <f>IFERROR(__xludf.DUMMYFUNCTION("""COMPUTED_VALUE"""),36.0)</f>
        <v>36</v>
      </c>
      <c r="J1200" s="1">
        <f>IFERROR(__xludf.DUMMYFUNCTION("""COMPUTED_VALUE"""),54.0)</f>
        <v>54</v>
      </c>
      <c r="K1200" s="1">
        <f>IFERROR(__xludf.DUMMYFUNCTION("""COMPUTED_VALUE"""),28.0)</f>
        <v>28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 t="str">
        <f>IFERROR(__xludf.DUMMYFUNCTION("""COMPUTED_VALUE"""),"B")</f>
        <v>B</v>
      </c>
      <c r="E1201" s="1" t="str">
        <f>IFERROR(__xludf.DUMMYFUNCTION("""COMPUTED_VALUE"""),"Female")</f>
        <v>Female</v>
      </c>
      <c r="F1201" s="1">
        <f>IFERROR(__xludf.DUMMYFUNCTION("""COMPUTED_VALUE"""),46.0)</f>
        <v>46</v>
      </c>
      <c r="G1201" s="1">
        <f>IFERROR(__xludf.DUMMYFUNCTION("""COMPUTED_VALUE"""),94.0)</f>
        <v>94</v>
      </c>
      <c r="H1201" s="1">
        <f>IFERROR(__xludf.DUMMYFUNCTION("""COMPUTED_VALUE"""),69.0)</f>
        <v>69</v>
      </c>
      <c r="I1201" s="1">
        <f>IFERROR(__xludf.DUMMYFUNCTION("""COMPUTED_VALUE"""),46.0)</f>
        <v>46</v>
      </c>
      <c r="J1201" s="1">
        <f>IFERROR(__xludf.DUMMYFUNCTION("""COMPUTED_VALUE"""),30.0)</f>
        <v>30</v>
      </c>
      <c r="K1201" s="1">
        <f>IFERROR(__xludf.DUMMYFUNCTION("""COMPUTED_VALUE"""),96.0)</f>
        <v>96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 t="str">
        <f>IFERROR(__xludf.DUMMYFUNCTION("""COMPUTED_VALUE"""),"D")</f>
        <v>D</v>
      </c>
      <c r="E1202" s="1" t="str">
        <f>IFERROR(__xludf.DUMMYFUNCTION("""COMPUTED_VALUE"""),"Male")</f>
        <v>Male</v>
      </c>
      <c r="F1202" s="1">
        <f>IFERROR(__xludf.DUMMYFUNCTION("""COMPUTED_VALUE"""),23.0)</f>
        <v>23</v>
      </c>
      <c r="G1202" s="1">
        <f>IFERROR(__xludf.DUMMYFUNCTION("""COMPUTED_VALUE"""),72.0)</f>
        <v>72</v>
      </c>
      <c r="H1202" s="1">
        <f>IFERROR(__xludf.DUMMYFUNCTION("""COMPUTED_VALUE"""),93.0)</f>
        <v>93</v>
      </c>
      <c r="I1202" s="1">
        <f>IFERROR(__xludf.DUMMYFUNCTION("""COMPUTED_VALUE"""),28.0)</f>
        <v>28</v>
      </c>
      <c r="J1202" s="1">
        <f>IFERROR(__xludf.DUMMYFUNCTION("""COMPUTED_VALUE"""),57.0)</f>
        <v>57</v>
      </c>
      <c r="K1202" s="1">
        <f>IFERROR(__xludf.DUMMYFUNCTION("""COMPUTED_VALUE"""),47.0)</f>
        <v>47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 t="str">
        <f>IFERROR(__xludf.DUMMYFUNCTION("""COMPUTED_VALUE"""),"B")</f>
        <v>B</v>
      </c>
      <c r="E1203" s="1" t="str">
        <f>IFERROR(__xludf.DUMMYFUNCTION("""COMPUTED_VALUE"""),"Female")</f>
        <v>Female</v>
      </c>
      <c r="F1203" s="1">
        <f>IFERROR(__xludf.DUMMYFUNCTION("""COMPUTED_VALUE"""),63.0)</f>
        <v>63</v>
      </c>
      <c r="G1203" s="1">
        <f>IFERROR(__xludf.DUMMYFUNCTION("""COMPUTED_VALUE"""),83.0)</f>
        <v>83</v>
      </c>
      <c r="H1203" s="1">
        <f>IFERROR(__xludf.DUMMYFUNCTION("""COMPUTED_VALUE"""),20.0)</f>
        <v>20</v>
      </c>
      <c r="I1203" s="1">
        <f>IFERROR(__xludf.DUMMYFUNCTION("""COMPUTED_VALUE"""),61.0)</f>
        <v>61</v>
      </c>
      <c r="J1203" s="1">
        <f>IFERROR(__xludf.DUMMYFUNCTION("""COMPUTED_VALUE"""),30.0)</f>
        <v>30</v>
      </c>
      <c r="K1203" s="1">
        <f>IFERROR(__xludf.DUMMYFUNCTION("""COMPUTED_VALUE"""),79.0)</f>
        <v>79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 t="str">
        <f>IFERROR(__xludf.DUMMYFUNCTION("""COMPUTED_VALUE"""),"A")</f>
        <v>A</v>
      </c>
      <c r="E1204" s="1" t="str">
        <f>IFERROR(__xludf.DUMMYFUNCTION("""COMPUTED_VALUE"""),"Male")</f>
        <v>Male</v>
      </c>
      <c r="F1204" s="1">
        <f>IFERROR(__xludf.DUMMYFUNCTION("""COMPUTED_VALUE"""),23.0)</f>
        <v>23</v>
      </c>
      <c r="G1204" s="1">
        <f>IFERROR(__xludf.DUMMYFUNCTION("""COMPUTED_VALUE"""),45.0)</f>
        <v>45</v>
      </c>
      <c r="H1204" s="1">
        <f>IFERROR(__xludf.DUMMYFUNCTION("""COMPUTED_VALUE"""),32.0)</f>
        <v>32</v>
      </c>
      <c r="I1204" s="1">
        <f>IFERROR(__xludf.DUMMYFUNCTION("""COMPUTED_VALUE"""),56.0)</f>
        <v>56</v>
      </c>
      <c r="J1204" s="1">
        <f>IFERROR(__xludf.DUMMYFUNCTION("""COMPUTED_VALUE"""),56.0)</f>
        <v>56</v>
      </c>
      <c r="K1204" s="1">
        <f>IFERROR(__xludf.DUMMYFUNCTION("""COMPUTED_VALUE"""),45.0)</f>
        <v>45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 t="str">
        <f>IFERROR(__xludf.DUMMYFUNCTION("""COMPUTED_VALUE"""),"D")</f>
        <v>D</v>
      </c>
      <c r="E1205" s="1" t="str">
        <f>IFERROR(__xludf.DUMMYFUNCTION("""COMPUTED_VALUE"""),"Male")</f>
        <v>Male</v>
      </c>
      <c r="F1205" s="1">
        <f>IFERROR(__xludf.DUMMYFUNCTION("""COMPUTED_VALUE"""),44.0)</f>
        <v>44</v>
      </c>
      <c r="G1205" s="1">
        <f>IFERROR(__xludf.DUMMYFUNCTION("""COMPUTED_VALUE"""),27.0)</f>
        <v>27</v>
      </c>
      <c r="H1205" s="1">
        <f>IFERROR(__xludf.DUMMYFUNCTION("""COMPUTED_VALUE"""),23.0)</f>
        <v>23</v>
      </c>
      <c r="I1205" s="1">
        <f>IFERROR(__xludf.DUMMYFUNCTION("""COMPUTED_VALUE"""),72.0)</f>
        <v>72</v>
      </c>
      <c r="J1205" s="1">
        <f>IFERROR(__xludf.DUMMYFUNCTION("""COMPUTED_VALUE"""),42.0)</f>
        <v>42</v>
      </c>
      <c r="K1205" s="1">
        <f>IFERROR(__xludf.DUMMYFUNCTION("""COMPUTED_VALUE"""),52.0)</f>
        <v>52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 t="str">
        <f>IFERROR(__xludf.DUMMYFUNCTION("""COMPUTED_VALUE"""),"C")</f>
        <v>C</v>
      </c>
      <c r="E1206" s="1" t="str">
        <f>IFERROR(__xludf.DUMMYFUNCTION("""COMPUTED_VALUE"""),"Female")</f>
        <v>Female</v>
      </c>
      <c r="F1206" s="1">
        <f>IFERROR(__xludf.DUMMYFUNCTION("""COMPUTED_VALUE"""),76.0)</f>
        <v>76</v>
      </c>
      <c r="G1206" s="1">
        <f>IFERROR(__xludf.DUMMYFUNCTION("""COMPUTED_VALUE"""),74.0)</f>
        <v>74</v>
      </c>
      <c r="H1206" s="1">
        <f>IFERROR(__xludf.DUMMYFUNCTION("""COMPUTED_VALUE"""),27.0)</f>
        <v>27</v>
      </c>
      <c r="I1206" s="1">
        <f>IFERROR(__xludf.DUMMYFUNCTION("""COMPUTED_VALUE"""),50.0)</f>
        <v>50</v>
      </c>
      <c r="J1206" s="1">
        <f>IFERROR(__xludf.DUMMYFUNCTION("""COMPUTED_VALUE"""),79.0)</f>
        <v>79</v>
      </c>
      <c r="K1206" s="1">
        <f>IFERROR(__xludf.DUMMYFUNCTION("""COMPUTED_VALUE"""),97.0)</f>
        <v>97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 t="str">
        <f>IFERROR(__xludf.DUMMYFUNCTION("""COMPUTED_VALUE"""),"A")</f>
        <v>A</v>
      </c>
      <c r="E1207" s="1" t="str">
        <f>IFERROR(__xludf.DUMMYFUNCTION("""COMPUTED_VALUE"""),"Male")</f>
        <v>Male</v>
      </c>
      <c r="F1207" s="1">
        <f>IFERROR(__xludf.DUMMYFUNCTION("""COMPUTED_VALUE"""),21.0)</f>
        <v>21</v>
      </c>
      <c r="G1207" s="1">
        <f>IFERROR(__xludf.DUMMYFUNCTION("""COMPUTED_VALUE"""),78.0)</f>
        <v>78</v>
      </c>
      <c r="H1207" s="1">
        <f>IFERROR(__xludf.DUMMYFUNCTION("""COMPUTED_VALUE"""),77.0)</f>
        <v>77</v>
      </c>
      <c r="I1207" s="1">
        <f>IFERROR(__xludf.DUMMYFUNCTION("""COMPUTED_VALUE"""),73.0)</f>
        <v>73</v>
      </c>
      <c r="J1207" s="1">
        <f>IFERROR(__xludf.DUMMYFUNCTION("""COMPUTED_VALUE"""),64.0)</f>
        <v>64</v>
      </c>
      <c r="K1207" s="1">
        <f>IFERROR(__xludf.DUMMYFUNCTION("""COMPUTED_VALUE"""),29.0)</f>
        <v>29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 t="str">
        <f>IFERROR(__xludf.DUMMYFUNCTION("""COMPUTED_VALUE"""),"B")</f>
        <v>B</v>
      </c>
      <c r="E1208" s="1" t="str">
        <f>IFERROR(__xludf.DUMMYFUNCTION("""COMPUTED_VALUE"""),"Female")</f>
        <v>Female</v>
      </c>
      <c r="F1208" s="1">
        <f>IFERROR(__xludf.DUMMYFUNCTION("""COMPUTED_VALUE"""),28.0)</f>
        <v>28</v>
      </c>
      <c r="G1208" s="1">
        <f>IFERROR(__xludf.DUMMYFUNCTION("""COMPUTED_VALUE"""),94.0)</f>
        <v>94</v>
      </c>
      <c r="H1208" s="1">
        <f>IFERROR(__xludf.DUMMYFUNCTION("""COMPUTED_VALUE"""),64.0)</f>
        <v>64</v>
      </c>
      <c r="I1208" s="1">
        <f>IFERROR(__xludf.DUMMYFUNCTION("""COMPUTED_VALUE"""),27.0)</f>
        <v>27</v>
      </c>
      <c r="J1208" s="1">
        <f>IFERROR(__xludf.DUMMYFUNCTION("""COMPUTED_VALUE"""),85.0)</f>
        <v>85</v>
      </c>
      <c r="K1208" s="1">
        <f>IFERROR(__xludf.DUMMYFUNCTION("""COMPUTED_VALUE"""),28.0)</f>
        <v>28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 t="str">
        <f>IFERROR(__xludf.DUMMYFUNCTION("""COMPUTED_VALUE"""),"B")</f>
        <v>B</v>
      </c>
      <c r="E1209" s="1" t="str">
        <f>IFERROR(__xludf.DUMMYFUNCTION("""COMPUTED_VALUE"""),"Male")</f>
        <v>Male</v>
      </c>
      <c r="F1209" s="1">
        <f>IFERROR(__xludf.DUMMYFUNCTION("""COMPUTED_VALUE"""),48.0)</f>
        <v>48</v>
      </c>
      <c r="G1209" s="1">
        <f>IFERROR(__xludf.DUMMYFUNCTION("""COMPUTED_VALUE"""),34.0)</f>
        <v>34</v>
      </c>
      <c r="H1209" s="1">
        <f>IFERROR(__xludf.DUMMYFUNCTION("""COMPUTED_VALUE"""),93.0)</f>
        <v>93</v>
      </c>
      <c r="I1209" s="1">
        <f>IFERROR(__xludf.DUMMYFUNCTION("""COMPUTED_VALUE"""),27.0)</f>
        <v>27</v>
      </c>
      <c r="J1209" s="1">
        <f>IFERROR(__xludf.DUMMYFUNCTION("""COMPUTED_VALUE"""),71.0)</f>
        <v>71</v>
      </c>
      <c r="K1209" s="1">
        <f>IFERROR(__xludf.DUMMYFUNCTION("""COMPUTED_VALUE"""),79.0)</f>
        <v>79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 t="str">
        <f>IFERROR(__xludf.DUMMYFUNCTION("""COMPUTED_VALUE"""),"B")</f>
        <v>B</v>
      </c>
      <c r="E1210" s="1" t="str">
        <f>IFERROR(__xludf.DUMMYFUNCTION("""COMPUTED_VALUE"""),"Male")</f>
        <v>Male</v>
      </c>
      <c r="F1210" s="1">
        <f>IFERROR(__xludf.DUMMYFUNCTION("""COMPUTED_VALUE"""),12.0)</f>
        <v>12</v>
      </c>
      <c r="G1210" s="1">
        <f>IFERROR(__xludf.DUMMYFUNCTION("""COMPUTED_VALUE"""),33.0)</f>
        <v>33</v>
      </c>
      <c r="H1210" s="1">
        <f>IFERROR(__xludf.DUMMYFUNCTION("""COMPUTED_VALUE"""),52.0)</f>
        <v>52</v>
      </c>
      <c r="I1210" s="1">
        <f>IFERROR(__xludf.DUMMYFUNCTION("""COMPUTED_VALUE"""),53.0)</f>
        <v>53</v>
      </c>
      <c r="J1210" s="1">
        <f>IFERROR(__xludf.DUMMYFUNCTION("""COMPUTED_VALUE"""),79.0)</f>
        <v>79</v>
      </c>
      <c r="K1210" s="1">
        <f>IFERROR(__xludf.DUMMYFUNCTION("""COMPUTED_VALUE"""),36.0)</f>
        <v>36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 t="str">
        <f>IFERROR(__xludf.DUMMYFUNCTION("""COMPUTED_VALUE"""),"A")</f>
        <v>A</v>
      </c>
      <c r="E1211" s="1" t="str">
        <f>IFERROR(__xludf.DUMMYFUNCTION("""COMPUTED_VALUE"""),"Male")</f>
        <v>Male</v>
      </c>
      <c r="F1211" s="1">
        <f>IFERROR(__xludf.DUMMYFUNCTION("""COMPUTED_VALUE"""),14.0)</f>
        <v>14</v>
      </c>
      <c r="G1211" s="1">
        <f>IFERROR(__xludf.DUMMYFUNCTION("""COMPUTED_VALUE"""),58.0)</f>
        <v>58</v>
      </c>
      <c r="H1211" s="1">
        <f>IFERROR(__xludf.DUMMYFUNCTION("""COMPUTED_VALUE"""),56.0)</f>
        <v>56</v>
      </c>
      <c r="I1211" s="1">
        <f>IFERROR(__xludf.DUMMYFUNCTION("""COMPUTED_VALUE"""),60.0)</f>
        <v>60</v>
      </c>
      <c r="J1211" s="1">
        <f>IFERROR(__xludf.DUMMYFUNCTION("""COMPUTED_VALUE"""),73.0)</f>
        <v>73</v>
      </c>
      <c r="K1211" s="1">
        <f>IFERROR(__xludf.DUMMYFUNCTION("""COMPUTED_VALUE"""),32.0)</f>
        <v>32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 t="str">
        <f>IFERROR(__xludf.DUMMYFUNCTION("""COMPUTED_VALUE"""),"A")</f>
        <v>A</v>
      </c>
      <c r="E1212" s="1" t="str">
        <f>IFERROR(__xludf.DUMMYFUNCTION("""COMPUTED_VALUE"""),"Female")</f>
        <v>Female</v>
      </c>
      <c r="F1212" s="1">
        <f>IFERROR(__xludf.DUMMYFUNCTION("""COMPUTED_VALUE"""),39.0)</f>
        <v>39</v>
      </c>
      <c r="G1212" s="1">
        <f>IFERROR(__xludf.DUMMYFUNCTION("""COMPUTED_VALUE"""),72.0)</f>
        <v>72</v>
      </c>
      <c r="H1212" s="1">
        <f>IFERROR(__xludf.DUMMYFUNCTION("""COMPUTED_VALUE"""),82.0)</f>
        <v>82</v>
      </c>
      <c r="I1212" s="1">
        <f>IFERROR(__xludf.DUMMYFUNCTION("""COMPUTED_VALUE"""),85.0)</f>
        <v>85</v>
      </c>
      <c r="J1212" s="1">
        <f>IFERROR(__xludf.DUMMYFUNCTION("""COMPUTED_VALUE"""),81.0)</f>
        <v>81</v>
      </c>
      <c r="K1212" s="1">
        <f>IFERROR(__xludf.DUMMYFUNCTION("""COMPUTED_VALUE"""),37.0)</f>
        <v>37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 t="str">
        <f>IFERROR(__xludf.DUMMYFUNCTION("""COMPUTED_VALUE"""),"C")</f>
        <v>C</v>
      </c>
      <c r="E1213" s="1" t="str">
        <f>IFERROR(__xludf.DUMMYFUNCTION("""COMPUTED_VALUE"""),"Male")</f>
        <v>Male</v>
      </c>
      <c r="F1213" s="1">
        <f>IFERROR(__xludf.DUMMYFUNCTION("""COMPUTED_VALUE"""),22.0)</f>
        <v>22</v>
      </c>
      <c r="G1213" s="1">
        <f>IFERROR(__xludf.DUMMYFUNCTION("""COMPUTED_VALUE"""),59.0)</f>
        <v>59</v>
      </c>
      <c r="H1213" s="1">
        <f>IFERROR(__xludf.DUMMYFUNCTION("""COMPUTED_VALUE"""),77.0)</f>
        <v>77</v>
      </c>
      <c r="I1213" s="1">
        <f>IFERROR(__xludf.DUMMYFUNCTION("""COMPUTED_VALUE"""),94.0)</f>
        <v>94</v>
      </c>
      <c r="J1213" s="1">
        <f>IFERROR(__xludf.DUMMYFUNCTION("""COMPUTED_VALUE"""),24.0)</f>
        <v>24</v>
      </c>
      <c r="K1213" s="1">
        <f>IFERROR(__xludf.DUMMYFUNCTION("""COMPUTED_VALUE"""),78.0)</f>
        <v>78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 t="str">
        <f>IFERROR(__xludf.DUMMYFUNCTION("""COMPUTED_VALUE"""),"D")</f>
        <v>D</v>
      </c>
      <c r="E1214" s="1" t="str">
        <f>IFERROR(__xludf.DUMMYFUNCTION("""COMPUTED_VALUE"""),"Male")</f>
        <v>Male</v>
      </c>
      <c r="F1214" s="1">
        <f>IFERROR(__xludf.DUMMYFUNCTION("""COMPUTED_VALUE"""),25.0)</f>
        <v>25</v>
      </c>
      <c r="G1214" s="1">
        <f>IFERROR(__xludf.DUMMYFUNCTION("""COMPUTED_VALUE"""),75.0)</f>
        <v>75</v>
      </c>
      <c r="H1214" s="1">
        <f>IFERROR(__xludf.DUMMYFUNCTION("""COMPUTED_VALUE"""),40.0)</f>
        <v>40</v>
      </c>
      <c r="I1214" s="1">
        <f>IFERROR(__xludf.DUMMYFUNCTION("""COMPUTED_VALUE"""),26.0)</f>
        <v>26</v>
      </c>
      <c r="J1214" s="1">
        <f>IFERROR(__xludf.DUMMYFUNCTION("""COMPUTED_VALUE"""),49.0)</f>
        <v>49</v>
      </c>
      <c r="K1214" s="1">
        <f>IFERROR(__xludf.DUMMYFUNCTION("""COMPUTED_VALUE"""),52.0)</f>
        <v>52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 t="str">
        <f>IFERROR(__xludf.DUMMYFUNCTION("""COMPUTED_VALUE"""),"B")</f>
        <v>B</v>
      </c>
      <c r="E1215" s="1" t="str">
        <f>IFERROR(__xludf.DUMMYFUNCTION("""COMPUTED_VALUE"""),"Female")</f>
        <v>Female</v>
      </c>
      <c r="F1215" s="1">
        <f>IFERROR(__xludf.DUMMYFUNCTION("""COMPUTED_VALUE"""),61.0)</f>
        <v>61</v>
      </c>
      <c r="G1215" s="1">
        <f>IFERROR(__xludf.DUMMYFUNCTION("""COMPUTED_VALUE"""),70.0)</f>
        <v>70</v>
      </c>
      <c r="H1215" s="1">
        <f>IFERROR(__xludf.DUMMYFUNCTION("""COMPUTED_VALUE"""),46.0)</f>
        <v>46</v>
      </c>
      <c r="I1215" s="1">
        <f>IFERROR(__xludf.DUMMYFUNCTION("""COMPUTED_VALUE"""),91.0)</f>
        <v>91</v>
      </c>
      <c r="J1215" s="1">
        <f>IFERROR(__xludf.DUMMYFUNCTION("""COMPUTED_VALUE"""),98.0)</f>
        <v>98</v>
      </c>
      <c r="K1215" s="1">
        <f>IFERROR(__xludf.DUMMYFUNCTION("""COMPUTED_VALUE"""),71.0)</f>
        <v>71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 t="str">
        <f>IFERROR(__xludf.DUMMYFUNCTION("""COMPUTED_VALUE"""),"D")</f>
        <v>D</v>
      </c>
      <c r="E1216" s="1" t="str">
        <f>IFERROR(__xludf.DUMMYFUNCTION("""COMPUTED_VALUE"""),"Male")</f>
        <v>Male</v>
      </c>
      <c r="F1216" s="1">
        <f>IFERROR(__xludf.DUMMYFUNCTION("""COMPUTED_VALUE"""),83.0)</f>
        <v>83</v>
      </c>
      <c r="G1216" s="1">
        <f>IFERROR(__xludf.DUMMYFUNCTION("""COMPUTED_VALUE"""),72.0)</f>
        <v>72</v>
      </c>
      <c r="H1216" s="1">
        <f>IFERROR(__xludf.DUMMYFUNCTION("""COMPUTED_VALUE"""),99.0)</f>
        <v>99</v>
      </c>
      <c r="I1216" s="1">
        <f>IFERROR(__xludf.DUMMYFUNCTION("""COMPUTED_VALUE"""),64.0)</f>
        <v>64</v>
      </c>
      <c r="J1216" s="1">
        <f>IFERROR(__xludf.DUMMYFUNCTION("""COMPUTED_VALUE"""),45.0)</f>
        <v>45</v>
      </c>
      <c r="K1216" s="1">
        <f>IFERROR(__xludf.DUMMYFUNCTION("""COMPUTED_VALUE"""),64.0)</f>
        <v>64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 t="str">
        <f>IFERROR(__xludf.DUMMYFUNCTION("""COMPUTED_VALUE"""),"C")</f>
        <v>C</v>
      </c>
      <c r="E1217" s="1" t="str">
        <f>IFERROR(__xludf.DUMMYFUNCTION("""COMPUTED_VALUE"""),"Male")</f>
        <v>Male</v>
      </c>
      <c r="F1217" s="1">
        <f>IFERROR(__xludf.DUMMYFUNCTION("""COMPUTED_VALUE"""),65.0)</f>
        <v>65</v>
      </c>
      <c r="G1217" s="1">
        <f>IFERROR(__xludf.DUMMYFUNCTION("""COMPUTED_VALUE"""),89.0)</f>
        <v>89</v>
      </c>
      <c r="H1217" s="1">
        <f>IFERROR(__xludf.DUMMYFUNCTION("""COMPUTED_VALUE"""),49.0)</f>
        <v>49</v>
      </c>
      <c r="I1217" s="1">
        <f>IFERROR(__xludf.DUMMYFUNCTION("""COMPUTED_VALUE"""),34.0)</f>
        <v>34</v>
      </c>
      <c r="J1217" s="1">
        <f>IFERROR(__xludf.DUMMYFUNCTION("""COMPUTED_VALUE"""),73.0)</f>
        <v>73</v>
      </c>
      <c r="K1217" s="1">
        <f>IFERROR(__xludf.DUMMYFUNCTION("""COMPUTED_VALUE"""),33.0)</f>
        <v>33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 t="str">
        <f>IFERROR(__xludf.DUMMYFUNCTION("""COMPUTED_VALUE"""),"C")</f>
        <v>C</v>
      </c>
      <c r="E1218" s="1" t="str">
        <f>IFERROR(__xludf.DUMMYFUNCTION("""COMPUTED_VALUE"""),"Male")</f>
        <v>Male</v>
      </c>
      <c r="F1218" s="1">
        <f>IFERROR(__xludf.DUMMYFUNCTION("""COMPUTED_VALUE"""),85.0)</f>
        <v>85</v>
      </c>
      <c r="G1218" s="1">
        <f>IFERROR(__xludf.DUMMYFUNCTION("""COMPUTED_VALUE"""),80.0)</f>
        <v>80</v>
      </c>
      <c r="H1218" s="1">
        <f>IFERROR(__xludf.DUMMYFUNCTION("""COMPUTED_VALUE"""),26.0)</f>
        <v>26</v>
      </c>
      <c r="I1218" s="1">
        <f>IFERROR(__xludf.DUMMYFUNCTION("""COMPUTED_VALUE"""),70.0)</f>
        <v>70</v>
      </c>
      <c r="J1218" s="1">
        <f>IFERROR(__xludf.DUMMYFUNCTION("""COMPUTED_VALUE"""),67.0)</f>
        <v>67</v>
      </c>
      <c r="K1218" s="1">
        <f>IFERROR(__xludf.DUMMYFUNCTION("""COMPUTED_VALUE"""),78.0)</f>
        <v>78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 t="str">
        <f>IFERROR(__xludf.DUMMYFUNCTION("""COMPUTED_VALUE"""),"A")</f>
        <v>A</v>
      </c>
      <c r="E1219" s="1" t="str">
        <f>IFERROR(__xludf.DUMMYFUNCTION("""COMPUTED_VALUE"""),"Female")</f>
        <v>Female</v>
      </c>
      <c r="F1219" s="1">
        <f>IFERROR(__xludf.DUMMYFUNCTION("""COMPUTED_VALUE"""),88.0)</f>
        <v>88</v>
      </c>
      <c r="G1219" s="1">
        <f>IFERROR(__xludf.DUMMYFUNCTION("""COMPUTED_VALUE"""),82.0)</f>
        <v>82</v>
      </c>
      <c r="H1219" s="1">
        <f>IFERROR(__xludf.DUMMYFUNCTION("""COMPUTED_VALUE"""),63.0)</f>
        <v>63</v>
      </c>
      <c r="I1219" s="1">
        <f>IFERROR(__xludf.DUMMYFUNCTION("""COMPUTED_VALUE"""),85.0)</f>
        <v>85</v>
      </c>
      <c r="J1219" s="1">
        <f>IFERROR(__xludf.DUMMYFUNCTION("""COMPUTED_VALUE"""),77.0)</f>
        <v>77</v>
      </c>
      <c r="K1219" s="1">
        <f>IFERROR(__xludf.DUMMYFUNCTION("""COMPUTED_VALUE"""),72.0)</f>
        <v>72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 t="str">
        <f>IFERROR(__xludf.DUMMYFUNCTION("""COMPUTED_VALUE"""),"C")</f>
        <v>C</v>
      </c>
      <c r="E1220" s="1" t="str">
        <f>IFERROR(__xludf.DUMMYFUNCTION("""COMPUTED_VALUE"""),"Male")</f>
        <v>Male</v>
      </c>
      <c r="F1220" s="1">
        <f>IFERROR(__xludf.DUMMYFUNCTION("""COMPUTED_VALUE"""),46.0)</f>
        <v>46</v>
      </c>
      <c r="G1220" s="1">
        <f>IFERROR(__xludf.DUMMYFUNCTION("""COMPUTED_VALUE"""),23.0)</f>
        <v>23</v>
      </c>
      <c r="H1220" s="1">
        <f>IFERROR(__xludf.DUMMYFUNCTION("""COMPUTED_VALUE"""),41.0)</f>
        <v>41</v>
      </c>
      <c r="I1220" s="1">
        <f>IFERROR(__xludf.DUMMYFUNCTION("""COMPUTED_VALUE"""),70.0)</f>
        <v>70</v>
      </c>
      <c r="J1220" s="1">
        <f>IFERROR(__xludf.DUMMYFUNCTION("""COMPUTED_VALUE"""),92.0)</f>
        <v>92</v>
      </c>
      <c r="K1220" s="1">
        <f>IFERROR(__xludf.DUMMYFUNCTION("""COMPUTED_VALUE"""),80.0)</f>
        <v>80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 t="str">
        <f>IFERROR(__xludf.DUMMYFUNCTION("""COMPUTED_VALUE"""),"C")</f>
        <v>C</v>
      </c>
      <c r="E1221" s="1" t="str">
        <f>IFERROR(__xludf.DUMMYFUNCTION("""COMPUTED_VALUE"""),"Male")</f>
        <v>Male</v>
      </c>
      <c r="F1221" s="1">
        <f>IFERROR(__xludf.DUMMYFUNCTION("""COMPUTED_VALUE"""),87.0)</f>
        <v>87</v>
      </c>
      <c r="G1221" s="1">
        <f>IFERROR(__xludf.DUMMYFUNCTION("""COMPUTED_VALUE"""),88.0)</f>
        <v>88</v>
      </c>
      <c r="H1221" s="1">
        <f>IFERROR(__xludf.DUMMYFUNCTION("""COMPUTED_VALUE"""),79.0)</f>
        <v>79</v>
      </c>
      <c r="I1221" s="1">
        <f>IFERROR(__xludf.DUMMYFUNCTION("""COMPUTED_VALUE"""),22.0)</f>
        <v>22</v>
      </c>
      <c r="J1221" s="1">
        <f>IFERROR(__xludf.DUMMYFUNCTION("""COMPUTED_VALUE"""),70.0)</f>
        <v>70</v>
      </c>
      <c r="K1221" s="1">
        <f>IFERROR(__xludf.DUMMYFUNCTION("""COMPUTED_VALUE"""),39.0)</f>
        <v>39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 t="str">
        <f>IFERROR(__xludf.DUMMYFUNCTION("""COMPUTED_VALUE"""),"B")</f>
        <v>B</v>
      </c>
      <c r="E1222" s="1" t="str">
        <f>IFERROR(__xludf.DUMMYFUNCTION("""COMPUTED_VALUE"""),"Female")</f>
        <v>Female</v>
      </c>
      <c r="F1222" s="1">
        <f>IFERROR(__xludf.DUMMYFUNCTION("""COMPUTED_VALUE"""),15.0)</f>
        <v>15</v>
      </c>
      <c r="G1222" s="1">
        <f>IFERROR(__xludf.DUMMYFUNCTION("""COMPUTED_VALUE"""),38.0)</f>
        <v>38</v>
      </c>
      <c r="H1222" s="1">
        <f>IFERROR(__xludf.DUMMYFUNCTION("""COMPUTED_VALUE"""),45.0)</f>
        <v>45</v>
      </c>
      <c r="I1222" s="1">
        <f>IFERROR(__xludf.DUMMYFUNCTION("""COMPUTED_VALUE"""),82.0)</f>
        <v>82</v>
      </c>
      <c r="J1222" s="1">
        <f>IFERROR(__xludf.DUMMYFUNCTION("""COMPUTED_VALUE"""),89.0)</f>
        <v>89</v>
      </c>
      <c r="K1222" s="1">
        <f>IFERROR(__xludf.DUMMYFUNCTION("""COMPUTED_VALUE"""),40.0)</f>
        <v>40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 t="str">
        <f>IFERROR(__xludf.DUMMYFUNCTION("""COMPUTED_VALUE"""),"A")</f>
        <v>A</v>
      </c>
      <c r="E1223" s="1" t="str">
        <f>IFERROR(__xludf.DUMMYFUNCTION("""COMPUTED_VALUE"""),"Female")</f>
        <v>Female</v>
      </c>
      <c r="F1223" s="1">
        <f>IFERROR(__xludf.DUMMYFUNCTION("""COMPUTED_VALUE"""),14.0)</f>
        <v>14</v>
      </c>
      <c r="G1223" s="1">
        <f>IFERROR(__xludf.DUMMYFUNCTION("""COMPUTED_VALUE"""),24.0)</f>
        <v>24</v>
      </c>
      <c r="H1223" s="1">
        <f>IFERROR(__xludf.DUMMYFUNCTION("""COMPUTED_VALUE"""),84.0)</f>
        <v>84</v>
      </c>
      <c r="I1223" s="1">
        <f>IFERROR(__xludf.DUMMYFUNCTION("""COMPUTED_VALUE"""),49.0)</f>
        <v>49</v>
      </c>
      <c r="J1223" s="1">
        <f>IFERROR(__xludf.DUMMYFUNCTION("""COMPUTED_VALUE"""),65.0)</f>
        <v>65</v>
      </c>
      <c r="K1223" s="1">
        <f>IFERROR(__xludf.DUMMYFUNCTION("""COMPUTED_VALUE"""),73.0)</f>
        <v>73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 t="str">
        <f>IFERROR(__xludf.DUMMYFUNCTION("""COMPUTED_VALUE"""),"C")</f>
        <v>C</v>
      </c>
      <c r="E1224" s="1" t="str">
        <f>IFERROR(__xludf.DUMMYFUNCTION("""COMPUTED_VALUE"""),"Female")</f>
        <v>Female</v>
      </c>
      <c r="F1224" s="1">
        <f>IFERROR(__xludf.DUMMYFUNCTION("""COMPUTED_VALUE"""),38.0)</f>
        <v>38</v>
      </c>
      <c r="G1224" s="1">
        <f>IFERROR(__xludf.DUMMYFUNCTION("""COMPUTED_VALUE"""),27.0)</f>
        <v>27</v>
      </c>
      <c r="H1224" s="1">
        <f>IFERROR(__xludf.DUMMYFUNCTION("""COMPUTED_VALUE"""),61.0)</f>
        <v>61</v>
      </c>
      <c r="I1224" s="1">
        <f>IFERROR(__xludf.DUMMYFUNCTION("""COMPUTED_VALUE"""),95.0)</f>
        <v>95</v>
      </c>
      <c r="J1224" s="1">
        <f>IFERROR(__xludf.DUMMYFUNCTION("""COMPUTED_VALUE"""),61.0)</f>
        <v>61</v>
      </c>
      <c r="K1224" s="1">
        <f>IFERROR(__xludf.DUMMYFUNCTION("""COMPUTED_VALUE"""),52.0)</f>
        <v>52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 t="str">
        <f>IFERROR(__xludf.DUMMYFUNCTION("""COMPUTED_VALUE"""),"B")</f>
        <v>B</v>
      </c>
      <c r="E1225" s="1" t="str">
        <f>IFERROR(__xludf.DUMMYFUNCTION("""COMPUTED_VALUE"""),"Female")</f>
        <v>Female</v>
      </c>
      <c r="F1225" s="1">
        <f>IFERROR(__xludf.DUMMYFUNCTION("""COMPUTED_VALUE"""),49.0)</f>
        <v>49</v>
      </c>
      <c r="G1225" s="1">
        <f>IFERROR(__xludf.DUMMYFUNCTION("""COMPUTED_VALUE"""),78.0)</f>
        <v>78</v>
      </c>
      <c r="H1225" s="1">
        <f>IFERROR(__xludf.DUMMYFUNCTION("""COMPUTED_VALUE"""),47.0)</f>
        <v>47</v>
      </c>
      <c r="I1225" s="1">
        <f>IFERROR(__xludf.DUMMYFUNCTION("""COMPUTED_VALUE"""),96.0)</f>
        <v>96</v>
      </c>
      <c r="J1225" s="1">
        <f>IFERROR(__xludf.DUMMYFUNCTION("""COMPUTED_VALUE"""),65.0)</f>
        <v>65</v>
      </c>
      <c r="K1225" s="1">
        <f>IFERROR(__xludf.DUMMYFUNCTION("""COMPUTED_VALUE"""),36.0)</f>
        <v>36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 t="str">
        <f>IFERROR(__xludf.DUMMYFUNCTION("""COMPUTED_VALUE"""),"D")</f>
        <v>D</v>
      </c>
      <c r="E1226" s="1" t="str">
        <f>IFERROR(__xludf.DUMMYFUNCTION("""COMPUTED_VALUE"""),"Male")</f>
        <v>Male</v>
      </c>
      <c r="F1226" s="1">
        <f>IFERROR(__xludf.DUMMYFUNCTION("""COMPUTED_VALUE"""),77.0)</f>
        <v>77</v>
      </c>
      <c r="G1226" s="1">
        <f>IFERROR(__xludf.DUMMYFUNCTION("""COMPUTED_VALUE"""),51.0)</f>
        <v>51</v>
      </c>
      <c r="H1226" s="1">
        <f>IFERROR(__xludf.DUMMYFUNCTION("""COMPUTED_VALUE"""),28.0)</f>
        <v>28</v>
      </c>
      <c r="I1226" s="1">
        <f>IFERROR(__xludf.DUMMYFUNCTION("""COMPUTED_VALUE"""),73.0)</f>
        <v>73</v>
      </c>
      <c r="J1226" s="1">
        <f>IFERROR(__xludf.DUMMYFUNCTION("""COMPUTED_VALUE"""),39.0)</f>
        <v>39</v>
      </c>
      <c r="K1226" s="1">
        <f>IFERROR(__xludf.DUMMYFUNCTION("""COMPUTED_VALUE"""),50.0)</f>
        <v>50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 t="str">
        <f>IFERROR(__xludf.DUMMYFUNCTION("""COMPUTED_VALUE"""),"C")</f>
        <v>C</v>
      </c>
      <c r="E1227" s="1" t="str">
        <f>IFERROR(__xludf.DUMMYFUNCTION("""COMPUTED_VALUE"""),"Male")</f>
        <v>Male</v>
      </c>
      <c r="F1227" s="1">
        <f>IFERROR(__xludf.DUMMYFUNCTION("""COMPUTED_VALUE"""),87.0)</f>
        <v>87</v>
      </c>
      <c r="G1227" s="1">
        <f>IFERROR(__xludf.DUMMYFUNCTION("""COMPUTED_VALUE"""),22.0)</f>
        <v>22</v>
      </c>
      <c r="H1227" s="1">
        <f>IFERROR(__xludf.DUMMYFUNCTION("""COMPUTED_VALUE"""),38.0)</f>
        <v>38</v>
      </c>
      <c r="I1227" s="1">
        <f>IFERROR(__xludf.DUMMYFUNCTION("""COMPUTED_VALUE"""),79.0)</f>
        <v>79</v>
      </c>
      <c r="J1227" s="1">
        <f>IFERROR(__xludf.DUMMYFUNCTION("""COMPUTED_VALUE"""),22.0)</f>
        <v>22</v>
      </c>
      <c r="K1227" s="1">
        <f>IFERROR(__xludf.DUMMYFUNCTION("""COMPUTED_VALUE"""),58.0)</f>
        <v>58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 t="str">
        <f>IFERROR(__xludf.DUMMYFUNCTION("""COMPUTED_VALUE"""),"C")</f>
        <v>C</v>
      </c>
      <c r="E1228" s="1" t="str">
        <f>IFERROR(__xludf.DUMMYFUNCTION("""COMPUTED_VALUE"""),"Male")</f>
        <v>Male</v>
      </c>
      <c r="F1228" s="1">
        <f>IFERROR(__xludf.DUMMYFUNCTION("""COMPUTED_VALUE"""),84.0)</f>
        <v>84</v>
      </c>
      <c r="G1228" s="1">
        <f>IFERROR(__xludf.DUMMYFUNCTION("""COMPUTED_VALUE"""),60.0)</f>
        <v>60</v>
      </c>
      <c r="H1228" s="1">
        <f>IFERROR(__xludf.DUMMYFUNCTION("""COMPUTED_VALUE"""),72.0)</f>
        <v>72</v>
      </c>
      <c r="I1228" s="1">
        <f>IFERROR(__xludf.DUMMYFUNCTION("""COMPUTED_VALUE"""),88.0)</f>
        <v>88</v>
      </c>
      <c r="J1228" s="1">
        <f>IFERROR(__xludf.DUMMYFUNCTION("""COMPUTED_VALUE"""),60.0)</f>
        <v>60</v>
      </c>
      <c r="K1228" s="1">
        <f>IFERROR(__xludf.DUMMYFUNCTION("""COMPUTED_VALUE"""),25.0)</f>
        <v>25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 t="str">
        <f>IFERROR(__xludf.DUMMYFUNCTION("""COMPUTED_VALUE"""),"C")</f>
        <v>C</v>
      </c>
      <c r="E1229" s="1" t="str">
        <f>IFERROR(__xludf.DUMMYFUNCTION("""COMPUTED_VALUE"""),"Male")</f>
        <v>Male</v>
      </c>
      <c r="F1229" s="1">
        <f>IFERROR(__xludf.DUMMYFUNCTION("""COMPUTED_VALUE"""),19.0)</f>
        <v>19</v>
      </c>
      <c r="G1229" s="1">
        <f>IFERROR(__xludf.DUMMYFUNCTION("""COMPUTED_VALUE"""),41.0)</f>
        <v>41</v>
      </c>
      <c r="H1229" s="1">
        <f>IFERROR(__xludf.DUMMYFUNCTION("""COMPUTED_VALUE"""),52.0)</f>
        <v>52</v>
      </c>
      <c r="I1229" s="1">
        <f>IFERROR(__xludf.DUMMYFUNCTION("""COMPUTED_VALUE"""),70.0)</f>
        <v>70</v>
      </c>
      <c r="J1229" s="1">
        <f>IFERROR(__xludf.DUMMYFUNCTION("""COMPUTED_VALUE"""),59.0)</f>
        <v>59</v>
      </c>
      <c r="K1229" s="1">
        <f>IFERROR(__xludf.DUMMYFUNCTION("""COMPUTED_VALUE"""),76.0)</f>
        <v>76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 t="str">
        <f>IFERROR(__xludf.DUMMYFUNCTION("""COMPUTED_VALUE"""),"A")</f>
        <v>A</v>
      </c>
      <c r="E1230" s="1" t="str">
        <f>IFERROR(__xludf.DUMMYFUNCTION("""COMPUTED_VALUE"""),"Male")</f>
        <v>Male</v>
      </c>
      <c r="F1230" s="1">
        <f>IFERROR(__xludf.DUMMYFUNCTION("""COMPUTED_VALUE"""),28.0)</f>
        <v>28</v>
      </c>
      <c r="G1230" s="1">
        <f>IFERROR(__xludf.DUMMYFUNCTION("""COMPUTED_VALUE"""),44.0)</f>
        <v>44</v>
      </c>
      <c r="H1230" s="1">
        <f>IFERROR(__xludf.DUMMYFUNCTION("""COMPUTED_VALUE"""),44.0)</f>
        <v>44</v>
      </c>
      <c r="I1230" s="1">
        <f>IFERROR(__xludf.DUMMYFUNCTION("""COMPUTED_VALUE"""),56.0)</f>
        <v>56</v>
      </c>
      <c r="J1230" s="1">
        <f>IFERROR(__xludf.DUMMYFUNCTION("""COMPUTED_VALUE"""),21.0)</f>
        <v>21</v>
      </c>
      <c r="K1230" s="1">
        <f>IFERROR(__xludf.DUMMYFUNCTION("""COMPUTED_VALUE"""),34.0)</f>
        <v>34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 t="str">
        <f>IFERROR(__xludf.DUMMYFUNCTION("""COMPUTED_VALUE"""),"A")</f>
        <v>A</v>
      </c>
      <c r="E1231" s="1" t="str">
        <f>IFERROR(__xludf.DUMMYFUNCTION("""COMPUTED_VALUE"""),"Male")</f>
        <v>Male</v>
      </c>
      <c r="F1231" s="1">
        <f>IFERROR(__xludf.DUMMYFUNCTION("""COMPUTED_VALUE"""),92.0)</f>
        <v>92</v>
      </c>
      <c r="G1231" s="1">
        <f>IFERROR(__xludf.DUMMYFUNCTION("""COMPUTED_VALUE"""),46.0)</f>
        <v>46</v>
      </c>
      <c r="H1231" s="1">
        <f>IFERROR(__xludf.DUMMYFUNCTION("""COMPUTED_VALUE"""),41.0)</f>
        <v>41</v>
      </c>
      <c r="I1231" s="1">
        <f>IFERROR(__xludf.DUMMYFUNCTION("""COMPUTED_VALUE"""),41.0)</f>
        <v>41</v>
      </c>
      <c r="J1231" s="1">
        <f>IFERROR(__xludf.DUMMYFUNCTION("""COMPUTED_VALUE"""),66.0)</f>
        <v>66</v>
      </c>
      <c r="K1231" s="1">
        <f>IFERROR(__xludf.DUMMYFUNCTION("""COMPUTED_VALUE"""),98.0)</f>
        <v>98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 t="str">
        <f>IFERROR(__xludf.DUMMYFUNCTION("""COMPUTED_VALUE"""),"A")</f>
        <v>A</v>
      </c>
      <c r="E1232" s="1" t="str">
        <f>IFERROR(__xludf.DUMMYFUNCTION("""COMPUTED_VALUE"""),"Female")</f>
        <v>Female</v>
      </c>
      <c r="F1232" s="1">
        <f>IFERROR(__xludf.DUMMYFUNCTION("""COMPUTED_VALUE"""),99.0)</f>
        <v>99</v>
      </c>
      <c r="G1232" s="1">
        <f>IFERROR(__xludf.DUMMYFUNCTION("""COMPUTED_VALUE"""),60.0)</f>
        <v>60</v>
      </c>
      <c r="H1232" s="1">
        <f>IFERROR(__xludf.DUMMYFUNCTION("""COMPUTED_VALUE"""),99.0)</f>
        <v>99</v>
      </c>
      <c r="I1232" s="1">
        <f>IFERROR(__xludf.DUMMYFUNCTION("""COMPUTED_VALUE"""),85.0)</f>
        <v>85</v>
      </c>
      <c r="J1232" s="1">
        <f>IFERROR(__xludf.DUMMYFUNCTION("""COMPUTED_VALUE"""),28.0)</f>
        <v>28</v>
      </c>
      <c r="K1232" s="1">
        <f>IFERROR(__xludf.DUMMYFUNCTION("""COMPUTED_VALUE"""),92.0)</f>
        <v>92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 t="str">
        <f>IFERROR(__xludf.DUMMYFUNCTION("""COMPUTED_VALUE"""),"B")</f>
        <v>B</v>
      </c>
      <c r="E1233" s="1" t="str">
        <f>IFERROR(__xludf.DUMMYFUNCTION("""COMPUTED_VALUE"""),"Male")</f>
        <v>Male</v>
      </c>
      <c r="F1233" s="1">
        <f>IFERROR(__xludf.DUMMYFUNCTION("""COMPUTED_VALUE"""),20.0)</f>
        <v>20</v>
      </c>
      <c r="G1233" s="1">
        <f>IFERROR(__xludf.DUMMYFUNCTION("""COMPUTED_VALUE"""),27.0)</f>
        <v>27</v>
      </c>
      <c r="H1233" s="1">
        <f>IFERROR(__xludf.DUMMYFUNCTION("""COMPUTED_VALUE"""),78.0)</f>
        <v>78</v>
      </c>
      <c r="I1233" s="1">
        <f>IFERROR(__xludf.DUMMYFUNCTION("""COMPUTED_VALUE"""),78.0)</f>
        <v>78</v>
      </c>
      <c r="J1233" s="1">
        <f>IFERROR(__xludf.DUMMYFUNCTION("""COMPUTED_VALUE"""),80.0)</f>
        <v>80</v>
      </c>
      <c r="K1233" s="1">
        <f>IFERROR(__xludf.DUMMYFUNCTION("""COMPUTED_VALUE"""),26.0)</f>
        <v>26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 t="str">
        <f>IFERROR(__xludf.DUMMYFUNCTION("""COMPUTED_VALUE"""),"C")</f>
        <v>C</v>
      </c>
      <c r="E1234" s="1" t="str">
        <f>IFERROR(__xludf.DUMMYFUNCTION("""COMPUTED_VALUE"""),"Female")</f>
        <v>Female</v>
      </c>
      <c r="F1234" s="1">
        <f>IFERROR(__xludf.DUMMYFUNCTION("""COMPUTED_VALUE"""),73.0)</f>
        <v>73</v>
      </c>
      <c r="G1234" s="1">
        <f>IFERROR(__xludf.DUMMYFUNCTION("""COMPUTED_VALUE"""),53.0)</f>
        <v>53</v>
      </c>
      <c r="H1234" s="1">
        <f>IFERROR(__xludf.DUMMYFUNCTION("""COMPUTED_VALUE"""),57.0)</f>
        <v>57</v>
      </c>
      <c r="I1234" s="1">
        <f>IFERROR(__xludf.DUMMYFUNCTION("""COMPUTED_VALUE"""),38.0)</f>
        <v>38</v>
      </c>
      <c r="J1234" s="1">
        <f>IFERROR(__xludf.DUMMYFUNCTION("""COMPUTED_VALUE"""),58.0)</f>
        <v>58</v>
      </c>
      <c r="K1234" s="1">
        <f>IFERROR(__xludf.DUMMYFUNCTION("""COMPUTED_VALUE"""),60.0)</f>
        <v>60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 t="str">
        <f>IFERROR(__xludf.DUMMYFUNCTION("""COMPUTED_VALUE"""),"B")</f>
        <v>B</v>
      </c>
      <c r="E1235" s="1" t="str">
        <f>IFERROR(__xludf.DUMMYFUNCTION("""COMPUTED_VALUE"""),"Male")</f>
        <v>Male</v>
      </c>
      <c r="F1235" s="1">
        <f>IFERROR(__xludf.DUMMYFUNCTION("""COMPUTED_VALUE"""),48.0)</f>
        <v>48</v>
      </c>
      <c r="G1235" s="1">
        <f>IFERROR(__xludf.DUMMYFUNCTION("""COMPUTED_VALUE"""),76.0)</f>
        <v>76</v>
      </c>
      <c r="H1235" s="1">
        <f>IFERROR(__xludf.DUMMYFUNCTION("""COMPUTED_VALUE"""),99.0)</f>
        <v>99</v>
      </c>
      <c r="I1235" s="1">
        <f>IFERROR(__xludf.DUMMYFUNCTION("""COMPUTED_VALUE"""),60.0)</f>
        <v>60</v>
      </c>
      <c r="J1235" s="1">
        <f>IFERROR(__xludf.DUMMYFUNCTION("""COMPUTED_VALUE"""),57.0)</f>
        <v>57</v>
      </c>
      <c r="K1235" s="1">
        <f>IFERROR(__xludf.DUMMYFUNCTION("""COMPUTED_VALUE"""),78.0)</f>
        <v>78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 t="str">
        <f>IFERROR(__xludf.DUMMYFUNCTION("""COMPUTED_VALUE"""),"A")</f>
        <v>A</v>
      </c>
      <c r="E1236" s="1" t="str">
        <f>IFERROR(__xludf.DUMMYFUNCTION("""COMPUTED_VALUE"""),"Male")</f>
        <v>Male</v>
      </c>
      <c r="F1236" s="1">
        <f>IFERROR(__xludf.DUMMYFUNCTION("""COMPUTED_VALUE"""),33.0)</f>
        <v>33</v>
      </c>
      <c r="G1236" s="1">
        <f>IFERROR(__xludf.DUMMYFUNCTION("""COMPUTED_VALUE"""),32.0)</f>
        <v>32</v>
      </c>
      <c r="H1236" s="1">
        <f>IFERROR(__xludf.DUMMYFUNCTION("""COMPUTED_VALUE"""),61.0)</f>
        <v>61</v>
      </c>
      <c r="I1236" s="1">
        <f>IFERROR(__xludf.DUMMYFUNCTION("""COMPUTED_VALUE"""),73.0)</f>
        <v>73</v>
      </c>
      <c r="J1236" s="1">
        <f>IFERROR(__xludf.DUMMYFUNCTION("""COMPUTED_VALUE"""),53.0)</f>
        <v>53</v>
      </c>
      <c r="K1236" s="1">
        <f>IFERROR(__xludf.DUMMYFUNCTION("""COMPUTED_VALUE"""),77.0)</f>
        <v>77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 t="str">
        <f>IFERROR(__xludf.DUMMYFUNCTION("""COMPUTED_VALUE"""),"C")</f>
        <v>C</v>
      </c>
      <c r="E1237" s="1" t="str">
        <f>IFERROR(__xludf.DUMMYFUNCTION("""COMPUTED_VALUE"""),"Male")</f>
        <v>Male</v>
      </c>
      <c r="F1237" s="1">
        <f>IFERROR(__xludf.DUMMYFUNCTION("""COMPUTED_VALUE"""),95.0)</f>
        <v>95</v>
      </c>
      <c r="G1237" s="1">
        <f>IFERROR(__xludf.DUMMYFUNCTION("""COMPUTED_VALUE"""),95.0)</f>
        <v>95</v>
      </c>
      <c r="H1237" s="1">
        <f>IFERROR(__xludf.DUMMYFUNCTION("""COMPUTED_VALUE"""),45.0)</f>
        <v>45</v>
      </c>
      <c r="I1237" s="1">
        <f>IFERROR(__xludf.DUMMYFUNCTION("""COMPUTED_VALUE"""),88.0)</f>
        <v>88</v>
      </c>
      <c r="J1237" s="1">
        <f>IFERROR(__xludf.DUMMYFUNCTION("""COMPUTED_VALUE"""),56.0)</f>
        <v>56</v>
      </c>
      <c r="K1237" s="1">
        <f>IFERROR(__xludf.DUMMYFUNCTION("""COMPUTED_VALUE"""),28.0)</f>
        <v>28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 t="str">
        <f>IFERROR(__xludf.DUMMYFUNCTION("""COMPUTED_VALUE"""),"D")</f>
        <v>D</v>
      </c>
      <c r="E1238" s="1" t="str">
        <f>IFERROR(__xludf.DUMMYFUNCTION("""COMPUTED_VALUE"""),"Female")</f>
        <v>Female</v>
      </c>
      <c r="F1238" s="1">
        <f>IFERROR(__xludf.DUMMYFUNCTION("""COMPUTED_VALUE"""),40.0)</f>
        <v>40</v>
      </c>
      <c r="G1238" s="1">
        <f>IFERROR(__xludf.DUMMYFUNCTION("""COMPUTED_VALUE"""),29.0)</f>
        <v>29</v>
      </c>
      <c r="H1238" s="1">
        <f>IFERROR(__xludf.DUMMYFUNCTION("""COMPUTED_VALUE"""),81.0)</f>
        <v>81</v>
      </c>
      <c r="I1238" s="1">
        <f>IFERROR(__xludf.DUMMYFUNCTION("""COMPUTED_VALUE"""),35.0)</f>
        <v>35</v>
      </c>
      <c r="J1238" s="1">
        <f>IFERROR(__xludf.DUMMYFUNCTION("""COMPUTED_VALUE"""),38.0)</f>
        <v>38</v>
      </c>
      <c r="K1238" s="1">
        <f>IFERROR(__xludf.DUMMYFUNCTION("""COMPUTED_VALUE"""),51.0)</f>
        <v>51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 t="str">
        <f>IFERROR(__xludf.DUMMYFUNCTION("""COMPUTED_VALUE"""),"D")</f>
        <v>D</v>
      </c>
      <c r="E1239" s="1" t="str">
        <f>IFERROR(__xludf.DUMMYFUNCTION("""COMPUTED_VALUE"""),"Female")</f>
        <v>Female</v>
      </c>
      <c r="F1239" s="1">
        <f>IFERROR(__xludf.DUMMYFUNCTION("""COMPUTED_VALUE"""),16.0)</f>
        <v>16</v>
      </c>
      <c r="G1239" s="1">
        <f>IFERROR(__xludf.DUMMYFUNCTION("""COMPUTED_VALUE"""),93.0)</f>
        <v>93</v>
      </c>
      <c r="H1239" s="1">
        <f>IFERROR(__xludf.DUMMYFUNCTION("""COMPUTED_VALUE"""),70.0)</f>
        <v>70</v>
      </c>
      <c r="I1239" s="1">
        <f>IFERROR(__xludf.DUMMYFUNCTION("""COMPUTED_VALUE"""),83.0)</f>
        <v>83</v>
      </c>
      <c r="J1239" s="1">
        <f>IFERROR(__xludf.DUMMYFUNCTION("""COMPUTED_VALUE"""),70.0)</f>
        <v>70</v>
      </c>
      <c r="K1239" s="1">
        <f>IFERROR(__xludf.DUMMYFUNCTION("""COMPUTED_VALUE"""),39.0)</f>
        <v>39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 t="str">
        <f>IFERROR(__xludf.DUMMYFUNCTION("""COMPUTED_VALUE"""),"D")</f>
        <v>D</v>
      </c>
      <c r="E1240" s="1" t="str">
        <f>IFERROR(__xludf.DUMMYFUNCTION("""COMPUTED_VALUE"""),"Female")</f>
        <v>Female</v>
      </c>
      <c r="F1240" s="1">
        <f>IFERROR(__xludf.DUMMYFUNCTION("""COMPUTED_VALUE"""),73.0)</f>
        <v>73</v>
      </c>
      <c r="G1240" s="1">
        <f>IFERROR(__xludf.DUMMYFUNCTION("""COMPUTED_VALUE"""),66.0)</f>
        <v>66</v>
      </c>
      <c r="H1240" s="1">
        <f>IFERROR(__xludf.DUMMYFUNCTION("""COMPUTED_VALUE"""),25.0)</f>
        <v>25</v>
      </c>
      <c r="I1240" s="1">
        <f>IFERROR(__xludf.DUMMYFUNCTION("""COMPUTED_VALUE"""),41.0)</f>
        <v>41</v>
      </c>
      <c r="J1240" s="1">
        <f>IFERROR(__xludf.DUMMYFUNCTION("""COMPUTED_VALUE"""),55.0)</f>
        <v>55</v>
      </c>
      <c r="K1240" s="1">
        <f>IFERROR(__xludf.DUMMYFUNCTION("""COMPUTED_VALUE"""),26.0)</f>
        <v>26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 t="str">
        <f>IFERROR(__xludf.DUMMYFUNCTION("""COMPUTED_VALUE"""),"D")</f>
        <v>D</v>
      </c>
      <c r="E1241" s="1" t="str">
        <f>IFERROR(__xludf.DUMMYFUNCTION("""COMPUTED_VALUE"""),"Male")</f>
        <v>Male</v>
      </c>
      <c r="F1241" s="1">
        <f>IFERROR(__xludf.DUMMYFUNCTION("""COMPUTED_VALUE"""),99.0)</f>
        <v>99</v>
      </c>
      <c r="G1241" s="1">
        <f>IFERROR(__xludf.DUMMYFUNCTION("""COMPUTED_VALUE"""),68.0)</f>
        <v>68</v>
      </c>
      <c r="H1241" s="1">
        <f>IFERROR(__xludf.DUMMYFUNCTION("""COMPUTED_VALUE"""),97.0)</f>
        <v>97</v>
      </c>
      <c r="I1241" s="1">
        <f>IFERROR(__xludf.DUMMYFUNCTION("""COMPUTED_VALUE"""),34.0)</f>
        <v>34</v>
      </c>
      <c r="J1241" s="1">
        <f>IFERROR(__xludf.DUMMYFUNCTION("""COMPUTED_VALUE"""),20.0)</f>
        <v>20</v>
      </c>
      <c r="K1241" s="1">
        <f>IFERROR(__xludf.DUMMYFUNCTION("""COMPUTED_VALUE"""),33.0)</f>
        <v>33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 t="str">
        <f>IFERROR(__xludf.DUMMYFUNCTION("""COMPUTED_VALUE"""),"B")</f>
        <v>B</v>
      </c>
      <c r="E1242" s="1" t="str">
        <f>IFERROR(__xludf.DUMMYFUNCTION("""COMPUTED_VALUE"""),"Female")</f>
        <v>Female</v>
      </c>
      <c r="F1242" s="1">
        <f>IFERROR(__xludf.DUMMYFUNCTION("""COMPUTED_VALUE"""),54.0)</f>
        <v>54</v>
      </c>
      <c r="G1242" s="1">
        <f>IFERROR(__xludf.DUMMYFUNCTION("""COMPUTED_VALUE"""),54.0)</f>
        <v>54</v>
      </c>
      <c r="H1242" s="1">
        <f>IFERROR(__xludf.DUMMYFUNCTION("""COMPUTED_VALUE"""),44.0)</f>
        <v>44</v>
      </c>
      <c r="I1242" s="1">
        <f>IFERROR(__xludf.DUMMYFUNCTION("""COMPUTED_VALUE"""),72.0)</f>
        <v>72</v>
      </c>
      <c r="J1242" s="1">
        <f>IFERROR(__xludf.DUMMYFUNCTION("""COMPUTED_VALUE"""),27.0)</f>
        <v>27</v>
      </c>
      <c r="K1242" s="1">
        <f>IFERROR(__xludf.DUMMYFUNCTION("""COMPUTED_VALUE"""),60.0)</f>
        <v>60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 t="str">
        <f>IFERROR(__xludf.DUMMYFUNCTION("""COMPUTED_VALUE"""),"A")</f>
        <v>A</v>
      </c>
      <c r="E1243" s="1" t="str">
        <f>IFERROR(__xludf.DUMMYFUNCTION("""COMPUTED_VALUE"""),"Female")</f>
        <v>Female</v>
      </c>
      <c r="F1243" s="1">
        <f>IFERROR(__xludf.DUMMYFUNCTION("""COMPUTED_VALUE"""),85.0)</f>
        <v>85</v>
      </c>
      <c r="G1243" s="1">
        <f>IFERROR(__xludf.DUMMYFUNCTION("""COMPUTED_VALUE"""),96.0)</f>
        <v>96</v>
      </c>
      <c r="H1243" s="1">
        <f>IFERROR(__xludf.DUMMYFUNCTION("""COMPUTED_VALUE"""),97.0)</f>
        <v>97</v>
      </c>
      <c r="I1243" s="1">
        <f>IFERROR(__xludf.DUMMYFUNCTION("""COMPUTED_VALUE"""),39.0)</f>
        <v>39</v>
      </c>
      <c r="J1243" s="1">
        <f>IFERROR(__xludf.DUMMYFUNCTION("""COMPUTED_VALUE"""),28.0)</f>
        <v>28</v>
      </c>
      <c r="K1243" s="1">
        <f>IFERROR(__xludf.DUMMYFUNCTION("""COMPUTED_VALUE"""),57.0)</f>
        <v>57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 t="str">
        <f>IFERROR(__xludf.DUMMYFUNCTION("""COMPUTED_VALUE"""),"B")</f>
        <v>B</v>
      </c>
      <c r="E1244" s="1" t="str">
        <f>IFERROR(__xludf.DUMMYFUNCTION("""COMPUTED_VALUE"""),"Female")</f>
        <v>Female</v>
      </c>
      <c r="F1244" s="1">
        <f>IFERROR(__xludf.DUMMYFUNCTION("""COMPUTED_VALUE"""),73.0)</f>
        <v>73</v>
      </c>
      <c r="G1244" s="1">
        <f>IFERROR(__xludf.DUMMYFUNCTION("""COMPUTED_VALUE"""),26.0)</f>
        <v>26</v>
      </c>
      <c r="H1244" s="1">
        <f>IFERROR(__xludf.DUMMYFUNCTION("""COMPUTED_VALUE"""),52.0)</f>
        <v>52</v>
      </c>
      <c r="I1244" s="1">
        <f>IFERROR(__xludf.DUMMYFUNCTION("""COMPUTED_VALUE"""),92.0)</f>
        <v>92</v>
      </c>
      <c r="J1244" s="1">
        <f>IFERROR(__xludf.DUMMYFUNCTION("""COMPUTED_VALUE"""),91.0)</f>
        <v>91</v>
      </c>
      <c r="K1244" s="1">
        <f>IFERROR(__xludf.DUMMYFUNCTION("""COMPUTED_VALUE"""),21.0)</f>
        <v>21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 t="str">
        <f>IFERROR(__xludf.DUMMYFUNCTION("""COMPUTED_VALUE"""),"A")</f>
        <v>A</v>
      </c>
      <c r="E1245" s="1" t="str">
        <f>IFERROR(__xludf.DUMMYFUNCTION("""COMPUTED_VALUE"""),"Female")</f>
        <v>Female</v>
      </c>
      <c r="F1245" s="1">
        <f>IFERROR(__xludf.DUMMYFUNCTION("""COMPUTED_VALUE"""),100.0)</f>
        <v>100</v>
      </c>
      <c r="G1245" s="1">
        <f>IFERROR(__xludf.DUMMYFUNCTION("""COMPUTED_VALUE"""),53.0)</f>
        <v>53</v>
      </c>
      <c r="H1245" s="1">
        <f>IFERROR(__xludf.DUMMYFUNCTION("""COMPUTED_VALUE"""),77.0)</f>
        <v>77</v>
      </c>
      <c r="I1245" s="1">
        <f>IFERROR(__xludf.DUMMYFUNCTION("""COMPUTED_VALUE"""),78.0)</f>
        <v>78</v>
      </c>
      <c r="J1245" s="1">
        <f>IFERROR(__xludf.DUMMYFUNCTION("""COMPUTED_VALUE"""),99.0)</f>
        <v>99</v>
      </c>
      <c r="K1245" s="1">
        <f>IFERROR(__xludf.DUMMYFUNCTION("""COMPUTED_VALUE"""),52.0)</f>
        <v>52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 t="str">
        <f>IFERROR(__xludf.DUMMYFUNCTION("""COMPUTED_VALUE"""),"D")</f>
        <v>D</v>
      </c>
      <c r="E1246" s="1" t="str">
        <f>IFERROR(__xludf.DUMMYFUNCTION("""COMPUTED_VALUE"""),"Male")</f>
        <v>Male</v>
      </c>
      <c r="F1246" s="1">
        <f>IFERROR(__xludf.DUMMYFUNCTION("""COMPUTED_VALUE"""),45.0)</f>
        <v>45</v>
      </c>
      <c r="G1246" s="1">
        <f>IFERROR(__xludf.DUMMYFUNCTION("""COMPUTED_VALUE"""),96.0)</f>
        <v>96</v>
      </c>
      <c r="H1246" s="1">
        <f>IFERROR(__xludf.DUMMYFUNCTION("""COMPUTED_VALUE"""),50.0)</f>
        <v>50</v>
      </c>
      <c r="I1246" s="1">
        <f>IFERROR(__xludf.DUMMYFUNCTION("""COMPUTED_VALUE"""),69.0)</f>
        <v>69</v>
      </c>
      <c r="J1246" s="1">
        <f>IFERROR(__xludf.DUMMYFUNCTION("""COMPUTED_VALUE"""),75.0)</f>
        <v>75</v>
      </c>
      <c r="K1246" s="1">
        <f>IFERROR(__xludf.DUMMYFUNCTION("""COMPUTED_VALUE"""),83.0)</f>
        <v>83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 t="str">
        <f>IFERROR(__xludf.DUMMYFUNCTION("""COMPUTED_VALUE"""),"C")</f>
        <v>C</v>
      </c>
      <c r="E1247" s="1" t="str">
        <f>IFERROR(__xludf.DUMMYFUNCTION("""COMPUTED_VALUE"""),"Female")</f>
        <v>Female</v>
      </c>
      <c r="F1247" s="1">
        <f>IFERROR(__xludf.DUMMYFUNCTION("""COMPUTED_VALUE"""),67.0)</f>
        <v>67</v>
      </c>
      <c r="G1247" s="1">
        <f>IFERROR(__xludf.DUMMYFUNCTION("""COMPUTED_VALUE"""),30.0)</f>
        <v>30</v>
      </c>
      <c r="H1247" s="1">
        <f>IFERROR(__xludf.DUMMYFUNCTION("""COMPUTED_VALUE"""),73.0)</f>
        <v>73</v>
      </c>
      <c r="I1247" s="1">
        <f>IFERROR(__xludf.DUMMYFUNCTION("""COMPUTED_VALUE"""),90.0)</f>
        <v>90</v>
      </c>
      <c r="J1247" s="1">
        <f>IFERROR(__xludf.DUMMYFUNCTION("""COMPUTED_VALUE"""),29.0)</f>
        <v>29</v>
      </c>
      <c r="K1247" s="1">
        <f>IFERROR(__xludf.DUMMYFUNCTION("""COMPUTED_VALUE"""),80.0)</f>
        <v>80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 t="str">
        <f>IFERROR(__xludf.DUMMYFUNCTION("""COMPUTED_VALUE"""),"A")</f>
        <v>A</v>
      </c>
      <c r="E1248" s="1" t="str">
        <f>IFERROR(__xludf.DUMMYFUNCTION("""COMPUTED_VALUE"""),"Female")</f>
        <v>Female</v>
      </c>
      <c r="F1248" s="1">
        <f>IFERROR(__xludf.DUMMYFUNCTION("""COMPUTED_VALUE"""),30.0)</f>
        <v>30</v>
      </c>
      <c r="G1248" s="1">
        <f>IFERROR(__xludf.DUMMYFUNCTION("""COMPUTED_VALUE"""),65.0)</f>
        <v>65</v>
      </c>
      <c r="H1248" s="1">
        <f>IFERROR(__xludf.DUMMYFUNCTION("""COMPUTED_VALUE"""),67.0)</f>
        <v>67</v>
      </c>
      <c r="I1248" s="1">
        <f>IFERROR(__xludf.DUMMYFUNCTION("""COMPUTED_VALUE"""),82.0)</f>
        <v>82</v>
      </c>
      <c r="J1248" s="1">
        <f>IFERROR(__xludf.DUMMYFUNCTION("""COMPUTED_VALUE"""),26.0)</f>
        <v>26</v>
      </c>
      <c r="K1248" s="1">
        <f>IFERROR(__xludf.DUMMYFUNCTION("""COMPUTED_VALUE"""),29.0)</f>
        <v>29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 t="str">
        <f>IFERROR(__xludf.DUMMYFUNCTION("""COMPUTED_VALUE"""),"A")</f>
        <v>A</v>
      </c>
      <c r="E1249" s="1" t="str">
        <f>IFERROR(__xludf.DUMMYFUNCTION("""COMPUTED_VALUE"""),"Female")</f>
        <v>Female</v>
      </c>
      <c r="F1249" s="1">
        <f>IFERROR(__xludf.DUMMYFUNCTION("""COMPUTED_VALUE"""),25.0)</f>
        <v>25</v>
      </c>
      <c r="G1249" s="1">
        <f>IFERROR(__xludf.DUMMYFUNCTION("""COMPUTED_VALUE"""),38.0)</f>
        <v>38</v>
      </c>
      <c r="H1249" s="1">
        <f>IFERROR(__xludf.DUMMYFUNCTION("""COMPUTED_VALUE"""),65.0)</f>
        <v>65</v>
      </c>
      <c r="I1249" s="1">
        <f>IFERROR(__xludf.DUMMYFUNCTION("""COMPUTED_VALUE"""),99.0)</f>
        <v>99</v>
      </c>
      <c r="J1249" s="1">
        <f>IFERROR(__xludf.DUMMYFUNCTION("""COMPUTED_VALUE"""),51.0)</f>
        <v>51</v>
      </c>
      <c r="K1249" s="1">
        <f>IFERROR(__xludf.DUMMYFUNCTION("""COMPUTED_VALUE"""),66.0)</f>
        <v>66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 t="str">
        <f>IFERROR(__xludf.DUMMYFUNCTION("""COMPUTED_VALUE"""),"D")</f>
        <v>D</v>
      </c>
      <c r="E1250" s="1" t="str">
        <f>IFERROR(__xludf.DUMMYFUNCTION("""COMPUTED_VALUE"""),"Male")</f>
        <v>Male</v>
      </c>
      <c r="F1250" s="1">
        <f>IFERROR(__xludf.DUMMYFUNCTION("""COMPUTED_VALUE"""),77.0)</f>
        <v>77</v>
      </c>
      <c r="G1250" s="1">
        <f>IFERROR(__xludf.DUMMYFUNCTION("""COMPUTED_VALUE"""),61.0)</f>
        <v>61</v>
      </c>
      <c r="H1250" s="1">
        <f>IFERROR(__xludf.DUMMYFUNCTION("""COMPUTED_VALUE"""),36.0)</f>
        <v>36</v>
      </c>
      <c r="I1250" s="1">
        <f>IFERROR(__xludf.DUMMYFUNCTION("""COMPUTED_VALUE"""),45.0)</f>
        <v>45</v>
      </c>
      <c r="J1250" s="1">
        <f>IFERROR(__xludf.DUMMYFUNCTION("""COMPUTED_VALUE"""),24.0)</f>
        <v>24</v>
      </c>
      <c r="K1250" s="1">
        <f>IFERROR(__xludf.DUMMYFUNCTION("""COMPUTED_VALUE"""),31.0)</f>
        <v>31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 t="str">
        <f>IFERROR(__xludf.DUMMYFUNCTION("""COMPUTED_VALUE"""),"D")</f>
        <v>D</v>
      </c>
      <c r="E1251" s="1" t="str">
        <f>IFERROR(__xludf.DUMMYFUNCTION("""COMPUTED_VALUE"""),"Male")</f>
        <v>Male</v>
      </c>
      <c r="F1251" s="1">
        <f>IFERROR(__xludf.DUMMYFUNCTION("""COMPUTED_VALUE"""),20.0)</f>
        <v>20</v>
      </c>
      <c r="G1251" s="1">
        <f>IFERROR(__xludf.DUMMYFUNCTION("""COMPUTED_VALUE"""),75.0)</f>
        <v>75</v>
      </c>
      <c r="H1251" s="1">
        <f>IFERROR(__xludf.DUMMYFUNCTION("""COMPUTED_VALUE"""),34.0)</f>
        <v>34</v>
      </c>
      <c r="I1251" s="1">
        <f>IFERROR(__xludf.DUMMYFUNCTION("""COMPUTED_VALUE"""),58.0)</f>
        <v>58</v>
      </c>
      <c r="J1251" s="1">
        <f>IFERROR(__xludf.DUMMYFUNCTION("""COMPUTED_VALUE"""),36.0)</f>
        <v>36</v>
      </c>
      <c r="K1251" s="1">
        <f>IFERROR(__xludf.DUMMYFUNCTION("""COMPUTED_VALUE"""),76.0)</f>
        <v>76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 t="str">
        <f>IFERROR(__xludf.DUMMYFUNCTION("""COMPUTED_VALUE"""),"C")</f>
        <v>C</v>
      </c>
      <c r="E1252" s="1" t="str">
        <f>IFERROR(__xludf.DUMMYFUNCTION("""COMPUTED_VALUE"""),"Male")</f>
        <v>Male</v>
      </c>
      <c r="F1252" s="1">
        <f>IFERROR(__xludf.DUMMYFUNCTION("""COMPUTED_VALUE"""),49.0)</f>
        <v>49</v>
      </c>
      <c r="G1252" s="1">
        <f>IFERROR(__xludf.DUMMYFUNCTION("""COMPUTED_VALUE"""),85.0)</f>
        <v>85</v>
      </c>
      <c r="H1252" s="1">
        <f>IFERROR(__xludf.DUMMYFUNCTION("""COMPUTED_VALUE"""),41.0)</f>
        <v>41</v>
      </c>
      <c r="I1252" s="1">
        <f>IFERROR(__xludf.DUMMYFUNCTION("""COMPUTED_VALUE"""),80.0)</f>
        <v>80</v>
      </c>
      <c r="J1252" s="1">
        <f>IFERROR(__xludf.DUMMYFUNCTION("""COMPUTED_VALUE"""),24.0)</f>
        <v>24</v>
      </c>
      <c r="K1252" s="1">
        <f>IFERROR(__xludf.DUMMYFUNCTION("""COMPUTED_VALUE"""),76.0)</f>
        <v>76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 t="str">
        <f>IFERROR(__xludf.DUMMYFUNCTION("""COMPUTED_VALUE"""),"C")</f>
        <v>C</v>
      </c>
      <c r="E1253" s="1" t="str">
        <f>IFERROR(__xludf.DUMMYFUNCTION("""COMPUTED_VALUE"""),"Female")</f>
        <v>Female</v>
      </c>
      <c r="F1253" s="1">
        <f>IFERROR(__xludf.DUMMYFUNCTION("""COMPUTED_VALUE"""),78.0)</f>
        <v>78</v>
      </c>
      <c r="G1253" s="1">
        <f>IFERROR(__xludf.DUMMYFUNCTION("""COMPUTED_VALUE"""),33.0)</f>
        <v>33</v>
      </c>
      <c r="H1253" s="1">
        <f>IFERROR(__xludf.DUMMYFUNCTION("""COMPUTED_VALUE"""),82.0)</f>
        <v>82</v>
      </c>
      <c r="I1253" s="1">
        <f>IFERROR(__xludf.DUMMYFUNCTION("""COMPUTED_VALUE"""),59.0)</f>
        <v>59</v>
      </c>
      <c r="J1253" s="1">
        <f>IFERROR(__xludf.DUMMYFUNCTION("""COMPUTED_VALUE"""),88.0)</f>
        <v>88</v>
      </c>
      <c r="K1253" s="1">
        <f>IFERROR(__xludf.DUMMYFUNCTION("""COMPUTED_VALUE"""),71.0)</f>
        <v>71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 t="str">
        <f>IFERROR(__xludf.DUMMYFUNCTION("""COMPUTED_VALUE"""),"A")</f>
        <v>A</v>
      </c>
      <c r="E1254" s="1" t="str">
        <f>IFERROR(__xludf.DUMMYFUNCTION("""COMPUTED_VALUE"""),"Female")</f>
        <v>Female</v>
      </c>
      <c r="F1254" s="1">
        <f>IFERROR(__xludf.DUMMYFUNCTION("""COMPUTED_VALUE"""),33.0)</f>
        <v>33</v>
      </c>
      <c r="G1254" s="1">
        <f>IFERROR(__xludf.DUMMYFUNCTION("""COMPUTED_VALUE"""),64.0)</f>
        <v>64</v>
      </c>
      <c r="H1254" s="1">
        <f>IFERROR(__xludf.DUMMYFUNCTION("""COMPUTED_VALUE"""),89.0)</f>
        <v>89</v>
      </c>
      <c r="I1254" s="1">
        <f>IFERROR(__xludf.DUMMYFUNCTION("""COMPUTED_VALUE"""),51.0)</f>
        <v>51</v>
      </c>
      <c r="J1254" s="1">
        <f>IFERROR(__xludf.DUMMYFUNCTION("""COMPUTED_VALUE"""),98.0)</f>
        <v>98</v>
      </c>
      <c r="K1254" s="1">
        <f>IFERROR(__xludf.DUMMYFUNCTION("""COMPUTED_VALUE"""),88.0)</f>
        <v>88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 t="str">
        <f>IFERROR(__xludf.DUMMYFUNCTION("""COMPUTED_VALUE"""),"B")</f>
        <v>B</v>
      </c>
      <c r="E1255" s="1" t="str">
        <f>IFERROR(__xludf.DUMMYFUNCTION("""COMPUTED_VALUE"""),"Female")</f>
        <v>Female</v>
      </c>
      <c r="F1255" s="1">
        <f>IFERROR(__xludf.DUMMYFUNCTION("""COMPUTED_VALUE"""),15.0)</f>
        <v>15</v>
      </c>
      <c r="G1255" s="1">
        <f>IFERROR(__xludf.DUMMYFUNCTION("""COMPUTED_VALUE"""),96.0)</f>
        <v>96</v>
      </c>
      <c r="H1255" s="1">
        <f>IFERROR(__xludf.DUMMYFUNCTION("""COMPUTED_VALUE"""),74.0)</f>
        <v>74</v>
      </c>
      <c r="I1255" s="1">
        <f>IFERROR(__xludf.DUMMYFUNCTION("""COMPUTED_VALUE"""),47.0)</f>
        <v>47</v>
      </c>
      <c r="J1255" s="1">
        <f>IFERROR(__xludf.DUMMYFUNCTION("""COMPUTED_VALUE"""),48.0)</f>
        <v>48</v>
      </c>
      <c r="K1255" s="1">
        <f>IFERROR(__xludf.DUMMYFUNCTION("""COMPUTED_VALUE"""),26.0)</f>
        <v>26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 t="str">
        <f>IFERROR(__xludf.DUMMYFUNCTION("""COMPUTED_VALUE"""),"D")</f>
        <v>D</v>
      </c>
      <c r="E1256" s="1" t="str">
        <f>IFERROR(__xludf.DUMMYFUNCTION("""COMPUTED_VALUE"""),"Male")</f>
        <v>Male</v>
      </c>
      <c r="F1256" s="1">
        <f>IFERROR(__xludf.DUMMYFUNCTION("""COMPUTED_VALUE"""),60.0)</f>
        <v>60</v>
      </c>
      <c r="G1256" s="1">
        <f>IFERROR(__xludf.DUMMYFUNCTION("""COMPUTED_VALUE"""),50.0)</f>
        <v>50</v>
      </c>
      <c r="H1256" s="1">
        <f>IFERROR(__xludf.DUMMYFUNCTION("""COMPUTED_VALUE"""),21.0)</f>
        <v>21</v>
      </c>
      <c r="I1256" s="1">
        <f>IFERROR(__xludf.DUMMYFUNCTION("""COMPUTED_VALUE"""),75.0)</f>
        <v>75</v>
      </c>
      <c r="J1256" s="1">
        <f>IFERROR(__xludf.DUMMYFUNCTION("""COMPUTED_VALUE"""),67.0)</f>
        <v>67</v>
      </c>
      <c r="K1256" s="1">
        <f>IFERROR(__xludf.DUMMYFUNCTION("""COMPUTED_VALUE"""),26.0)</f>
        <v>26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 t="str">
        <f>IFERROR(__xludf.DUMMYFUNCTION("""COMPUTED_VALUE"""),"D")</f>
        <v>D</v>
      </c>
      <c r="E1257" s="1" t="str">
        <f>IFERROR(__xludf.DUMMYFUNCTION("""COMPUTED_VALUE"""),"Female")</f>
        <v>Female</v>
      </c>
      <c r="F1257" s="1">
        <f>IFERROR(__xludf.DUMMYFUNCTION("""COMPUTED_VALUE"""),83.0)</f>
        <v>83</v>
      </c>
      <c r="G1257" s="1">
        <f>IFERROR(__xludf.DUMMYFUNCTION("""COMPUTED_VALUE"""),57.0)</f>
        <v>57</v>
      </c>
      <c r="H1257" s="1">
        <f>IFERROR(__xludf.DUMMYFUNCTION("""COMPUTED_VALUE"""),53.0)</f>
        <v>53</v>
      </c>
      <c r="I1257" s="1">
        <f>IFERROR(__xludf.DUMMYFUNCTION("""COMPUTED_VALUE"""),51.0)</f>
        <v>51</v>
      </c>
      <c r="J1257" s="1">
        <f>IFERROR(__xludf.DUMMYFUNCTION("""COMPUTED_VALUE"""),88.0)</f>
        <v>88</v>
      </c>
      <c r="K1257" s="1">
        <f>IFERROR(__xludf.DUMMYFUNCTION("""COMPUTED_VALUE"""),78.0)</f>
        <v>78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 t="str">
        <f>IFERROR(__xludf.DUMMYFUNCTION("""COMPUTED_VALUE"""),"D")</f>
        <v>D</v>
      </c>
      <c r="E1258" s="1" t="str">
        <f>IFERROR(__xludf.DUMMYFUNCTION("""COMPUTED_VALUE"""),"Male")</f>
        <v>Male</v>
      </c>
      <c r="F1258" s="1">
        <f>IFERROR(__xludf.DUMMYFUNCTION("""COMPUTED_VALUE"""),42.0)</f>
        <v>42</v>
      </c>
      <c r="G1258" s="1">
        <f>IFERROR(__xludf.DUMMYFUNCTION("""COMPUTED_VALUE"""),90.0)</f>
        <v>90</v>
      </c>
      <c r="H1258" s="1">
        <f>IFERROR(__xludf.DUMMYFUNCTION("""COMPUTED_VALUE"""),49.0)</f>
        <v>49</v>
      </c>
      <c r="I1258" s="1">
        <f>IFERROR(__xludf.DUMMYFUNCTION("""COMPUTED_VALUE"""),95.0)</f>
        <v>95</v>
      </c>
      <c r="J1258" s="1">
        <f>IFERROR(__xludf.DUMMYFUNCTION("""COMPUTED_VALUE"""),33.0)</f>
        <v>33</v>
      </c>
      <c r="K1258" s="1">
        <f>IFERROR(__xludf.DUMMYFUNCTION("""COMPUTED_VALUE"""),70.0)</f>
        <v>70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 t="str">
        <f>IFERROR(__xludf.DUMMYFUNCTION("""COMPUTED_VALUE"""),"B")</f>
        <v>B</v>
      </c>
      <c r="E1259" s="1" t="str">
        <f>IFERROR(__xludf.DUMMYFUNCTION("""COMPUTED_VALUE"""),"Male")</f>
        <v>Male</v>
      </c>
      <c r="F1259" s="1">
        <f>IFERROR(__xludf.DUMMYFUNCTION("""COMPUTED_VALUE"""),90.0)</f>
        <v>90</v>
      </c>
      <c r="G1259" s="1">
        <f>IFERROR(__xludf.DUMMYFUNCTION("""COMPUTED_VALUE"""),82.0)</f>
        <v>82</v>
      </c>
      <c r="H1259" s="1">
        <f>IFERROR(__xludf.DUMMYFUNCTION("""COMPUTED_VALUE"""),23.0)</f>
        <v>23</v>
      </c>
      <c r="I1259" s="1">
        <f>IFERROR(__xludf.DUMMYFUNCTION("""COMPUTED_VALUE"""),86.0)</f>
        <v>86</v>
      </c>
      <c r="J1259" s="1">
        <f>IFERROR(__xludf.DUMMYFUNCTION("""COMPUTED_VALUE"""),61.0)</f>
        <v>61</v>
      </c>
      <c r="K1259" s="1">
        <f>IFERROR(__xludf.DUMMYFUNCTION("""COMPUTED_VALUE"""),33.0)</f>
        <v>33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 t="str">
        <f>IFERROR(__xludf.DUMMYFUNCTION("""COMPUTED_VALUE"""),"D")</f>
        <v>D</v>
      </c>
      <c r="E1260" s="1" t="str">
        <f>IFERROR(__xludf.DUMMYFUNCTION("""COMPUTED_VALUE"""),"Female")</f>
        <v>Female</v>
      </c>
      <c r="F1260" s="1">
        <f>IFERROR(__xludf.DUMMYFUNCTION("""COMPUTED_VALUE"""),85.0)</f>
        <v>85</v>
      </c>
      <c r="G1260" s="1">
        <f>IFERROR(__xludf.DUMMYFUNCTION("""COMPUTED_VALUE"""),31.0)</f>
        <v>31</v>
      </c>
      <c r="H1260" s="1">
        <f>IFERROR(__xludf.DUMMYFUNCTION("""COMPUTED_VALUE"""),42.0)</f>
        <v>42</v>
      </c>
      <c r="I1260" s="1">
        <f>IFERROR(__xludf.DUMMYFUNCTION("""COMPUTED_VALUE"""),89.0)</f>
        <v>89</v>
      </c>
      <c r="J1260" s="1">
        <f>IFERROR(__xludf.DUMMYFUNCTION("""COMPUTED_VALUE"""),63.0)</f>
        <v>63</v>
      </c>
      <c r="K1260" s="1">
        <f>IFERROR(__xludf.DUMMYFUNCTION("""COMPUTED_VALUE"""),41.0)</f>
        <v>41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 t="str">
        <f>IFERROR(__xludf.DUMMYFUNCTION("""COMPUTED_VALUE"""),"D")</f>
        <v>D</v>
      </c>
      <c r="E1261" s="1" t="str">
        <f>IFERROR(__xludf.DUMMYFUNCTION("""COMPUTED_VALUE"""),"Male")</f>
        <v>Male</v>
      </c>
      <c r="F1261" s="1">
        <f>IFERROR(__xludf.DUMMYFUNCTION("""COMPUTED_VALUE"""),11.0)</f>
        <v>11</v>
      </c>
      <c r="G1261" s="1">
        <f>IFERROR(__xludf.DUMMYFUNCTION("""COMPUTED_VALUE"""),80.0)</f>
        <v>80</v>
      </c>
      <c r="H1261" s="1">
        <f>IFERROR(__xludf.DUMMYFUNCTION("""COMPUTED_VALUE"""),61.0)</f>
        <v>61</v>
      </c>
      <c r="I1261" s="1">
        <f>IFERROR(__xludf.DUMMYFUNCTION("""COMPUTED_VALUE"""),96.0)</f>
        <v>96</v>
      </c>
      <c r="J1261" s="1">
        <f>IFERROR(__xludf.DUMMYFUNCTION("""COMPUTED_VALUE"""),70.0)</f>
        <v>70</v>
      </c>
      <c r="K1261" s="1">
        <f>IFERROR(__xludf.DUMMYFUNCTION("""COMPUTED_VALUE"""),94.0)</f>
        <v>94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 t="str">
        <f>IFERROR(__xludf.DUMMYFUNCTION("""COMPUTED_VALUE"""),"D")</f>
        <v>D</v>
      </c>
      <c r="E1262" s="1" t="str">
        <f>IFERROR(__xludf.DUMMYFUNCTION("""COMPUTED_VALUE"""),"Male")</f>
        <v>Male</v>
      </c>
      <c r="F1262" s="1">
        <f>IFERROR(__xludf.DUMMYFUNCTION("""COMPUTED_VALUE"""),56.0)</f>
        <v>56</v>
      </c>
      <c r="G1262" s="1">
        <f>IFERROR(__xludf.DUMMYFUNCTION("""COMPUTED_VALUE"""),51.0)</f>
        <v>51</v>
      </c>
      <c r="H1262" s="1">
        <f>IFERROR(__xludf.DUMMYFUNCTION("""COMPUTED_VALUE"""),39.0)</f>
        <v>39</v>
      </c>
      <c r="I1262" s="1">
        <f>IFERROR(__xludf.DUMMYFUNCTION("""COMPUTED_VALUE"""),69.0)</f>
        <v>69</v>
      </c>
      <c r="J1262" s="1">
        <f>IFERROR(__xludf.DUMMYFUNCTION("""COMPUTED_VALUE"""),43.0)</f>
        <v>43</v>
      </c>
      <c r="K1262" s="1">
        <f>IFERROR(__xludf.DUMMYFUNCTION("""COMPUTED_VALUE"""),80.0)</f>
        <v>80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 t="str">
        <f>IFERROR(__xludf.DUMMYFUNCTION("""COMPUTED_VALUE"""),"C")</f>
        <v>C</v>
      </c>
      <c r="E1263" s="1" t="str">
        <f>IFERROR(__xludf.DUMMYFUNCTION("""COMPUTED_VALUE"""),"Male")</f>
        <v>Male</v>
      </c>
      <c r="F1263" s="1">
        <f>IFERROR(__xludf.DUMMYFUNCTION("""COMPUTED_VALUE"""),26.0)</f>
        <v>26</v>
      </c>
      <c r="G1263" s="1">
        <f>IFERROR(__xludf.DUMMYFUNCTION("""COMPUTED_VALUE"""),66.0)</f>
        <v>66</v>
      </c>
      <c r="H1263" s="1">
        <f>IFERROR(__xludf.DUMMYFUNCTION("""COMPUTED_VALUE"""),89.0)</f>
        <v>89</v>
      </c>
      <c r="I1263" s="1">
        <f>IFERROR(__xludf.DUMMYFUNCTION("""COMPUTED_VALUE"""),35.0)</f>
        <v>35</v>
      </c>
      <c r="J1263" s="1">
        <f>IFERROR(__xludf.DUMMYFUNCTION("""COMPUTED_VALUE"""),52.0)</f>
        <v>52</v>
      </c>
      <c r="K1263" s="1">
        <f>IFERROR(__xludf.DUMMYFUNCTION("""COMPUTED_VALUE"""),72.0)</f>
        <v>72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 t="str">
        <f>IFERROR(__xludf.DUMMYFUNCTION("""COMPUTED_VALUE"""),"B")</f>
        <v>B</v>
      </c>
      <c r="E1264" s="1" t="str">
        <f>IFERROR(__xludf.DUMMYFUNCTION("""COMPUTED_VALUE"""),"Female")</f>
        <v>Female</v>
      </c>
      <c r="F1264" s="1">
        <f>IFERROR(__xludf.DUMMYFUNCTION("""COMPUTED_VALUE"""),20.0)</f>
        <v>20</v>
      </c>
      <c r="G1264" s="1">
        <f>IFERROR(__xludf.DUMMYFUNCTION("""COMPUTED_VALUE"""),31.0)</f>
        <v>31</v>
      </c>
      <c r="H1264" s="1">
        <f>IFERROR(__xludf.DUMMYFUNCTION("""COMPUTED_VALUE"""),63.0)</f>
        <v>63</v>
      </c>
      <c r="I1264" s="1">
        <f>IFERROR(__xludf.DUMMYFUNCTION("""COMPUTED_VALUE"""),60.0)</f>
        <v>60</v>
      </c>
      <c r="J1264" s="1">
        <f>IFERROR(__xludf.DUMMYFUNCTION("""COMPUTED_VALUE"""),69.0)</f>
        <v>69</v>
      </c>
      <c r="K1264" s="1">
        <f>IFERROR(__xludf.DUMMYFUNCTION("""COMPUTED_VALUE"""),22.0)</f>
        <v>22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 t="str">
        <f>IFERROR(__xludf.DUMMYFUNCTION("""COMPUTED_VALUE"""),"A")</f>
        <v>A</v>
      </c>
      <c r="E1265" s="1" t="str">
        <f>IFERROR(__xludf.DUMMYFUNCTION("""COMPUTED_VALUE"""),"Female")</f>
        <v>Female</v>
      </c>
      <c r="F1265" s="1">
        <f>IFERROR(__xludf.DUMMYFUNCTION("""COMPUTED_VALUE"""),90.0)</f>
        <v>90</v>
      </c>
      <c r="G1265" s="1">
        <f>IFERROR(__xludf.DUMMYFUNCTION("""COMPUTED_VALUE"""),28.0)</f>
        <v>28</v>
      </c>
      <c r="H1265" s="1">
        <f>IFERROR(__xludf.DUMMYFUNCTION("""COMPUTED_VALUE"""),96.0)</f>
        <v>96</v>
      </c>
      <c r="I1265" s="1">
        <f>IFERROR(__xludf.DUMMYFUNCTION("""COMPUTED_VALUE"""),39.0)</f>
        <v>39</v>
      </c>
      <c r="J1265" s="1">
        <f>IFERROR(__xludf.DUMMYFUNCTION("""COMPUTED_VALUE"""),85.0)</f>
        <v>85</v>
      </c>
      <c r="K1265" s="1">
        <f>IFERROR(__xludf.DUMMYFUNCTION("""COMPUTED_VALUE"""),67.0)</f>
        <v>67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 t="str">
        <f>IFERROR(__xludf.DUMMYFUNCTION("""COMPUTED_VALUE"""),"B")</f>
        <v>B</v>
      </c>
      <c r="E1266" s="1" t="str">
        <f>IFERROR(__xludf.DUMMYFUNCTION("""COMPUTED_VALUE"""),"Female")</f>
        <v>Female</v>
      </c>
      <c r="F1266" s="1">
        <f>IFERROR(__xludf.DUMMYFUNCTION("""COMPUTED_VALUE"""),22.0)</f>
        <v>22</v>
      </c>
      <c r="G1266" s="1">
        <f>IFERROR(__xludf.DUMMYFUNCTION("""COMPUTED_VALUE"""),82.0)</f>
        <v>82</v>
      </c>
      <c r="H1266" s="1">
        <f>IFERROR(__xludf.DUMMYFUNCTION("""COMPUTED_VALUE"""),22.0)</f>
        <v>22</v>
      </c>
      <c r="I1266" s="1">
        <f>IFERROR(__xludf.DUMMYFUNCTION("""COMPUTED_VALUE"""),95.0)</f>
        <v>95</v>
      </c>
      <c r="J1266" s="1">
        <f>IFERROR(__xludf.DUMMYFUNCTION("""COMPUTED_VALUE"""),62.0)</f>
        <v>62</v>
      </c>
      <c r="K1266" s="1">
        <f>IFERROR(__xludf.DUMMYFUNCTION("""COMPUTED_VALUE"""),33.0)</f>
        <v>33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 t="str">
        <f>IFERROR(__xludf.DUMMYFUNCTION("""COMPUTED_VALUE"""),"C")</f>
        <v>C</v>
      </c>
      <c r="E1267" s="1" t="str">
        <f>IFERROR(__xludf.DUMMYFUNCTION("""COMPUTED_VALUE"""),"Female")</f>
        <v>Female</v>
      </c>
      <c r="F1267" s="1">
        <f>IFERROR(__xludf.DUMMYFUNCTION("""COMPUTED_VALUE"""),22.0)</f>
        <v>22</v>
      </c>
      <c r="G1267" s="1">
        <f>IFERROR(__xludf.DUMMYFUNCTION("""COMPUTED_VALUE"""),96.0)</f>
        <v>96</v>
      </c>
      <c r="H1267" s="1">
        <f>IFERROR(__xludf.DUMMYFUNCTION("""COMPUTED_VALUE"""),22.0)</f>
        <v>22</v>
      </c>
      <c r="I1267" s="1">
        <f>IFERROR(__xludf.DUMMYFUNCTION("""COMPUTED_VALUE"""),27.0)</f>
        <v>27</v>
      </c>
      <c r="J1267" s="1">
        <f>IFERROR(__xludf.DUMMYFUNCTION("""COMPUTED_VALUE"""),27.0)</f>
        <v>27</v>
      </c>
      <c r="K1267" s="1">
        <f>IFERROR(__xludf.DUMMYFUNCTION("""COMPUTED_VALUE"""),60.0)</f>
        <v>60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 t="str">
        <f>IFERROR(__xludf.DUMMYFUNCTION("""COMPUTED_VALUE"""),"B")</f>
        <v>B</v>
      </c>
      <c r="E1268" s="1" t="str">
        <f>IFERROR(__xludf.DUMMYFUNCTION("""COMPUTED_VALUE"""),"Female")</f>
        <v>Female</v>
      </c>
      <c r="F1268" s="1">
        <f>IFERROR(__xludf.DUMMYFUNCTION("""COMPUTED_VALUE"""),84.0)</f>
        <v>84</v>
      </c>
      <c r="G1268" s="1">
        <f>IFERROR(__xludf.DUMMYFUNCTION("""COMPUTED_VALUE"""),43.0)</f>
        <v>43</v>
      </c>
      <c r="H1268" s="1">
        <f>IFERROR(__xludf.DUMMYFUNCTION("""COMPUTED_VALUE"""),39.0)</f>
        <v>39</v>
      </c>
      <c r="I1268" s="1">
        <f>IFERROR(__xludf.DUMMYFUNCTION("""COMPUTED_VALUE"""),52.0)</f>
        <v>52</v>
      </c>
      <c r="J1268" s="1">
        <f>IFERROR(__xludf.DUMMYFUNCTION("""COMPUTED_VALUE"""),98.0)</f>
        <v>98</v>
      </c>
      <c r="K1268" s="1">
        <f>IFERROR(__xludf.DUMMYFUNCTION("""COMPUTED_VALUE"""),84.0)</f>
        <v>84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 t="str">
        <f>IFERROR(__xludf.DUMMYFUNCTION("""COMPUTED_VALUE"""),"A")</f>
        <v>A</v>
      </c>
      <c r="E1269" s="1" t="str">
        <f>IFERROR(__xludf.DUMMYFUNCTION("""COMPUTED_VALUE"""),"Male")</f>
        <v>Male</v>
      </c>
      <c r="F1269" s="1">
        <f>IFERROR(__xludf.DUMMYFUNCTION("""COMPUTED_VALUE"""),34.0)</f>
        <v>34</v>
      </c>
      <c r="G1269" s="1">
        <f>IFERROR(__xludf.DUMMYFUNCTION("""COMPUTED_VALUE"""),64.0)</f>
        <v>64</v>
      </c>
      <c r="H1269" s="1">
        <f>IFERROR(__xludf.DUMMYFUNCTION("""COMPUTED_VALUE"""),67.0)</f>
        <v>67</v>
      </c>
      <c r="I1269" s="1">
        <f>IFERROR(__xludf.DUMMYFUNCTION("""COMPUTED_VALUE"""),20.0)</f>
        <v>20</v>
      </c>
      <c r="J1269" s="1">
        <f>IFERROR(__xludf.DUMMYFUNCTION("""COMPUTED_VALUE"""),53.0)</f>
        <v>53</v>
      </c>
      <c r="K1269" s="1">
        <f>IFERROR(__xludf.DUMMYFUNCTION("""COMPUTED_VALUE"""),23.0)</f>
        <v>23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 t="str">
        <f>IFERROR(__xludf.DUMMYFUNCTION("""COMPUTED_VALUE"""),"D")</f>
        <v>D</v>
      </c>
      <c r="E1270" s="1" t="str">
        <f>IFERROR(__xludf.DUMMYFUNCTION("""COMPUTED_VALUE"""),"Male")</f>
        <v>Male</v>
      </c>
      <c r="F1270" s="1">
        <f>IFERROR(__xludf.DUMMYFUNCTION("""COMPUTED_VALUE"""),18.0)</f>
        <v>18</v>
      </c>
      <c r="G1270" s="1">
        <f>IFERROR(__xludf.DUMMYFUNCTION("""COMPUTED_VALUE"""),43.0)</f>
        <v>43</v>
      </c>
      <c r="H1270" s="1">
        <f>IFERROR(__xludf.DUMMYFUNCTION("""COMPUTED_VALUE"""),42.0)</f>
        <v>42</v>
      </c>
      <c r="I1270" s="1">
        <f>IFERROR(__xludf.DUMMYFUNCTION("""COMPUTED_VALUE"""),59.0)</f>
        <v>59</v>
      </c>
      <c r="J1270" s="1">
        <f>IFERROR(__xludf.DUMMYFUNCTION("""COMPUTED_VALUE"""),89.0)</f>
        <v>89</v>
      </c>
      <c r="K1270" s="1">
        <f>IFERROR(__xludf.DUMMYFUNCTION("""COMPUTED_VALUE"""),40.0)</f>
        <v>40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 t="str">
        <f>IFERROR(__xludf.DUMMYFUNCTION("""COMPUTED_VALUE"""),"C")</f>
        <v>C</v>
      </c>
      <c r="E1271" s="1" t="str">
        <f>IFERROR(__xludf.DUMMYFUNCTION("""COMPUTED_VALUE"""),"Female")</f>
        <v>Female</v>
      </c>
      <c r="F1271" s="1">
        <f>IFERROR(__xludf.DUMMYFUNCTION("""COMPUTED_VALUE"""),25.0)</f>
        <v>25</v>
      </c>
      <c r="G1271" s="1">
        <f>IFERROR(__xludf.DUMMYFUNCTION("""COMPUTED_VALUE"""),71.0)</f>
        <v>71</v>
      </c>
      <c r="H1271" s="1">
        <f>IFERROR(__xludf.DUMMYFUNCTION("""COMPUTED_VALUE"""),24.0)</f>
        <v>24</v>
      </c>
      <c r="I1271" s="1">
        <f>IFERROR(__xludf.DUMMYFUNCTION("""COMPUTED_VALUE"""),33.0)</f>
        <v>33</v>
      </c>
      <c r="J1271" s="1">
        <f>IFERROR(__xludf.DUMMYFUNCTION("""COMPUTED_VALUE"""),26.0)</f>
        <v>26</v>
      </c>
      <c r="K1271" s="1">
        <f>IFERROR(__xludf.DUMMYFUNCTION("""COMPUTED_VALUE"""),42.0)</f>
        <v>42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 t="str">
        <f>IFERROR(__xludf.DUMMYFUNCTION("""COMPUTED_VALUE"""),"C")</f>
        <v>C</v>
      </c>
      <c r="E1272" s="1" t="str">
        <f>IFERROR(__xludf.DUMMYFUNCTION("""COMPUTED_VALUE"""),"Male")</f>
        <v>Male</v>
      </c>
      <c r="F1272" s="1">
        <f>IFERROR(__xludf.DUMMYFUNCTION("""COMPUTED_VALUE"""),93.0)</f>
        <v>93</v>
      </c>
      <c r="G1272" s="1">
        <f>IFERROR(__xludf.DUMMYFUNCTION("""COMPUTED_VALUE"""),96.0)</f>
        <v>96</v>
      </c>
      <c r="H1272" s="1">
        <f>IFERROR(__xludf.DUMMYFUNCTION("""COMPUTED_VALUE"""),75.0)</f>
        <v>75</v>
      </c>
      <c r="I1272" s="1">
        <f>IFERROR(__xludf.DUMMYFUNCTION("""COMPUTED_VALUE"""),32.0)</f>
        <v>32</v>
      </c>
      <c r="J1272" s="1">
        <f>IFERROR(__xludf.DUMMYFUNCTION("""COMPUTED_VALUE"""),54.0)</f>
        <v>54</v>
      </c>
      <c r="K1272" s="1">
        <f>IFERROR(__xludf.DUMMYFUNCTION("""COMPUTED_VALUE"""),21.0)</f>
        <v>21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 t="str">
        <f>IFERROR(__xludf.DUMMYFUNCTION("""COMPUTED_VALUE"""),"B")</f>
        <v>B</v>
      </c>
      <c r="E1273" s="1" t="str">
        <f>IFERROR(__xludf.DUMMYFUNCTION("""COMPUTED_VALUE"""),"Female")</f>
        <v>Female</v>
      </c>
      <c r="F1273" s="1">
        <f>IFERROR(__xludf.DUMMYFUNCTION("""COMPUTED_VALUE"""),36.0)</f>
        <v>36</v>
      </c>
      <c r="G1273" s="1">
        <f>IFERROR(__xludf.DUMMYFUNCTION("""COMPUTED_VALUE"""),80.0)</f>
        <v>80</v>
      </c>
      <c r="H1273" s="1">
        <f>IFERROR(__xludf.DUMMYFUNCTION("""COMPUTED_VALUE"""),53.0)</f>
        <v>53</v>
      </c>
      <c r="I1273" s="1">
        <f>IFERROR(__xludf.DUMMYFUNCTION("""COMPUTED_VALUE"""),61.0)</f>
        <v>61</v>
      </c>
      <c r="J1273" s="1">
        <f>IFERROR(__xludf.DUMMYFUNCTION("""COMPUTED_VALUE"""),20.0)</f>
        <v>20</v>
      </c>
      <c r="K1273" s="1">
        <f>IFERROR(__xludf.DUMMYFUNCTION("""COMPUTED_VALUE"""),45.0)</f>
        <v>45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 t="str">
        <f>IFERROR(__xludf.DUMMYFUNCTION("""COMPUTED_VALUE"""),"C")</f>
        <v>C</v>
      </c>
      <c r="E1274" s="1" t="str">
        <f>IFERROR(__xludf.DUMMYFUNCTION("""COMPUTED_VALUE"""),"Female")</f>
        <v>Female</v>
      </c>
      <c r="F1274" s="1">
        <f>IFERROR(__xludf.DUMMYFUNCTION("""COMPUTED_VALUE"""),79.0)</f>
        <v>79</v>
      </c>
      <c r="G1274" s="1">
        <f>IFERROR(__xludf.DUMMYFUNCTION("""COMPUTED_VALUE"""),82.0)</f>
        <v>82</v>
      </c>
      <c r="H1274" s="1">
        <f>IFERROR(__xludf.DUMMYFUNCTION("""COMPUTED_VALUE"""),62.0)</f>
        <v>62</v>
      </c>
      <c r="I1274" s="1">
        <f>IFERROR(__xludf.DUMMYFUNCTION("""COMPUTED_VALUE"""),57.0)</f>
        <v>57</v>
      </c>
      <c r="J1274" s="1">
        <f>IFERROR(__xludf.DUMMYFUNCTION("""COMPUTED_VALUE"""),60.0)</f>
        <v>60</v>
      </c>
      <c r="K1274" s="1">
        <f>IFERROR(__xludf.DUMMYFUNCTION("""COMPUTED_VALUE"""),91.0)</f>
        <v>91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 t="str">
        <f>IFERROR(__xludf.DUMMYFUNCTION("""COMPUTED_VALUE"""),"B")</f>
        <v>B</v>
      </c>
      <c r="E1275" s="1" t="str">
        <f>IFERROR(__xludf.DUMMYFUNCTION("""COMPUTED_VALUE"""),"Male")</f>
        <v>Male</v>
      </c>
      <c r="F1275" s="1">
        <f>IFERROR(__xludf.DUMMYFUNCTION("""COMPUTED_VALUE"""),70.0)</f>
        <v>70</v>
      </c>
      <c r="G1275" s="1">
        <f>IFERROR(__xludf.DUMMYFUNCTION("""COMPUTED_VALUE"""),24.0)</f>
        <v>24</v>
      </c>
      <c r="H1275" s="1">
        <f>IFERROR(__xludf.DUMMYFUNCTION("""COMPUTED_VALUE"""),69.0)</f>
        <v>69</v>
      </c>
      <c r="I1275" s="1">
        <f>IFERROR(__xludf.DUMMYFUNCTION("""COMPUTED_VALUE"""),36.0)</f>
        <v>36</v>
      </c>
      <c r="J1275" s="1">
        <f>IFERROR(__xludf.DUMMYFUNCTION("""COMPUTED_VALUE"""),70.0)</f>
        <v>70</v>
      </c>
      <c r="K1275" s="1">
        <f>IFERROR(__xludf.DUMMYFUNCTION("""COMPUTED_VALUE"""),82.0)</f>
        <v>82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 t="str">
        <f>IFERROR(__xludf.DUMMYFUNCTION("""COMPUTED_VALUE"""),"D")</f>
        <v>D</v>
      </c>
      <c r="E1276" s="1" t="str">
        <f>IFERROR(__xludf.DUMMYFUNCTION("""COMPUTED_VALUE"""),"Male")</f>
        <v>Male</v>
      </c>
      <c r="F1276" s="1">
        <f>IFERROR(__xludf.DUMMYFUNCTION("""COMPUTED_VALUE"""),31.0)</f>
        <v>31</v>
      </c>
      <c r="G1276" s="1">
        <f>IFERROR(__xludf.DUMMYFUNCTION("""COMPUTED_VALUE"""),33.0)</f>
        <v>33</v>
      </c>
      <c r="H1276" s="1">
        <f>IFERROR(__xludf.DUMMYFUNCTION("""COMPUTED_VALUE"""),44.0)</f>
        <v>44</v>
      </c>
      <c r="I1276" s="1">
        <f>IFERROR(__xludf.DUMMYFUNCTION("""COMPUTED_VALUE"""),44.0)</f>
        <v>44</v>
      </c>
      <c r="J1276" s="1">
        <f>IFERROR(__xludf.DUMMYFUNCTION("""COMPUTED_VALUE"""),55.0)</f>
        <v>55</v>
      </c>
      <c r="K1276" s="1">
        <f>IFERROR(__xludf.DUMMYFUNCTION("""COMPUTED_VALUE"""),65.0)</f>
        <v>65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 t="str">
        <f>IFERROR(__xludf.DUMMYFUNCTION("""COMPUTED_VALUE"""),"C")</f>
        <v>C</v>
      </c>
      <c r="E1277" s="1" t="str">
        <f>IFERROR(__xludf.DUMMYFUNCTION("""COMPUTED_VALUE"""),"Male")</f>
        <v>Male</v>
      </c>
      <c r="F1277" s="1">
        <f>IFERROR(__xludf.DUMMYFUNCTION("""COMPUTED_VALUE"""),43.0)</f>
        <v>43</v>
      </c>
      <c r="G1277" s="1">
        <f>IFERROR(__xludf.DUMMYFUNCTION("""COMPUTED_VALUE"""),99.0)</f>
        <v>99</v>
      </c>
      <c r="H1277" s="1">
        <f>IFERROR(__xludf.DUMMYFUNCTION("""COMPUTED_VALUE"""),29.0)</f>
        <v>29</v>
      </c>
      <c r="I1277" s="1">
        <f>IFERROR(__xludf.DUMMYFUNCTION("""COMPUTED_VALUE"""),87.0)</f>
        <v>87</v>
      </c>
      <c r="J1277" s="1">
        <f>IFERROR(__xludf.DUMMYFUNCTION("""COMPUTED_VALUE"""),72.0)</f>
        <v>72</v>
      </c>
      <c r="K1277" s="1">
        <f>IFERROR(__xludf.DUMMYFUNCTION("""COMPUTED_VALUE"""),23.0)</f>
        <v>23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 t="str">
        <f>IFERROR(__xludf.DUMMYFUNCTION("""COMPUTED_VALUE"""),"A")</f>
        <v>A</v>
      </c>
      <c r="E1278" s="1" t="str">
        <f>IFERROR(__xludf.DUMMYFUNCTION("""COMPUTED_VALUE"""),"Male")</f>
        <v>Male</v>
      </c>
      <c r="F1278" s="1">
        <f>IFERROR(__xludf.DUMMYFUNCTION("""COMPUTED_VALUE"""),73.0)</f>
        <v>73</v>
      </c>
      <c r="G1278" s="1">
        <f>IFERROR(__xludf.DUMMYFUNCTION("""COMPUTED_VALUE"""),46.0)</f>
        <v>46</v>
      </c>
      <c r="H1278" s="1">
        <f>IFERROR(__xludf.DUMMYFUNCTION("""COMPUTED_VALUE"""),78.0)</f>
        <v>78</v>
      </c>
      <c r="I1278" s="1">
        <f>IFERROR(__xludf.DUMMYFUNCTION("""COMPUTED_VALUE"""),44.0)</f>
        <v>44</v>
      </c>
      <c r="J1278" s="1">
        <f>IFERROR(__xludf.DUMMYFUNCTION("""COMPUTED_VALUE"""),77.0)</f>
        <v>77</v>
      </c>
      <c r="K1278" s="1">
        <f>IFERROR(__xludf.DUMMYFUNCTION("""COMPUTED_VALUE"""),82.0)</f>
        <v>82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 t="str">
        <f>IFERROR(__xludf.DUMMYFUNCTION("""COMPUTED_VALUE"""),"C")</f>
        <v>C</v>
      </c>
      <c r="E1279" s="1" t="str">
        <f>IFERROR(__xludf.DUMMYFUNCTION("""COMPUTED_VALUE"""),"Female")</f>
        <v>Female</v>
      </c>
      <c r="F1279" s="1">
        <f>IFERROR(__xludf.DUMMYFUNCTION("""COMPUTED_VALUE"""),11.0)</f>
        <v>11</v>
      </c>
      <c r="G1279" s="1">
        <f>IFERROR(__xludf.DUMMYFUNCTION("""COMPUTED_VALUE"""),82.0)</f>
        <v>82</v>
      </c>
      <c r="H1279" s="1">
        <f>IFERROR(__xludf.DUMMYFUNCTION("""COMPUTED_VALUE"""),28.0)</f>
        <v>28</v>
      </c>
      <c r="I1279" s="1">
        <f>IFERROR(__xludf.DUMMYFUNCTION("""COMPUTED_VALUE"""),51.0)</f>
        <v>51</v>
      </c>
      <c r="J1279" s="1">
        <f>IFERROR(__xludf.DUMMYFUNCTION("""COMPUTED_VALUE"""),22.0)</f>
        <v>22</v>
      </c>
      <c r="K1279" s="1">
        <f>IFERROR(__xludf.DUMMYFUNCTION("""COMPUTED_VALUE"""),64.0)</f>
        <v>64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 t="str">
        <f>IFERROR(__xludf.DUMMYFUNCTION("""COMPUTED_VALUE"""),"B")</f>
        <v>B</v>
      </c>
      <c r="E1280" s="1" t="str">
        <f>IFERROR(__xludf.DUMMYFUNCTION("""COMPUTED_VALUE"""),"Female")</f>
        <v>Female</v>
      </c>
      <c r="F1280" s="1">
        <f>IFERROR(__xludf.DUMMYFUNCTION("""COMPUTED_VALUE"""),34.0)</f>
        <v>34</v>
      </c>
      <c r="G1280" s="1">
        <f>IFERROR(__xludf.DUMMYFUNCTION("""COMPUTED_VALUE"""),47.0)</f>
        <v>47</v>
      </c>
      <c r="H1280" s="1">
        <f>IFERROR(__xludf.DUMMYFUNCTION("""COMPUTED_VALUE"""),34.0)</f>
        <v>34</v>
      </c>
      <c r="I1280" s="1">
        <f>IFERROR(__xludf.DUMMYFUNCTION("""COMPUTED_VALUE"""),30.0)</f>
        <v>30</v>
      </c>
      <c r="J1280" s="1">
        <f>IFERROR(__xludf.DUMMYFUNCTION("""COMPUTED_VALUE"""),38.0)</f>
        <v>38</v>
      </c>
      <c r="K1280" s="1">
        <f>IFERROR(__xludf.DUMMYFUNCTION("""COMPUTED_VALUE"""),79.0)</f>
        <v>79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 t="str">
        <f>IFERROR(__xludf.DUMMYFUNCTION("""COMPUTED_VALUE"""),"A")</f>
        <v>A</v>
      </c>
      <c r="E1281" s="1" t="str">
        <f>IFERROR(__xludf.DUMMYFUNCTION("""COMPUTED_VALUE"""),"Male")</f>
        <v>Male</v>
      </c>
      <c r="F1281" s="1">
        <f>IFERROR(__xludf.DUMMYFUNCTION("""COMPUTED_VALUE"""),91.0)</f>
        <v>91</v>
      </c>
      <c r="G1281" s="1">
        <f>IFERROR(__xludf.DUMMYFUNCTION("""COMPUTED_VALUE"""),63.0)</f>
        <v>63</v>
      </c>
      <c r="H1281" s="1">
        <f>IFERROR(__xludf.DUMMYFUNCTION("""COMPUTED_VALUE"""),72.0)</f>
        <v>72</v>
      </c>
      <c r="I1281" s="1">
        <f>IFERROR(__xludf.DUMMYFUNCTION("""COMPUTED_VALUE"""),66.0)</f>
        <v>66</v>
      </c>
      <c r="J1281" s="1">
        <f>IFERROR(__xludf.DUMMYFUNCTION("""COMPUTED_VALUE"""),51.0)</f>
        <v>51</v>
      </c>
      <c r="K1281" s="1">
        <f>IFERROR(__xludf.DUMMYFUNCTION("""COMPUTED_VALUE"""),32.0)</f>
        <v>32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 t="str">
        <f>IFERROR(__xludf.DUMMYFUNCTION("""COMPUTED_VALUE"""),"A")</f>
        <v>A</v>
      </c>
      <c r="E1282" s="1" t="str">
        <f>IFERROR(__xludf.DUMMYFUNCTION("""COMPUTED_VALUE"""),"Male")</f>
        <v>Male</v>
      </c>
      <c r="F1282" s="1">
        <f>IFERROR(__xludf.DUMMYFUNCTION("""COMPUTED_VALUE"""),55.0)</f>
        <v>55</v>
      </c>
      <c r="G1282" s="1">
        <f>IFERROR(__xludf.DUMMYFUNCTION("""COMPUTED_VALUE"""),54.0)</f>
        <v>54</v>
      </c>
      <c r="H1282" s="1">
        <f>IFERROR(__xludf.DUMMYFUNCTION("""COMPUTED_VALUE"""),76.0)</f>
        <v>76</v>
      </c>
      <c r="I1282" s="1">
        <f>IFERROR(__xludf.DUMMYFUNCTION("""COMPUTED_VALUE"""),71.0)</f>
        <v>71</v>
      </c>
      <c r="J1282" s="1">
        <f>IFERROR(__xludf.DUMMYFUNCTION("""COMPUTED_VALUE"""),32.0)</f>
        <v>32</v>
      </c>
      <c r="K1282" s="1">
        <f>IFERROR(__xludf.DUMMYFUNCTION("""COMPUTED_VALUE"""),51.0)</f>
        <v>51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 t="str">
        <f>IFERROR(__xludf.DUMMYFUNCTION("""COMPUTED_VALUE"""),"B")</f>
        <v>B</v>
      </c>
      <c r="E1283" s="1" t="str">
        <f>IFERROR(__xludf.DUMMYFUNCTION("""COMPUTED_VALUE"""),"Female")</f>
        <v>Female</v>
      </c>
      <c r="F1283" s="1">
        <f>IFERROR(__xludf.DUMMYFUNCTION("""COMPUTED_VALUE"""),85.0)</f>
        <v>85</v>
      </c>
      <c r="G1283" s="1">
        <f>IFERROR(__xludf.DUMMYFUNCTION("""COMPUTED_VALUE"""),90.0)</f>
        <v>90</v>
      </c>
      <c r="H1283" s="1">
        <f>IFERROR(__xludf.DUMMYFUNCTION("""COMPUTED_VALUE"""),83.0)</f>
        <v>83</v>
      </c>
      <c r="I1283" s="1">
        <f>IFERROR(__xludf.DUMMYFUNCTION("""COMPUTED_VALUE"""),72.0)</f>
        <v>72</v>
      </c>
      <c r="J1283" s="1">
        <f>IFERROR(__xludf.DUMMYFUNCTION("""COMPUTED_VALUE"""),63.0)</f>
        <v>63</v>
      </c>
      <c r="K1283" s="1">
        <f>IFERROR(__xludf.DUMMYFUNCTION("""COMPUTED_VALUE"""),85.0)</f>
        <v>85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 t="str">
        <f>IFERROR(__xludf.DUMMYFUNCTION("""COMPUTED_VALUE"""),"A")</f>
        <v>A</v>
      </c>
      <c r="E1284" s="1" t="str">
        <f>IFERROR(__xludf.DUMMYFUNCTION("""COMPUTED_VALUE"""),"Male")</f>
        <v>Male</v>
      </c>
      <c r="F1284" s="1">
        <f>IFERROR(__xludf.DUMMYFUNCTION("""COMPUTED_VALUE"""),73.0)</f>
        <v>73</v>
      </c>
      <c r="G1284" s="1">
        <f>IFERROR(__xludf.DUMMYFUNCTION("""COMPUTED_VALUE"""),43.0)</f>
        <v>43</v>
      </c>
      <c r="H1284" s="1">
        <f>IFERROR(__xludf.DUMMYFUNCTION("""COMPUTED_VALUE"""),86.0)</f>
        <v>86</v>
      </c>
      <c r="I1284" s="1">
        <f>IFERROR(__xludf.DUMMYFUNCTION("""COMPUTED_VALUE"""),81.0)</f>
        <v>81</v>
      </c>
      <c r="J1284" s="1">
        <f>IFERROR(__xludf.DUMMYFUNCTION("""COMPUTED_VALUE"""),60.0)</f>
        <v>60</v>
      </c>
      <c r="K1284" s="1">
        <f>IFERROR(__xludf.DUMMYFUNCTION("""COMPUTED_VALUE"""),75.0)</f>
        <v>75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 t="str">
        <f>IFERROR(__xludf.DUMMYFUNCTION("""COMPUTED_VALUE"""),"A")</f>
        <v>A</v>
      </c>
      <c r="E1285" s="1" t="str">
        <f>IFERROR(__xludf.DUMMYFUNCTION("""COMPUTED_VALUE"""),"Female")</f>
        <v>Female</v>
      </c>
      <c r="F1285" s="1">
        <f>IFERROR(__xludf.DUMMYFUNCTION("""COMPUTED_VALUE"""),86.0)</f>
        <v>86</v>
      </c>
      <c r="G1285" s="1">
        <f>IFERROR(__xludf.DUMMYFUNCTION("""COMPUTED_VALUE"""),33.0)</f>
        <v>33</v>
      </c>
      <c r="H1285" s="1">
        <f>IFERROR(__xludf.DUMMYFUNCTION("""COMPUTED_VALUE"""),54.0)</f>
        <v>54</v>
      </c>
      <c r="I1285" s="1">
        <f>IFERROR(__xludf.DUMMYFUNCTION("""COMPUTED_VALUE"""),32.0)</f>
        <v>32</v>
      </c>
      <c r="J1285" s="1">
        <f>IFERROR(__xludf.DUMMYFUNCTION("""COMPUTED_VALUE"""),26.0)</f>
        <v>26</v>
      </c>
      <c r="K1285" s="1">
        <f>IFERROR(__xludf.DUMMYFUNCTION("""COMPUTED_VALUE"""),51.0)</f>
        <v>51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 t="str">
        <f>IFERROR(__xludf.DUMMYFUNCTION("""COMPUTED_VALUE"""),"A")</f>
        <v>A</v>
      </c>
      <c r="E1286" s="1" t="str">
        <f>IFERROR(__xludf.DUMMYFUNCTION("""COMPUTED_VALUE"""),"Female")</f>
        <v>Female</v>
      </c>
      <c r="F1286" s="1">
        <f>IFERROR(__xludf.DUMMYFUNCTION("""COMPUTED_VALUE"""),91.0)</f>
        <v>91</v>
      </c>
      <c r="G1286" s="1">
        <f>IFERROR(__xludf.DUMMYFUNCTION("""COMPUTED_VALUE"""),62.0)</f>
        <v>62</v>
      </c>
      <c r="H1286" s="1">
        <f>IFERROR(__xludf.DUMMYFUNCTION("""COMPUTED_VALUE"""),22.0)</f>
        <v>22</v>
      </c>
      <c r="I1286" s="1">
        <f>IFERROR(__xludf.DUMMYFUNCTION("""COMPUTED_VALUE"""),68.0)</f>
        <v>68</v>
      </c>
      <c r="J1286" s="1">
        <f>IFERROR(__xludf.DUMMYFUNCTION("""COMPUTED_VALUE"""),49.0)</f>
        <v>49</v>
      </c>
      <c r="K1286" s="1">
        <f>IFERROR(__xludf.DUMMYFUNCTION("""COMPUTED_VALUE"""),49.0)</f>
        <v>49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 t="str">
        <f>IFERROR(__xludf.DUMMYFUNCTION("""COMPUTED_VALUE"""),"D")</f>
        <v>D</v>
      </c>
      <c r="E1287" s="1" t="str">
        <f>IFERROR(__xludf.DUMMYFUNCTION("""COMPUTED_VALUE"""),"Female")</f>
        <v>Female</v>
      </c>
      <c r="F1287" s="1">
        <f>IFERROR(__xludf.DUMMYFUNCTION("""COMPUTED_VALUE"""),91.0)</f>
        <v>91</v>
      </c>
      <c r="G1287" s="1">
        <f>IFERROR(__xludf.DUMMYFUNCTION("""COMPUTED_VALUE"""),84.0)</f>
        <v>84</v>
      </c>
      <c r="H1287" s="1">
        <f>IFERROR(__xludf.DUMMYFUNCTION("""COMPUTED_VALUE"""),64.0)</f>
        <v>64</v>
      </c>
      <c r="I1287" s="1">
        <f>IFERROR(__xludf.DUMMYFUNCTION("""COMPUTED_VALUE"""),76.0)</f>
        <v>76</v>
      </c>
      <c r="J1287" s="1">
        <f>IFERROR(__xludf.DUMMYFUNCTION("""COMPUTED_VALUE"""),94.0)</f>
        <v>94</v>
      </c>
      <c r="K1287" s="1">
        <f>IFERROR(__xludf.DUMMYFUNCTION("""COMPUTED_VALUE"""),81.0)</f>
        <v>81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 t="str">
        <f>IFERROR(__xludf.DUMMYFUNCTION("""COMPUTED_VALUE"""),"B")</f>
        <v>B</v>
      </c>
      <c r="E1288" s="1" t="str">
        <f>IFERROR(__xludf.DUMMYFUNCTION("""COMPUTED_VALUE"""),"Male")</f>
        <v>Male</v>
      </c>
      <c r="F1288" s="1">
        <f>IFERROR(__xludf.DUMMYFUNCTION("""COMPUTED_VALUE"""),66.0)</f>
        <v>66</v>
      </c>
      <c r="G1288" s="1">
        <f>IFERROR(__xludf.DUMMYFUNCTION("""COMPUTED_VALUE"""),71.0)</f>
        <v>71</v>
      </c>
      <c r="H1288" s="1">
        <f>IFERROR(__xludf.DUMMYFUNCTION("""COMPUTED_VALUE"""),90.0)</f>
        <v>90</v>
      </c>
      <c r="I1288" s="1">
        <f>IFERROR(__xludf.DUMMYFUNCTION("""COMPUTED_VALUE"""),50.0)</f>
        <v>50</v>
      </c>
      <c r="J1288" s="1">
        <f>IFERROR(__xludf.DUMMYFUNCTION("""COMPUTED_VALUE"""),98.0)</f>
        <v>98</v>
      </c>
      <c r="K1288" s="1">
        <f>IFERROR(__xludf.DUMMYFUNCTION("""COMPUTED_VALUE"""),35.0)</f>
        <v>35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 t="str">
        <f>IFERROR(__xludf.DUMMYFUNCTION("""COMPUTED_VALUE"""),"B")</f>
        <v>B</v>
      </c>
      <c r="E1289" s="1" t="str">
        <f>IFERROR(__xludf.DUMMYFUNCTION("""COMPUTED_VALUE"""),"Female")</f>
        <v>Female</v>
      </c>
      <c r="F1289" s="1">
        <f>IFERROR(__xludf.DUMMYFUNCTION("""COMPUTED_VALUE"""),52.0)</f>
        <v>52</v>
      </c>
      <c r="G1289" s="1">
        <f>IFERROR(__xludf.DUMMYFUNCTION("""COMPUTED_VALUE"""),33.0)</f>
        <v>33</v>
      </c>
      <c r="H1289" s="1">
        <f>IFERROR(__xludf.DUMMYFUNCTION("""COMPUTED_VALUE"""),73.0)</f>
        <v>73</v>
      </c>
      <c r="I1289" s="1">
        <f>IFERROR(__xludf.DUMMYFUNCTION("""COMPUTED_VALUE"""),31.0)</f>
        <v>31</v>
      </c>
      <c r="J1289" s="1">
        <f>IFERROR(__xludf.DUMMYFUNCTION("""COMPUTED_VALUE"""),71.0)</f>
        <v>71</v>
      </c>
      <c r="K1289" s="1">
        <f>IFERROR(__xludf.DUMMYFUNCTION("""COMPUTED_VALUE"""),46.0)</f>
        <v>46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 t="str">
        <f>IFERROR(__xludf.DUMMYFUNCTION("""COMPUTED_VALUE"""),"D")</f>
        <v>D</v>
      </c>
      <c r="E1290" s="1" t="str">
        <f>IFERROR(__xludf.DUMMYFUNCTION("""COMPUTED_VALUE"""),"Male")</f>
        <v>Male</v>
      </c>
      <c r="F1290" s="1">
        <f>IFERROR(__xludf.DUMMYFUNCTION("""COMPUTED_VALUE"""),24.0)</f>
        <v>24</v>
      </c>
      <c r="G1290" s="1">
        <f>IFERROR(__xludf.DUMMYFUNCTION("""COMPUTED_VALUE"""),83.0)</f>
        <v>83</v>
      </c>
      <c r="H1290" s="1">
        <f>IFERROR(__xludf.DUMMYFUNCTION("""COMPUTED_VALUE"""),50.0)</f>
        <v>50</v>
      </c>
      <c r="I1290" s="1">
        <f>IFERROR(__xludf.DUMMYFUNCTION("""COMPUTED_VALUE"""),28.0)</f>
        <v>28</v>
      </c>
      <c r="J1290" s="1">
        <f>IFERROR(__xludf.DUMMYFUNCTION("""COMPUTED_VALUE"""),85.0)</f>
        <v>85</v>
      </c>
      <c r="K1290" s="1">
        <f>IFERROR(__xludf.DUMMYFUNCTION("""COMPUTED_VALUE"""),23.0)</f>
        <v>23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 t="str">
        <f>IFERROR(__xludf.DUMMYFUNCTION("""COMPUTED_VALUE"""),"A")</f>
        <v>A</v>
      </c>
      <c r="E1291" s="1" t="str">
        <f>IFERROR(__xludf.DUMMYFUNCTION("""COMPUTED_VALUE"""),"Female")</f>
        <v>Female</v>
      </c>
      <c r="F1291" s="1">
        <f>IFERROR(__xludf.DUMMYFUNCTION("""COMPUTED_VALUE"""),99.0)</f>
        <v>99</v>
      </c>
      <c r="G1291" s="1">
        <f>IFERROR(__xludf.DUMMYFUNCTION("""COMPUTED_VALUE"""),98.0)</f>
        <v>98</v>
      </c>
      <c r="H1291" s="1">
        <f>IFERROR(__xludf.DUMMYFUNCTION("""COMPUTED_VALUE"""),39.0)</f>
        <v>39</v>
      </c>
      <c r="I1291" s="1">
        <f>IFERROR(__xludf.DUMMYFUNCTION("""COMPUTED_VALUE"""),84.0)</f>
        <v>84</v>
      </c>
      <c r="J1291" s="1">
        <f>IFERROR(__xludf.DUMMYFUNCTION("""COMPUTED_VALUE"""),47.0)</f>
        <v>47</v>
      </c>
      <c r="K1291" s="1">
        <f>IFERROR(__xludf.DUMMYFUNCTION("""COMPUTED_VALUE"""),44.0)</f>
        <v>44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 t="str">
        <f>IFERROR(__xludf.DUMMYFUNCTION("""COMPUTED_VALUE"""),"C")</f>
        <v>C</v>
      </c>
      <c r="E1292" s="1" t="str">
        <f>IFERROR(__xludf.DUMMYFUNCTION("""COMPUTED_VALUE"""),"Male")</f>
        <v>Male</v>
      </c>
      <c r="F1292" s="1">
        <f>IFERROR(__xludf.DUMMYFUNCTION("""COMPUTED_VALUE"""),57.0)</f>
        <v>57</v>
      </c>
      <c r="G1292" s="1">
        <f>IFERROR(__xludf.DUMMYFUNCTION("""COMPUTED_VALUE"""),60.0)</f>
        <v>60</v>
      </c>
      <c r="H1292" s="1">
        <f>IFERROR(__xludf.DUMMYFUNCTION("""COMPUTED_VALUE"""),53.0)</f>
        <v>53</v>
      </c>
      <c r="I1292" s="1">
        <f>IFERROR(__xludf.DUMMYFUNCTION("""COMPUTED_VALUE"""),83.0)</f>
        <v>83</v>
      </c>
      <c r="J1292" s="1">
        <f>IFERROR(__xludf.DUMMYFUNCTION("""COMPUTED_VALUE"""),92.0)</f>
        <v>92</v>
      </c>
      <c r="K1292" s="1">
        <f>IFERROR(__xludf.DUMMYFUNCTION("""COMPUTED_VALUE"""),63.0)</f>
        <v>63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 t="str">
        <f>IFERROR(__xludf.DUMMYFUNCTION("""COMPUTED_VALUE"""),"A")</f>
        <v>A</v>
      </c>
      <c r="E1293" s="1" t="str">
        <f>IFERROR(__xludf.DUMMYFUNCTION("""COMPUTED_VALUE"""),"Male")</f>
        <v>Male</v>
      </c>
      <c r="F1293" s="1">
        <f>IFERROR(__xludf.DUMMYFUNCTION("""COMPUTED_VALUE"""),21.0)</f>
        <v>21</v>
      </c>
      <c r="G1293" s="1">
        <f>IFERROR(__xludf.DUMMYFUNCTION("""COMPUTED_VALUE"""),70.0)</f>
        <v>70</v>
      </c>
      <c r="H1293" s="1">
        <f>IFERROR(__xludf.DUMMYFUNCTION("""COMPUTED_VALUE"""),43.0)</f>
        <v>43</v>
      </c>
      <c r="I1293" s="1">
        <f>IFERROR(__xludf.DUMMYFUNCTION("""COMPUTED_VALUE"""),86.0)</f>
        <v>86</v>
      </c>
      <c r="J1293" s="1">
        <f>IFERROR(__xludf.DUMMYFUNCTION("""COMPUTED_VALUE"""),78.0)</f>
        <v>78</v>
      </c>
      <c r="K1293" s="1">
        <f>IFERROR(__xludf.DUMMYFUNCTION("""COMPUTED_VALUE"""),61.0)</f>
        <v>61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 t="str">
        <f>IFERROR(__xludf.DUMMYFUNCTION("""COMPUTED_VALUE"""),"D")</f>
        <v>D</v>
      </c>
      <c r="E1294" s="1" t="str">
        <f>IFERROR(__xludf.DUMMYFUNCTION("""COMPUTED_VALUE"""),"Female")</f>
        <v>Female</v>
      </c>
      <c r="F1294" s="1">
        <f>IFERROR(__xludf.DUMMYFUNCTION("""COMPUTED_VALUE"""),49.0)</f>
        <v>49</v>
      </c>
      <c r="G1294" s="1">
        <f>IFERROR(__xludf.DUMMYFUNCTION("""COMPUTED_VALUE"""),22.0)</f>
        <v>22</v>
      </c>
      <c r="H1294" s="1">
        <f>IFERROR(__xludf.DUMMYFUNCTION("""COMPUTED_VALUE"""),94.0)</f>
        <v>94</v>
      </c>
      <c r="I1294" s="1">
        <f>IFERROR(__xludf.DUMMYFUNCTION("""COMPUTED_VALUE"""),79.0)</f>
        <v>79</v>
      </c>
      <c r="J1294" s="1">
        <f>IFERROR(__xludf.DUMMYFUNCTION("""COMPUTED_VALUE"""),97.0)</f>
        <v>97</v>
      </c>
      <c r="K1294" s="1">
        <f>IFERROR(__xludf.DUMMYFUNCTION("""COMPUTED_VALUE"""),26.0)</f>
        <v>26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 t="str">
        <f>IFERROR(__xludf.DUMMYFUNCTION("""COMPUTED_VALUE"""),"B")</f>
        <v>B</v>
      </c>
      <c r="E1295" s="1" t="str">
        <f>IFERROR(__xludf.DUMMYFUNCTION("""COMPUTED_VALUE"""),"Female")</f>
        <v>Female</v>
      </c>
      <c r="F1295" s="1">
        <f>IFERROR(__xludf.DUMMYFUNCTION("""COMPUTED_VALUE"""),23.0)</f>
        <v>23</v>
      </c>
      <c r="G1295" s="1">
        <f>IFERROR(__xludf.DUMMYFUNCTION("""COMPUTED_VALUE"""),38.0)</f>
        <v>38</v>
      </c>
      <c r="H1295" s="1">
        <f>IFERROR(__xludf.DUMMYFUNCTION("""COMPUTED_VALUE"""),39.0)</f>
        <v>39</v>
      </c>
      <c r="I1295" s="1">
        <f>IFERROR(__xludf.DUMMYFUNCTION("""COMPUTED_VALUE"""),86.0)</f>
        <v>86</v>
      </c>
      <c r="J1295" s="1">
        <f>IFERROR(__xludf.DUMMYFUNCTION("""COMPUTED_VALUE"""),72.0)</f>
        <v>72</v>
      </c>
      <c r="K1295" s="1">
        <f>IFERROR(__xludf.DUMMYFUNCTION("""COMPUTED_VALUE"""),59.0)</f>
        <v>59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 t="str">
        <f>IFERROR(__xludf.DUMMYFUNCTION("""COMPUTED_VALUE"""),"D")</f>
        <v>D</v>
      </c>
      <c r="E1296" s="1" t="str">
        <f>IFERROR(__xludf.DUMMYFUNCTION("""COMPUTED_VALUE"""),"Male")</f>
        <v>Male</v>
      </c>
      <c r="F1296" s="1">
        <f>IFERROR(__xludf.DUMMYFUNCTION("""COMPUTED_VALUE"""),62.0)</f>
        <v>62</v>
      </c>
      <c r="G1296" s="1">
        <f>IFERROR(__xludf.DUMMYFUNCTION("""COMPUTED_VALUE"""),49.0)</f>
        <v>49</v>
      </c>
      <c r="H1296" s="1">
        <f>IFERROR(__xludf.DUMMYFUNCTION("""COMPUTED_VALUE"""),54.0)</f>
        <v>54</v>
      </c>
      <c r="I1296" s="1">
        <f>IFERROR(__xludf.DUMMYFUNCTION("""COMPUTED_VALUE"""),30.0)</f>
        <v>30</v>
      </c>
      <c r="J1296" s="1">
        <f>IFERROR(__xludf.DUMMYFUNCTION("""COMPUTED_VALUE"""),23.0)</f>
        <v>23</v>
      </c>
      <c r="K1296" s="1">
        <f>IFERROR(__xludf.DUMMYFUNCTION("""COMPUTED_VALUE"""),99.0)</f>
        <v>99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 t="str">
        <f>IFERROR(__xludf.DUMMYFUNCTION("""COMPUTED_VALUE"""),"A")</f>
        <v>A</v>
      </c>
      <c r="E1297" s="1" t="str">
        <f>IFERROR(__xludf.DUMMYFUNCTION("""COMPUTED_VALUE"""),"Female")</f>
        <v>Female</v>
      </c>
      <c r="F1297" s="1">
        <f>IFERROR(__xludf.DUMMYFUNCTION("""COMPUTED_VALUE"""),74.0)</f>
        <v>74</v>
      </c>
      <c r="G1297" s="1">
        <f>IFERROR(__xludf.DUMMYFUNCTION("""COMPUTED_VALUE"""),98.0)</f>
        <v>98</v>
      </c>
      <c r="H1297" s="1">
        <f>IFERROR(__xludf.DUMMYFUNCTION("""COMPUTED_VALUE"""),47.0)</f>
        <v>47</v>
      </c>
      <c r="I1297" s="1">
        <f>IFERROR(__xludf.DUMMYFUNCTION("""COMPUTED_VALUE"""),58.0)</f>
        <v>58</v>
      </c>
      <c r="J1297" s="1">
        <f>IFERROR(__xludf.DUMMYFUNCTION("""COMPUTED_VALUE"""),24.0)</f>
        <v>24</v>
      </c>
      <c r="K1297" s="1">
        <f>IFERROR(__xludf.DUMMYFUNCTION("""COMPUTED_VALUE"""),44.0)</f>
        <v>44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 t="str">
        <f>IFERROR(__xludf.DUMMYFUNCTION("""COMPUTED_VALUE"""),"A")</f>
        <v>A</v>
      </c>
      <c r="E1298" s="1" t="str">
        <f>IFERROR(__xludf.DUMMYFUNCTION("""COMPUTED_VALUE"""),"Male")</f>
        <v>Male</v>
      </c>
      <c r="F1298" s="1">
        <f>IFERROR(__xludf.DUMMYFUNCTION("""COMPUTED_VALUE"""),40.0)</f>
        <v>40</v>
      </c>
      <c r="G1298" s="1">
        <f>IFERROR(__xludf.DUMMYFUNCTION("""COMPUTED_VALUE"""),25.0)</f>
        <v>25</v>
      </c>
      <c r="H1298" s="1">
        <f>IFERROR(__xludf.DUMMYFUNCTION("""COMPUTED_VALUE"""),84.0)</f>
        <v>84</v>
      </c>
      <c r="I1298" s="1">
        <f>IFERROR(__xludf.DUMMYFUNCTION("""COMPUTED_VALUE"""),34.0)</f>
        <v>34</v>
      </c>
      <c r="J1298" s="1">
        <f>IFERROR(__xludf.DUMMYFUNCTION("""COMPUTED_VALUE"""),55.0)</f>
        <v>55</v>
      </c>
      <c r="K1298" s="1">
        <f>IFERROR(__xludf.DUMMYFUNCTION("""COMPUTED_VALUE"""),92.0)</f>
        <v>92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 t="str">
        <f>IFERROR(__xludf.DUMMYFUNCTION("""COMPUTED_VALUE"""),"A")</f>
        <v>A</v>
      </c>
      <c r="E1299" s="1" t="str">
        <f>IFERROR(__xludf.DUMMYFUNCTION("""COMPUTED_VALUE"""),"Female")</f>
        <v>Female</v>
      </c>
      <c r="F1299" s="1">
        <f>IFERROR(__xludf.DUMMYFUNCTION("""COMPUTED_VALUE"""),74.0)</f>
        <v>74</v>
      </c>
      <c r="G1299" s="1">
        <f>IFERROR(__xludf.DUMMYFUNCTION("""COMPUTED_VALUE"""),57.0)</f>
        <v>57</v>
      </c>
      <c r="H1299" s="1">
        <f>IFERROR(__xludf.DUMMYFUNCTION("""COMPUTED_VALUE"""),98.0)</f>
        <v>98</v>
      </c>
      <c r="I1299" s="1">
        <f>IFERROR(__xludf.DUMMYFUNCTION("""COMPUTED_VALUE"""),97.0)</f>
        <v>97</v>
      </c>
      <c r="J1299" s="1">
        <f>IFERROR(__xludf.DUMMYFUNCTION("""COMPUTED_VALUE"""),85.0)</f>
        <v>85</v>
      </c>
      <c r="K1299" s="1">
        <f>IFERROR(__xludf.DUMMYFUNCTION("""COMPUTED_VALUE"""),70.0)</f>
        <v>70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 t="str">
        <f>IFERROR(__xludf.DUMMYFUNCTION("""COMPUTED_VALUE"""),"C")</f>
        <v>C</v>
      </c>
      <c r="E1300" s="1" t="str">
        <f>IFERROR(__xludf.DUMMYFUNCTION("""COMPUTED_VALUE"""),"Male")</f>
        <v>Male</v>
      </c>
      <c r="F1300" s="1">
        <f>IFERROR(__xludf.DUMMYFUNCTION("""COMPUTED_VALUE"""),22.0)</f>
        <v>22</v>
      </c>
      <c r="G1300" s="1">
        <f>IFERROR(__xludf.DUMMYFUNCTION("""COMPUTED_VALUE"""),77.0)</f>
        <v>77</v>
      </c>
      <c r="H1300" s="1">
        <f>IFERROR(__xludf.DUMMYFUNCTION("""COMPUTED_VALUE"""),33.0)</f>
        <v>33</v>
      </c>
      <c r="I1300" s="1">
        <f>IFERROR(__xludf.DUMMYFUNCTION("""COMPUTED_VALUE"""),63.0)</f>
        <v>63</v>
      </c>
      <c r="J1300" s="1">
        <f>IFERROR(__xludf.DUMMYFUNCTION("""COMPUTED_VALUE"""),48.0)</f>
        <v>48</v>
      </c>
      <c r="K1300" s="1">
        <f>IFERROR(__xludf.DUMMYFUNCTION("""COMPUTED_VALUE"""),24.0)</f>
        <v>24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 t="str">
        <f>IFERROR(__xludf.DUMMYFUNCTION("""COMPUTED_VALUE"""),"A")</f>
        <v>A</v>
      </c>
      <c r="E1301" s="1" t="str">
        <f>IFERROR(__xludf.DUMMYFUNCTION("""COMPUTED_VALUE"""),"Female")</f>
        <v>Female</v>
      </c>
      <c r="F1301" s="1">
        <f>IFERROR(__xludf.DUMMYFUNCTION("""COMPUTED_VALUE"""),20.0)</f>
        <v>20</v>
      </c>
      <c r="G1301" s="1">
        <f>IFERROR(__xludf.DUMMYFUNCTION("""COMPUTED_VALUE"""),55.0)</f>
        <v>55</v>
      </c>
      <c r="H1301" s="1">
        <f>IFERROR(__xludf.DUMMYFUNCTION("""COMPUTED_VALUE"""),48.0)</f>
        <v>48</v>
      </c>
      <c r="I1301" s="1">
        <f>IFERROR(__xludf.DUMMYFUNCTION("""COMPUTED_VALUE"""),63.0)</f>
        <v>63</v>
      </c>
      <c r="J1301" s="1">
        <f>IFERROR(__xludf.DUMMYFUNCTION("""COMPUTED_VALUE"""),24.0)</f>
        <v>24</v>
      </c>
      <c r="K1301" s="1">
        <f>IFERROR(__xludf.DUMMYFUNCTION("""COMPUTED_VALUE"""),44.0)</f>
        <v>44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 t="str">
        <f>IFERROR(__xludf.DUMMYFUNCTION("""COMPUTED_VALUE"""),"D")</f>
        <v>D</v>
      </c>
      <c r="E1302" s="1" t="str">
        <f>IFERROR(__xludf.DUMMYFUNCTION("""COMPUTED_VALUE"""),"Female")</f>
        <v>Female</v>
      </c>
      <c r="F1302" s="1">
        <f>IFERROR(__xludf.DUMMYFUNCTION("""COMPUTED_VALUE"""),71.0)</f>
        <v>71</v>
      </c>
      <c r="G1302" s="1">
        <f>IFERROR(__xludf.DUMMYFUNCTION("""COMPUTED_VALUE"""),23.0)</f>
        <v>23</v>
      </c>
      <c r="H1302" s="1">
        <f>IFERROR(__xludf.DUMMYFUNCTION("""COMPUTED_VALUE"""),78.0)</f>
        <v>78</v>
      </c>
      <c r="I1302" s="1">
        <f>IFERROR(__xludf.DUMMYFUNCTION("""COMPUTED_VALUE"""),29.0)</f>
        <v>29</v>
      </c>
      <c r="J1302" s="1">
        <f>IFERROR(__xludf.DUMMYFUNCTION("""COMPUTED_VALUE"""),88.0)</f>
        <v>88</v>
      </c>
      <c r="K1302" s="1">
        <f>IFERROR(__xludf.DUMMYFUNCTION("""COMPUTED_VALUE"""),62.0)</f>
        <v>62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 t="str">
        <f>IFERROR(__xludf.DUMMYFUNCTION("""COMPUTED_VALUE"""),"C")</f>
        <v>C</v>
      </c>
      <c r="E1303" s="1" t="str">
        <f>IFERROR(__xludf.DUMMYFUNCTION("""COMPUTED_VALUE"""),"Male")</f>
        <v>Male</v>
      </c>
      <c r="F1303" s="1">
        <f>IFERROR(__xludf.DUMMYFUNCTION("""COMPUTED_VALUE"""),34.0)</f>
        <v>34</v>
      </c>
      <c r="G1303" s="1">
        <f>IFERROR(__xludf.DUMMYFUNCTION("""COMPUTED_VALUE"""),70.0)</f>
        <v>70</v>
      </c>
      <c r="H1303" s="1">
        <f>IFERROR(__xludf.DUMMYFUNCTION("""COMPUTED_VALUE"""),96.0)</f>
        <v>96</v>
      </c>
      <c r="I1303" s="1">
        <f>IFERROR(__xludf.DUMMYFUNCTION("""COMPUTED_VALUE"""),58.0)</f>
        <v>58</v>
      </c>
      <c r="J1303" s="1">
        <f>IFERROR(__xludf.DUMMYFUNCTION("""COMPUTED_VALUE"""),37.0)</f>
        <v>37</v>
      </c>
      <c r="K1303" s="1">
        <f>IFERROR(__xludf.DUMMYFUNCTION("""COMPUTED_VALUE"""),79.0)</f>
        <v>79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 t="str">
        <f>IFERROR(__xludf.DUMMYFUNCTION("""COMPUTED_VALUE"""),"B")</f>
        <v>B</v>
      </c>
      <c r="E1304" s="1" t="str">
        <f>IFERROR(__xludf.DUMMYFUNCTION("""COMPUTED_VALUE"""),"Female")</f>
        <v>Female</v>
      </c>
      <c r="F1304" s="1">
        <f>IFERROR(__xludf.DUMMYFUNCTION("""COMPUTED_VALUE"""),88.0)</f>
        <v>88</v>
      </c>
      <c r="G1304" s="1">
        <f>IFERROR(__xludf.DUMMYFUNCTION("""COMPUTED_VALUE"""),57.0)</f>
        <v>57</v>
      </c>
      <c r="H1304" s="1">
        <f>IFERROR(__xludf.DUMMYFUNCTION("""COMPUTED_VALUE"""),62.0)</f>
        <v>62</v>
      </c>
      <c r="I1304" s="1">
        <f>IFERROR(__xludf.DUMMYFUNCTION("""COMPUTED_VALUE"""),22.0)</f>
        <v>22</v>
      </c>
      <c r="J1304" s="1">
        <f>IFERROR(__xludf.DUMMYFUNCTION("""COMPUTED_VALUE"""),71.0)</f>
        <v>71</v>
      </c>
      <c r="K1304" s="1">
        <f>IFERROR(__xludf.DUMMYFUNCTION("""COMPUTED_VALUE"""),26.0)</f>
        <v>26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 t="str">
        <f>IFERROR(__xludf.DUMMYFUNCTION("""COMPUTED_VALUE"""),"C")</f>
        <v>C</v>
      </c>
      <c r="E1305" s="1" t="str">
        <f>IFERROR(__xludf.DUMMYFUNCTION("""COMPUTED_VALUE"""),"Female")</f>
        <v>Female</v>
      </c>
      <c r="F1305" s="1">
        <f>IFERROR(__xludf.DUMMYFUNCTION("""COMPUTED_VALUE"""),93.0)</f>
        <v>93</v>
      </c>
      <c r="G1305" s="1">
        <f>IFERROR(__xludf.DUMMYFUNCTION("""COMPUTED_VALUE"""),20.0)</f>
        <v>20</v>
      </c>
      <c r="H1305" s="1">
        <f>IFERROR(__xludf.DUMMYFUNCTION("""COMPUTED_VALUE"""),43.0)</f>
        <v>43</v>
      </c>
      <c r="I1305" s="1">
        <f>IFERROR(__xludf.DUMMYFUNCTION("""COMPUTED_VALUE"""),78.0)</f>
        <v>78</v>
      </c>
      <c r="J1305" s="1">
        <f>IFERROR(__xludf.DUMMYFUNCTION("""COMPUTED_VALUE"""),87.0)</f>
        <v>87</v>
      </c>
      <c r="K1305" s="1">
        <f>IFERROR(__xludf.DUMMYFUNCTION("""COMPUTED_VALUE"""),55.0)</f>
        <v>55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 t="str">
        <f>IFERROR(__xludf.DUMMYFUNCTION("""COMPUTED_VALUE"""),"D")</f>
        <v>D</v>
      </c>
      <c r="E1306" s="1" t="str">
        <f>IFERROR(__xludf.DUMMYFUNCTION("""COMPUTED_VALUE"""),"Female")</f>
        <v>Female</v>
      </c>
      <c r="F1306" s="1">
        <f>IFERROR(__xludf.DUMMYFUNCTION("""COMPUTED_VALUE"""),61.0)</f>
        <v>61</v>
      </c>
      <c r="G1306" s="1">
        <f>IFERROR(__xludf.DUMMYFUNCTION("""COMPUTED_VALUE"""),83.0)</f>
        <v>83</v>
      </c>
      <c r="H1306" s="1">
        <f>IFERROR(__xludf.DUMMYFUNCTION("""COMPUTED_VALUE"""),33.0)</f>
        <v>33</v>
      </c>
      <c r="I1306" s="1">
        <f>IFERROR(__xludf.DUMMYFUNCTION("""COMPUTED_VALUE"""),44.0)</f>
        <v>44</v>
      </c>
      <c r="J1306" s="1">
        <f>IFERROR(__xludf.DUMMYFUNCTION("""COMPUTED_VALUE"""),80.0)</f>
        <v>80</v>
      </c>
      <c r="K1306" s="1">
        <f>IFERROR(__xludf.DUMMYFUNCTION("""COMPUTED_VALUE"""),76.0)</f>
        <v>76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 t="str">
        <f>IFERROR(__xludf.DUMMYFUNCTION("""COMPUTED_VALUE"""),"D")</f>
        <v>D</v>
      </c>
      <c r="E1307" s="1" t="str">
        <f>IFERROR(__xludf.DUMMYFUNCTION("""COMPUTED_VALUE"""),"Male")</f>
        <v>Male</v>
      </c>
      <c r="F1307" s="1">
        <f>IFERROR(__xludf.DUMMYFUNCTION("""COMPUTED_VALUE"""),70.0)</f>
        <v>70</v>
      </c>
      <c r="G1307" s="1">
        <f>IFERROR(__xludf.DUMMYFUNCTION("""COMPUTED_VALUE"""),21.0)</f>
        <v>21</v>
      </c>
      <c r="H1307" s="1">
        <f>IFERROR(__xludf.DUMMYFUNCTION("""COMPUTED_VALUE"""),54.0)</f>
        <v>54</v>
      </c>
      <c r="I1307" s="1">
        <f>IFERROR(__xludf.DUMMYFUNCTION("""COMPUTED_VALUE"""),42.0)</f>
        <v>42</v>
      </c>
      <c r="J1307" s="1">
        <f>IFERROR(__xludf.DUMMYFUNCTION("""COMPUTED_VALUE"""),24.0)</f>
        <v>24</v>
      </c>
      <c r="K1307" s="1">
        <f>IFERROR(__xludf.DUMMYFUNCTION("""COMPUTED_VALUE"""),27.0)</f>
        <v>27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 t="str">
        <f>IFERROR(__xludf.DUMMYFUNCTION("""COMPUTED_VALUE"""),"C")</f>
        <v>C</v>
      </c>
      <c r="E1308" s="1" t="str">
        <f>IFERROR(__xludf.DUMMYFUNCTION("""COMPUTED_VALUE"""),"Male")</f>
        <v>Male</v>
      </c>
      <c r="F1308" s="1">
        <f>IFERROR(__xludf.DUMMYFUNCTION("""COMPUTED_VALUE"""),64.0)</f>
        <v>64</v>
      </c>
      <c r="G1308" s="1">
        <f>IFERROR(__xludf.DUMMYFUNCTION("""COMPUTED_VALUE"""),51.0)</f>
        <v>51</v>
      </c>
      <c r="H1308" s="1">
        <f>IFERROR(__xludf.DUMMYFUNCTION("""COMPUTED_VALUE"""),57.0)</f>
        <v>57</v>
      </c>
      <c r="I1308" s="1">
        <f>IFERROR(__xludf.DUMMYFUNCTION("""COMPUTED_VALUE"""),86.0)</f>
        <v>86</v>
      </c>
      <c r="J1308" s="1">
        <f>IFERROR(__xludf.DUMMYFUNCTION("""COMPUTED_VALUE"""),73.0)</f>
        <v>73</v>
      </c>
      <c r="K1308" s="1">
        <f>IFERROR(__xludf.DUMMYFUNCTION("""COMPUTED_VALUE"""),61.0)</f>
        <v>61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 t="str">
        <f>IFERROR(__xludf.DUMMYFUNCTION("""COMPUTED_VALUE"""),"D")</f>
        <v>D</v>
      </c>
      <c r="E1309" s="1" t="str">
        <f>IFERROR(__xludf.DUMMYFUNCTION("""COMPUTED_VALUE"""),"Male")</f>
        <v>Male</v>
      </c>
      <c r="F1309" s="1">
        <f>IFERROR(__xludf.DUMMYFUNCTION("""COMPUTED_VALUE"""),75.0)</f>
        <v>75</v>
      </c>
      <c r="G1309" s="1">
        <f>IFERROR(__xludf.DUMMYFUNCTION("""COMPUTED_VALUE"""),28.0)</f>
        <v>28</v>
      </c>
      <c r="H1309" s="1">
        <f>IFERROR(__xludf.DUMMYFUNCTION("""COMPUTED_VALUE"""),81.0)</f>
        <v>81</v>
      </c>
      <c r="I1309" s="1">
        <f>IFERROR(__xludf.DUMMYFUNCTION("""COMPUTED_VALUE"""),31.0)</f>
        <v>31</v>
      </c>
      <c r="J1309" s="1">
        <f>IFERROR(__xludf.DUMMYFUNCTION("""COMPUTED_VALUE"""),90.0)</f>
        <v>90</v>
      </c>
      <c r="K1309" s="1">
        <f>IFERROR(__xludf.DUMMYFUNCTION("""COMPUTED_VALUE"""),31.0)</f>
        <v>31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 t="str">
        <f>IFERROR(__xludf.DUMMYFUNCTION("""COMPUTED_VALUE"""),"A")</f>
        <v>A</v>
      </c>
      <c r="E1310" s="1" t="str">
        <f>IFERROR(__xludf.DUMMYFUNCTION("""COMPUTED_VALUE"""),"Female")</f>
        <v>Female</v>
      </c>
      <c r="F1310" s="1">
        <f>IFERROR(__xludf.DUMMYFUNCTION("""COMPUTED_VALUE"""),32.0)</f>
        <v>32</v>
      </c>
      <c r="G1310" s="1">
        <f>IFERROR(__xludf.DUMMYFUNCTION("""COMPUTED_VALUE"""),85.0)</f>
        <v>85</v>
      </c>
      <c r="H1310" s="1">
        <f>IFERROR(__xludf.DUMMYFUNCTION("""COMPUTED_VALUE"""),92.0)</f>
        <v>92</v>
      </c>
      <c r="I1310" s="1">
        <f>IFERROR(__xludf.DUMMYFUNCTION("""COMPUTED_VALUE"""),73.0)</f>
        <v>73</v>
      </c>
      <c r="J1310" s="1">
        <f>IFERROR(__xludf.DUMMYFUNCTION("""COMPUTED_VALUE"""),48.0)</f>
        <v>48</v>
      </c>
      <c r="K1310" s="1">
        <f>IFERROR(__xludf.DUMMYFUNCTION("""COMPUTED_VALUE"""),46.0)</f>
        <v>46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 t="str">
        <f>IFERROR(__xludf.DUMMYFUNCTION("""COMPUTED_VALUE"""),"D")</f>
        <v>D</v>
      </c>
      <c r="E1311" s="1" t="str">
        <f>IFERROR(__xludf.DUMMYFUNCTION("""COMPUTED_VALUE"""),"Female")</f>
        <v>Female</v>
      </c>
      <c r="F1311" s="1">
        <f>IFERROR(__xludf.DUMMYFUNCTION("""COMPUTED_VALUE"""),66.0)</f>
        <v>66</v>
      </c>
      <c r="G1311" s="1">
        <f>IFERROR(__xludf.DUMMYFUNCTION("""COMPUTED_VALUE"""),83.0)</f>
        <v>83</v>
      </c>
      <c r="H1311" s="1">
        <f>IFERROR(__xludf.DUMMYFUNCTION("""COMPUTED_VALUE"""),24.0)</f>
        <v>24</v>
      </c>
      <c r="I1311" s="1">
        <f>IFERROR(__xludf.DUMMYFUNCTION("""COMPUTED_VALUE"""),47.0)</f>
        <v>47</v>
      </c>
      <c r="J1311" s="1">
        <f>IFERROR(__xludf.DUMMYFUNCTION("""COMPUTED_VALUE"""),85.0)</f>
        <v>85</v>
      </c>
      <c r="K1311" s="1">
        <f>IFERROR(__xludf.DUMMYFUNCTION("""COMPUTED_VALUE"""),55.0)</f>
        <v>55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 t="str">
        <f>IFERROR(__xludf.DUMMYFUNCTION("""COMPUTED_VALUE"""),"A")</f>
        <v>A</v>
      </c>
      <c r="E1312" s="1" t="str">
        <f>IFERROR(__xludf.DUMMYFUNCTION("""COMPUTED_VALUE"""),"Male")</f>
        <v>Male</v>
      </c>
      <c r="F1312" s="1">
        <f>IFERROR(__xludf.DUMMYFUNCTION("""COMPUTED_VALUE"""),92.0)</f>
        <v>92</v>
      </c>
      <c r="G1312" s="1">
        <f>IFERROR(__xludf.DUMMYFUNCTION("""COMPUTED_VALUE"""),23.0)</f>
        <v>23</v>
      </c>
      <c r="H1312" s="1">
        <f>IFERROR(__xludf.DUMMYFUNCTION("""COMPUTED_VALUE"""),38.0)</f>
        <v>38</v>
      </c>
      <c r="I1312" s="1">
        <f>IFERROR(__xludf.DUMMYFUNCTION("""COMPUTED_VALUE"""),51.0)</f>
        <v>51</v>
      </c>
      <c r="J1312" s="1">
        <f>IFERROR(__xludf.DUMMYFUNCTION("""COMPUTED_VALUE"""),49.0)</f>
        <v>49</v>
      </c>
      <c r="K1312" s="1">
        <f>IFERROR(__xludf.DUMMYFUNCTION("""COMPUTED_VALUE"""),90.0)</f>
        <v>90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 t="str">
        <f>IFERROR(__xludf.DUMMYFUNCTION("""COMPUTED_VALUE"""),"C")</f>
        <v>C</v>
      </c>
      <c r="E1313" s="1" t="str">
        <f>IFERROR(__xludf.DUMMYFUNCTION("""COMPUTED_VALUE"""),"Female")</f>
        <v>Female</v>
      </c>
      <c r="F1313" s="1">
        <f>IFERROR(__xludf.DUMMYFUNCTION("""COMPUTED_VALUE"""),19.0)</f>
        <v>19</v>
      </c>
      <c r="G1313" s="1">
        <f>IFERROR(__xludf.DUMMYFUNCTION("""COMPUTED_VALUE"""),48.0)</f>
        <v>48</v>
      </c>
      <c r="H1313" s="1">
        <f>IFERROR(__xludf.DUMMYFUNCTION("""COMPUTED_VALUE"""),29.0)</f>
        <v>29</v>
      </c>
      <c r="I1313" s="1">
        <f>IFERROR(__xludf.DUMMYFUNCTION("""COMPUTED_VALUE"""),69.0)</f>
        <v>69</v>
      </c>
      <c r="J1313" s="1">
        <f>IFERROR(__xludf.DUMMYFUNCTION("""COMPUTED_VALUE"""),74.0)</f>
        <v>74</v>
      </c>
      <c r="K1313" s="1">
        <f>IFERROR(__xludf.DUMMYFUNCTION("""COMPUTED_VALUE"""),97.0)</f>
        <v>97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 t="str">
        <f>IFERROR(__xludf.DUMMYFUNCTION("""COMPUTED_VALUE"""),"C")</f>
        <v>C</v>
      </c>
      <c r="E1314" s="1" t="str">
        <f>IFERROR(__xludf.DUMMYFUNCTION("""COMPUTED_VALUE"""),"Female")</f>
        <v>Female</v>
      </c>
      <c r="F1314" s="1">
        <f>IFERROR(__xludf.DUMMYFUNCTION("""COMPUTED_VALUE"""),34.0)</f>
        <v>34</v>
      </c>
      <c r="G1314" s="1">
        <f>IFERROR(__xludf.DUMMYFUNCTION("""COMPUTED_VALUE"""),38.0)</f>
        <v>38</v>
      </c>
      <c r="H1314" s="1">
        <f>IFERROR(__xludf.DUMMYFUNCTION("""COMPUTED_VALUE"""),93.0)</f>
        <v>93</v>
      </c>
      <c r="I1314" s="1">
        <f>IFERROR(__xludf.DUMMYFUNCTION("""COMPUTED_VALUE"""),21.0)</f>
        <v>21</v>
      </c>
      <c r="J1314" s="1">
        <f>IFERROR(__xludf.DUMMYFUNCTION("""COMPUTED_VALUE"""),48.0)</f>
        <v>48</v>
      </c>
      <c r="K1314" s="1">
        <f>IFERROR(__xludf.DUMMYFUNCTION("""COMPUTED_VALUE"""),97.0)</f>
        <v>97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 t="str">
        <f>IFERROR(__xludf.DUMMYFUNCTION("""COMPUTED_VALUE"""),"C")</f>
        <v>C</v>
      </c>
      <c r="E1315" s="1" t="str">
        <f>IFERROR(__xludf.DUMMYFUNCTION("""COMPUTED_VALUE"""),"Male")</f>
        <v>Male</v>
      </c>
      <c r="F1315" s="1">
        <f>IFERROR(__xludf.DUMMYFUNCTION("""COMPUTED_VALUE"""),70.0)</f>
        <v>70</v>
      </c>
      <c r="G1315" s="1">
        <f>IFERROR(__xludf.DUMMYFUNCTION("""COMPUTED_VALUE"""),61.0)</f>
        <v>61</v>
      </c>
      <c r="H1315" s="1">
        <f>IFERROR(__xludf.DUMMYFUNCTION("""COMPUTED_VALUE"""),36.0)</f>
        <v>36</v>
      </c>
      <c r="I1315" s="1">
        <f>IFERROR(__xludf.DUMMYFUNCTION("""COMPUTED_VALUE"""),82.0)</f>
        <v>82</v>
      </c>
      <c r="J1315" s="1">
        <f>IFERROR(__xludf.DUMMYFUNCTION("""COMPUTED_VALUE"""),46.0)</f>
        <v>46</v>
      </c>
      <c r="K1315" s="1">
        <f>IFERROR(__xludf.DUMMYFUNCTION("""COMPUTED_VALUE"""),73.0)</f>
        <v>73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 t="str">
        <f>IFERROR(__xludf.DUMMYFUNCTION("""COMPUTED_VALUE"""),"A")</f>
        <v>A</v>
      </c>
      <c r="E1316" s="1" t="str">
        <f>IFERROR(__xludf.DUMMYFUNCTION("""COMPUTED_VALUE"""),"Male")</f>
        <v>Male</v>
      </c>
      <c r="F1316" s="1">
        <f>IFERROR(__xludf.DUMMYFUNCTION("""COMPUTED_VALUE"""),46.0)</f>
        <v>46</v>
      </c>
      <c r="G1316" s="1">
        <f>IFERROR(__xludf.DUMMYFUNCTION("""COMPUTED_VALUE"""),84.0)</f>
        <v>84</v>
      </c>
      <c r="H1316" s="1">
        <f>IFERROR(__xludf.DUMMYFUNCTION("""COMPUTED_VALUE"""),92.0)</f>
        <v>92</v>
      </c>
      <c r="I1316" s="1">
        <f>IFERROR(__xludf.DUMMYFUNCTION("""COMPUTED_VALUE"""),29.0)</f>
        <v>29</v>
      </c>
      <c r="J1316" s="1">
        <f>IFERROR(__xludf.DUMMYFUNCTION("""COMPUTED_VALUE"""),59.0)</f>
        <v>59</v>
      </c>
      <c r="K1316" s="1">
        <f>IFERROR(__xludf.DUMMYFUNCTION("""COMPUTED_VALUE"""),30.0)</f>
        <v>30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 t="str">
        <f>IFERROR(__xludf.DUMMYFUNCTION("""COMPUTED_VALUE"""),"A")</f>
        <v>A</v>
      </c>
      <c r="E1317" s="1" t="str">
        <f>IFERROR(__xludf.DUMMYFUNCTION("""COMPUTED_VALUE"""),"Male")</f>
        <v>Male</v>
      </c>
      <c r="F1317" s="1">
        <f>IFERROR(__xludf.DUMMYFUNCTION("""COMPUTED_VALUE"""),50.0)</f>
        <v>50</v>
      </c>
      <c r="G1317" s="1">
        <f>IFERROR(__xludf.DUMMYFUNCTION("""COMPUTED_VALUE"""),54.0)</f>
        <v>54</v>
      </c>
      <c r="H1317" s="1">
        <f>IFERROR(__xludf.DUMMYFUNCTION("""COMPUTED_VALUE"""),78.0)</f>
        <v>78</v>
      </c>
      <c r="I1317" s="1">
        <f>IFERROR(__xludf.DUMMYFUNCTION("""COMPUTED_VALUE"""),65.0)</f>
        <v>65</v>
      </c>
      <c r="J1317" s="1">
        <f>IFERROR(__xludf.DUMMYFUNCTION("""COMPUTED_VALUE"""),47.0)</f>
        <v>47</v>
      </c>
      <c r="K1317" s="1">
        <f>IFERROR(__xludf.DUMMYFUNCTION("""COMPUTED_VALUE"""),51.0)</f>
        <v>51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 t="str">
        <f>IFERROR(__xludf.DUMMYFUNCTION("""COMPUTED_VALUE"""),"C")</f>
        <v>C</v>
      </c>
      <c r="E1318" s="1" t="str">
        <f>IFERROR(__xludf.DUMMYFUNCTION("""COMPUTED_VALUE"""),"Female")</f>
        <v>Female</v>
      </c>
      <c r="F1318" s="1">
        <f>IFERROR(__xludf.DUMMYFUNCTION("""COMPUTED_VALUE"""),49.0)</f>
        <v>49</v>
      </c>
      <c r="G1318" s="1">
        <f>IFERROR(__xludf.DUMMYFUNCTION("""COMPUTED_VALUE"""),35.0)</f>
        <v>35</v>
      </c>
      <c r="H1318" s="1">
        <f>IFERROR(__xludf.DUMMYFUNCTION("""COMPUTED_VALUE"""),22.0)</f>
        <v>22</v>
      </c>
      <c r="I1318" s="1">
        <f>IFERROR(__xludf.DUMMYFUNCTION("""COMPUTED_VALUE"""),97.0)</f>
        <v>97</v>
      </c>
      <c r="J1318" s="1">
        <f>IFERROR(__xludf.DUMMYFUNCTION("""COMPUTED_VALUE"""),59.0)</f>
        <v>59</v>
      </c>
      <c r="K1318" s="1">
        <f>IFERROR(__xludf.DUMMYFUNCTION("""COMPUTED_VALUE"""),99.0)</f>
        <v>99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 t="str">
        <f>IFERROR(__xludf.DUMMYFUNCTION("""COMPUTED_VALUE"""),"C")</f>
        <v>C</v>
      </c>
      <c r="E1319" s="1" t="str">
        <f>IFERROR(__xludf.DUMMYFUNCTION("""COMPUTED_VALUE"""),"Female")</f>
        <v>Female</v>
      </c>
      <c r="F1319" s="1">
        <f>IFERROR(__xludf.DUMMYFUNCTION("""COMPUTED_VALUE"""),71.0)</f>
        <v>71</v>
      </c>
      <c r="G1319" s="1">
        <f>IFERROR(__xludf.DUMMYFUNCTION("""COMPUTED_VALUE"""),20.0)</f>
        <v>20</v>
      </c>
      <c r="H1319" s="1">
        <f>IFERROR(__xludf.DUMMYFUNCTION("""COMPUTED_VALUE"""),53.0)</f>
        <v>53</v>
      </c>
      <c r="I1319" s="1">
        <f>IFERROR(__xludf.DUMMYFUNCTION("""COMPUTED_VALUE"""),93.0)</f>
        <v>93</v>
      </c>
      <c r="J1319" s="1">
        <f>IFERROR(__xludf.DUMMYFUNCTION("""COMPUTED_VALUE"""),78.0)</f>
        <v>78</v>
      </c>
      <c r="K1319" s="1">
        <f>IFERROR(__xludf.DUMMYFUNCTION("""COMPUTED_VALUE"""),66.0)</f>
        <v>66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 t="str">
        <f>IFERROR(__xludf.DUMMYFUNCTION("""COMPUTED_VALUE"""),"D")</f>
        <v>D</v>
      </c>
      <c r="E1320" s="1" t="str">
        <f>IFERROR(__xludf.DUMMYFUNCTION("""COMPUTED_VALUE"""),"Female")</f>
        <v>Female</v>
      </c>
      <c r="F1320" s="1">
        <f>IFERROR(__xludf.DUMMYFUNCTION("""COMPUTED_VALUE"""),75.0)</f>
        <v>75</v>
      </c>
      <c r="G1320" s="1">
        <f>IFERROR(__xludf.DUMMYFUNCTION("""COMPUTED_VALUE"""),61.0)</f>
        <v>61</v>
      </c>
      <c r="H1320" s="1">
        <f>IFERROR(__xludf.DUMMYFUNCTION("""COMPUTED_VALUE"""),33.0)</f>
        <v>33</v>
      </c>
      <c r="I1320" s="1">
        <f>IFERROR(__xludf.DUMMYFUNCTION("""COMPUTED_VALUE"""),49.0)</f>
        <v>49</v>
      </c>
      <c r="J1320" s="1">
        <f>IFERROR(__xludf.DUMMYFUNCTION("""COMPUTED_VALUE"""),76.0)</f>
        <v>76</v>
      </c>
      <c r="K1320" s="1">
        <f>IFERROR(__xludf.DUMMYFUNCTION("""COMPUTED_VALUE"""),34.0)</f>
        <v>34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 t="str">
        <f>IFERROR(__xludf.DUMMYFUNCTION("""COMPUTED_VALUE"""),"C")</f>
        <v>C</v>
      </c>
      <c r="E1321" s="1" t="str">
        <f>IFERROR(__xludf.DUMMYFUNCTION("""COMPUTED_VALUE"""),"Female")</f>
        <v>Female</v>
      </c>
      <c r="F1321" s="1">
        <f>IFERROR(__xludf.DUMMYFUNCTION("""COMPUTED_VALUE"""),91.0)</f>
        <v>91</v>
      </c>
      <c r="G1321" s="1">
        <f>IFERROR(__xludf.DUMMYFUNCTION("""COMPUTED_VALUE"""),93.0)</f>
        <v>93</v>
      </c>
      <c r="H1321" s="1">
        <f>IFERROR(__xludf.DUMMYFUNCTION("""COMPUTED_VALUE"""),64.0)</f>
        <v>64</v>
      </c>
      <c r="I1321" s="1">
        <f>IFERROR(__xludf.DUMMYFUNCTION("""COMPUTED_VALUE"""),24.0)</f>
        <v>24</v>
      </c>
      <c r="J1321" s="1">
        <f>IFERROR(__xludf.DUMMYFUNCTION("""COMPUTED_VALUE"""),89.0)</f>
        <v>89</v>
      </c>
      <c r="K1321" s="1">
        <f>IFERROR(__xludf.DUMMYFUNCTION("""COMPUTED_VALUE"""),40.0)</f>
        <v>40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 t="str">
        <f>IFERROR(__xludf.DUMMYFUNCTION("""COMPUTED_VALUE"""),"B")</f>
        <v>B</v>
      </c>
      <c r="E1322" s="1" t="str">
        <f>IFERROR(__xludf.DUMMYFUNCTION("""COMPUTED_VALUE"""),"Female")</f>
        <v>Female</v>
      </c>
      <c r="F1322" s="1">
        <f>IFERROR(__xludf.DUMMYFUNCTION("""COMPUTED_VALUE"""),36.0)</f>
        <v>36</v>
      </c>
      <c r="G1322" s="1">
        <f>IFERROR(__xludf.DUMMYFUNCTION("""COMPUTED_VALUE"""),87.0)</f>
        <v>87</v>
      </c>
      <c r="H1322" s="1">
        <f>IFERROR(__xludf.DUMMYFUNCTION("""COMPUTED_VALUE"""),47.0)</f>
        <v>47</v>
      </c>
      <c r="I1322" s="1">
        <f>IFERROR(__xludf.DUMMYFUNCTION("""COMPUTED_VALUE"""),29.0)</f>
        <v>29</v>
      </c>
      <c r="J1322" s="1">
        <f>IFERROR(__xludf.DUMMYFUNCTION("""COMPUTED_VALUE"""),23.0)</f>
        <v>23</v>
      </c>
      <c r="K1322" s="1">
        <f>IFERROR(__xludf.DUMMYFUNCTION("""COMPUTED_VALUE"""),70.0)</f>
        <v>70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 t="str">
        <f>IFERROR(__xludf.DUMMYFUNCTION("""COMPUTED_VALUE"""),"D")</f>
        <v>D</v>
      </c>
      <c r="E1323" s="1" t="str">
        <f>IFERROR(__xludf.DUMMYFUNCTION("""COMPUTED_VALUE"""),"Male")</f>
        <v>Male</v>
      </c>
      <c r="F1323" s="1">
        <f>IFERROR(__xludf.DUMMYFUNCTION("""COMPUTED_VALUE"""),60.0)</f>
        <v>60</v>
      </c>
      <c r="G1323" s="1">
        <f>IFERROR(__xludf.DUMMYFUNCTION("""COMPUTED_VALUE"""),88.0)</f>
        <v>88</v>
      </c>
      <c r="H1323" s="1">
        <f>IFERROR(__xludf.DUMMYFUNCTION("""COMPUTED_VALUE"""),47.0)</f>
        <v>47</v>
      </c>
      <c r="I1323" s="1">
        <f>IFERROR(__xludf.DUMMYFUNCTION("""COMPUTED_VALUE"""),87.0)</f>
        <v>87</v>
      </c>
      <c r="J1323" s="1">
        <f>IFERROR(__xludf.DUMMYFUNCTION("""COMPUTED_VALUE"""),46.0)</f>
        <v>46</v>
      </c>
      <c r="K1323" s="1">
        <f>IFERROR(__xludf.DUMMYFUNCTION("""COMPUTED_VALUE"""),76.0)</f>
        <v>76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 t="str">
        <f>IFERROR(__xludf.DUMMYFUNCTION("""COMPUTED_VALUE"""),"C")</f>
        <v>C</v>
      </c>
      <c r="E1324" s="1" t="str">
        <f>IFERROR(__xludf.DUMMYFUNCTION("""COMPUTED_VALUE"""),"Female")</f>
        <v>Female</v>
      </c>
      <c r="F1324" s="1">
        <f>IFERROR(__xludf.DUMMYFUNCTION("""COMPUTED_VALUE"""),74.0)</f>
        <v>74</v>
      </c>
      <c r="G1324" s="1">
        <f>IFERROR(__xludf.DUMMYFUNCTION("""COMPUTED_VALUE"""),78.0)</f>
        <v>78</v>
      </c>
      <c r="H1324" s="1">
        <f>IFERROR(__xludf.DUMMYFUNCTION("""COMPUTED_VALUE"""),49.0)</f>
        <v>49</v>
      </c>
      <c r="I1324" s="1">
        <f>IFERROR(__xludf.DUMMYFUNCTION("""COMPUTED_VALUE"""),42.0)</f>
        <v>42</v>
      </c>
      <c r="J1324" s="1">
        <f>IFERROR(__xludf.DUMMYFUNCTION("""COMPUTED_VALUE"""),69.0)</f>
        <v>69</v>
      </c>
      <c r="K1324" s="1">
        <f>IFERROR(__xludf.DUMMYFUNCTION("""COMPUTED_VALUE"""),88.0)</f>
        <v>88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 t="str">
        <f>IFERROR(__xludf.DUMMYFUNCTION("""COMPUTED_VALUE"""),"B")</f>
        <v>B</v>
      </c>
      <c r="E1325" s="1" t="str">
        <f>IFERROR(__xludf.DUMMYFUNCTION("""COMPUTED_VALUE"""),"Male")</f>
        <v>Male</v>
      </c>
      <c r="F1325" s="1">
        <f>IFERROR(__xludf.DUMMYFUNCTION("""COMPUTED_VALUE"""),34.0)</f>
        <v>34</v>
      </c>
      <c r="G1325" s="1">
        <f>IFERROR(__xludf.DUMMYFUNCTION("""COMPUTED_VALUE"""),92.0)</f>
        <v>92</v>
      </c>
      <c r="H1325" s="1">
        <f>IFERROR(__xludf.DUMMYFUNCTION("""COMPUTED_VALUE"""),98.0)</f>
        <v>98</v>
      </c>
      <c r="I1325" s="1">
        <f>IFERROR(__xludf.DUMMYFUNCTION("""COMPUTED_VALUE"""),42.0)</f>
        <v>42</v>
      </c>
      <c r="J1325" s="1">
        <f>IFERROR(__xludf.DUMMYFUNCTION("""COMPUTED_VALUE"""),67.0)</f>
        <v>67</v>
      </c>
      <c r="K1325" s="1">
        <f>IFERROR(__xludf.DUMMYFUNCTION("""COMPUTED_VALUE"""),67.0)</f>
        <v>67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 t="str">
        <f>IFERROR(__xludf.DUMMYFUNCTION("""COMPUTED_VALUE"""),"A")</f>
        <v>A</v>
      </c>
      <c r="E1326" s="1" t="str">
        <f>IFERROR(__xludf.DUMMYFUNCTION("""COMPUTED_VALUE"""),"Male")</f>
        <v>Male</v>
      </c>
      <c r="F1326" s="1">
        <f>IFERROR(__xludf.DUMMYFUNCTION("""COMPUTED_VALUE"""),43.0)</f>
        <v>43</v>
      </c>
      <c r="G1326" s="1">
        <f>IFERROR(__xludf.DUMMYFUNCTION("""COMPUTED_VALUE"""),45.0)</f>
        <v>45</v>
      </c>
      <c r="H1326" s="1">
        <f>IFERROR(__xludf.DUMMYFUNCTION("""COMPUTED_VALUE"""),73.0)</f>
        <v>73</v>
      </c>
      <c r="I1326" s="1">
        <f>IFERROR(__xludf.DUMMYFUNCTION("""COMPUTED_VALUE"""),84.0)</f>
        <v>84</v>
      </c>
      <c r="J1326" s="1">
        <f>IFERROR(__xludf.DUMMYFUNCTION("""COMPUTED_VALUE"""),23.0)</f>
        <v>23</v>
      </c>
      <c r="K1326" s="1">
        <f>IFERROR(__xludf.DUMMYFUNCTION("""COMPUTED_VALUE"""),36.0)</f>
        <v>36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 t="str">
        <f>IFERROR(__xludf.DUMMYFUNCTION("""COMPUTED_VALUE"""),"B")</f>
        <v>B</v>
      </c>
      <c r="E1327" s="1" t="str">
        <f>IFERROR(__xludf.DUMMYFUNCTION("""COMPUTED_VALUE"""),"Male")</f>
        <v>Male</v>
      </c>
      <c r="F1327" s="1">
        <f>IFERROR(__xludf.DUMMYFUNCTION("""COMPUTED_VALUE"""),44.0)</f>
        <v>44</v>
      </c>
      <c r="G1327" s="1">
        <f>IFERROR(__xludf.DUMMYFUNCTION("""COMPUTED_VALUE"""),24.0)</f>
        <v>24</v>
      </c>
      <c r="H1327" s="1">
        <f>IFERROR(__xludf.DUMMYFUNCTION("""COMPUTED_VALUE"""),30.0)</f>
        <v>30</v>
      </c>
      <c r="I1327" s="1">
        <f>IFERROR(__xludf.DUMMYFUNCTION("""COMPUTED_VALUE"""),92.0)</f>
        <v>92</v>
      </c>
      <c r="J1327" s="1">
        <f>IFERROR(__xludf.DUMMYFUNCTION("""COMPUTED_VALUE"""),29.0)</f>
        <v>29</v>
      </c>
      <c r="K1327" s="1">
        <f>IFERROR(__xludf.DUMMYFUNCTION("""COMPUTED_VALUE"""),42.0)</f>
        <v>42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 t="str">
        <f>IFERROR(__xludf.DUMMYFUNCTION("""COMPUTED_VALUE"""),"C")</f>
        <v>C</v>
      </c>
      <c r="E1328" s="1" t="str">
        <f>IFERROR(__xludf.DUMMYFUNCTION("""COMPUTED_VALUE"""),"Female")</f>
        <v>Female</v>
      </c>
      <c r="F1328" s="1">
        <f>IFERROR(__xludf.DUMMYFUNCTION("""COMPUTED_VALUE"""),69.0)</f>
        <v>69</v>
      </c>
      <c r="G1328" s="1">
        <f>IFERROR(__xludf.DUMMYFUNCTION("""COMPUTED_VALUE"""),43.0)</f>
        <v>43</v>
      </c>
      <c r="H1328" s="1">
        <f>IFERROR(__xludf.DUMMYFUNCTION("""COMPUTED_VALUE"""),73.0)</f>
        <v>73</v>
      </c>
      <c r="I1328" s="1">
        <f>IFERROR(__xludf.DUMMYFUNCTION("""COMPUTED_VALUE"""),94.0)</f>
        <v>94</v>
      </c>
      <c r="J1328" s="1">
        <f>IFERROR(__xludf.DUMMYFUNCTION("""COMPUTED_VALUE"""),48.0)</f>
        <v>48</v>
      </c>
      <c r="K1328" s="1">
        <f>IFERROR(__xludf.DUMMYFUNCTION("""COMPUTED_VALUE"""),69.0)</f>
        <v>69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 t="str">
        <f>IFERROR(__xludf.DUMMYFUNCTION("""COMPUTED_VALUE"""),"C")</f>
        <v>C</v>
      </c>
      <c r="E1329" s="1" t="str">
        <f>IFERROR(__xludf.DUMMYFUNCTION("""COMPUTED_VALUE"""),"Male")</f>
        <v>Male</v>
      </c>
      <c r="F1329" s="1">
        <f>IFERROR(__xludf.DUMMYFUNCTION("""COMPUTED_VALUE"""),18.0)</f>
        <v>18</v>
      </c>
      <c r="G1329" s="1">
        <f>IFERROR(__xludf.DUMMYFUNCTION("""COMPUTED_VALUE"""),21.0)</f>
        <v>21</v>
      </c>
      <c r="H1329" s="1">
        <f>IFERROR(__xludf.DUMMYFUNCTION("""COMPUTED_VALUE"""),29.0)</f>
        <v>29</v>
      </c>
      <c r="I1329" s="1">
        <f>IFERROR(__xludf.DUMMYFUNCTION("""COMPUTED_VALUE"""),26.0)</f>
        <v>26</v>
      </c>
      <c r="J1329" s="1">
        <f>IFERROR(__xludf.DUMMYFUNCTION("""COMPUTED_VALUE"""),95.0)</f>
        <v>95</v>
      </c>
      <c r="K1329" s="1">
        <f>IFERROR(__xludf.DUMMYFUNCTION("""COMPUTED_VALUE"""),23.0)</f>
        <v>23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 t="str">
        <f>IFERROR(__xludf.DUMMYFUNCTION("""COMPUTED_VALUE"""),"D")</f>
        <v>D</v>
      </c>
      <c r="E1330" s="1" t="str">
        <f>IFERROR(__xludf.DUMMYFUNCTION("""COMPUTED_VALUE"""),"Male")</f>
        <v>Male</v>
      </c>
      <c r="F1330" s="1">
        <f>IFERROR(__xludf.DUMMYFUNCTION("""COMPUTED_VALUE"""),47.0)</f>
        <v>47</v>
      </c>
      <c r="G1330" s="1">
        <f>IFERROR(__xludf.DUMMYFUNCTION("""COMPUTED_VALUE"""),87.0)</f>
        <v>87</v>
      </c>
      <c r="H1330" s="1">
        <f>IFERROR(__xludf.DUMMYFUNCTION("""COMPUTED_VALUE"""),41.0)</f>
        <v>41</v>
      </c>
      <c r="I1330" s="1">
        <f>IFERROR(__xludf.DUMMYFUNCTION("""COMPUTED_VALUE"""),91.0)</f>
        <v>91</v>
      </c>
      <c r="J1330" s="1">
        <f>IFERROR(__xludf.DUMMYFUNCTION("""COMPUTED_VALUE"""),82.0)</f>
        <v>82</v>
      </c>
      <c r="K1330" s="1">
        <f>IFERROR(__xludf.DUMMYFUNCTION("""COMPUTED_VALUE"""),64.0)</f>
        <v>64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 t="str">
        <f>IFERROR(__xludf.DUMMYFUNCTION("""COMPUTED_VALUE"""),"B")</f>
        <v>B</v>
      </c>
      <c r="E1331" s="1" t="str">
        <f>IFERROR(__xludf.DUMMYFUNCTION("""COMPUTED_VALUE"""),"Male")</f>
        <v>Male</v>
      </c>
      <c r="F1331" s="1">
        <f>IFERROR(__xludf.DUMMYFUNCTION("""COMPUTED_VALUE"""),80.0)</f>
        <v>80</v>
      </c>
      <c r="G1331" s="1">
        <f>IFERROR(__xludf.DUMMYFUNCTION("""COMPUTED_VALUE"""),90.0)</f>
        <v>90</v>
      </c>
      <c r="H1331" s="1">
        <f>IFERROR(__xludf.DUMMYFUNCTION("""COMPUTED_VALUE"""),38.0)</f>
        <v>38</v>
      </c>
      <c r="I1331" s="1">
        <f>IFERROR(__xludf.DUMMYFUNCTION("""COMPUTED_VALUE"""),92.0)</f>
        <v>92</v>
      </c>
      <c r="J1331" s="1">
        <f>IFERROR(__xludf.DUMMYFUNCTION("""COMPUTED_VALUE"""),25.0)</f>
        <v>25</v>
      </c>
      <c r="K1331" s="1">
        <f>IFERROR(__xludf.DUMMYFUNCTION("""COMPUTED_VALUE"""),71.0)</f>
        <v>71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 t="str">
        <f>IFERROR(__xludf.DUMMYFUNCTION("""COMPUTED_VALUE"""),"C")</f>
        <v>C</v>
      </c>
      <c r="E1332" s="1" t="str">
        <f>IFERROR(__xludf.DUMMYFUNCTION("""COMPUTED_VALUE"""),"Male")</f>
        <v>Male</v>
      </c>
      <c r="F1332" s="1">
        <f>IFERROR(__xludf.DUMMYFUNCTION("""COMPUTED_VALUE"""),94.0)</f>
        <v>94</v>
      </c>
      <c r="G1332" s="1">
        <f>IFERROR(__xludf.DUMMYFUNCTION("""COMPUTED_VALUE"""),84.0)</f>
        <v>84</v>
      </c>
      <c r="H1332" s="1">
        <f>IFERROR(__xludf.DUMMYFUNCTION("""COMPUTED_VALUE"""),74.0)</f>
        <v>74</v>
      </c>
      <c r="I1332" s="1">
        <f>IFERROR(__xludf.DUMMYFUNCTION("""COMPUTED_VALUE"""),58.0)</f>
        <v>58</v>
      </c>
      <c r="J1332" s="1">
        <f>IFERROR(__xludf.DUMMYFUNCTION("""COMPUTED_VALUE"""),73.0)</f>
        <v>73</v>
      </c>
      <c r="K1332" s="1">
        <f>IFERROR(__xludf.DUMMYFUNCTION("""COMPUTED_VALUE"""),91.0)</f>
        <v>91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 t="str">
        <f>IFERROR(__xludf.DUMMYFUNCTION("""COMPUTED_VALUE"""),"B")</f>
        <v>B</v>
      </c>
      <c r="E1333" s="1" t="str">
        <f>IFERROR(__xludf.DUMMYFUNCTION("""COMPUTED_VALUE"""),"Female")</f>
        <v>Female</v>
      </c>
      <c r="F1333" s="1">
        <f>IFERROR(__xludf.DUMMYFUNCTION("""COMPUTED_VALUE"""),43.0)</f>
        <v>43</v>
      </c>
      <c r="G1333" s="1">
        <f>IFERROR(__xludf.DUMMYFUNCTION("""COMPUTED_VALUE"""),36.0)</f>
        <v>36</v>
      </c>
      <c r="H1333" s="1">
        <f>IFERROR(__xludf.DUMMYFUNCTION("""COMPUTED_VALUE"""),31.0)</f>
        <v>31</v>
      </c>
      <c r="I1333" s="1">
        <f>IFERROR(__xludf.DUMMYFUNCTION("""COMPUTED_VALUE"""),70.0)</f>
        <v>70</v>
      </c>
      <c r="J1333" s="1">
        <f>IFERROR(__xludf.DUMMYFUNCTION("""COMPUTED_VALUE"""),37.0)</f>
        <v>37</v>
      </c>
      <c r="K1333" s="1">
        <f>IFERROR(__xludf.DUMMYFUNCTION("""COMPUTED_VALUE"""),95.0)</f>
        <v>95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 t="str">
        <f>IFERROR(__xludf.DUMMYFUNCTION("""COMPUTED_VALUE"""),"C")</f>
        <v>C</v>
      </c>
      <c r="E1334" s="1" t="str">
        <f>IFERROR(__xludf.DUMMYFUNCTION("""COMPUTED_VALUE"""),"Female")</f>
        <v>Female</v>
      </c>
      <c r="F1334" s="1">
        <f>IFERROR(__xludf.DUMMYFUNCTION("""COMPUTED_VALUE"""),57.0)</f>
        <v>57</v>
      </c>
      <c r="G1334" s="1">
        <f>IFERROR(__xludf.DUMMYFUNCTION("""COMPUTED_VALUE"""),91.0)</f>
        <v>91</v>
      </c>
      <c r="H1334" s="1">
        <f>IFERROR(__xludf.DUMMYFUNCTION("""COMPUTED_VALUE"""),88.0)</f>
        <v>88</v>
      </c>
      <c r="I1334" s="1">
        <f>IFERROR(__xludf.DUMMYFUNCTION("""COMPUTED_VALUE"""),22.0)</f>
        <v>22</v>
      </c>
      <c r="J1334" s="1">
        <f>IFERROR(__xludf.DUMMYFUNCTION("""COMPUTED_VALUE"""),59.0)</f>
        <v>59</v>
      </c>
      <c r="K1334" s="1">
        <f>IFERROR(__xludf.DUMMYFUNCTION("""COMPUTED_VALUE"""),92.0)</f>
        <v>92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 t="str">
        <f>IFERROR(__xludf.DUMMYFUNCTION("""COMPUTED_VALUE"""),"C")</f>
        <v>C</v>
      </c>
      <c r="E1335" s="1" t="str">
        <f>IFERROR(__xludf.DUMMYFUNCTION("""COMPUTED_VALUE"""),"Female")</f>
        <v>Female</v>
      </c>
      <c r="F1335" s="1">
        <f>IFERROR(__xludf.DUMMYFUNCTION("""COMPUTED_VALUE"""),44.0)</f>
        <v>44</v>
      </c>
      <c r="G1335" s="1">
        <f>IFERROR(__xludf.DUMMYFUNCTION("""COMPUTED_VALUE"""),38.0)</f>
        <v>38</v>
      </c>
      <c r="H1335" s="1">
        <f>IFERROR(__xludf.DUMMYFUNCTION("""COMPUTED_VALUE"""),57.0)</f>
        <v>57</v>
      </c>
      <c r="I1335" s="1">
        <f>IFERROR(__xludf.DUMMYFUNCTION("""COMPUTED_VALUE"""),56.0)</f>
        <v>56</v>
      </c>
      <c r="J1335" s="1">
        <f>IFERROR(__xludf.DUMMYFUNCTION("""COMPUTED_VALUE"""),26.0)</f>
        <v>26</v>
      </c>
      <c r="K1335" s="1">
        <f>IFERROR(__xludf.DUMMYFUNCTION("""COMPUTED_VALUE"""),79.0)</f>
        <v>79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 t="str">
        <f>IFERROR(__xludf.DUMMYFUNCTION("""COMPUTED_VALUE"""),"C")</f>
        <v>C</v>
      </c>
      <c r="E1336" s="1" t="str">
        <f>IFERROR(__xludf.DUMMYFUNCTION("""COMPUTED_VALUE"""),"Male")</f>
        <v>Male</v>
      </c>
      <c r="F1336" s="1">
        <f>IFERROR(__xludf.DUMMYFUNCTION("""COMPUTED_VALUE"""),56.0)</f>
        <v>56</v>
      </c>
      <c r="G1336" s="1">
        <f>IFERROR(__xludf.DUMMYFUNCTION("""COMPUTED_VALUE"""),47.0)</f>
        <v>47</v>
      </c>
      <c r="H1336" s="1">
        <f>IFERROR(__xludf.DUMMYFUNCTION("""COMPUTED_VALUE"""),92.0)</f>
        <v>92</v>
      </c>
      <c r="I1336" s="1">
        <f>IFERROR(__xludf.DUMMYFUNCTION("""COMPUTED_VALUE"""),59.0)</f>
        <v>59</v>
      </c>
      <c r="J1336" s="1">
        <f>IFERROR(__xludf.DUMMYFUNCTION("""COMPUTED_VALUE"""),40.0)</f>
        <v>40</v>
      </c>
      <c r="K1336" s="1">
        <f>IFERROR(__xludf.DUMMYFUNCTION("""COMPUTED_VALUE"""),45.0)</f>
        <v>45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 t="str">
        <f>IFERROR(__xludf.DUMMYFUNCTION("""COMPUTED_VALUE"""),"A")</f>
        <v>A</v>
      </c>
      <c r="E1337" s="1" t="str">
        <f>IFERROR(__xludf.DUMMYFUNCTION("""COMPUTED_VALUE"""),"Male")</f>
        <v>Male</v>
      </c>
      <c r="F1337" s="1">
        <f>IFERROR(__xludf.DUMMYFUNCTION("""COMPUTED_VALUE"""),43.0)</f>
        <v>43</v>
      </c>
      <c r="G1337" s="1">
        <f>IFERROR(__xludf.DUMMYFUNCTION("""COMPUTED_VALUE"""),51.0)</f>
        <v>51</v>
      </c>
      <c r="H1337" s="1">
        <f>IFERROR(__xludf.DUMMYFUNCTION("""COMPUTED_VALUE"""),94.0)</f>
        <v>94</v>
      </c>
      <c r="I1337" s="1">
        <f>IFERROR(__xludf.DUMMYFUNCTION("""COMPUTED_VALUE"""),52.0)</f>
        <v>52</v>
      </c>
      <c r="J1337" s="1">
        <f>IFERROR(__xludf.DUMMYFUNCTION("""COMPUTED_VALUE"""),68.0)</f>
        <v>68</v>
      </c>
      <c r="K1337" s="1">
        <f>IFERROR(__xludf.DUMMYFUNCTION("""COMPUTED_VALUE"""),46.0)</f>
        <v>46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 t="str">
        <f>IFERROR(__xludf.DUMMYFUNCTION("""COMPUTED_VALUE"""),"C")</f>
        <v>C</v>
      </c>
      <c r="E1338" s="1" t="str">
        <f>IFERROR(__xludf.DUMMYFUNCTION("""COMPUTED_VALUE"""),"Female")</f>
        <v>Female</v>
      </c>
      <c r="F1338" s="1">
        <f>IFERROR(__xludf.DUMMYFUNCTION("""COMPUTED_VALUE"""),50.0)</f>
        <v>50</v>
      </c>
      <c r="G1338" s="1">
        <f>IFERROR(__xludf.DUMMYFUNCTION("""COMPUTED_VALUE"""),92.0)</f>
        <v>92</v>
      </c>
      <c r="H1338" s="1">
        <f>IFERROR(__xludf.DUMMYFUNCTION("""COMPUTED_VALUE"""),37.0)</f>
        <v>37</v>
      </c>
      <c r="I1338" s="1">
        <f>IFERROR(__xludf.DUMMYFUNCTION("""COMPUTED_VALUE"""),91.0)</f>
        <v>91</v>
      </c>
      <c r="J1338" s="1">
        <f>IFERROR(__xludf.DUMMYFUNCTION("""COMPUTED_VALUE"""),36.0)</f>
        <v>36</v>
      </c>
      <c r="K1338" s="1">
        <f>IFERROR(__xludf.DUMMYFUNCTION("""COMPUTED_VALUE"""),99.0)</f>
        <v>99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 t="str">
        <f>IFERROR(__xludf.DUMMYFUNCTION("""COMPUTED_VALUE"""),"C")</f>
        <v>C</v>
      </c>
      <c r="E1339" s="1" t="str">
        <f>IFERROR(__xludf.DUMMYFUNCTION("""COMPUTED_VALUE"""),"Female")</f>
        <v>Female</v>
      </c>
      <c r="F1339" s="1">
        <f>IFERROR(__xludf.DUMMYFUNCTION("""COMPUTED_VALUE"""),75.0)</f>
        <v>75</v>
      </c>
      <c r="G1339" s="1">
        <f>IFERROR(__xludf.DUMMYFUNCTION("""COMPUTED_VALUE"""),84.0)</f>
        <v>84</v>
      </c>
      <c r="H1339" s="1">
        <f>IFERROR(__xludf.DUMMYFUNCTION("""COMPUTED_VALUE"""),79.0)</f>
        <v>79</v>
      </c>
      <c r="I1339" s="1">
        <f>IFERROR(__xludf.DUMMYFUNCTION("""COMPUTED_VALUE"""),23.0)</f>
        <v>23</v>
      </c>
      <c r="J1339" s="1">
        <f>IFERROR(__xludf.DUMMYFUNCTION("""COMPUTED_VALUE"""),59.0)</f>
        <v>59</v>
      </c>
      <c r="K1339" s="1">
        <f>IFERROR(__xludf.DUMMYFUNCTION("""COMPUTED_VALUE"""),75.0)</f>
        <v>75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 t="str">
        <f>IFERROR(__xludf.DUMMYFUNCTION("""COMPUTED_VALUE"""),"C")</f>
        <v>C</v>
      </c>
      <c r="E1340" s="1" t="str">
        <f>IFERROR(__xludf.DUMMYFUNCTION("""COMPUTED_VALUE"""),"Female")</f>
        <v>Female</v>
      </c>
      <c r="F1340" s="1">
        <f>IFERROR(__xludf.DUMMYFUNCTION("""COMPUTED_VALUE"""),36.0)</f>
        <v>36</v>
      </c>
      <c r="G1340" s="1">
        <f>IFERROR(__xludf.DUMMYFUNCTION("""COMPUTED_VALUE"""),49.0)</f>
        <v>49</v>
      </c>
      <c r="H1340" s="1">
        <f>IFERROR(__xludf.DUMMYFUNCTION("""COMPUTED_VALUE"""),41.0)</f>
        <v>41</v>
      </c>
      <c r="I1340" s="1">
        <f>IFERROR(__xludf.DUMMYFUNCTION("""COMPUTED_VALUE"""),68.0)</f>
        <v>68</v>
      </c>
      <c r="J1340" s="1">
        <f>IFERROR(__xludf.DUMMYFUNCTION("""COMPUTED_VALUE"""),23.0)</f>
        <v>23</v>
      </c>
      <c r="K1340" s="1">
        <f>IFERROR(__xludf.DUMMYFUNCTION("""COMPUTED_VALUE"""),94.0)</f>
        <v>94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 t="str">
        <f>IFERROR(__xludf.DUMMYFUNCTION("""COMPUTED_VALUE"""),"C")</f>
        <v>C</v>
      </c>
      <c r="E1341" s="1" t="str">
        <f>IFERROR(__xludf.DUMMYFUNCTION("""COMPUTED_VALUE"""),"Male")</f>
        <v>Male</v>
      </c>
      <c r="F1341" s="1">
        <f>IFERROR(__xludf.DUMMYFUNCTION("""COMPUTED_VALUE"""),46.0)</f>
        <v>46</v>
      </c>
      <c r="G1341" s="1">
        <f>IFERROR(__xludf.DUMMYFUNCTION("""COMPUTED_VALUE"""),22.0)</f>
        <v>22</v>
      </c>
      <c r="H1341" s="1">
        <f>IFERROR(__xludf.DUMMYFUNCTION("""COMPUTED_VALUE"""),48.0)</f>
        <v>48</v>
      </c>
      <c r="I1341" s="1">
        <f>IFERROR(__xludf.DUMMYFUNCTION("""COMPUTED_VALUE"""),23.0)</f>
        <v>23</v>
      </c>
      <c r="J1341" s="1">
        <f>IFERROR(__xludf.DUMMYFUNCTION("""COMPUTED_VALUE"""),73.0)</f>
        <v>73</v>
      </c>
      <c r="K1341" s="1">
        <f>IFERROR(__xludf.DUMMYFUNCTION("""COMPUTED_VALUE"""),42.0)</f>
        <v>42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 t="str">
        <f>IFERROR(__xludf.DUMMYFUNCTION("""COMPUTED_VALUE"""),"C")</f>
        <v>C</v>
      </c>
      <c r="E1342" s="1" t="str">
        <f>IFERROR(__xludf.DUMMYFUNCTION("""COMPUTED_VALUE"""),"Male")</f>
        <v>Male</v>
      </c>
      <c r="F1342" s="1">
        <f>IFERROR(__xludf.DUMMYFUNCTION("""COMPUTED_VALUE"""),14.0)</f>
        <v>14</v>
      </c>
      <c r="G1342" s="1">
        <f>IFERROR(__xludf.DUMMYFUNCTION("""COMPUTED_VALUE"""),57.0)</f>
        <v>57</v>
      </c>
      <c r="H1342" s="1">
        <f>IFERROR(__xludf.DUMMYFUNCTION("""COMPUTED_VALUE"""),92.0)</f>
        <v>92</v>
      </c>
      <c r="I1342" s="1">
        <f>IFERROR(__xludf.DUMMYFUNCTION("""COMPUTED_VALUE"""),84.0)</f>
        <v>84</v>
      </c>
      <c r="J1342" s="1">
        <f>IFERROR(__xludf.DUMMYFUNCTION("""COMPUTED_VALUE"""),82.0)</f>
        <v>82</v>
      </c>
      <c r="K1342" s="1">
        <f>IFERROR(__xludf.DUMMYFUNCTION("""COMPUTED_VALUE"""),30.0)</f>
        <v>30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 t="str">
        <f>IFERROR(__xludf.DUMMYFUNCTION("""COMPUTED_VALUE"""),"A")</f>
        <v>A</v>
      </c>
      <c r="E1343" s="1" t="str">
        <f>IFERROR(__xludf.DUMMYFUNCTION("""COMPUTED_VALUE"""),"Male")</f>
        <v>Male</v>
      </c>
      <c r="F1343" s="1">
        <f>IFERROR(__xludf.DUMMYFUNCTION("""COMPUTED_VALUE"""),76.0)</f>
        <v>76</v>
      </c>
      <c r="G1343" s="1">
        <f>IFERROR(__xludf.DUMMYFUNCTION("""COMPUTED_VALUE"""),86.0)</f>
        <v>86</v>
      </c>
      <c r="H1343" s="1">
        <f>IFERROR(__xludf.DUMMYFUNCTION("""COMPUTED_VALUE"""),64.0)</f>
        <v>64</v>
      </c>
      <c r="I1343" s="1">
        <f>IFERROR(__xludf.DUMMYFUNCTION("""COMPUTED_VALUE"""),71.0)</f>
        <v>71</v>
      </c>
      <c r="J1343" s="1">
        <f>IFERROR(__xludf.DUMMYFUNCTION("""COMPUTED_VALUE"""),48.0)</f>
        <v>48</v>
      </c>
      <c r="K1343" s="1">
        <f>IFERROR(__xludf.DUMMYFUNCTION("""COMPUTED_VALUE"""),45.0)</f>
        <v>45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 t="str">
        <f>IFERROR(__xludf.DUMMYFUNCTION("""COMPUTED_VALUE"""),"D")</f>
        <v>D</v>
      </c>
      <c r="E1344" s="1" t="str">
        <f>IFERROR(__xludf.DUMMYFUNCTION("""COMPUTED_VALUE"""),"Male")</f>
        <v>Male</v>
      </c>
      <c r="F1344" s="1">
        <f>IFERROR(__xludf.DUMMYFUNCTION("""COMPUTED_VALUE"""),98.0)</f>
        <v>98</v>
      </c>
      <c r="G1344" s="1">
        <f>IFERROR(__xludf.DUMMYFUNCTION("""COMPUTED_VALUE"""),66.0)</f>
        <v>66</v>
      </c>
      <c r="H1344" s="1">
        <f>IFERROR(__xludf.DUMMYFUNCTION("""COMPUTED_VALUE"""),45.0)</f>
        <v>45</v>
      </c>
      <c r="I1344" s="1">
        <f>IFERROR(__xludf.DUMMYFUNCTION("""COMPUTED_VALUE"""),45.0)</f>
        <v>45</v>
      </c>
      <c r="J1344" s="1">
        <f>IFERROR(__xludf.DUMMYFUNCTION("""COMPUTED_VALUE"""),41.0)</f>
        <v>41</v>
      </c>
      <c r="K1344" s="1">
        <f>IFERROR(__xludf.DUMMYFUNCTION("""COMPUTED_VALUE"""),45.0)</f>
        <v>45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 t="str">
        <f>IFERROR(__xludf.DUMMYFUNCTION("""COMPUTED_VALUE"""),"B")</f>
        <v>B</v>
      </c>
      <c r="E1345" s="1" t="str">
        <f>IFERROR(__xludf.DUMMYFUNCTION("""COMPUTED_VALUE"""),"Male")</f>
        <v>Male</v>
      </c>
      <c r="F1345" s="1">
        <f>IFERROR(__xludf.DUMMYFUNCTION("""COMPUTED_VALUE"""),23.0)</f>
        <v>23</v>
      </c>
      <c r="G1345" s="1">
        <f>IFERROR(__xludf.DUMMYFUNCTION("""COMPUTED_VALUE"""),31.0)</f>
        <v>31</v>
      </c>
      <c r="H1345" s="1">
        <f>IFERROR(__xludf.DUMMYFUNCTION("""COMPUTED_VALUE"""),77.0)</f>
        <v>77</v>
      </c>
      <c r="I1345" s="1">
        <f>IFERROR(__xludf.DUMMYFUNCTION("""COMPUTED_VALUE"""),81.0)</f>
        <v>81</v>
      </c>
      <c r="J1345" s="1">
        <f>IFERROR(__xludf.DUMMYFUNCTION("""COMPUTED_VALUE"""),95.0)</f>
        <v>95</v>
      </c>
      <c r="K1345" s="1">
        <f>IFERROR(__xludf.DUMMYFUNCTION("""COMPUTED_VALUE"""),97.0)</f>
        <v>97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 t="str">
        <f>IFERROR(__xludf.DUMMYFUNCTION("""COMPUTED_VALUE"""),"B")</f>
        <v>B</v>
      </c>
      <c r="E1346" s="1" t="str">
        <f>IFERROR(__xludf.DUMMYFUNCTION("""COMPUTED_VALUE"""),"Male")</f>
        <v>Male</v>
      </c>
      <c r="F1346" s="1">
        <f>IFERROR(__xludf.DUMMYFUNCTION("""COMPUTED_VALUE"""),29.0)</f>
        <v>29</v>
      </c>
      <c r="G1346" s="1">
        <f>IFERROR(__xludf.DUMMYFUNCTION("""COMPUTED_VALUE"""),60.0)</f>
        <v>60</v>
      </c>
      <c r="H1346" s="1">
        <f>IFERROR(__xludf.DUMMYFUNCTION("""COMPUTED_VALUE"""),87.0)</f>
        <v>87</v>
      </c>
      <c r="I1346" s="1">
        <f>IFERROR(__xludf.DUMMYFUNCTION("""COMPUTED_VALUE"""),82.0)</f>
        <v>82</v>
      </c>
      <c r="J1346" s="1">
        <f>IFERROR(__xludf.DUMMYFUNCTION("""COMPUTED_VALUE"""),90.0)</f>
        <v>90</v>
      </c>
      <c r="K1346" s="1">
        <f>IFERROR(__xludf.DUMMYFUNCTION("""COMPUTED_VALUE"""),94.0)</f>
        <v>94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 t="str">
        <f>IFERROR(__xludf.DUMMYFUNCTION("""COMPUTED_VALUE"""),"A")</f>
        <v>A</v>
      </c>
      <c r="E1347" s="1" t="str">
        <f>IFERROR(__xludf.DUMMYFUNCTION("""COMPUTED_VALUE"""),"Female")</f>
        <v>Female</v>
      </c>
      <c r="F1347" s="1">
        <f>IFERROR(__xludf.DUMMYFUNCTION("""COMPUTED_VALUE"""),93.0)</f>
        <v>93</v>
      </c>
      <c r="G1347" s="1">
        <f>IFERROR(__xludf.DUMMYFUNCTION("""COMPUTED_VALUE"""),65.0)</f>
        <v>65</v>
      </c>
      <c r="H1347" s="1">
        <f>IFERROR(__xludf.DUMMYFUNCTION("""COMPUTED_VALUE"""),81.0)</f>
        <v>81</v>
      </c>
      <c r="I1347" s="1">
        <f>IFERROR(__xludf.DUMMYFUNCTION("""COMPUTED_VALUE"""),91.0)</f>
        <v>91</v>
      </c>
      <c r="J1347" s="1">
        <f>IFERROR(__xludf.DUMMYFUNCTION("""COMPUTED_VALUE"""),28.0)</f>
        <v>28</v>
      </c>
      <c r="K1347" s="1">
        <f>IFERROR(__xludf.DUMMYFUNCTION("""COMPUTED_VALUE"""),62.0)</f>
        <v>62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 t="str">
        <f>IFERROR(__xludf.DUMMYFUNCTION("""COMPUTED_VALUE"""),"A")</f>
        <v>A</v>
      </c>
      <c r="E1348" s="1" t="str">
        <f>IFERROR(__xludf.DUMMYFUNCTION("""COMPUTED_VALUE"""),"Female")</f>
        <v>Female</v>
      </c>
      <c r="F1348" s="1">
        <f>IFERROR(__xludf.DUMMYFUNCTION("""COMPUTED_VALUE"""),31.0)</f>
        <v>31</v>
      </c>
      <c r="G1348" s="1">
        <f>IFERROR(__xludf.DUMMYFUNCTION("""COMPUTED_VALUE"""),46.0)</f>
        <v>46</v>
      </c>
      <c r="H1348" s="1">
        <f>IFERROR(__xludf.DUMMYFUNCTION("""COMPUTED_VALUE"""),39.0)</f>
        <v>39</v>
      </c>
      <c r="I1348" s="1">
        <f>IFERROR(__xludf.DUMMYFUNCTION("""COMPUTED_VALUE"""),75.0)</f>
        <v>75</v>
      </c>
      <c r="J1348" s="1">
        <f>IFERROR(__xludf.DUMMYFUNCTION("""COMPUTED_VALUE"""),66.0)</f>
        <v>66</v>
      </c>
      <c r="K1348" s="1">
        <f>IFERROR(__xludf.DUMMYFUNCTION("""COMPUTED_VALUE"""),46.0)</f>
        <v>46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 t="str">
        <f>IFERROR(__xludf.DUMMYFUNCTION("""COMPUTED_VALUE"""),"C")</f>
        <v>C</v>
      </c>
      <c r="E1349" s="1" t="str">
        <f>IFERROR(__xludf.DUMMYFUNCTION("""COMPUTED_VALUE"""),"Female")</f>
        <v>Female</v>
      </c>
      <c r="F1349" s="1">
        <f>IFERROR(__xludf.DUMMYFUNCTION("""COMPUTED_VALUE"""),66.0)</f>
        <v>66</v>
      </c>
      <c r="G1349" s="1">
        <f>IFERROR(__xludf.DUMMYFUNCTION("""COMPUTED_VALUE"""),54.0)</f>
        <v>54</v>
      </c>
      <c r="H1349" s="1">
        <f>IFERROR(__xludf.DUMMYFUNCTION("""COMPUTED_VALUE"""),47.0)</f>
        <v>47</v>
      </c>
      <c r="I1349" s="1">
        <f>IFERROR(__xludf.DUMMYFUNCTION("""COMPUTED_VALUE"""),48.0)</f>
        <v>48</v>
      </c>
      <c r="J1349" s="1">
        <f>IFERROR(__xludf.DUMMYFUNCTION("""COMPUTED_VALUE"""),37.0)</f>
        <v>37</v>
      </c>
      <c r="K1349" s="1">
        <f>IFERROR(__xludf.DUMMYFUNCTION("""COMPUTED_VALUE"""),24.0)</f>
        <v>24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 t="str">
        <f>IFERROR(__xludf.DUMMYFUNCTION("""COMPUTED_VALUE"""),"B")</f>
        <v>B</v>
      </c>
      <c r="E1350" s="1" t="str">
        <f>IFERROR(__xludf.DUMMYFUNCTION("""COMPUTED_VALUE"""),"Male")</f>
        <v>Male</v>
      </c>
      <c r="F1350" s="1">
        <f>IFERROR(__xludf.DUMMYFUNCTION("""COMPUTED_VALUE"""),68.0)</f>
        <v>68</v>
      </c>
      <c r="G1350" s="1">
        <f>IFERROR(__xludf.DUMMYFUNCTION("""COMPUTED_VALUE"""),25.0)</f>
        <v>25</v>
      </c>
      <c r="H1350" s="1">
        <f>IFERROR(__xludf.DUMMYFUNCTION("""COMPUTED_VALUE"""),76.0)</f>
        <v>76</v>
      </c>
      <c r="I1350" s="1">
        <f>IFERROR(__xludf.DUMMYFUNCTION("""COMPUTED_VALUE"""),62.0)</f>
        <v>62</v>
      </c>
      <c r="J1350" s="1">
        <f>IFERROR(__xludf.DUMMYFUNCTION("""COMPUTED_VALUE"""),45.0)</f>
        <v>45</v>
      </c>
      <c r="K1350" s="1">
        <f>IFERROR(__xludf.DUMMYFUNCTION("""COMPUTED_VALUE"""),94.0)</f>
        <v>94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 t="str">
        <f>IFERROR(__xludf.DUMMYFUNCTION("""COMPUTED_VALUE"""),"C")</f>
        <v>C</v>
      </c>
      <c r="E1351" s="1" t="str">
        <f>IFERROR(__xludf.DUMMYFUNCTION("""COMPUTED_VALUE"""),"Male")</f>
        <v>Male</v>
      </c>
      <c r="F1351" s="1">
        <f>IFERROR(__xludf.DUMMYFUNCTION("""COMPUTED_VALUE"""),91.0)</f>
        <v>91</v>
      </c>
      <c r="G1351" s="1">
        <f>IFERROR(__xludf.DUMMYFUNCTION("""COMPUTED_VALUE"""),89.0)</f>
        <v>89</v>
      </c>
      <c r="H1351" s="1">
        <f>IFERROR(__xludf.DUMMYFUNCTION("""COMPUTED_VALUE"""),99.0)</f>
        <v>99</v>
      </c>
      <c r="I1351" s="1">
        <f>IFERROR(__xludf.DUMMYFUNCTION("""COMPUTED_VALUE"""),81.0)</f>
        <v>81</v>
      </c>
      <c r="J1351" s="1">
        <f>IFERROR(__xludf.DUMMYFUNCTION("""COMPUTED_VALUE"""),74.0)</f>
        <v>74</v>
      </c>
      <c r="K1351" s="1">
        <f>IFERROR(__xludf.DUMMYFUNCTION("""COMPUTED_VALUE"""),24.0)</f>
        <v>24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 t="str">
        <f>IFERROR(__xludf.DUMMYFUNCTION("""COMPUTED_VALUE"""),"C")</f>
        <v>C</v>
      </c>
      <c r="E1352" s="1" t="str">
        <f>IFERROR(__xludf.DUMMYFUNCTION("""COMPUTED_VALUE"""),"Male")</f>
        <v>Male</v>
      </c>
      <c r="F1352" s="1">
        <f>IFERROR(__xludf.DUMMYFUNCTION("""COMPUTED_VALUE"""),49.0)</f>
        <v>49</v>
      </c>
      <c r="G1352" s="1">
        <f>IFERROR(__xludf.DUMMYFUNCTION("""COMPUTED_VALUE"""),28.0)</f>
        <v>28</v>
      </c>
      <c r="H1352" s="1">
        <f>IFERROR(__xludf.DUMMYFUNCTION("""COMPUTED_VALUE"""),93.0)</f>
        <v>93</v>
      </c>
      <c r="I1352" s="1">
        <f>IFERROR(__xludf.DUMMYFUNCTION("""COMPUTED_VALUE"""),92.0)</f>
        <v>92</v>
      </c>
      <c r="J1352" s="1">
        <f>IFERROR(__xludf.DUMMYFUNCTION("""COMPUTED_VALUE"""),58.0)</f>
        <v>58</v>
      </c>
      <c r="K1352" s="1">
        <f>IFERROR(__xludf.DUMMYFUNCTION("""COMPUTED_VALUE"""),27.0)</f>
        <v>27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 t="str">
        <f>IFERROR(__xludf.DUMMYFUNCTION("""COMPUTED_VALUE"""),"B")</f>
        <v>B</v>
      </c>
      <c r="E1353" s="1" t="str">
        <f>IFERROR(__xludf.DUMMYFUNCTION("""COMPUTED_VALUE"""),"Female")</f>
        <v>Female</v>
      </c>
      <c r="F1353" s="1">
        <f>IFERROR(__xludf.DUMMYFUNCTION("""COMPUTED_VALUE"""),70.0)</f>
        <v>70</v>
      </c>
      <c r="G1353" s="1">
        <f>IFERROR(__xludf.DUMMYFUNCTION("""COMPUTED_VALUE"""),66.0)</f>
        <v>66</v>
      </c>
      <c r="H1353" s="1">
        <f>IFERROR(__xludf.DUMMYFUNCTION("""COMPUTED_VALUE"""),44.0)</f>
        <v>44</v>
      </c>
      <c r="I1353" s="1">
        <f>IFERROR(__xludf.DUMMYFUNCTION("""COMPUTED_VALUE"""),62.0)</f>
        <v>62</v>
      </c>
      <c r="J1353" s="1">
        <f>IFERROR(__xludf.DUMMYFUNCTION("""COMPUTED_VALUE"""),75.0)</f>
        <v>75</v>
      </c>
      <c r="K1353" s="1">
        <f>IFERROR(__xludf.DUMMYFUNCTION("""COMPUTED_VALUE"""),74.0)</f>
        <v>74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 t="str">
        <f>IFERROR(__xludf.DUMMYFUNCTION("""COMPUTED_VALUE"""),"A")</f>
        <v>A</v>
      </c>
      <c r="E1354" s="1" t="str">
        <f>IFERROR(__xludf.DUMMYFUNCTION("""COMPUTED_VALUE"""),"Male")</f>
        <v>Male</v>
      </c>
      <c r="F1354" s="1">
        <f>IFERROR(__xludf.DUMMYFUNCTION("""COMPUTED_VALUE"""),34.0)</f>
        <v>34</v>
      </c>
      <c r="G1354" s="1">
        <f>IFERROR(__xludf.DUMMYFUNCTION("""COMPUTED_VALUE"""),82.0)</f>
        <v>82</v>
      </c>
      <c r="H1354" s="1">
        <f>IFERROR(__xludf.DUMMYFUNCTION("""COMPUTED_VALUE"""),37.0)</f>
        <v>37</v>
      </c>
      <c r="I1354" s="1">
        <f>IFERROR(__xludf.DUMMYFUNCTION("""COMPUTED_VALUE"""),99.0)</f>
        <v>99</v>
      </c>
      <c r="J1354" s="1">
        <f>IFERROR(__xludf.DUMMYFUNCTION("""COMPUTED_VALUE"""),88.0)</f>
        <v>88</v>
      </c>
      <c r="K1354" s="1">
        <f>IFERROR(__xludf.DUMMYFUNCTION("""COMPUTED_VALUE"""),43.0)</f>
        <v>43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 t="str">
        <f>IFERROR(__xludf.DUMMYFUNCTION("""COMPUTED_VALUE"""),"D")</f>
        <v>D</v>
      </c>
      <c r="E1355" s="1" t="str">
        <f>IFERROR(__xludf.DUMMYFUNCTION("""COMPUTED_VALUE"""),"Male")</f>
        <v>Male</v>
      </c>
      <c r="F1355" s="1">
        <f>IFERROR(__xludf.DUMMYFUNCTION("""COMPUTED_VALUE"""),31.0)</f>
        <v>31</v>
      </c>
      <c r="G1355" s="1">
        <f>IFERROR(__xludf.DUMMYFUNCTION("""COMPUTED_VALUE"""),96.0)</f>
        <v>96</v>
      </c>
      <c r="H1355" s="1">
        <f>IFERROR(__xludf.DUMMYFUNCTION("""COMPUTED_VALUE"""),89.0)</f>
        <v>89</v>
      </c>
      <c r="I1355" s="1">
        <f>IFERROR(__xludf.DUMMYFUNCTION("""COMPUTED_VALUE"""),72.0)</f>
        <v>72</v>
      </c>
      <c r="J1355" s="1">
        <f>IFERROR(__xludf.DUMMYFUNCTION("""COMPUTED_VALUE"""),32.0)</f>
        <v>32</v>
      </c>
      <c r="K1355" s="1">
        <f>IFERROR(__xludf.DUMMYFUNCTION("""COMPUTED_VALUE"""),95.0)</f>
        <v>95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 t="str">
        <f>IFERROR(__xludf.DUMMYFUNCTION("""COMPUTED_VALUE"""),"B")</f>
        <v>B</v>
      </c>
      <c r="E1356" s="1" t="str">
        <f>IFERROR(__xludf.DUMMYFUNCTION("""COMPUTED_VALUE"""),"Female")</f>
        <v>Female</v>
      </c>
      <c r="F1356" s="1">
        <f>IFERROR(__xludf.DUMMYFUNCTION("""COMPUTED_VALUE"""),94.0)</f>
        <v>94</v>
      </c>
      <c r="G1356" s="1">
        <f>IFERROR(__xludf.DUMMYFUNCTION("""COMPUTED_VALUE"""),60.0)</f>
        <v>60</v>
      </c>
      <c r="H1356" s="1">
        <f>IFERROR(__xludf.DUMMYFUNCTION("""COMPUTED_VALUE"""),33.0)</f>
        <v>33</v>
      </c>
      <c r="I1356" s="1">
        <f>IFERROR(__xludf.DUMMYFUNCTION("""COMPUTED_VALUE"""),24.0)</f>
        <v>24</v>
      </c>
      <c r="J1356" s="1">
        <f>IFERROR(__xludf.DUMMYFUNCTION("""COMPUTED_VALUE"""),92.0)</f>
        <v>92</v>
      </c>
      <c r="K1356" s="1">
        <f>IFERROR(__xludf.DUMMYFUNCTION("""COMPUTED_VALUE"""),31.0)</f>
        <v>31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 t="str">
        <f>IFERROR(__xludf.DUMMYFUNCTION("""COMPUTED_VALUE"""),"B")</f>
        <v>B</v>
      </c>
      <c r="E1357" s="1" t="str">
        <f>IFERROR(__xludf.DUMMYFUNCTION("""COMPUTED_VALUE"""),"Female")</f>
        <v>Female</v>
      </c>
      <c r="F1357" s="1">
        <f>IFERROR(__xludf.DUMMYFUNCTION("""COMPUTED_VALUE"""),35.0)</f>
        <v>35</v>
      </c>
      <c r="G1357" s="1">
        <f>IFERROR(__xludf.DUMMYFUNCTION("""COMPUTED_VALUE"""),83.0)</f>
        <v>83</v>
      </c>
      <c r="H1357" s="1">
        <f>IFERROR(__xludf.DUMMYFUNCTION("""COMPUTED_VALUE"""),65.0)</f>
        <v>65</v>
      </c>
      <c r="I1357" s="1">
        <f>IFERROR(__xludf.DUMMYFUNCTION("""COMPUTED_VALUE"""),82.0)</f>
        <v>82</v>
      </c>
      <c r="J1357" s="1">
        <f>IFERROR(__xludf.DUMMYFUNCTION("""COMPUTED_VALUE"""),34.0)</f>
        <v>34</v>
      </c>
      <c r="K1357" s="1">
        <f>IFERROR(__xludf.DUMMYFUNCTION("""COMPUTED_VALUE"""),36.0)</f>
        <v>36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 t="str">
        <f>IFERROR(__xludf.DUMMYFUNCTION("""COMPUTED_VALUE"""),"D")</f>
        <v>D</v>
      </c>
      <c r="E1358" s="1" t="str">
        <f>IFERROR(__xludf.DUMMYFUNCTION("""COMPUTED_VALUE"""),"Male")</f>
        <v>Male</v>
      </c>
      <c r="F1358" s="1">
        <f>IFERROR(__xludf.DUMMYFUNCTION("""COMPUTED_VALUE"""),16.0)</f>
        <v>16</v>
      </c>
      <c r="G1358" s="1">
        <f>IFERROR(__xludf.DUMMYFUNCTION("""COMPUTED_VALUE"""),84.0)</f>
        <v>84</v>
      </c>
      <c r="H1358" s="1">
        <f>IFERROR(__xludf.DUMMYFUNCTION("""COMPUTED_VALUE"""),25.0)</f>
        <v>25</v>
      </c>
      <c r="I1358" s="1">
        <f>IFERROR(__xludf.DUMMYFUNCTION("""COMPUTED_VALUE"""),84.0)</f>
        <v>84</v>
      </c>
      <c r="J1358" s="1">
        <f>IFERROR(__xludf.DUMMYFUNCTION("""COMPUTED_VALUE"""),66.0)</f>
        <v>66</v>
      </c>
      <c r="K1358" s="1">
        <f>IFERROR(__xludf.DUMMYFUNCTION("""COMPUTED_VALUE"""),99.0)</f>
        <v>99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 t="str">
        <f>IFERROR(__xludf.DUMMYFUNCTION("""COMPUTED_VALUE"""),"B")</f>
        <v>B</v>
      </c>
      <c r="E1359" s="1" t="str">
        <f>IFERROR(__xludf.DUMMYFUNCTION("""COMPUTED_VALUE"""),"Female")</f>
        <v>Female</v>
      </c>
      <c r="F1359" s="1">
        <f>IFERROR(__xludf.DUMMYFUNCTION("""COMPUTED_VALUE"""),51.0)</f>
        <v>51</v>
      </c>
      <c r="G1359" s="1">
        <f>IFERROR(__xludf.DUMMYFUNCTION("""COMPUTED_VALUE"""),35.0)</f>
        <v>35</v>
      </c>
      <c r="H1359" s="1">
        <f>IFERROR(__xludf.DUMMYFUNCTION("""COMPUTED_VALUE"""),99.0)</f>
        <v>99</v>
      </c>
      <c r="I1359" s="1">
        <f>IFERROR(__xludf.DUMMYFUNCTION("""COMPUTED_VALUE"""),71.0)</f>
        <v>71</v>
      </c>
      <c r="J1359" s="1">
        <f>IFERROR(__xludf.DUMMYFUNCTION("""COMPUTED_VALUE"""),35.0)</f>
        <v>35</v>
      </c>
      <c r="K1359" s="1">
        <f>IFERROR(__xludf.DUMMYFUNCTION("""COMPUTED_VALUE"""),23.0)</f>
        <v>23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 t="str">
        <f>IFERROR(__xludf.DUMMYFUNCTION("""COMPUTED_VALUE"""),"D")</f>
        <v>D</v>
      </c>
      <c r="E1360" s="1" t="str">
        <f>IFERROR(__xludf.DUMMYFUNCTION("""COMPUTED_VALUE"""),"Male")</f>
        <v>Male</v>
      </c>
      <c r="F1360" s="1">
        <f>IFERROR(__xludf.DUMMYFUNCTION("""COMPUTED_VALUE"""),14.0)</f>
        <v>14</v>
      </c>
      <c r="G1360" s="1">
        <f>IFERROR(__xludf.DUMMYFUNCTION("""COMPUTED_VALUE"""),95.0)</f>
        <v>95</v>
      </c>
      <c r="H1360" s="1">
        <f>IFERROR(__xludf.DUMMYFUNCTION("""COMPUTED_VALUE"""),94.0)</f>
        <v>94</v>
      </c>
      <c r="I1360" s="1">
        <f>IFERROR(__xludf.DUMMYFUNCTION("""COMPUTED_VALUE"""),35.0)</f>
        <v>35</v>
      </c>
      <c r="J1360" s="1">
        <f>IFERROR(__xludf.DUMMYFUNCTION("""COMPUTED_VALUE"""),82.0)</f>
        <v>82</v>
      </c>
      <c r="K1360" s="1">
        <f>IFERROR(__xludf.DUMMYFUNCTION("""COMPUTED_VALUE"""),93.0)</f>
        <v>93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 t="str">
        <f>IFERROR(__xludf.DUMMYFUNCTION("""COMPUTED_VALUE"""),"D")</f>
        <v>D</v>
      </c>
      <c r="E1361" s="1" t="str">
        <f>IFERROR(__xludf.DUMMYFUNCTION("""COMPUTED_VALUE"""),"Female")</f>
        <v>Female</v>
      </c>
      <c r="F1361" s="1">
        <f>IFERROR(__xludf.DUMMYFUNCTION("""COMPUTED_VALUE"""),85.0)</f>
        <v>85</v>
      </c>
      <c r="G1361" s="1">
        <f>IFERROR(__xludf.DUMMYFUNCTION("""COMPUTED_VALUE"""),62.0)</f>
        <v>62</v>
      </c>
      <c r="H1361" s="1">
        <f>IFERROR(__xludf.DUMMYFUNCTION("""COMPUTED_VALUE"""),38.0)</f>
        <v>38</v>
      </c>
      <c r="I1361" s="1">
        <f>IFERROR(__xludf.DUMMYFUNCTION("""COMPUTED_VALUE"""),60.0)</f>
        <v>60</v>
      </c>
      <c r="J1361" s="1">
        <f>IFERROR(__xludf.DUMMYFUNCTION("""COMPUTED_VALUE"""),22.0)</f>
        <v>22</v>
      </c>
      <c r="K1361" s="1">
        <f>IFERROR(__xludf.DUMMYFUNCTION("""COMPUTED_VALUE"""),46.0)</f>
        <v>46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 t="str">
        <f>IFERROR(__xludf.DUMMYFUNCTION("""COMPUTED_VALUE"""),"A")</f>
        <v>A</v>
      </c>
      <c r="E1362" s="1" t="str">
        <f>IFERROR(__xludf.DUMMYFUNCTION("""COMPUTED_VALUE"""),"Female")</f>
        <v>Female</v>
      </c>
      <c r="F1362" s="1">
        <f>IFERROR(__xludf.DUMMYFUNCTION("""COMPUTED_VALUE"""),55.0)</f>
        <v>55</v>
      </c>
      <c r="G1362" s="1">
        <f>IFERROR(__xludf.DUMMYFUNCTION("""COMPUTED_VALUE"""),21.0)</f>
        <v>21</v>
      </c>
      <c r="H1362" s="1">
        <f>IFERROR(__xludf.DUMMYFUNCTION("""COMPUTED_VALUE"""),64.0)</f>
        <v>64</v>
      </c>
      <c r="I1362" s="1">
        <f>IFERROR(__xludf.DUMMYFUNCTION("""COMPUTED_VALUE"""),40.0)</f>
        <v>40</v>
      </c>
      <c r="J1362" s="1">
        <f>IFERROR(__xludf.DUMMYFUNCTION("""COMPUTED_VALUE"""),83.0)</f>
        <v>83</v>
      </c>
      <c r="K1362" s="1">
        <f>IFERROR(__xludf.DUMMYFUNCTION("""COMPUTED_VALUE"""),79.0)</f>
        <v>79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 t="str">
        <f>IFERROR(__xludf.DUMMYFUNCTION("""COMPUTED_VALUE"""),"B")</f>
        <v>B</v>
      </c>
      <c r="E1363" s="1" t="str">
        <f>IFERROR(__xludf.DUMMYFUNCTION("""COMPUTED_VALUE"""),"Female")</f>
        <v>Female</v>
      </c>
      <c r="F1363" s="1">
        <f>IFERROR(__xludf.DUMMYFUNCTION("""COMPUTED_VALUE"""),49.0)</f>
        <v>49</v>
      </c>
      <c r="G1363" s="1">
        <f>IFERROR(__xludf.DUMMYFUNCTION("""COMPUTED_VALUE"""),37.0)</f>
        <v>37</v>
      </c>
      <c r="H1363" s="1">
        <f>IFERROR(__xludf.DUMMYFUNCTION("""COMPUTED_VALUE"""),30.0)</f>
        <v>30</v>
      </c>
      <c r="I1363" s="1">
        <f>IFERROR(__xludf.DUMMYFUNCTION("""COMPUTED_VALUE"""),35.0)</f>
        <v>35</v>
      </c>
      <c r="J1363" s="1">
        <f>IFERROR(__xludf.DUMMYFUNCTION("""COMPUTED_VALUE"""),56.0)</f>
        <v>56</v>
      </c>
      <c r="K1363" s="1">
        <f>IFERROR(__xludf.DUMMYFUNCTION("""COMPUTED_VALUE"""),43.0)</f>
        <v>43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 t="str">
        <f>IFERROR(__xludf.DUMMYFUNCTION("""COMPUTED_VALUE"""),"B")</f>
        <v>B</v>
      </c>
      <c r="E1364" s="1" t="str">
        <f>IFERROR(__xludf.DUMMYFUNCTION("""COMPUTED_VALUE"""),"Female")</f>
        <v>Female</v>
      </c>
      <c r="F1364" s="1">
        <f>IFERROR(__xludf.DUMMYFUNCTION("""COMPUTED_VALUE"""),69.0)</f>
        <v>69</v>
      </c>
      <c r="G1364" s="1">
        <f>IFERROR(__xludf.DUMMYFUNCTION("""COMPUTED_VALUE"""),68.0)</f>
        <v>68</v>
      </c>
      <c r="H1364" s="1">
        <f>IFERROR(__xludf.DUMMYFUNCTION("""COMPUTED_VALUE"""),55.0)</f>
        <v>55</v>
      </c>
      <c r="I1364" s="1">
        <f>IFERROR(__xludf.DUMMYFUNCTION("""COMPUTED_VALUE"""),82.0)</f>
        <v>82</v>
      </c>
      <c r="J1364" s="1">
        <f>IFERROR(__xludf.DUMMYFUNCTION("""COMPUTED_VALUE"""),35.0)</f>
        <v>35</v>
      </c>
      <c r="K1364" s="1">
        <f>IFERROR(__xludf.DUMMYFUNCTION("""COMPUTED_VALUE"""),61.0)</f>
        <v>61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 t="str">
        <f>IFERROR(__xludf.DUMMYFUNCTION("""COMPUTED_VALUE"""),"C")</f>
        <v>C</v>
      </c>
      <c r="E1365" s="1" t="str">
        <f>IFERROR(__xludf.DUMMYFUNCTION("""COMPUTED_VALUE"""),"Female")</f>
        <v>Female</v>
      </c>
      <c r="F1365" s="1">
        <f>IFERROR(__xludf.DUMMYFUNCTION("""COMPUTED_VALUE"""),85.0)</f>
        <v>85</v>
      </c>
      <c r="G1365" s="1">
        <f>IFERROR(__xludf.DUMMYFUNCTION("""COMPUTED_VALUE"""),85.0)</f>
        <v>85</v>
      </c>
      <c r="H1365" s="1">
        <f>IFERROR(__xludf.DUMMYFUNCTION("""COMPUTED_VALUE"""),78.0)</f>
        <v>78</v>
      </c>
      <c r="I1365" s="1">
        <f>IFERROR(__xludf.DUMMYFUNCTION("""COMPUTED_VALUE"""),43.0)</f>
        <v>43</v>
      </c>
      <c r="J1365" s="1">
        <f>IFERROR(__xludf.DUMMYFUNCTION("""COMPUTED_VALUE"""),79.0)</f>
        <v>79</v>
      </c>
      <c r="K1365" s="1">
        <f>IFERROR(__xludf.DUMMYFUNCTION("""COMPUTED_VALUE"""),40.0)</f>
        <v>40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 t="str">
        <f>IFERROR(__xludf.DUMMYFUNCTION("""COMPUTED_VALUE"""),"A")</f>
        <v>A</v>
      </c>
      <c r="E1366" s="1" t="str">
        <f>IFERROR(__xludf.DUMMYFUNCTION("""COMPUTED_VALUE"""),"Male")</f>
        <v>Male</v>
      </c>
      <c r="F1366" s="1">
        <f>IFERROR(__xludf.DUMMYFUNCTION("""COMPUTED_VALUE"""),73.0)</f>
        <v>73</v>
      </c>
      <c r="G1366" s="1">
        <f>IFERROR(__xludf.DUMMYFUNCTION("""COMPUTED_VALUE"""),32.0)</f>
        <v>32</v>
      </c>
      <c r="H1366" s="1">
        <f>IFERROR(__xludf.DUMMYFUNCTION("""COMPUTED_VALUE"""),27.0)</f>
        <v>27</v>
      </c>
      <c r="I1366" s="1">
        <f>IFERROR(__xludf.DUMMYFUNCTION("""COMPUTED_VALUE"""),73.0)</f>
        <v>73</v>
      </c>
      <c r="J1366" s="1">
        <f>IFERROR(__xludf.DUMMYFUNCTION("""COMPUTED_VALUE"""),45.0)</f>
        <v>45</v>
      </c>
      <c r="K1366" s="1">
        <f>IFERROR(__xludf.DUMMYFUNCTION("""COMPUTED_VALUE"""),75.0)</f>
        <v>75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 t="str">
        <f>IFERROR(__xludf.DUMMYFUNCTION("""COMPUTED_VALUE"""),"C")</f>
        <v>C</v>
      </c>
      <c r="E1367" s="1" t="str">
        <f>IFERROR(__xludf.DUMMYFUNCTION("""COMPUTED_VALUE"""),"Male")</f>
        <v>Male</v>
      </c>
      <c r="F1367" s="1">
        <f>IFERROR(__xludf.DUMMYFUNCTION("""COMPUTED_VALUE"""),83.0)</f>
        <v>83</v>
      </c>
      <c r="G1367" s="1">
        <f>IFERROR(__xludf.DUMMYFUNCTION("""COMPUTED_VALUE"""),56.0)</f>
        <v>56</v>
      </c>
      <c r="H1367" s="1">
        <f>IFERROR(__xludf.DUMMYFUNCTION("""COMPUTED_VALUE"""),59.0)</f>
        <v>59</v>
      </c>
      <c r="I1367" s="1">
        <f>IFERROR(__xludf.DUMMYFUNCTION("""COMPUTED_VALUE"""),93.0)</f>
        <v>93</v>
      </c>
      <c r="J1367" s="1">
        <f>IFERROR(__xludf.DUMMYFUNCTION("""COMPUTED_VALUE"""),26.0)</f>
        <v>26</v>
      </c>
      <c r="K1367" s="1">
        <f>IFERROR(__xludf.DUMMYFUNCTION("""COMPUTED_VALUE"""),81.0)</f>
        <v>81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 t="str">
        <f>IFERROR(__xludf.DUMMYFUNCTION("""COMPUTED_VALUE"""),"D")</f>
        <v>D</v>
      </c>
      <c r="E1368" s="1" t="str">
        <f>IFERROR(__xludf.DUMMYFUNCTION("""COMPUTED_VALUE"""),"Male")</f>
        <v>Male</v>
      </c>
      <c r="F1368" s="1">
        <f>IFERROR(__xludf.DUMMYFUNCTION("""COMPUTED_VALUE"""),22.0)</f>
        <v>22</v>
      </c>
      <c r="G1368" s="1">
        <f>IFERROR(__xludf.DUMMYFUNCTION("""COMPUTED_VALUE"""),40.0)</f>
        <v>40</v>
      </c>
      <c r="H1368" s="1">
        <f>IFERROR(__xludf.DUMMYFUNCTION("""COMPUTED_VALUE"""),62.0)</f>
        <v>62</v>
      </c>
      <c r="I1368" s="1">
        <f>IFERROR(__xludf.DUMMYFUNCTION("""COMPUTED_VALUE"""),22.0)</f>
        <v>22</v>
      </c>
      <c r="J1368" s="1">
        <f>IFERROR(__xludf.DUMMYFUNCTION("""COMPUTED_VALUE"""),36.0)</f>
        <v>36</v>
      </c>
      <c r="K1368" s="1">
        <f>IFERROR(__xludf.DUMMYFUNCTION("""COMPUTED_VALUE"""),22.0)</f>
        <v>22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 t="str">
        <f>IFERROR(__xludf.DUMMYFUNCTION("""COMPUTED_VALUE"""),"B")</f>
        <v>B</v>
      </c>
      <c r="E1369" s="1" t="str">
        <f>IFERROR(__xludf.DUMMYFUNCTION("""COMPUTED_VALUE"""),"Male")</f>
        <v>Male</v>
      </c>
      <c r="F1369" s="1">
        <f>IFERROR(__xludf.DUMMYFUNCTION("""COMPUTED_VALUE"""),71.0)</f>
        <v>71</v>
      </c>
      <c r="G1369" s="1">
        <f>IFERROR(__xludf.DUMMYFUNCTION("""COMPUTED_VALUE"""),50.0)</f>
        <v>50</v>
      </c>
      <c r="H1369" s="1">
        <f>IFERROR(__xludf.DUMMYFUNCTION("""COMPUTED_VALUE"""),23.0)</f>
        <v>23</v>
      </c>
      <c r="I1369" s="1">
        <f>IFERROR(__xludf.DUMMYFUNCTION("""COMPUTED_VALUE"""),90.0)</f>
        <v>90</v>
      </c>
      <c r="J1369" s="1">
        <f>IFERROR(__xludf.DUMMYFUNCTION("""COMPUTED_VALUE"""),88.0)</f>
        <v>88</v>
      </c>
      <c r="K1369" s="1">
        <f>IFERROR(__xludf.DUMMYFUNCTION("""COMPUTED_VALUE"""),61.0)</f>
        <v>61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 t="str">
        <f>IFERROR(__xludf.DUMMYFUNCTION("""COMPUTED_VALUE"""),"D")</f>
        <v>D</v>
      </c>
      <c r="E1370" s="1" t="str">
        <f>IFERROR(__xludf.DUMMYFUNCTION("""COMPUTED_VALUE"""),"Female")</f>
        <v>Female</v>
      </c>
      <c r="F1370" s="1">
        <f>IFERROR(__xludf.DUMMYFUNCTION("""COMPUTED_VALUE"""),79.0)</f>
        <v>79</v>
      </c>
      <c r="G1370" s="1">
        <f>IFERROR(__xludf.DUMMYFUNCTION("""COMPUTED_VALUE"""),31.0)</f>
        <v>31</v>
      </c>
      <c r="H1370" s="1">
        <f>IFERROR(__xludf.DUMMYFUNCTION("""COMPUTED_VALUE"""),83.0)</f>
        <v>83</v>
      </c>
      <c r="I1370" s="1">
        <f>IFERROR(__xludf.DUMMYFUNCTION("""COMPUTED_VALUE"""),51.0)</f>
        <v>51</v>
      </c>
      <c r="J1370" s="1">
        <f>IFERROR(__xludf.DUMMYFUNCTION("""COMPUTED_VALUE"""),43.0)</f>
        <v>43</v>
      </c>
      <c r="K1370" s="1">
        <f>IFERROR(__xludf.DUMMYFUNCTION("""COMPUTED_VALUE"""),76.0)</f>
        <v>76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 t="str">
        <f>IFERROR(__xludf.DUMMYFUNCTION("""COMPUTED_VALUE"""),"B")</f>
        <v>B</v>
      </c>
      <c r="E1371" s="1" t="str">
        <f>IFERROR(__xludf.DUMMYFUNCTION("""COMPUTED_VALUE"""),"Male")</f>
        <v>Male</v>
      </c>
      <c r="F1371" s="1">
        <f>IFERROR(__xludf.DUMMYFUNCTION("""COMPUTED_VALUE"""),67.0)</f>
        <v>67</v>
      </c>
      <c r="G1371" s="1">
        <f>IFERROR(__xludf.DUMMYFUNCTION("""COMPUTED_VALUE"""),35.0)</f>
        <v>35</v>
      </c>
      <c r="H1371" s="1">
        <f>IFERROR(__xludf.DUMMYFUNCTION("""COMPUTED_VALUE"""),95.0)</f>
        <v>95</v>
      </c>
      <c r="I1371" s="1">
        <f>IFERROR(__xludf.DUMMYFUNCTION("""COMPUTED_VALUE"""),63.0)</f>
        <v>63</v>
      </c>
      <c r="J1371" s="1">
        <f>IFERROR(__xludf.DUMMYFUNCTION("""COMPUTED_VALUE"""),91.0)</f>
        <v>91</v>
      </c>
      <c r="K1371" s="1">
        <f>IFERROR(__xludf.DUMMYFUNCTION("""COMPUTED_VALUE"""),26.0)</f>
        <v>26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 t="str">
        <f>IFERROR(__xludf.DUMMYFUNCTION("""COMPUTED_VALUE"""),"D")</f>
        <v>D</v>
      </c>
      <c r="E1372" s="1" t="str">
        <f>IFERROR(__xludf.DUMMYFUNCTION("""COMPUTED_VALUE"""),"Female")</f>
        <v>Female</v>
      </c>
      <c r="F1372" s="1">
        <f>IFERROR(__xludf.DUMMYFUNCTION("""COMPUTED_VALUE"""),97.0)</f>
        <v>97</v>
      </c>
      <c r="G1372" s="1">
        <f>IFERROR(__xludf.DUMMYFUNCTION("""COMPUTED_VALUE"""),88.0)</f>
        <v>88</v>
      </c>
      <c r="H1372" s="1">
        <f>IFERROR(__xludf.DUMMYFUNCTION("""COMPUTED_VALUE"""),99.0)</f>
        <v>99</v>
      </c>
      <c r="I1372" s="1">
        <f>IFERROR(__xludf.DUMMYFUNCTION("""COMPUTED_VALUE"""),39.0)</f>
        <v>39</v>
      </c>
      <c r="J1372" s="1">
        <f>IFERROR(__xludf.DUMMYFUNCTION("""COMPUTED_VALUE"""),90.0)</f>
        <v>90</v>
      </c>
      <c r="K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 t="str">
        <f>IFERROR(__xludf.DUMMYFUNCTION("""COMPUTED_VALUE"""),"C")</f>
        <v>C</v>
      </c>
      <c r="E1373" s="1" t="str">
        <f>IFERROR(__xludf.DUMMYFUNCTION("""COMPUTED_VALUE"""),"Female")</f>
        <v>Female</v>
      </c>
      <c r="F1373" s="1">
        <f>IFERROR(__xludf.DUMMYFUNCTION("""COMPUTED_VALUE"""),79.0)</f>
        <v>79</v>
      </c>
      <c r="G1373" s="1">
        <f>IFERROR(__xludf.DUMMYFUNCTION("""COMPUTED_VALUE"""),51.0)</f>
        <v>51</v>
      </c>
      <c r="H1373" s="1">
        <f>IFERROR(__xludf.DUMMYFUNCTION("""COMPUTED_VALUE"""),98.0)</f>
        <v>98</v>
      </c>
      <c r="I1373" s="1">
        <f>IFERROR(__xludf.DUMMYFUNCTION("""COMPUTED_VALUE"""),51.0)</f>
        <v>51</v>
      </c>
      <c r="J1373" s="1">
        <f>IFERROR(__xludf.DUMMYFUNCTION("""COMPUTED_VALUE"""),70.0)</f>
        <v>70</v>
      </c>
      <c r="K1373" s="1">
        <f>IFERROR(__xludf.DUMMYFUNCTION("""COMPUTED_VALUE"""),87.0)</f>
        <v>87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 t="str">
        <f>IFERROR(__xludf.DUMMYFUNCTION("""COMPUTED_VALUE"""),"A")</f>
        <v>A</v>
      </c>
      <c r="E1374" s="1" t="str">
        <f>IFERROR(__xludf.DUMMYFUNCTION("""COMPUTED_VALUE"""),"Female")</f>
        <v>Female</v>
      </c>
      <c r="F1374" s="1">
        <f>IFERROR(__xludf.DUMMYFUNCTION("""COMPUTED_VALUE"""),23.0)</f>
        <v>23</v>
      </c>
      <c r="G1374" s="1">
        <f>IFERROR(__xludf.DUMMYFUNCTION("""COMPUTED_VALUE"""),83.0)</f>
        <v>83</v>
      </c>
      <c r="H1374" s="1">
        <f>IFERROR(__xludf.DUMMYFUNCTION("""COMPUTED_VALUE"""),66.0)</f>
        <v>66</v>
      </c>
      <c r="I1374" s="1">
        <f>IFERROR(__xludf.DUMMYFUNCTION("""COMPUTED_VALUE"""),29.0)</f>
        <v>29</v>
      </c>
      <c r="J1374" s="1">
        <f>IFERROR(__xludf.DUMMYFUNCTION("""COMPUTED_VALUE"""),92.0)</f>
        <v>92</v>
      </c>
      <c r="K1374" s="1">
        <f>IFERROR(__xludf.DUMMYFUNCTION("""COMPUTED_VALUE"""),29.0)</f>
        <v>29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 t="str">
        <f>IFERROR(__xludf.DUMMYFUNCTION("""COMPUTED_VALUE"""),"C")</f>
        <v>C</v>
      </c>
      <c r="E1375" s="1" t="str">
        <f>IFERROR(__xludf.DUMMYFUNCTION("""COMPUTED_VALUE"""),"Male")</f>
        <v>Male</v>
      </c>
      <c r="F1375" s="1">
        <f>IFERROR(__xludf.DUMMYFUNCTION("""COMPUTED_VALUE"""),54.0)</f>
        <v>54</v>
      </c>
      <c r="G1375" s="1">
        <f>IFERROR(__xludf.DUMMYFUNCTION("""COMPUTED_VALUE"""),84.0)</f>
        <v>84</v>
      </c>
      <c r="H1375" s="1">
        <f>IFERROR(__xludf.DUMMYFUNCTION("""COMPUTED_VALUE"""),29.0)</f>
        <v>29</v>
      </c>
      <c r="I1375" s="1">
        <f>IFERROR(__xludf.DUMMYFUNCTION("""COMPUTED_VALUE"""),72.0)</f>
        <v>72</v>
      </c>
      <c r="J1375" s="1">
        <f>IFERROR(__xludf.DUMMYFUNCTION("""COMPUTED_VALUE"""),30.0)</f>
        <v>30</v>
      </c>
      <c r="K1375" s="1">
        <f>IFERROR(__xludf.DUMMYFUNCTION("""COMPUTED_VALUE"""),79.0)</f>
        <v>79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 t="str">
        <f>IFERROR(__xludf.DUMMYFUNCTION("""COMPUTED_VALUE"""),"B")</f>
        <v>B</v>
      </c>
      <c r="E1376" s="1" t="str">
        <f>IFERROR(__xludf.DUMMYFUNCTION("""COMPUTED_VALUE"""),"Female")</f>
        <v>Female</v>
      </c>
      <c r="F1376" s="1">
        <f>IFERROR(__xludf.DUMMYFUNCTION("""COMPUTED_VALUE"""),59.0)</f>
        <v>59</v>
      </c>
      <c r="G1376" s="1">
        <f>IFERROR(__xludf.DUMMYFUNCTION("""COMPUTED_VALUE"""),55.0)</f>
        <v>55</v>
      </c>
      <c r="H1376" s="1">
        <f>IFERROR(__xludf.DUMMYFUNCTION("""COMPUTED_VALUE"""),75.0)</f>
        <v>75</v>
      </c>
      <c r="I1376" s="1">
        <f>IFERROR(__xludf.DUMMYFUNCTION("""COMPUTED_VALUE"""),99.0)</f>
        <v>99</v>
      </c>
      <c r="J1376" s="1">
        <f>IFERROR(__xludf.DUMMYFUNCTION("""COMPUTED_VALUE"""),21.0)</f>
        <v>21</v>
      </c>
      <c r="K1376" s="1">
        <f>IFERROR(__xludf.DUMMYFUNCTION("""COMPUTED_VALUE"""),59.0)</f>
        <v>59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 t="str">
        <f>IFERROR(__xludf.DUMMYFUNCTION("""COMPUTED_VALUE"""),"B")</f>
        <v>B</v>
      </c>
      <c r="E1377" s="1" t="str">
        <f>IFERROR(__xludf.DUMMYFUNCTION("""COMPUTED_VALUE"""),"Female")</f>
        <v>Female</v>
      </c>
      <c r="F1377" s="1">
        <f>IFERROR(__xludf.DUMMYFUNCTION("""COMPUTED_VALUE"""),79.0)</f>
        <v>79</v>
      </c>
      <c r="G1377" s="1">
        <f>IFERROR(__xludf.DUMMYFUNCTION("""COMPUTED_VALUE"""),46.0)</f>
        <v>46</v>
      </c>
      <c r="H1377" s="1">
        <f>IFERROR(__xludf.DUMMYFUNCTION("""COMPUTED_VALUE"""),32.0)</f>
        <v>32</v>
      </c>
      <c r="I1377" s="1">
        <f>IFERROR(__xludf.DUMMYFUNCTION("""COMPUTED_VALUE"""),39.0)</f>
        <v>39</v>
      </c>
      <c r="J1377" s="1">
        <f>IFERROR(__xludf.DUMMYFUNCTION("""COMPUTED_VALUE"""),22.0)</f>
        <v>22</v>
      </c>
      <c r="K1377" s="1">
        <f>IFERROR(__xludf.DUMMYFUNCTION("""COMPUTED_VALUE"""),59.0)</f>
        <v>59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 t="str">
        <f>IFERROR(__xludf.DUMMYFUNCTION("""COMPUTED_VALUE"""),"C")</f>
        <v>C</v>
      </c>
      <c r="E1378" s="1" t="str">
        <f>IFERROR(__xludf.DUMMYFUNCTION("""COMPUTED_VALUE"""),"Male")</f>
        <v>Male</v>
      </c>
      <c r="F1378" s="1">
        <f>IFERROR(__xludf.DUMMYFUNCTION("""COMPUTED_VALUE"""),37.0)</f>
        <v>37</v>
      </c>
      <c r="G1378" s="1">
        <f>IFERROR(__xludf.DUMMYFUNCTION("""COMPUTED_VALUE"""),44.0)</f>
        <v>44</v>
      </c>
      <c r="H1378" s="1">
        <f>IFERROR(__xludf.DUMMYFUNCTION("""COMPUTED_VALUE"""),51.0)</f>
        <v>51</v>
      </c>
      <c r="I1378" s="1">
        <f>IFERROR(__xludf.DUMMYFUNCTION("""COMPUTED_VALUE"""),69.0)</f>
        <v>69</v>
      </c>
      <c r="J1378" s="1">
        <f>IFERROR(__xludf.DUMMYFUNCTION("""COMPUTED_VALUE"""),94.0)</f>
        <v>94</v>
      </c>
      <c r="K1378" s="1">
        <f>IFERROR(__xludf.DUMMYFUNCTION("""COMPUTED_VALUE"""),87.0)</f>
        <v>87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 t="str">
        <f>IFERROR(__xludf.DUMMYFUNCTION("""COMPUTED_VALUE"""),"B")</f>
        <v>B</v>
      </c>
      <c r="E1379" s="1" t="str">
        <f>IFERROR(__xludf.DUMMYFUNCTION("""COMPUTED_VALUE"""),"Male")</f>
        <v>Male</v>
      </c>
      <c r="F1379" s="1">
        <f>IFERROR(__xludf.DUMMYFUNCTION("""COMPUTED_VALUE"""),48.0)</f>
        <v>48</v>
      </c>
      <c r="G1379" s="1">
        <f>IFERROR(__xludf.DUMMYFUNCTION("""COMPUTED_VALUE"""),42.0)</f>
        <v>42</v>
      </c>
      <c r="H1379" s="1">
        <f>IFERROR(__xludf.DUMMYFUNCTION("""COMPUTED_VALUE"""),24.0)</f>
        <v>24</v>
      </c>
      <c r="I1379" s="1">
        <f>IFERROR(__xludf.DUMMYFUNCTION("""COMPUTED_VALUE"""),79.0)</f>
        <v>79</v>
      </c>
      <c r="J1379" s="1">
        <f>IFERROR(__xludf.DUMMYFUNCTION("""COMPUTED_VALUE"""),94.0)</f>
        <v>94</v>
      </c>
      <c r="K1379" s="1">
        <f>IFERROR(__xludf.DUMMYFUNCTION("""COMPUTED_VALUE"""),59.0)</f>
        <v>59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 t="str">
        <f>IFERROR(__xludf.DUMMYFUNCTION("""COMPUTED_VALUE"""),"D")</f>
        <v>D</v>
      </c>
      <c r="E1380" s="1" t="str">
        <f>IFERROR(__xludf.DUMMYFUNCTION("""COMPUTED_VALUE"""),"Male")</f>
        <v>Male</v>
      </c>
      <c r="F1380" s="1">
        <f>IFERROR(__xludf.DUMMYFUNCTION("""COMPUTED_VALUE"""),15.0)</f>
        <v>15</v>
      </c>
      <c r="G1380" s="1">
        <f>IFERROR(__xludf.DUMMYFUNCTION("""COMPUTED_VALUE"""),49.0)</f>
        <v>49</v>
      </c>
      <c r="H1380" s="1">
        <f>IFERROR(__xludf.DUMMYFUNCTION("""COMPUTED_VALUE"""),73.0)</f>
        <v>73</v>
      </c>
      <c r="I1380" s="1">
        <f>IFERROR(__xludf.DUMMYFUNCTION("""COMPUTED_VALUE"""),83.0)</f>
        <v>83</v>
      </c>
      <c r="J1380" s="1">
        <f>IFERROR(__xludf.DUMMYFUNCTION("""COMPUTED_VALUE"""),57.0)</f>
        <v>57</v>
      </c>
      <c r="K1380" s="1">
        <f>IFERROR(__xludf.DUMMYFUNCTION("""COMPUTED_VALUE"""),32.0)</f>
        <v>32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 t="str">
        <f>IFERROR(__xludf.DUMMYFUNCTION("""COMPUTED_VALUE"""),"A")</f>
        <v>A</v>
      </c>
      <c r="E1381" s="1" t="str">
        <f>IFERROR(__xludf.DUMMYFUNCTION("""COMPUTED_VALUE"""),"Female")</f>
        <v>Female</v>
      </c>
      <c r="F1381" s="1">
        <f>IFERROR(__xludf.DUMMYFUNCTION("""COMPUTED_VALUE"""),25.0)</f>
        <v>25</v>
      </c>
      <c r="G1381" s="1">
        <f>IFERROR(__xludf.DUMMYFUNCTION("""COMPUTED_VALUE"""),24.0)</f>
        <v>24</v>
      </c>
      <c r="H1381" s="1">
        <f>IFERROR(__xludf.DUMMYFUNCTION("""COMPUTED_VALUE"""),35.0)</f>
        <v>35</v>
      </c>
      <c r="I1381" s="1">
        <f>IFERROR(__xludf.DUMMYFUNCTION("""COMPUTED_VALUE"""),95.0)</f>
        <v>95</v>
      </c>
      <c r="J1381" s="1">
        <f>IFERROR(__xludf.DUMMYFUNCTION("""COMPUTED_VALUE"""),71.0)</f>
        <v>71</v>
      </c>
      <c r="K1381" s="1">
        <f>IFERROR(__xludf.DUMMYFUNCTION("""COMPUTED_VALUE"""),36.0)</f>
        <v>36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 t="str">
        <f>IFERROR(__xludf.DUMMYFUNCTION("""COMPUTED_VALUE"""),"A")</f>
        <v>A</v>
      </c>
      <c r="E1382" s="1" t="str">
        <f>IFERROR(__xludf.DUMMYFUNCTION("""COMPUTED_VALUE"""),"Male")</f>
        <v>Male</v>
      </c>
      <c r="F1382" s="1">
        <f>IFERROR(__xludf.DUMMYFUNCTION("""COMPUTED_VALUE"""),39.0)</f>
        <v>39</v>
      </c>
      <c r="G1382" s="1">
        <f>IFERROR(__xludf.DUMMYFUNCTION("""COMPUTED_VALUE"""),76.0)</f>
        <v>76</v>
      </c>
      <c r="H1382" s="1">
        <f>IFERROR(__xludf.DUMMYFUNCTION("""COMPUTED_VALUE"""),98.0)</f>
        <v>98</v>
      </c>
      <c r="I1382" s="1">
        <f>IFERROR(__xludf.DUMMYFUNCTION("""COMPUTED_VALUE"""),52.0)</f>
        <v>52</v>
      </c>
      <c r="J1382" s="1">
        <f>IFERROR(__xludf.DUMMYFUNCTION("""COMPUTED_VALUE"""),86.0)</f>
        <v>86</v>
      </c>
      <c r="K1382" s="1">
        <f>IFERROR(__xludf.DUMMYFUNCTION("""COMPUTED_VALUE"""),98.0)</f>
        <v>98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 t="str">
        <f>IFERROR(__xludf.DUMMYFUNCTION("""COMPUTED_VALUE"""),"D")</f>
        <v>D</v>
      </c>
      <c r="E1383" s="1" t="str">
        <f>IFERROR(__xludf.DUMMYFUNCTION("""COMPUTED_VALUE"""),"Male")</f>
        <v>Male</v>
      </c>
      <c r="F1383" s="1">
        <f>IFERROR(__xludf.DUMMYFUNCTION("""COMPUTED_VALUE"""),14.0)</f>
        <v>14</v>
      </c>
      <c r="G1383" s="1">
        <f>IFERROR(__xludf.DUMMYFUNCTION("""COMPUTED_VALUE"""),34.0)</f>
        <v>34</v>
      </c>
      <c r="H1383" s="1">
        <f>IFERROR(__xludf.DUMMYFUNCTION("""COMPUTED_VALUE"""),62.0)</f>
        <v>62</v>
      </c>
      <c r="I1383" s="1">
        <f>IFERROR(__xludf.DUMMYFUNCTION("""COMPUTED_VALUE"""),93.0)</f>
        <v>93</v>
      </c>
      <c r="J1383" s="1">
        <f>IFERROR(__xludf.DUMMYFUNCTION("""COMPUTED_VALUE"""),42.0)</f>
        <v>42</v>
      </c>
      <c r="K1383" s="1">
        <f>IFERROR(__xludf.DUMMYFUNCTION("""COMPUTED_VALUE"""),25.0)</f>
        <v>25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 t="str">
        <f>IFERROR(__xludf.DUMMYFUNCTION("""COMPUTED_VALUE"""),"D")</f>
        <v>D</v>
      </c>
      <c r="E1384" s="1" t="str">
        <f>IFERROR(__xludf.DUMMYFUNCTION("""COMPUTED_VALUE"""),"Male")</f>
        <v>Male</v>
      </c>
      <c r="F1384" s="1">
        <f>IFERROR(__xludf.DUMMYFUNCTION("""COMPUTED_VALUE"""),57.0)</f>
        <v>57</v>
      </c>
      <c r="G1384" s="1">
        <f>IFERROR(__xludf.DUMMYFUNCTION("""COMPUTED_VALUE"""),32.0)</f>
        <v>32</v>
      </c>
      <c r="H1384" s="1">
        <f>IFERROR(__xludf.DUMMYFUNCTION("""COMPUTED_VALUE"""),82.0)</f>
        <v>82</v>
      </c>
      <c r="I1384" s="1">
        <f>IFERROR(__xludf.DUMMYFUNCTION("""COMPUTED_VALUE"""),31.0)</f>
        <v>31</v>
      </c>
      <c r="J1384" s="1">
        <f>IFERROR(__xludf.DUMMYFUNCTION("""COMPUTED_VALUE"""),36.0)</f>
        <v>36</v>
      </c>
      <c r="K1384" s="1">
        <f>IFERROR(__xludf.DUMMYFUNCTION("""COMPUTED_VALUE"""),85.0)</f>
        <v>85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 t="str">
        <f>IFERROR(__xludf.DUMMYFUNCTION("""COMPUTED_VALUE"""),"B")</f>
        <v>B</v>
      </c>
      <c r="E1385" s="1" t="str">
        <f>IFERROR(__xludf.DUMMYFUNCTION("""COMPUTED_VALUE"""),"Male")</f>
        <v>Male</v>
      </c>
      <c r="F1385" s="1">
        <f>IFERROR(__xludf.DUMMYFUNCTION("""COMPUTED_VALUE"""),59.0)</f>
        <v>59</v>
      </c>
      <c r="G1385" s="1">
        <f>IFERROR(__xludf.DUMMYFUNCTION("""COMPUTED_VALUE"""),81.0)</f>
        <v>81</v>
      </c>
      <c r="H1385" s="1">
        <f>IFERROR(__xludf.DUMMYFUNCTION("""COMPUTED_VALUE"""),49.0)</f>
        <v>49</v>
      </c>
      <c r="I1385" s="1">
        <f>IFERROR(__xludf.DUMMYFUNCTION("""COMPUTED_VALUE"""),57.0)</f>
        <v>57</v>
      </c>
      <c r="J1385" s="1">
        <f>IFERROR(__xludf.DUMMYFUNCTION("""COMPUTED_VALUE"""),61.0)</f>
        <v>61</v>
      </c>
      <c r="K1385" s="1">
        <f>IFERROR(__xludf.DUMMYFUNCTION("""COMPUTED_VALUE"""),34.0)</f>
        <v>34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 t="str">
        <f>IFERROR(__xludf.DUMMYFUNCTION("""COMPUTED_VALUE"""),"A")</f>
        <v>A</v>
      </c>
      <c r="E1386" s="1" t="str">
        <f>IFERROR(__xludf.DUMMYFUNCTION("""COMPUTED_VALUE"""),"Male")</f>
        <v>Male</v>
      </c>
      <c r="F1386" s="1">
        <f>IFERROR(__xludf.DUMMYFUNCTION("""COMPUTED_VALUE"""),45.0)</f>
        <v>45</v>
      </c>
      <c r="G1386" s="1">
        <f>IFERROR(__xludf.DUMMYFUNCTION("""COMPUTED_VALUE"""),77.0)</f>
        <v>77</v>
      </c>
      <c r="H1386" s="1">
        <f>IFERROR(__xludf.DUMMYFUNCTION("""COMPUTED_VALUE"""),67.0)</f>
        <v>67</v>
      </c>
      <c r="I1386" s="1">
        <f>IFERROR(__xludf.DUMMYFUNCTION("""COMPUTED_VALUE"""),73.0)</f>
        <v>73</v>
      </c>
      <c r="J1386" s="1">
        <f>IFERROR(__xludf.DUMMYFUNCTION("""COMPUTED_VALUE"""),63.0)</f>
        <v>63</v>
      </c>
      <c r="K1386" s="1">
        <f>IFERROR(__xludf.DUMMYFUNCTION("""COMPUTED_VALUE"""),39.0)</f>
        <v>39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 t="str">
        <f>IFERROR(__xludf.DUMMYFUNCTION("""COMPUTED_VALUE"""),"C")</f>
        <v>C</v>
      </c>
      <c r="E1387" s="1" t="str">
        <f>IFERROR(__xludf.DUMMYFUNCTION("""COMPUTED_VALUE"""),"Female")</f>
        <v>Female</v>
      </c>
      <c r="F1387" s="1">
        <f>IFERROR(__xludf.DUMMYFUNCTION("""COMPUTED_VALUE"""),58.0)</f>
        <v>58</v>
      </c>
      <c r="G1387" s="1">
        <f>IFERROR(__xludf.DUMMYFUNCTION("""COMPUTED_VALUE"""),66.0)</f>
        <v>66</v>
      </c>
      <c r="H1387" s="1">
        <f>IFERROR(__xludf.DUMMYFUNCTION("""COMPUTED_VALUE"""),38.0)</f>
        <v>38</v>
      </c>
      <c r="I1387" s="1">
        <f>IFERROR(__xludf.DUMMYFUNCTION("""COMPUTED_VALUE"""),65.0)</f>
        <v>65</v>
      </c>
      <c r="J1387" s="1">
        <f>IFERROR(__xludf.DUMMYFUNCTION("""COMPUTED_VALUE"""),42.0)</f>
        <v>42</v>
      </c>
      <c r="K1387" s="1">
        <f>IFERROR(__xludf.DUMMYFUNCTION("""COMPUTED_VALUE"""),46.0)</f>
        <v>46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 t="str">
        <f>IFERROR(__xludf.DUMMYFUNCTION("""COMPUTED_VALUE"""),"A")</f>
        <v>A</v>
      </c>
      <c r="E1388" s="1" t="str">
        <f>IFERROR(__xludf.DUMMYFUNCTION("""COMPUTED_VALUE"""),"Female")</f>
        <v>Female</v>
      </c>
      <c r="F1388" s="1">
        <f>IFERROR(__xludf.DUMMYFUNCTION("""COMPUTED_VALUE"""),61.0)</f>
        <v>61</v>
      </c>
      <c r="G1388" s="1">
        <f>IFERROR(__xludf.DUMMYFUNCTION("""COMPUTED_VALUE"""),99.0)</f>
        <v>99</v>
      </c>
      <c r="H1388" s="1">
        <f>IFERROR(__xludf.DUMMYFUNCTION("""COMPUTED_VALUE"""),84.0)</f>
        <v>84</v>
      </c>
      <c r="I1388" s="1">
        <f>IFERROR(__xludf.DUMMYFUNCTION("""COMPUTED_VALUE"""),24.0)</f>
        <v>24</v>
      </c>
      <c r="J1388" s="1">
        <f>IFERROR(__xludf.DUMMYFUNCTION("""COMPUTED_VALUE"""),52.0)</f>
        <v>52</v>
      </c>
      <c r="K1388" s="1">
        <f>IFERROR(__xludf.DUMMYFUNCTION("""COMPUTED_VALUE"""),89.0)</f>
        <v>89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 t="str">
        <f>IFERROR(__xludf.DUMMYFUNCTION("""COMPUTED_VALUE"""),"C")</f>
        <v>C</v>
      </c>
      <c r="E1389" s="1" t="str">
        <f>IFERROR(__xludf.DUMMYFUNCTION("""COMPUTED_VALUE"""),"Male")</f>
        <v>Male</v>
      </c>
      <c r="F1389" s="1">
        <f>IFERROR(__xludf.DUMMYFUNCTION("""COMPUTED_VALUE"""),83.0)</f>
        <v>83</v>
      </c>
      <c r="G1389" s="1">
        <f>IFERROR(__xludf.DUMMYFUNCTION("""COMPUTED_VALUE"""),68.0)</f>
        <v>68</v>
      </c>
      <c r="H1389" s="1">
        <f>IFERROR(__xludf.DUMMYFUNCTION("""COMPUTED_VALUE"""),70.0)</f>
        <v>70</v>
      </c>
      <c r="I1389" s="1">
        <f>IFERROR(__xludf.DUMMYFUNCTION("""COMPUTED_VALUE"""),87.0)</f>
        <v>87</v>
      </c>
      <c r="J1389" s="1">
        <f>IFERROR(__xludf.DUMMYFUNCTION("""COMPUTED_VALUE"""),40.0)</f>
        <v>40</v>
      </c>
      <c r="K1389" s="1">
        <f>IFERROR(__xludf.DUMMYFUNCTION("""COMPUTED_VALUE"""),62.0)</f>
        <v>62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 t="str">
        <f>IFERROR(__xludf.DUMMYFUNCTION("""COMPUTED_VALUE"""),"C")</f>
        <v>C</v>
      </c>
      <c r="E1390" s="1" t="str">
        <f>IFERROR(__xludf.DUMMYFUNCTION("""COMPUTED_VALUE"""),"Male")</f>
        <v>Male</v>
      </c>
      <c r="F1390" s="1">
        <f>IFERROR(__xludf.DUMMYFUNCTION("""COMPUTED_VALUE"""),18.0)</f>
        <v>18</v>
      </c>
      <c r="G1390" s="1">
        <f>IFERROR(__xludf.DUMMYFUNCTION("""COMPUTED_VALUE"""),41.0)</f>
        <v>41</v>
      </c>
      <c r="H1390" s="1">
        <f>IFERROR(__xludf.DUMMYFUNCTION("""COMPUTED_VALUE"""),81.0)</f>
        <v>81</v>
      </c>
      <c r="I1390" s="1">
        <f>IFERROR(__xludf.DUMMYFUNCTION("""COMPUTED_VALUE"""),24.0)</f>
        <v>24</v>
      </c>
      <c r="J1390" s="1">
        <f>IFERROR(__xludf.DUMMYFUNCTION("""COMPUTED_VALUE"""),94.0)</f>
        <v>94</v>
      </c>
      <c r="K1390" s="1">
        <f>IFERROR(__xludf.DUMMYFUNCTION("""COMPUTED_VALUE"""),47.0)</f>
        <v>47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 t="str">
        <f>IFERROR(__xludf.DUMMYFUNCTION("""COMPUTED_VALUE"""),"A")</f>
        <v>A</v>
      </c>
      <c r="E1391" s="1" t="str">
        <f>IFERROR(__xludf.DUMMYFUNCTION("""COMPUTED_VALUE"""),"Female")</f>
        <v>Female</v>
      </c>
      <c r="F1391" s="1">
        <f>IFERROR(__xludf.DUMMYFUNCTION("""COMPUTED_VALUE"""),80.0)</f>
        <v>80</v>
      </c>
      <c r="G1391" s="1">
        <f>IFERROR(__xludf.DUMMYFUNCTION("""COMPUTED_VALUE"""),82.0)</f>
        <v>82</v>
      </c>
      <c r="H1391" s="1">
        <f>IFERROR(__xludf.DUMMYFUNCTION("""COMPUTED_VALUE"""),21.0)</f>
        <v>21</v>
      </c>
      <c r="I1391" s="1">
        <f>IFERROR(__xludf.DUMMYFUNCTION("""COMPUTED_VALUE"""),55.0)</f>
        <v>55</v>
      </c>
      <c r="J1391" s="1">
        <f>IFERROR(__xludf.DUMMYFUNCTION("""COMPUTED_VALUE"""),76.0)</f>
        <v>76</v>
      </c>
      <c r="K1391" s="1">
        <f>IFERROR(__xludf.DUMMYFUNCTION("""COMPUTED_VALUE"""),44.0)</f>
        <v>44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 t="str">
        <f>IFERROR(__xludf.DUMMYFUNCTION("""COMPUTED_VALUE"""),"B")</f>
        <v>B</v>
      </c>
      <c r="E1392" s="1" t="str">
        <f>IFERROR(__xludf.DUMMYFUNCTION("""COMPUTED_VALUE"""),"Female")</f>
        <v>Female</v>
      </c>
      <c r="F1392" s="1">
        <f>IFERROR(__xludf.DUMMYFUNCTION("""COMPUTED_VALUE"""),30.0)</f>
        <v>30</v>
      </c>
      <c r="G1392" s="1">
        <f>IFERROR(__xludf.DUMMYFUNCTION("""COMPUTED_VALUE"""),66.0)</f>
        <v>66</v>
      </c>
      <c r="H1392" s="1">
        <f>IFERROR(__xludf.DUMMYFUNCTION("""COMPUTED_VALUE"""),26.0)</f>
        <v>26</v>
      </c>
      <c r="I1392" s="1">
        <f>IFERROR(__xludf.DUMMYFUNCTION("""COMPUTED_VALUE"""),77.0)</f>
        <v>77</v>
      </c>
      <c r="J1392" s="1">
        <f>IFERROR(__xludf.DUMMYFUNCTION("""COMPUTED_VALUE"""),49.0)</f>
        <v>49</v>
      </c>
      <c r="K1392" s="1">
        <f>IFERROR(__xludf.DUMMYFUNCTION("""COMPUTED_VALUE"""),62.0)</f>
        <v>62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 t="str">
        <f>IFERROR(__xludf.DUMMYFUNCTION("""COMPUTED_VALUE"""),"D")</f>
        <v>D</v>
      </c>
      <c r="E1393" s="1" t="str">
        <f>IFERROR(__xludf.DUMMYFUNCTION("""COMPUTED_VALUE"""),"Female")</f>
        <v>Female</v>
      </c>
      <c r="F1393" s="1">
        <f>IFERROR(__xludf.DUMMYFUNCTION("""COMPUTED_VALUE"""),86.0)</f>
        <v>86</v>
      </c>
      <c r="G1393" s="1">
        <f>IFERROR(__xludf.DUMMYFUNCTION("""COMPUTED_VALUE"""),88.0)</f>
        <v>88</v>
      </c>
      <c r="H1393" s="1">
        <f>IFERROR(__xludf.DUMMYFUNCTION("""COMPUTED_VALUE"""),55.0)</f>
        <v>55</v>
      </c>
      <c r="I1393" s="1">
        <f>IFERROR(__xludf.DUMMYFUNCTION("""COMPUTED_VALUE"""),70.0)</f>
        <v>70</v>
      </c>
      <c r="J1393" s="1">
        <f>IFERROR(__xludf.DUMMYFUNCTION("""COMPUTED_VALUE"""),45.0)</f>
        <v>45</v>
      </c>
      <c r="K1393" s="1">
        <f>IFERROR(__xludf.DUMMYFUNCTION("""COMPUTED_VALUE"""),49.0)</f>
        <v>49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 t="str">
        <f>IFERROR(__xludf.DUMMYFUNCTION("""COMPUTED_VALUE"""),"A")</f>
        <v>A</v>
      </c>
      <c r="E1394" s="1" t="str">
        <f>IFERROR(__xludf.DUMMYFUNCTION("""COMPUTED_VALUE"""),"Male")</f>
        <v>Male</v>
      </c>
      <c r="F1394" s="1">
        <f>IFERROR(__xludf.DUMMYFUNCTION("""COMPUTED_VALUE"""),15.0)</f>
        <v>15</v>
      </c>
      <c r="G1394" s="1">
        <f>IFERROR(__xludf.DUMMYFUNCTION("""COMPUTED_VALUE"""),60.0)</f>
        <v>60</v>
      </c>
      <c r="H1394" s="1">
        <f>IFERROR(__xludf.DUMMYFUNCTION("""COMPUTED_VALUE"""),25.0)</f>
        <v>25</v>
      </c>
      <c r="I1394" s="1">
        <f>IFERROR(__xludf.DUMMYFUNCTION("""COMPUTED_VALUE"""),93.0)</f>
        <v>93</v>
      </c>
      <c r="J1394" s="1">
        <f>IFERROR(__xludf.DUMMYFUNCTION("""COMPUTED_VALUE"""),40.0)</f>
        <v>40</v>
      </c>
      <c r="K1394" s="1">
        <f>IFERROR(__xludf.DUMMYFUNCTION("""COMPUTED_VALUE"""),92.0)</f>
        <v>92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 t="str">
        <f>IFERROR(__xludf.DUMMYFUNCTION("""COMPUTED_VALUE"""),"C")</f>
        <v>C</v>
      </c>
      <c r="E1395" s="1" t="str">
        <f>IFERROR(__xludf.DUMMYFUNCTION("""COMPUTED_VALUE"""),"Female")</f>
        <v>Female</v>
      </c>
      <c r="F1395" s="1">
        <f>IFERROR(__xludf.DUMMYFUNCTION("""COMPUTED_VALUE"""),61.0)</f>
        <v>61</v>
      </c>
      <c r="G1395" s="1">
        <f>IFERROR(__xludf.DUMMYFUNCTION("""COMPUTED_VALUE"""),31.0)</f>
        <v>31</v>
      </c>
      <c r="H1395" s="1">
        <f>IFERROR(__xludf.DUMMYFUNCTION("""COMPUTED_VALUE"""),74.0)</f>
        <v>74</v>
      </c>
      <c r="I1395" s="1">
        <f>IFERROR(__xludf.DUMMYFUNCTION("""COMPUTED_VALUE"""),50.0)</f>
        <v>50</v>
      </c>
      <c r="J1395" s="1">
        <f>IFERROR(__xludf.DUMMYFUNCTION("""COMPUTED_VALUE"""),64.0)</f>
        <v>64</v>
      </c>
      <c r="K1395" s="1">
        <f>IFERROR(__xludf.DUMMYFUNCTION("""COMPUTED_VALUE"""),93.0)</f>
        <v>93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 t="str">
        <f>IFERROR(__xludf.DUMMYFUNCTION("""COMPUTED_VALUE"""),"D")</f>
        <v>D</v>
      </c>
      <c r="E1396" s="1" t="str">
        <f>IFERROR(__xludf.DUMMYFUNCTION("""COMPUTED_VALUE"""),"Female")</f>
        <v>Female</v>
      </c>
      <c r="F1396" s="1">
        <f>IFERROR(__xludf.DUMMYFUNCTION("""COMPUTED_VALUE"""),23.0)</f>
        <v>23</v>
      </c>
      <c r="G1396" s="1">
        <f>IFERROR(__xludf.DUMMYFUNCTION("""COMPUTED_VALUE"""),40.0)</f>
        <v>40</v>
      </c>
      <c r="H1396" s="1">
        <f>IFERROR(__xludf.DUMMYFUNCTION("""COMPUTED_VALUE"""),74.0)</f>
        <v>74</v>
      </c>
      <c r="I1396" s="1">
        <f>IFERROR(__xludf.DUMMYFUNCTION("""COMPUTED_VALUE"""),75.0)</f>
        <v>75</v>
      </c>
      <c r="J1396" s="1">
        <f>IFERROR(__xludf.DUMMYFUNCTION("""COMPUTED_VALUE"""),76.0)</f>
        <v>76</v>
      </c>
      <c r="K1396" s="1">
        <f>IFERROR(__xludf.DUMMYFUNCTION("""COMPUTED_VALUE"""),33.0)</f>
        <v>33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 t="str">
        <f>IFERROR(__xludf.DUMMYFUNCTION("""COMPUTED_VALUE"""),"B")</f>
        <v>B</v>
      </c>
      <c r="E1397" s="1" t="str">
        <f>IFERROR(__xludf.DUMMYFUNCTION("""COMPUTED_VALUE"""),"Male")</f>
        <v>Male</v>
      </c>
      <c r="F1397" s="1">
        <f>IFERROR(__xludf.DUMMYFUNCTION("""COMPUTED_VALUE"""),54.0)</f>
        <v>54</v>
      </c>
      <c r="G1397" s="1">
        <f>IFERROR(__xludf.DUMMYFUNCTION("""COMPUTED_VALUE"""),66.0)</f>
        <v>66</v>
      </c>
      <c r="H1397" s="1">
        <f>IFERROR(__xludf.DUMMYFUNCTION("""COMPUTED_VALUE"""),20.0)</f>
        <v>20</v>
      </c>
      <c r="I1397" s="1">
        <f>IFERROR(__xludf.DUMMYFUNCTION("""COMPUTED_VALUE"""),92.0)</f>
        <v>92</v>
      </c>
      <c r="J1397" s="1">
        <f>IFERROR(__xludf.DUMMYFUNCTION("""COMPUTED_VALUE"""),34.0)</f>
        <v>34</v>
      </c>
      <c r="K1397" s="1">
        <f>IFERROR(__xludf.DUMMYFUNCTION("""COMPUTED_VALUE"""),31.0)</f>
        <v>31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 t="str">
        <f>IFERROR(__xludf.DUMMYFUNCTION("""COMPUTED_VALUE"""),"D")</f>
        <v>D</v>
      </c>
      <c r="E1398" s="1" t="str">
        <f>IFERROR(__xludf.DUMMYFUNCTION("""COMPUTED_VALUE"""),"Female")</f>
        <v>Female</v>
      </c>
      <c r="F1398" s="1">
        <f>IFERROR(__xludf.DUMMYFUNCTION("""COMPUTED_VALUE"""),21.0)</f>
        <v>21</v>
      </c>
      <c r="G1398" s="1">
        <f>IFERROR(__xludf.DUMMYFUNCTION("""COMPUTED_VALUE"""),57.0)</f>
        <v>57</v>
      </c>
      <c r="H1398" s="1">
        <f>IFERROR(__xludf.DUMMYFUNCTION("""COMPUTED_VALUE"""),47.0)</f>
        <v>47</v>
      </c>
      <c r="I1398" s="1">
        <f>IFERROR(__xludf.DUMMYFUNCTION("""COMPUTED_VALUE"""),49.0)</f>
        <v>49</v>
      </c>
      <c r="J1398" s="1">
        <f>IFERROR(__xludf.DUMMYFUNCTION("""COMPUTED_VALUE"""),96.0)</f>
        <v>96</v>
      </c>
      <c r="K1398" s="1">
        <f>IFERROR(__xludf.DUMMYFUNCTION("""COMPUTED_VALUE"""),69.0)</f>
        <v>69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 t="str">
        <f>IFERROR(__xludf.DUMMYFUNCTION("""COMPUTED_VALUE"""),"B")</f>
        <v>B</v>
      </c>
      <c r="E1399" s="1" t="str">
        <f>IFERROR(__xludf.DUMMYFUNCTION("""COMPUTED_VALUE"""),"Female")</f>
        <v>Female</v>
      </c>
      <c r="F1399" s="1">
        <f>IFERROR(__xludf.DUMMYFUNCTION("""COMPUTED_VALUE"""),12.0)</f>
        <v>12</v>
      </c>
      <c r="G1399" s="1">
        <f>IFERROR(__xludf.DUMMYFUNCTION("""COMPUTED_VALUE"""),28.0)</f>
        <v>28</v>
      </c>
      <c r="H1399" s="1">
        <f>IFERROR(__xludf.DUMMYFUNCTION("""COMPUTED_VALUE"""),83.0)</f>
        <v>83</v>
      </c>
      <c r="I1399" s="1">
        <f>IFERROR(__xludf.DUMMYFUNCTION("""COMPUTED_VALUE"""),24.0)</f>
        <v>24</v>
      </c>
      <c r="J1399" s="1">
        <f>IFERROR(__xludf.DUMMYFUNCTION("""COMPUTED_VALUE"""),81.0)</f>
        <v>81</v>
      </c>
      <c r="K1399" s="1">
        <f>IFERROR(__xludf.DUMMYFUNCTION("""COMPUTED_VALUE"""),31.0)</f>
        <v>31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 t="str">
        <f>IFERROR(__xludf.DUMMYFUNCTION("""COMPUTED_VALUE"""),"B")</f>
        <v>B</v>
      </c>
      <c r="E1400" s="1" t="str">
        <f>IFERROR(__xludf.DUMMYFUNCTION("""COMPUTED_VALUE"""),"Male")</f>
        <v>Male</v>
      </c>
      <c r="F1400" s="1">
        <f>IFERROR(__xludf.DUMMYFUNCTION("""COMPUTED_VALUE"""),99.0)</f>
        <v>99</v>
      </c>
      <c r="G1400" s="1">
        <f>IFERROR(__xludf.DUMMYFUNCTION("""COMPUTED_VALUE"""),51.0)</f>
        <v>51</v>
      </c>
      <c r="H1400" s="1">
        <f>IFERROR(__xludf.DUMMYFUNCTION("""COMPUTED_VALUE"""),54.0)</f>
        <v>54</v>
      </c>
      <c r="I1400" s="1">
        <f>IFERROR(__xludf.DUMMYFUNCTION("""COMPUTED_VALUE"""),61.0)</f>
        <v>61</v>
      </c>
      <c r="J1400" s="1">
        <f>IFERROR(__xludf.DUMMYFUNCTION("""COMPUTED_VALUE"""),30.0)</f>
        <v>30</v>
      </c>
      <c r="K1400" s="1">
        <f>IFERROR(__xludf.DUMMYFUNCTION("""COMPUTED_VALUE"""),81.0)</f>
        <v>81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 t="str">
        <f>IFERROR(__xludf.DUMMYFUNCTION("""COMPUTED_VALUE"""),"B")</f>
        <v>B</v>
      </c>
      <c r="E1401" s="1" t="str">
        <f>IFERROR(__xludf.DUMMYFUNCTION("""COMPUTED_VALUE"""),"Male")</f>
        <v>Male</v>
      </c>
      <c r="F1401" s="1">
        <f>IFERROR(__xludf.DUMMYFUNCTION("""COMPUTED_VALUE"""),22.0)</f>
        <v>22</v>
      </c>
      <c r="G1401" s="1">
        <f>IFERROR(__xludf.DUMMYFUNCTION("""COMPUTED_VALUE"""),88.0)</f>
        <v>88</v>
      </c>
      <c r="H1401" s="1">
        <f>IFERROR(__xludf.DUMMYFUNCTION("""COMPUTED_VALUE"""),25.0)</f>
        <v>25</v>
      </c>
      <c r="I1401" s="1">
        <f>IFERROR(__xludf.DUMMYFUNCTION("""COMPUTED_VALUE"""),45.0)</f>
        <v>45</v>
      </c>
      <c r="J1401" s="1">
        <f>IFERROR(__xludf.DUMMYFUNCTION("""COMPUTED_VALUE"""),26.0)</f>
        <v>26</v>
      </c>
      <c r="K1401" s="1">
        <f>IFERROR(__xludf.DUMMYFUNCTION("""COMPUTED_VALUE"""),31.0)</f>
        <v>31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 t="str">
        <f>IFERROR(__xludf.DUMMYFUNCTION("""COMPUTED_VALUE"""),"A")</f>
        <v>A</v>
      </c>
      <c r="E1402" s="1" t="str">
        <f>IFERROR(__xludf.DUMMYFUNCTION("""COMPUTED_VALUE"""),"Male")</f>
        <v>Male</v>
      </c>
      <c r="F1402" s="1">
        <f>IFERROR(__xludf.DUMMYFUNCTION("""COMPUTED_VALUE"""),17.0)</f>
        <v>17</v>
      </c>
      <c r="G1402" s="1">
        <f>IFERROR(__xludf.DUMMYFUNCTION("""COMPUTED_VALUE"""),85.0)</f>
        <v>85</v>
      </c>
      <c r="H1402" s="1">
        <f>IFERROR(__xludf.DUMMYFUNCTION("""COMPUTED_VALUE"""),45.0)</f>
        <v>45</v>
      </c>
      <c r="I1402" s="1">
        <f>IFERROR(__xludf.DUMMYFUNCTION("""COMPUTED_VALUE"""),65.0)</f>
        <v>65</v>
      </c>
      <c r="J1402" s="1">
        <f>IFERROR(__xludf.DUMMYFUNCTION("""COMPUTED_VALUE"""),97.0)</f>
        <v>97</v>
      </c>
      <c r="K1402" s="1">
        <f>IFERROR(__xludf.DUMMYFUNCTION("""COMPUTED_VALUE"""),55.0)</f>
        <v>55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 t="str">
        <f>IFERROR(__xludf.DUMMYFUNCTION("""COMPUTED_VALUE"""),"B")</f>
        <v>B</v>
      </c>
      <c r="E1403" s="1" t="str">
        <f>IFERROR(__xludf.DUMMYFUNCTION("""COMPUTED_VALUE"""),"Male")</f>
        <v>Male</v>
      </c>
      <c r="F1403" s="1">
        <f>IFERROR(__xludf.DUMMYFUNCTION("""COMPUTED_VALUE"""),82.0)</f>
        <v>82</v>
      </c>
      <c r="G1403" s="1">
        <f>IFERROR(__xludf.DUMMYFUNCTION("""COMPUTED_VALUE"""),72.0)</f>
        <v>72</v>
      </c>
      <c r="H1403" s="1">
        <f>IFERROR(__xludf.DUMMYFUNCTION("""COMPUTED_VALUE"""),68.0)</f>
        <v>68</v>
      </c>
      <c r="I1403" s="1">
        <f>IFERROR(__xludf.DUMMYFUNCTION("""COMPUTED_VALUE"""),52.0)</f>
        <v>52</v>
      </c>
      <c r="J1403" s="1">
        <f>IFERROR(__xludf.DUMMYFUNCTION("""COMPUTED_VALUE"""),58.0)</f>
        <v>58</v>
      </c>
      <c r="K1403" s="1">
        <f>IFERROR(__xludf.DUMMYFUNCTION("""COMPUTED_VALUE"""),79.0)</f>
        <v>79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 t="str">
        <f>IFERROR(__xludf.DUMMYFUNCTION("""COMPUTED_VALUE"""),"D")</f>
        <v>D</v>
      </c>
      <c r="E1404" s="1" t="str">
        <f>IFERROR(__xludf.DUMMYFUNCTION("""COMPUTED_VALUE"""),"Male")</f>
        <v>Male</v>
      </c>
      <c r="F1404" s="1">
        <f>IFERROR(__xludf.DUMMYFUNCTION("""COMPUTED_VALUE"""),70.0)</f>
        <v>70</v>
      </c>
      <c r="G1404" s="1">
        <f>IFERROR(__xludf.DUMMYFUNCTION("""COMPUTED_VALUE"""),95.0)</f>
        <v>95</v>
      </c>
      <c r="H1404" s="1">
        <f>IFERROR(__xludf.DUMMYFUNCTION("""COMPUTED_VALUE"""),30.0)</f>
        <v>30</v>
      </c>
      <c r="I1404" s="1">
        <f>IFERROR(__xludf.DUMMYFUNCTION("""COMPUTED_VALUE"""),32.0)</f>
        <v>32</v>
      </c>
      <c r="J1404" s="1">
        <f>IFERROR(__xludf.DUMMYFUNCTION("""COMPUTED_VALUE"""),46.0)</f>
        <v>46</v>
      </c>
      <c r="K1404" s="1">
        <f>IFERROR(__xludf.DUMMYFUNCTION("""COMPUTED_VALUE"""),68.0)</f>
        <v>68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 t="str">
        <f>IFERROR(__xludf.DUMMYFUNCTION("""COMPUTED_VALUE"""),"B")</f>
        <v>B</v>
      </c>
      <c r="E1405" s="1" t="str">
        <f>IFERROR(__xludf.DUMMYFUNCTION("""COMPUTED_VALUE"""),"Male")</f>
        <v>Male</v>
      </c>
      <c r="F1405" s="1">
        <f>IFERROR(__xludf.DUMMYFUNCTION("""COMPUTED_VALUE"""),44.0)</f>
        <v>44</v>
      </c>
      <c r="G1405" s="1">
        <f>IFERROR(__xludf.DUMMYFUNCTION("""COMPUTED_VALUE"""),99.0)</f>
        <v>99</v>
      </c>
      <c r="H1405" s="1">
        <f>IFERROR(__xludf.DUMMYFUNCTION("""COMPUTED_VALUE"""),92.0)</f>
        <v>92</v>
      </c>
      <c r="I1405" s="1">
        <f>IFERROR(__xludf.DUMMYFUNCTION("""COMPUTED_VALUE"""),78.0)</f>
        <v>78</v>
      </c>
      <c r="J1405" s="1">
        <f>IFERROR(__xludf.DUMMYFUNCTION("""COMPUTED_VALUE"""),79.0)</f>
        <v>79</v>
      </c>
      <c r="K1405" s="1">
        <f>IFERROR(__xludf.DUMMYFUNCTION("""COMPUTED_VALUE"""),57.0)</f>
        <v>57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 t="str">
        <f>IFERROR(__xludf.DUMMYFUNCTION("""COMPUTED_VALUE"""),"A")</f>
        <v>A</v>
      </c>
      <c r="E1406" s="1" t="str">
        <f>IFERROR(__xludf.DUMMYFUNCTION("""COMPUTED_VALUE"""),"Male")</f>
        <v>Male</v>
      </c>
      <c r="F1406" s="1">
        <f>IFERROR(__xludf.DUMMYFUNCTION("""COMPUTED_VALUE"""),17.0)</f>
        <v>17</v>
      </c>
      <c r="G1406" s="1">
        <f>IFERROR(__xludf.DUMMYFUNCTION("""COMPUTED_VALUE"""),74.0)</f>
        <v>74</v>
      </c>
      <c r="H1406" s="1">
        <f>IFERROR(__xludf.DUMMYFUNCTION("""COMPUTED_VALUE"""),95.0)</f>
        <v>95</v>
      </c>
      <c r="I1406" s="1">
        <f>IFERROR(__xludf.DUMMYFUNCTION("""COMPUTED_VALUE"""),99.0)</f>
        <v>99</v>
      </c>
      <c r="J1406" s="1">
        <f>IFERROR(__xludf.DUMMYFUNCTION("""COMPUTED_VALUE"""),23.0)</f>
        <v>23</v>
      </c>
      <c r="K1406" s="1">
        <f>IFERROR(__xludf.DUMMYFUNCTION("""COMPUTED_VALUE"""),59.0)</f>
        <v>59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 t="str">
        <f>IFERROR(__xludf.DUMMYFUNCTION("""COMPUTED_VALUE"""),"B")</f>
        <v>B</v>
      </c>
      <c r="E1407" s="1" t="str">
        <f>IFERROR(__xludf.DUMMYFUNCTION("""COMPUTED_VALUE"""),"Female")</f>
        <v>Female</v>
      </c>
      <c r="F1407" s="1">
        <f>IFERROR(__xludf.DUMMYFUNCTION("""COMPUTED_VALUE"""),78.0)</f>
        <v>78</v>
      </c>
      <c r="G1407" s="1">
        <f>IFERROR(__xludf.DUMMYFUNCTION("""COMPUTED_VALUE"""),47.0)</f>
        <v>47</v>
      </c>
      <c r="H1407" s="1">
        <f>IFERROR(__xludf.DUMMYFUNCTION("""COMPUTED_VALUE"""),89.0)</f>
        <v>89</v>
      </c>
      <c r="I1407" s="1">
        <f>IFERROR(__xludf.DUMMYFUNCTION("""COMPUTED_VALUE"""),49.0)</f>
        <v>49</v>
      </c>
      <c r="J1407" s="1">
        <f>IFERROR(__xludf.DUMMYFUNCTION("""COMPUTED_VALUE"""),74.0)</f>
        <v>74</v>
      </c>
      <c r="K1407" s="1">
        <f>IFERROR(__xludf.DUMMYFUNCTION("""COMPUTED_VALUE"""),31.0)</f>
        <v>31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 t="str">
        <f>IFERROR(__xludf.DUMMYFUNCTION("""COMPUTED_VALUE"""),"B")</f>
        <v>B</v>
      </c>
      <c r="E1408" s="1" t="str">
        <f>IFERROR(__xludf.DUMMYFUNCTION("""COMPUTED_VALUE"""),"Female")</f>
        <v>Female</v>
      </c>
      <c r="F1408" s="1">
        <f>IFERROR(__xludf.DUMMYFUNCTION("""COMPUTED_VALUE"""),70.0)</f>
        <v>70</v>
      </c>
      <c r="G1408" s="1">
        <f>IFERROR(__xludf.DUMMYFUNCTION("""COMPUTED_VALUE"""),84.0)</f>
        <v>84</v>
      </c>
      <c r="H1408" s="1">
        <f>IFERROR(__xludf.DUMMYFUNCTION("""COMPUTED_VALUE"""),20.0)</f>
        <v>20</v>
      </c>
      <c r="I1408" s="1">
        <f>IFERROR(__xludf.DUMMYFUNCTION("""COMPUTED_VALUE"""),66.0)</f>
        <v>66</v>
      </c>
      <c r="J1408" s="1">
        <f>IFERROR(__xludf.DUMMYFUNCTION("""COMPUTED_VALUE"""),80.0)</f>
        <v>80</v>
      </c>
      <c r="K1408" s="1">
        <f>IFERROR(__xludf.DUMMYFUNCTION("""COMPUTED_VALUE"""),36.0)</f>
        <v>36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 t="str">
        <f>IFERROR(__xludf.DUMMYFUNCTION("""COMPUTED_VALUE"""),"C")</f>
        <v>C</v>
      </c>
      <c r="E1409" s="1" t="str">
        <f>IFERROR(__xludf.DUMMYFUNCTION("""COMPUTED_VALUE"""),"Female")</f>
        <v>Female</v>
      </c>
      <c r="F1409" s="1">
        <f>IFERROR(__xludf.DUMMYFUNCTION("""COMPUTED_VALUE"""),10.0)</f>
        <v>10</v>
      </c>
      <c r="G1409" s="1">
        <f>IFERROR(__xludf.DUMMYFUNCTION("""COMPUTED_VALUE"""),61.0)</f>
        <v>61</v>
      </c>
      <c r="H1409" s="1">
        <f>IFERROR(__xludf.DUMMYFUNCTION("""COMPUTED_VALUE"""),95.0)</f>
        <v>95</v>
      </c>
      <c r="I1409" s="1">
        <f>IFERROR(__xludf.DUMMYFUNCTION("""COMPUTED_VALUE"""),67.0)</f>
        <v>67</v>
      </c>
      <c r="J1409" s="1">
        <f>IFERROR(__xludf.DUMMYFUNCTION("""COMPUTED_VALUE"""),44.0)</f>
        <v>44</v>
      </c>
      <c r="K1409" s="1">
        <f>IFERROR(__xludf.DUMMYFUNCTION("""COMPUTED_VALUE"""),48.0)</f>
        <v>48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 t="str">
        <f>IFERROR(__xludf.DUMMYFUNCTION("""COMPUTED_VALUE"""),"A")</f>
        <v>A</v>
      </c>
      <c r="E1410" s="1" t="str">
        <f>IFERROR(__xludf.DUMMYFUNCTION("""COMPUTED_VALUE"""),"Female")</f>
        <v>Female</v>
      </c>
      <c r="F1410" s="1">
        <f>IFERROR(__xludf.DUMMYFUNCTION("""COMPUTED_VALUE"""),63.0)</f>
        <v>63</v>
      </c>
      <c r="G1410" s="1">
        <f>IFERROR(__xludf.DUMMYFUNCTION("""COMPUTED_VALUE"""),75.0)</f>
        <v>75</v>
      </c>
      <c r="H1410" s="1">
        <f>IFERROR(__xludf.DUMMYFUNCTION("""COMPUTED_VALUE"""),84.0)</f>
        <v>84</v>
      </c>
      <c r="I1410" s="1">
        <f>IFERROR(__xludf.DUMMYFUNCTION("""COMPUTED_VALUE"""),81.0)</f>
        <v>81</v>
      </c>
      <c r="J1410" s="1">
        <f>IFERROR(__xludf.DUMMYFUNCTION("""COMPUTED_VALUE"""),73.0)</f>
        <v>73</v>
      </c>
      <c r="K1410" s="1">
        <f>IFERROR(__xludf.DUMMYFUNCTION("""COMPUTED_VALUE"""),56.0)</f>
        <v>56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 t="str">
        <f>IFERROR(__xludf.DUMMYFUNCTION("""COMPUTED_VALUE"""),"C")</f>
        <v>C</v>
      </c>
      <c r="E1411" s="1" t="str">
        <f>IFERROR(__xludf.DUMMYFUNCTION("""COMPUTED_VALUE"""),"Female")</f>
        <v>Female</v>
      </c>
      <c r="F1411" s="1">
        <f>IFERROR(__xludf.DUMMYFUNCTION("""COMPUTED_VALUE"""),66.0)</f>
        <v>66</v>
      </c>
      <c r="G1411" s="1">
        <f>IFERROR(__xludf.DUMMYFUNCTION("""COMPUTED_VALUE"""),76.0)</f>
        <v>76</v>
      </c>
      <c r="H1411" s="1">
        <f>IFERROR(__xludf.DUMMYFUNCTION("""COMPUTED_VALUE"""),97.0)</f>
        <v>97</v>
      </c>
      <c r="I1411" s="1">
        <f>IFERROR(__xludf.DUMMYFUNCTION("""COMPUTED_VALUE"""),37.0)</f>
        <v>37</v>
      </c>
      <c r="J1411" s="1">
        <f>IFERROR(__xludf.DUMMYFUNCTION("""COMPUTED_VALUE"""),50.0)</f>
        <v>50</v>
      </c>
      <c r="K1411" s="1">
        <f>IFERROR(__xludf.DUMMYFUNCTION("""COMPUTED_VALUE"""),35.0)</f>
        <v>35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 t="str">
        <f>IFERROR(__xludf.DUMMYFUNCTION("""COMPUTED_VALUE"""),"A")</f>
        <v>A</v>
      </c>
      <c r="E1412" s="1" t="str">
        <f>IFERROR(__xludf.DUMMYFUNCTION("""COMPUTED_VALUE"""),"Female")</f>
        <v>Female</v>
      </c>
      <c r="F1412" s="1">
        <f>IFERROR(__xludf.DUMMYFUNCTION("""COMPUTED_VALUE"""),52.0)</f>
        <v>52</v>
      </c>
      <c r="G1412" s="1">
        <f>IFERROR(__xludf.DUMMYFUNCTION("""COMPUTED_VALUE"""),24.0)</f>
        <v>24</v>
      </c>
      <c r="H1412" s="1">
        <f>IFERROR(__xludf.DUMMYFUNCTION("""COMPUTED_VALUE"""),57.0)</f>
        <v>57</v>
      </c>
      <c r="I1412" s="1">
        <f>IFERROR(__xludf.DUMMYFUNCTION("""COMPUTED_VALUE"""),48.0)</f>
        <v>48</v>
      </c>
      <c r="J1412" s="1">
        <f>IFERROR(__xludf.DUMMYFUNCTION("""COMPUTED_VALUE"""),32.0)</f>
        <v>32</v>
      </c>
      <c r="K1412" s="1">
        <f>IFERROR(__xludf.DUMMYFUNCTION("""COMPUTED_VALUE"""),77.0)</f>
        <v>77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 t="str">
        <f>IFERROR(__xludf.DUMMYFUNCTION("""COMPUTED_VALUE"""),"A")</f>
        <v>A</v>
      </c>
      <c r="E1413" s="1" t="str">
        <f>IFERROR(__xludf.DUMMYFUNCTION("""COMPUTED_VALUE"""),"Male")</f>
        <v>Male</v>
      </c>
      <c r="F1413" s="1">
        <f>IFERROR(__xludf.DUMMYFUNCTION("""COMPUTED_VALUE"""),61.0)</f>
        <v>61</v>
      </c>
      <c r="G1413" s="1">
        <f>IFERROR(__xludf.DUMMYFUNCTION("""COMPUTED_VALUE"""),96.0)</f>
        <v>96</v>
      </c>
      <c r="H1413" s="1">
        <f>IFERROR(__xludf.DUMMYFUNCTION("""COMPUTED_VALUE"""),98.0)</f>
        <v>98</v>
      </c>
      <c r="I1413" s="1">
        <f>IFERROR(__xludf.DUMMYFUNCTION("""COMPUTED_VALUE"""),86.0)</f>
        <v>86</v>
      </c>
      <c r="J1413" s="1">
        <f>IFERROR(__xludf.DUMMYFUNCTION("""COMPUTED_VALUE"""),36.0)</f>
        <v>36</v>
      </c>
      <c r="K1413" s="1">
        <f>IFERROR(__xludf.DUMMYFUNCTION("""COMPUTED_VALUE"""),97.0)</f>
        <v>97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 t="str">
        <f>IFERROR(__xludf.DUMMYFUNCTION("""COMPUTED_VALUE"""),"A")</f>
        <v>A</v>
      </c>
      <c r="E1414" s="1" t="str">
        <f>IFERROR(__xludf.DUMMYFUNCTION("""COMPUTED_VALUE"""),"Male")</f>
        <v>Male</v>
      </c>
      <c r="F1414" s="1">
        <f>IFERROR(__xludf.DUMMYFUNCTION("""COMPUTED_VALUE"""),72.0)</f>
        <v>72</v>
      </c>
      <c r="G1414" s="1">
        <f>IFERROR(__xludf.DUMMYFUNCTION("""COMPUTED_VALUE"""),53.0)</f>
        <v>53</v>
      </c>
      <c r="H1414" s="1">
        <f>IFERROR(__xludf.DUMMYFUNCTION("""COMPUTED_VALUE"""),60.0)</f>
        <v>60</v>
      </c>
      <c r="I1414" s="1">
        <f>IFERROR(__xludf.DUMMYFUNCTION("""COMPUTED_VALUE"""),77.0)</f>
        <v>77</v>
      </c>
      <c r="J1414" s="1">
        <f>IFERROR(__xludf.DUMMYFUNCTION("""COMPUTED_VALUE"""),23.0)</f>
        <v>23</v>
      </c>
      <c r="K1414" s="1">
        <f>IFERROR(__xludf.DUMMYFUNCTION("""COMPUTED_VALUE"""),38.0)</f>
        <v>38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 t="str">
        <f>IFERROR(__xludf.DUMMYFUNCTION("""COMPUTED_VALUE"""),"D")</f>
        <v>D</v>
      </c>
      <c r="E1415" s="1" t="str">
        <f>IFERROR(__xludf.DUMMYFUNCTION("""COMPUTED_VALUE"""),"Male")</f>
        <v>Male</v>
      </c>
      <c r="F1415" s="1">
        <f>IFERROR(__xludf.DUMMYFUNCTION("""COMPUTED_VALUE"""),81.0)</f>
        <v>81</v>
      </c>
      <c r="G1415" s="1">
        <f>IFERROR(__xludf.DUMMYFUNCTION("""COMPUTED_VALUE"""),68.0)</f>
        <v>68</v>
      </c>
      <c r="H1415" s="1">
        <f>IFERROR(__xludf.DUMMYFUNCTION("""COMPUTED_VALUE"""),64.0)</f>
        <v>64</v>
      </c>
      <c r="I1415" s="1">
        <f>IFERROR(__xludf.DUMMYFUNCTION("""COMPUTED_VALUE"""),76.0)</f>
        <v>76</v>
      </c>
      <c r="J1415" s="1">
        <f>IFERROR(__xludf.DUMMYFUNCTION("""COMPUTED_VALUE"""),34.0)</f>
        <v>34</v>
      </c>
      <c r="K1415" s="1">
        <f>IFERROR(__xludf.DUMMYFUNCTION("""COMPUTED_VALUE"""),46.0)</f>
        <v>46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 t="str">
        <f>IFERROR(__xludf.DUMMYFUNCTION("""COMPUTED_VALUE"""),"B")</f>
        <v>B</v>
      </c>
      <c r="E1416" s="1" t="str">
        <f>IFERROR(__xludf.DUMMYFUNCTION("""COMPUTED_VALUE"""),"Male")</f>
        <v>Male</v>
      </c>
      <c r="F1416" s="1">
        <f>IFERROR(__xludf.DUMMYFUNCTION("""COMPUTED_VALUE"""),52.0)</f>
        <v>52</v>
      </c>
      <c r="G1416" s="1">
        <f>IFERROR(__xludf.DUMMYFUNCTION("""COMPUTED_VALUE"""),23.0)</f>
        <v>23</v>
      </c>
      <c r="H1416" s="1">
        <f>IFERROR(__xludf.DUMMYFUNCTION("""COMPUTED_VALUE"""),61.0)</f>
        <v>61</v>
      </c>
      <c r="I1416" s="1">
        <f>IFERROR(__xludf.DUMMYFUNCTION("""COMPUTED_VALUE"""),54.0)</f>
        <v>54</v>
      </c>
      <c r="J1416" s="1">
        <f>IFERROR(__xludf.DUMMYFUNCTION("""COMPUTED_VALUE"""),67.0)</f>
        <v>67</v>
      </c>
      <c r="K1416" s="1">
        <f>IFERROR(__xludf.DUMMYFUNCTION("""COMPUTED_VALUE"""),91.0)</f>
        <v>91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 t="str">
        <f>IFERROR(__xludf.DUMMYFUNCTION("""COMPUTED_VALUE"""),"C")</f>
        <v>C</v>
      </c>
      <c r="E1417" s="1" t="str">
        <f>IFERROR(__xludf.DUMMYFUNCTION("""COMPUTED_VALUE"""),"Female")</f>
        <v>Female</v>
      </c>
      <c r="F1417" s="1">
        <f>IFERROR(__xludf.DUMMYFUNCTION("""COMPUTED_VALUE"""),51.0)</f>
        <v>51</v>
      </c>
      <c r="G1417" s="1">
        <f>IFERROR(__xludf.DUMMYFUNCTION("""COMPUTED_VALUE"""),27.0)</f>
        <v>27</v>
      </c>
      <c r="H1417" s="1">
        <f>IFERROR(__xludf.DUMMYFUNCTION("""COMPUTED_VALUE"""),79.0)</f>
        <v>79</v>
      </c>
      <c r="I1417" s="1">
        <f>IFERROR(__xludf.DUMMYFUNCTION("""COMPUTED_VALUE"""),65.0)</f>
        <v>65</v>
      </c>
      <c r="J1417" s="1">
        <f>IFERROR(__xludf.DUMMYFUNCTION("""COMPUTED_VALUE"""),21.0)</f>
        <v>21</v>
      </c>
      <c r="K1417" s="1">
        <f>IFERROR(__xludf.DUMMYFUNCTION("""COMPUTED_VALUE"""),82.0)</f>
        <v>82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 t="str">
        <f>IFERROR(__xludf.DUMMYFUNCTION("""COMPUTED_VALUE"""),"C")</f>
        <v>C</v>
      </c>
      <c r="E1418" s="1" t="str">
        <f>IFERROR(__xludf.DUMMYFUNCTION("""COMPUTED_VALUE"""),"Female")</f>
        <v>Female</v>
      </c>
      <c r="F1418" s="1">
        <f>IFERROR(__xludf.DUMMYFUNCTION("""COMPUTED_VALUE"""),34.0)</f>
        <v>34</v>
      </c>
      <c r="G1418" s="1">
        <f>IFERROR(__xludf.DUMMYFUNCTION("""COMPUTED_VALUE"""),33.0)</f>
        <v>33</v>
      </c>
      <c r="H1418" s="1">
        <f>IFERROR(__xludf.DUMMYFUNCTION("""COMPUTED_VALUE"""),54.0)</f>
        <v>54</v>
      </c>
      <c r="I1418" s="1">
        <f>IFERROR(__xludf.DUMMYFUNCTION("""COMPUTED_VALUE"""),33.0)</f>
        <v>33</v>
      </c>
      <c r="J1418" s="1">
        <f>IFERROR(__xludf.DUMMYFUNCTION("""COMPUTED_VALUE"""),47.0)</f>
        <v>47</v>
      </c>
      <c r="K1418" s="1">
        <f>IFERROR(__xludf.DUMMYFUNCTION("""COMPUTED_VALUE"""),63.0)</f>
        <v>63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 t="str">
        <f>IFERROR(__xludf.DUMMYFUNCTION("""COMPUTED_VALUE"""),"D")</f>
        <v>D</v>
      </c>
      <c r="E1419" s="1" t="str">
        <f>IFERROR(__xludf.DUMMYFUNCTION("""COMPUTED_VALUE"""),"Female")</f>
        <v>Female</v>
      </c>
      <c r="F1419" s="1">
        <f>IFERROR(__xludf.DUMMYFUNCTION("""COMPUTED_VALUE"""),84.0)</f>
        <v>84</v>
      </c>
      <c r="G1419" s="1">
        <f>IFERROR(__xludf.DUMMYFUNCTION("""COMPUTED_VALUE"""),40.0)</f>
        <v>40</v>
      </c>
      <c r="H1419" s="1">
        <f>IFERROR(__xludf.DUMMYFUNCTION("""COMPUTED_VALUE"""),62.0)</f>
        <v>62</v>
      </c>
      <c r="I1419" s="1">
        <f>IFERROR(__xludf.DUMMYFUNCTION("""COMPUTED_VALUE"""),45.0)</f>
        <v>45</v>
      </c>
      <c r="J1419" s="1">
        <f>IFERROR(__xludf.DUMMYFUNCTION("""COMPUTED_VALUE"""),55.0)</f>
        <v>55</v>
      </c>
      <c r="K1419" s="1">
        <f>IFERROR(__xludf.DUMMYFUNCTION("""COMPUTED_VALUE"""),64.0)</f>
        <v>64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 t="str">
        <f>IFERROR(__xludf.DUMMYFUNCTION("""COMPUTED_VALUE"""),"A")</f>
        <v>A</v>
      </c>
      <c r="E1420" s="1" t="str">
        <f>IFERROR(__xludf.DUMMYFUNCTION("""COMPUTED_VALUE"""),"Male")</f>
        <v>Male</v>
      </c>
      <c r="F1420" s="1">
        <f>IFERROR(__xludf.DUMMYFUNCTION("""COMPUTED_VALUE"""),35.0)</f>
        <v>35</v>
      </c>
      <c r="G1420" s="1">
        <f>IFERROR(__xludf.DUMMYFUNCTION("""COMPUTED_VALUE"""),28.0)</f>
        <v>28</v>
      </c>
      <c r="H1420" s="1">
        <f>IFERROR(__xludf.DUMMYFUNCTION("""COMPUTED_VALUE"""),74.0)</f>
        <v>74</v>
      </c>
      <c r="I1420" s="1">
        <f>IFERROR(__xludf.DUMMYFUNCTION("""COMPUTED_VALUE"""),59.0)</f>
        <v>59</v>
      </c>
      <c r="J1420" s="1">
        <f>IFERROR(__xludf.DUMMYFUNCTION("""COMPUTED_VALUE"""),88.0)</f>
        <v>88</v>
      </c>
      <c r="K1420" s="1">
        <f>IFERROR(__xludf.DUMMYFUNCTION("""COMPUTED_VALUE"""),31.0)</f>
        <v>31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 t="str">
        <f>IFERROR(__xludf.DUMMYFUNCTION("""COMPUTED_VALUE"""),"C")</f>
        <v>C</v>
      </c>
      <c r="E1421" s="1" t="str">
        <f>IFERROR(__xludf.DUMMYFUNCTION("""COMPUTED_VALUE"""),"Female")</f>
        <v>Female</v>
      </c>
      <c r="F1421" s="1">
        <f>IFERROR(__xludf.DUMMYFUNCTION("""COMPUTED_VALUE"""),67.0)</f>
        <v>67</v>
      </c>
      <c r="G1421" s="1">
        <f>IFERROR(__xludf.DUMMYFUNCTION("""COMPUTED_VALUE"""),73.0)</f>
        <v>73</v>
      </c>
      <c r="H1421" s="1">
        <f>IFERROR(__xludf.DUMMYFUNCTION("""COMPUTED_VALUE"""),32.0)</f>
        <v>32</v>
      </c>
      <c r="I1421" s="1">
        <f>IFERROR(__xludf.DUMMYFUNCTION("""COMPUTED_VALUE"""),44.0)</f>
        <v>44</v>
      </c>
      <c r="J1421" s="1">
        <f>IFERROR(__xludf.DUMMYFUNCTION("""COMPUTED_VALUE"""),25.0)</f>
        <v>25</v>
      </c>
      <c r="K1421" s="1">
        <f>IFERROR(__xludf.DUMMYFUNCTION("""COMPUTED_VALUE"""),94.0)</f>
        <v>94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 t="str">
        <f>IFERROR(__xludf.DUMMYFUNCTION("""COMPUTED_VALUE"""),"B")</f>
        <v>B</v>
      </c>
      <c r="E1422" s="1" t="str">
        <f>IFERROR(__xludf.DUMMYFUNCTION("""COMPUTED_VALUE"""),"Male")</f>
        <v>Male</v>
      </c>
      <c r="F1422" s="1">
        <f>IFERROR(__xludf.DUMMYFUNCTION("""COMPUTED_VALUE"""),53.0)</f>
        <v>53</v>
      </c>
      <c r="G1422" s="1">
        <f>IFERROR(__xludf.DUMMYFUNCTION("""COMPUTED_VALUE"""),94.0)</f>
        <v>94</v>
      </c>
      <c r="H1422" s="1">
        <f>IFERROR(__xludf.DUMMYFUNCTION("""COMPUTED_VALUE"""),83.0)</f>
        <v>83</v>
      </c>
      <c r="I1422" s="1">
        <f>IFERROR(__xludf.DUMMYFUNCTION("""COMPUTED_VALUE"""),87.0)</f>
        <v>87</v>
      </c>
      <c r="J1422" s="1">
        <f>IFERROR(__xludf.DUMMYFUNCTION("""COMPUTED_VALUE"""),76.0)</f>
        <v>76</v>
      </c>
      <c r="K1422" s="1">
        <f>IFERROR(__xludf.DUMMYFUNCTION("""COMPUTED_VALUE"""),73.0)</f>
        <v>73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 t="str">
        <f>IFERROR(__xludf.DUMMYFUNCTION("""COMPUTED_VALUE"""),"B")</f>
        <v>B</v>
      </c>
      <c r="E1423" s="1" t="str">
        <f>IFERROR(__xludf.DUMMYFUNCTION("""COMPUTED_VALUE"""),"Male")</f>
        <v>Male</v>
      </c>
      <c r="F1423" s="1">
        <f>IFERROR(__xludf.DUMMYFUNCTION("""COMPUTED_VALUE"""),22.0)</f>
        <v>22</v>
      </c>
      <c r="G1423" s="1">
        <f>IFERROR(__xludf.DUMMYFUNCTION("""COMPUTED_VALUE"""),52.0)</f>
        <v>52</v>
      </c>
      <c r="H1423" s="1">
        <f>IFERROR(__xludf.DUMMYFUNCTION("""COMPUTED_VALUE"""),88.0)</f>
        <v>88</v>
      </c>
      <c r="I1423" s="1">
        <f>IFERROR(__xludf.DUMMYFUNCTION("""COMPUTED_VALUE"""),63.0)</f>
        <v>63</v>
      </c>
      <c r="J1423" s="1">
        <f>IFERROR(__xludf.DUMMYFUNCTION("""COMPUTED_VALUE"""),68.0)</f>
        <v>68</v>
      </c>
      <c r="K1423" s="1">
        <f>IFERROR(__xludf.DUMMYFUNCTION("""COMPUTED_VALUE"""),80.0)</f>
        <v>80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 t="str">
        <f>IFERROR(__xludf.DUMMYFUNCTION("""COMPUTED_VALUE"""),"A")</f>
        <v>A</v>
      </c>
      <c r="E1424" s="1" t="str">
        <f>IFERROR(__xludf.DUMMYFUNCTION("""COMPUTED_VALUE"""),"Male")</f>
        <v>Male</v>
      </c>
      <c r="F1424" s="1">
        <f>IFERROR(__xludf.DUMMYFUNCTION("""COMPUTED_VALUE"""),84.0)</f>
        <v>84</v>
      </c>
      <c r="G1424" s="1">
        <f>IFERROR(__xludf.DUMMYFUNCTION("""COMPUTED_VALUE"""),78.0)</f>
        <v>78</v>
      </c>
      <c r="H1424" s="1">
        <f>IFERROR(__xludf.DUMMYFUNCTION("""COMPUTED_VALUE"""),62.0)</f>
        <v>62</v>
      </c>
      <c r="I1424" s="1">
        <f>IFERROR(__xludf.DUMMYFUNCTION("""COMPUTED_VALUE"""),50.0)</f>
        <v>50</v>
      </c>
      <c r="J1424" s="1">
        <f>IFERROR(__xludf.DUMMYFUNCTION("""COMPUTED_VALUE"""),38.0)</f>
        <v>38</v>
      </c>
      <c r="K1424" s="1">
        <f>IFERROR(__xludf.DUMMYFUNCTION("""COMPUTED_VALUE"""),97.0)</f>
        <v>97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 t="str">
        <f>IFERROR(__xludf.DUMMYFUNCTION("""COMPUTED_VALUE"""),"D")</f>
        <v>D</v>
      </c>
      <c r="E1425" s="1" t="str">
        <f>IFERROR(__xludf.DUMMYFUNCTION("""COMPUTED_VALUE"""),"Female")</f>
        <v>Female</v>
      </c>
      <c r="F1425" s="1">
        <f>IFERROR(__xludf.DUMMYFUNCTION("""COMPUTED_VALUE"""),35.0)</f>
        <v>35</v>
      </c>
      <c r="G1425" s="1">
        <f>IFERROR(__xludf.DUMMYFUNCTION("""COMPUTED_VALUE"""),35.0)</f>
        <v>35</v>
      </c>
      <c r="H1425" s="1">
        <f>IFERROR(__xludf.DUMMYFUNCTION("""COMPUTED_VALUE"""),78.0)</f>
        <v>78</v>
      </c>
      <c r="I1425" s="1">
        <f>IFERROR(__xludf.DUMMYFUNCTION("""COMPUTED_VALUE"""),66.0)</f>
        <v>66</v>
      </c>
      <c r="J1425" s="1">
        <f>IFERROR(__xludf.DUMMYFUNCTION("""COMPUTED_VALUE"""),79.0)</f>
        <v>79</v>
      </c>
      <c r="K1425" s="1">
        <f>IFERROR(__xludf.DUMMYFUNCTION("""COMPUTED_VALUE"""),28.0)</f>
        <v>28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 t="str">
        <f>IFERROR(__xludf.DUMMYFUNCTION("""COMPUTED_VALUE"""),"D")</f>
        <v>D</v>
      </c>
      <c r="E1426" s="1" t="str">
        <f>IFERROR(__xludf.DUMMYFUNCTION("""COMPUTED_VALUE"""),"Female")</f>
        <v>Female</v>
      </c>
      <c r="F1426" s="1">
        <f>IFERROR(__xludf.DUMMYFUNCTION("""COMPUTED_VALUE"""),29.0)</f>
        <v>29</v>
      </c>
      <c r="G1426" s="1">
        <f>IFERROR(__xludf.DUMMYFUNCTION("""COMPUTED_VALUE"""),98.0)</f>
        <v>98</v>
      </c>
      <c r="H1426" s="1">
        <f>IFERROR(__xludf.DUMMYFUNCTION("""COMPUTED_VALUE"""),66.0)</f>
        <v>66</v>
      </c>
      <c r="I1426" s="1">
        <f>IFERROR(__xludf.DUMMYFUNCTION("""COMPUTED_VALUE"""),68.0)</f>
        <v>68</v>
      </c>
      <c r="J1426" s="1">
        <f>IFERROR(__xludf.DUMMYFUNCTION("""COMPUTED_VALUE"""),80.0)</f>
        <v>80</v>
      </c>
      <c r="K1426" s="1">
        <f>IFERROR(__xludf.DUMMYFUNCTION("""COMPUTED_VALUE"""),65.0)</f>
        <v>65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 t="str">
        <f>IFERROR(__xludf.DUMMYFUNCTION("""COMPUTED_VALUE"""),"C")</f>
        <v>C</v>
      </c>
      <c r="E1427" s="1" t="str">
        <f>IFERROR(__xludf.DUMMYFUNCTION("""COMPUTED_VALUE"""),"Female")</f>
        <v>Female</v>
      </c>
      <c r="F1427" s="1">
        <f>IFERROR(__xludf.DUMMYFUNCTION("""COMPUTED_VALUE"""),60.0)</f>
        <v>60</v>
      </c>
      <c r="G1427" s="1">
        <f>IFERROR(__xludf.DUMMYFUNCTION("""COMPUTED_VALUE"""),68.0)</f>
        <v>68</v>
      </c>
      <c r="H1427" s="1">
        <f>IFERROR(__xludf.DUMMYFUNCTION("""COMPUTED_VALUE"""),85.0)</f>
        <v>85</v>
      </c>
      <c r="I1427" s="1">
        <f>IFERROR(__xludf.DUMMYFUNCTION("""COMPUTED_VALUE"""),37.0)</f>
        <v>37</v>
      </c>
      <c r="J1427" s="1">
        <f>IFERROR(__xludf.DUMMYFUNCTION("""COMPUTED_VALUE"""),31.0)</f>
        <v>31</v>
      </c>
      <c r="K1427" s="1">
        <f>IFERROR(__xludf.DUMMYFUNCTION("""COMPUTED_VALUE"""),46.0)</f>
        <v>46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 t="str">
        <f>IFERROR(__xludf.DUMMYFUNCTION("""COMPUTED_VALUE"""),"B")</f>
        <v>B</v>
      </c>
      <c r="E1428" s="1" t="str">
        <f>IFERROR(__xludf.DUMMYFUNCTION("""COMPUTED_VALUE"""),"Male")</f>
        <v>Male</v>
      </c>
      <c r="F1428" s="1">
        <f>IFERROR(__xludf.DUMMYFUNCTION("""COMPUTED_VALUE"""),46.0)</f>
        <v>46</v>
      </c>
      <c r="G1428" s="1">
        <f>IFERROR(__xludf.DUMMYFUNCTION("""COMPUTED_VALUE"""),75.0)</f>
        <v>75</v>
      </c>
      <c r="H1428" s="1">
        <f>IFERROR(__xludf.DUMMYFUNCTION("""COMPUTED_VALUE"""),45.0)</f>
        <v>45</v>
      </c>
      <c r="I1428" s="1">
        <f>IFERROR(__xludf.DUMMYFUNCTION("""COMPUTED_VALUE"""),63.0)</f>
        <v>63</v>
      </c>
      <c r="J1428" s="1">
        <f>IFERROR(__xludf.DUMMYFUNCTION("""COMPUTED_VALUE"""),88.0)</f>
        <v>88</v>
      </c>
      <c r="K1428" s="1">
        <f>IFERROR(__xludf.DUMMYFUNCTION("""COMPUTED_VALUE"""),31.0)</f>
        <v>31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 t="str">
        <f>IFERROR(__xludf.DUMMYFUNCTION("""COMPUTED_VALUE"""),"C")</f>
        <v>C</v>
      </c>
      <c r="E1429" s="1" t="str">
        <f>IFERROR(__xludf.DUMMYFUNCTION("""COMPUTED_VALUE"""),"Male")</f>
        <v>Male</v>
      </c>
      <c r="F1429" s="1">
        <f>IFERROR(__xludf.DUMMYFUNCTION("""COMPUTED_VALUE"""),72.0)</f>
        <v>72</v>
      </c>
      <c r="G1429" s="1">
        <f>IFERROR(__xludf.DUMMYFUNCTION("""COMPUTED_VALUE"""),24.0)</f>
        <v>24</v>
      </c>
      <c r="H1429" s="1">
        <f>IFERROR(__xludf.DUMMYFUNCTION("""COMPUTED_VALUE"""),95.0)</f>
        <v>95</v>
      </c>
      <c r="I1429" s="1">
        <f>IFERROR(__xludf.DUMMYFUNCTION("""COMPUTED_VALUE"""),82.0)</f>
        <v>82</v>
      </c>
      <c r="J1429" s="1">
        <f>IFERROR(__xludf.DUMMYFUNCTION("""COMPUTED_VALUE"""),38.0)</f>
        <v>38</v>
      </c>
      <c r="K1429" s="1">
        <f>IFERROR(__xludf.DUMMYFUNCTION("""COMPUTED_VALUE"""),47.0)</f>
        <v>47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 t="str">
        <f>IFERROR(__xludf.DUMMYFUNCTION("""COMPUTED_VALUE"""),"A")</f>
        <v>A</v>
      </c>
      <c r="E1430" s="1" t="str">
        <f>IFERROR(__xludf.DUMMYFUNCTION("""COMPUTED_VALUE"""),"Male")</f>
        <v>Male</v>
      </c>
      <c r="F1430" s="1">
        <f>IFERROR(__xludf.DUMMYFUNCTION("""COMPUTED_VALUE"""),16.0)</f>
        <v>16</v>
      </c>
      <c r="G1430" s="1">
        <f>IFERROR(__xludf.DUMMYFUNCTION("""COMPUTED_VALUE"""),31.0)</f>
        <v>31</v>
      </c>
      <c r="H1430" s="1">
        <f>IFERROR(__xludf.DUMMYFUNCTION("""COMPUTED_VALUE"""),86.0)</f>
        <v>86</v>
      </c>
      <c r="I1430" s="1">
        <f>IFERROR(__xludf.DUMMYFUNCTION("""COMPUTED_VALUE"""),80.0)</f>
        <v>80</v>
      </c>
      <c r="J1430" s="1">
        <f>IFERROR(__xludf.DUMMYFUNCTION("""COMPUTED_VALUE"""),39.0)</f>
        <v>39</v>
      </c>
      <c r="K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 t="str">
        <f>IFERROR(__xludf.DUMMYFUNCTION("""COMPUTED_VALUE"""),"D")</f>
        <v>D</v>
      </c>
      <c r="E1431" s="1" t="str">
        <f>IFERROR(__xludf.DUMMYFUNCTION("""COMPUTED_VALUE"""),"Female")</f>
        <v>Female</v>
      </c>
      <c r="F1431" s="1">
        <f>IFERROR(__xludf.DUMMYFUNCTION("""COMPUTED_VALUE"""),48.0)</f>
        <v>48</v>
      </c>
      <c r="G1431" s="1">
        <f>IFERROR(__xludf.DUMMYFUNCTION("""COMPUTED_VALUE"""),35.0)</f>
        <v>35</v>
      </c>
      <c r="H1431" s="1">
        <f>IFERROR(__xludf.DUMMYFUNCTION("""COMPUTED_VALUE"""),24.0)</f>
        <v>24</v>
      </c>
      <c r="I1431" s="1">
        <f>IFERROR(__xludf.DUMMYFUNCTION("""COMPUTED_VALUE"""),30.0)</f>
        <v>30</v>
      </c>
      <c r="J1431" s="1">
        <f>IFERROR(__xludf.DUMMYFUNCTION("""COMPUTED_VALUE"""),92.0)</f>
        <v>92</v>
      </c>
      <c r="K1431" s="1">
        <f>IFERROR(__xludf.DUMMYFUNCTION("""COMPUTED_VALUE"""),95.0)</f>
        <v>95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 t="str">
        <f>IFERROR(__xludf.DUMMYFUNCTION("""COMPUTED_VALUE"""),"B")</f>
        <v>B</v>
      </c>
      <c r="E1432" s="1" t="str">
        <f>IFERROR(__xludf.DUMMYFUNCTION("""COMPUTED_VALUE"""),"Male")</f>
        <v>Male</v>
      </c>
      <c r="F1432" s="1">
        <f>IFERROR(__xludf.DUMMYFUNCTION("""COMPUTED_VALUE"""),87.0)</f>
        <v>87</v>
      </c>
      <c r="G1432" s="1">
        <f>IFERROR(__xludf.DUMMYFUNCTION("""COMPUTED_VALUE"""),68.0)</f>
        <v>68</v>
      </c>
      <c r="H1432" s="1">
        <f>IFERROR(__xludf.DUMMYFUNCTION("""COMPUTED_VALUE"""),38.0)</f>
        <v>38</v>
      </c>
      <c r="I1432" s="1">
        <f>IFERROR(__xludf.DUMMYFUNCTION("""COMPUTED_VALUE"""),70.0)</f>
        <v>70</v>
      </c>
      <c r="J1432" s="1">
        <f>IFERROR(__xludf.DUMMYFUNCTION("""COMPUTED_VALUE"""),76.0)</f>
        <v>76</v>
      </c>
      <c r="K1432" s="1">
        <f>IFERROR(__xludf.DUMMYFUNCTION("""COMPUTED_VALUE"""),62.0)</f>
        <v>62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 t="str">
        <f>IFERROR(__xludf.DUMMYFUNCTION("""COMPUTED_VALUE"""),"C")</f>
        <v>C</v>
      </c>
      <c r="E1433" s="1" t="str">
        <f>IFERROR(__xludf.DUMMYFUNCTION("""COMPUTED_VALUE"""),"Female")</f>
        <v>Female</v>
      </c>
      <c r="F1433" s="1">
        <f>IFERROR(__xludf.DUMMYFUNCTION("""COMPUTED_VALUE"""),59.0)</f>
        <v>59</v>
      </c>
      <c r="G1433" s="1">
        <f>IFERROR(__xludf.DUMMYFUNCTION("""COMPUTED_VALUE"""),38.0)</f>
        <v>38</v>
      </c>
      <c r="H1433" s="1">
        <f>IFERROR(__xludf.DUMMYFUNCTION("""COMPUTED_VALUE"""),30.0)</f>
        <v>30</v>
      </c>
      <c r="I1433" s="1">
        <f>IFERROR(__xludf.DUMMYFUNCTION("""COMPUTED_VALUE"""),92.0)</f>
        <v>92</v>
      </c>
      <c r="J1433" s="1">
        <f>IFERROR(__xludf.DUMMYFUNCTION("""COMPUTED_VALUE"""),31.0)</f>
        <v>31</v>
      </c>
      <c r="K1433" s="1">
        <f>IFERROR(__xludf.DUMMYFUNCTION("""COMPUTED_VALUE"""),84.0)</f>
        <v>84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 t="str">
        <f>IFERROR(__xludf.DUMMYFUNCTION("""COMPUTED_VALUE"""),"A")</f>
        <v>A</v>
      </c>
      <c r="E1434" s="1" t="str">
        <f>IFERROR(__xludf.DUMMYFUNCTION("""COMPUTED_VALUE"""),"Female")</f>
        <v>Female</v>
      </c>
      <c r="F1434" s="1">
        <f>IFERROR(__xludf.DUMMYFUNCTION("""COMPUTED_VALUE"""),57.0)</f>
        <v>57</v>
      </c>
      <c r="G1434" s="1">
        <f>IFERROR(__xludf.DUMMYFUNCTION("""COMPUTED_VALUE"""),69.0)</f>
        <v>69</v>
      </c>
      <c r="H1434" s="1">
        <f>IFERROR(__xludf.DUMMYFUNCTION("""COMPUTED_VALUE"""),97.0)</f>
        <v>97</v>
      </c>
      <c r="I1434" s="1">
        <f>IFERROR(__xludf.DUMMYFUNCTION("""COMPUTED_VALUE"""),68.0)</f>
        <v>68</v>
      </c>
      <c r="J1434" s="1">
        <f>IFERROR(__xludf.DUMMYFUNCTION("""COMPUTED_VALUE"""),68.0)</f>
        <v>68</v>
      </c>
      <c r="K1434" s="1">
        <f>IFERROR(__xludf.DUMMYFUNCTION("""COMPUTED_VALUE"""),53.0)</f>
        <v>53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 t="str">
        <f>IFERROR(__xludf.DUMMYFUNCTION("""COMPUTED_VALUE"""),"B")</f>
        <v>B</v>
      </c>
      <c r="E1435" s="1" t="str">
        <f>IFERROR(__xludf.DUMMYFUNCTION("""COMPUTED_VALUE"""),"Male")</f>
        <v>Male</v>
      </c>
      <c r="F1435" s="1">
        <f>IFERROR(__xludf.DUMMYFUNCTION("""COMPUTED_VALUE"""),45.0)</f>
        <v>45</v>
      </c>
      <c r="G1435" s="1">
        <f>IFERROR(__xludf.DUMMYFUNCTION("""COMPUTED_VALUE"""),77.0)</f>
        <v>77</v>
      </c>
      <c r="H1435" s="1">
        <f>IFERROR(__xludf.DUMMYFUNCTION("""COMPUTED_VALUE"""),22.0)</f>
        <v>22</v>
      </c>
      <c r="I1435" s="1">
        <f>IFERROR(__xludf.DUMMYFUNCTION("""COMPUTED_VALUE"""),96.0)</f>
        <v>96</v>
      </c>
      <c r="J1435" s="1">
        <f>IFERROR(__xludf.DUMMYFUNCTION("""COMPUTED_VALUE"""),95.0)</f>
        <v>95</v>
      </c>
      <c r="K1435" s="1">
        <f>IFERROR(__xludf.DUMMYFUNCTION("""COMPUTED_VALUE"""),39.0)</f>
        <v>39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 t="str">
        <f>IFERROR(__xludf.DUMMYFUNCTION("""COMPUTED_VALUE"""),"B")</f>
        <v>B</v>
      </c>
      <c r="E1436" s="1" t="str">
        <f>IFERROR(__xludf.DUMMYFUNCTION("""COMPUTED_VALUE"""),"Male")</f>
        <v>Male</v>
      </c>
      <c r="F1436" s="1">
        <f>IFERROR(__xludf.DUMMYFUNCTION("""COMPUTED_VALUE"""),16.0)</f>
        <v>16</v>
      </c>
      <c r="G1436" s="1">
        <f>IFERROR(__xludf.DUMMYFUNCTION("""COMPUTED_VALUE"""),96.0)</f>
        <v>96</v>
      </c>
      <c r="H1436" s="1">
        <f>IFERROR(__xludf.DUMMYFUNCTION("""COMPUTED_VALUE"""),35.0)</f>
        <v>35</v>
      </c>
      <c r="I1436" s="1">
        <f>IFERROR(__xludf.DUMMYFUNCTION("""COMPUTED_VALUE"""),52.0)</f>
        <v>52</v>
      </c>
      <c r="J1436" s="1">
        <f>IFERROR(__xludf.DUMMYFUNCTION("""COMPUTED_VALUE"""),79.0)</f>
        <v>79</v>
      </c>
      <c r="K1436" s="1">
        <f>IFERROR(__xludf.DUMMYFUNCTION("""COMPUTED_VALUE"""),22.0)</f>
        <v>22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 t="str">
        <f>IFERROR(__xludf.DUMMYFUNCTION("""COMPUTED_VALUE"""),"A")</f>
        <v>A</v>
      </c>
      <c r="E1437" s="1" t="str">
        <f>IFERROR(__xludf.DUMMYFUNCTION("""COMPUTED_VALUE"""),"Male")</f>
        <v>Male</v>
      </c>
      <c r="F1437" s="1">
        <f>IFERROR(__xludf.DUMMYFUNCTION("""COMPUTED_VALUE"""),62.0)</f>
        <v>62</v>
      </c>
      <c r="G1437" s="1">
        <f>IFERROR(__xludf.DUMMYFUNCTION("""COMPUTED_VALUE"""),83.0)</f>
        <v>83</v>
      </c>
      <c r="H1437" s="1">
        <f>IFERROR(__xludf.DUMMYFUNCTION("""COMPUTED_VALUE"""),89.0)</f>
        <v>89</v>
      </c>
      <c r="I1437" s="1">
        <f>IFERROR(__xludf.DUMMYFUNCTION("""COMPUTED_VALUE"""),85.0)</f>
        <v>85</v>
      </c>
      <c r="J1437" s="1">
        <f>IFERROR(__xludf.DUMMYFUNCTION("""COMPUTED_VALUE"""),81.0)</f>
        <v>81</v>
      </c>
      <c r="K1437" s="1">
        <f>IFERROR(__xludf.DUMMYFUNCTION("""COMPUTED_VALUE"""),48.0)</f>
        <v>48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 t="str">
        <f>IFERROR(__xludf.DUMMYFUNCTION("""COMPUTED_VALUE"""),"A")</f>
        <v>A</v>
      </c>
      <c r="E1438" s="1" t="str">
        <f>IFERROR(__xludf.DUMMYFUNCTION("""COMPUTED_VALUE"""),"Male")</f>
        <v>Male</v>
      </c>
      <c r="F1438" s="1">
        <f>IFERROR(__xludf.DUMMYFUNCTION("""COMPUTED_VALUE"""),14.0)</f>
        <v>14</v>
      </c>
      <c r="G1438" s="1">
        <f>IFERROR(__xludf.DUMMYFUNCTION("""COMPUTED_VALUE"""),51.0)</f>
        <v>51</v>
      </c>
      <c r="H1438" s="1">
        <f>IFERROR(__xludf.DUMMYFUNCTION("""COMPUTED_VALUE"""),21.0)</f>
        <v>21</v>
      </c>
      <c r="I1438" s="1">
        <f>IFERROR(__xludf.DUMMYFUNCTION("""COMPUTED_VALUE"""),52.0)</f>
        <v>52</v>
      </c>
      <c r="J1438" s="1">
        <f>IFERROR(__xludf.DUMMYFUNCTION("""COMPUTED_VALUE"""),88.0)</f>
        <v>88</v>
      </c>
      <c r="K1438" s="1">
        <f>IFERROR(__xludf.DUMMYFUNCTION("""COMPUTED_VALUE"""),62.0)</f>
        <v>62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 t="str">
        <f>IFERROR(__xludf.DUMMYFUNCTION("""COMPUTED_VALUE"""),"B")</f>
        <v>B</v>
      </c>
      <c r="E1439" s="1" t="str">
        <f>IFERROR(__xludf.DUMMYFUNCTION("""COMPUTED_VALUE"""),"Female")</f>
        <v>Female</v>
      </c>
      <c r="F1439" s="1">
        <f>IFERROR(__xludf.DUMMYFUNCTION("""COMPUTED_VALUE"""),40.0)</f>
        <v>40</v>
      </c>
      <c r="G1439" s="1">
        <f>IFERROR(__xludf.DUMMYFUNCTION("""COMPUTED_VALUE"""),31.0)</f>
        <v>31</v>
      </c>
      <c r="H1439" s="1">
        <f>IFERROR(__xludf.DUMMYFUNCTION("""COMPUTED_VALUE"""),20.0)</f>
        <v>20</v>
      </c>
      <c r="I1439" s="1">
        <f>IFERROR(__xludf.DUMMYFUNCTION("""COMPUTED_VALUE"""),76.0)</f>
        <v>76</v>
      </c>
      <c r="J1439" s="1">
        <f>IFERROR(__xludf.DUMMYFUNCTION("""COMPUTED_VALUE"""),94.0)</f>
        <v>94</v>
      </c>
      <c r="K1439" s="1">
        <f>IFERROR(__xludf.DUMMYFUNCTION("""COMPUTED_VALUE"""),63.0)</f>
        <v>63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 t="str">
        <f>IFERROR(__xludf.DUMMYFUNCTION("""COMPUTED_VALUE"""),"D")</f>
        <v>D</v>
      </c>
      <c r="E1440" s="1" t="str">
        <f>IFERROR(__xludf.DUMMYFUNCTION("""COMPUTED_VALUE"""),"Female")</f>
        <v>Female</v>
      </c>
      <c r="F1440" s="1">
        <f>IFERROR(__xludf.DUMMYFUNCTION("""COMPUTED_VALUE"""),19.0)</f>
        <v>19</v>
      </c>
      <c r="G1440" s="1">
        <f>IFERROR(__xludf.DUMMYFUNCTION("""COMPUTED_VALUE"""),87.0)</f>
        <v>87</v>
      </c>
      <c r="H1440" s="1">
        <f>IFERROR(__xludf.DUMMYFUNCTION("""COMPUTED_VALUE"""),37.0)</f>
        <v>37</v>
      </c>
      <c r="I1440" s="1">
        <f>IFERROR(__xludf.DUMMYFUNCTION("""COMPUTED_VALUE"""),34.0)</f>
        <v>34</v>
      </c>
      <c r="J1440" s="1">
        <f>IFERROR(__xludf.DUMMYFUNCTION("""COMPUTED_VALUE"""),61.0)</f>
        <v>61</v>
      </c>
      <c r="K1440" s="1">
        <f>IFERROR(__xludf.DUMMYFUNCTION("""COMPUTED_VALUE"""),55.0)</f>
        <v>55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 t="str">
        <f>IFERROR(__xludf.DUMMYFUNCTION("""COMPUTED_VALUE"""),"D")</f>
        <v>D</v>
      </c>
      <c r="E1441" s="1" t="str">
        <f>IFERROR(__xludf.DUMMYFUNCTION("""COMPUTED_VALUE"""),"Female")</f>
        <v>Female</v>
      </c>
      <c r="F1441" s="1">
        <f>IFERROR(__xludf.DUMMYFUNCTION("""COMPUTED_VALUE"""),95.0)</f>
        <v>95</v>
      </c>
      <c r="G1441" s="1">
        <f>IFERROR(__xludf.DUMMYFUNCTION("""COMPUTED_VALUE"""),20.0)</f>
        <v>20</v>
      </c>
      <c r="H1441" s="1">
        <f>IFERROR(__xludf.DUMMYFUNCTION("""COMPUTED_VALUE"""),26.0)</f>
        <v>26</v>
      </c>
      <c r="I1441" s="1">
        <f>IFERROR(__xludf.DUMMYFUNCTION("""COMPUTED_VALUE"""),61.0)</f>
        <v>61</v>
      </c>
      <c r="J1441" s="1">
        <f>IFERROR(__xludf.DUMMYFUNCTION("""COMPUTED_VALUE"""),51.0)</f>
        <v>51</v>
      </c>
      <c r="K1441" s="1">
        <f>IFERROR(__xludf.DUMMYFUNCTION("""COMPUTED_VALUE"""),44.0)</f>
        <v>44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 t="str">
        <f>IFERROR(__xludf.DUMMYFUNCTION("""COMPUTED_VALUE"""),"C")</f>
        <v>C</v>
      </c>
      <c r="E1442" s="1" t="str">
        <f>IFERROR(__xludf.DUMMYFUNCTION("""COMPUTED_VALUE"""),"Female")</f>
        <v>Female</v>
      </c>
      <c r="F1442" s="1">
        <f>IFERROR(__xludf.DUMMYFUNCTION("""COMPUTED_VALUE"""),61.0)</f>
        <v>61</v>
      </c>
      <c r="G1442" s="1">
        <f>IFERROR(__xludf.DUMMYFUNCTION("""COMPUTED_VALUE"""),94.0)</f>
        <v>94</v>
      </c>
      <c r="H1442" s="1">
        <f>IFERROR(__xludf.DUMMYFUNCTION("""COMPUTED_VALUE"""),55.0)</f>
        <v>55</v>
      </c>
      <c r="I1442" s="1">
        <f>IFERROR(__xludf.DUMMYFUNCTION("""COMPUTED_VALUE"""),87.0)</f>
        <v>87</v>
      </c>
      <c r="J1442" s="1">
        <f>IFERROR(__xludf.DUMMYFUNCTION("""COMPUTED_VALUE"""),90.0)</f>
        <v>90</v>
      </c>
      <c r="K1442" s="1">
        <f>IFERROR(__xludf.DUMMYFUNCTION("""COMPUTED_VALUE"""),92.0)</f>
        <v>92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 t="str">
        <f>IFERROR(__xludf.DUMMYFUNCTION("""COMPUTED_VALUE"""),"B")</f>
        <v>B</v>
      </c>
      <c r="E1443" s="1" t="str">
        <f>IFERROR(__xludf.DUMMYFUNCTION("""COMPUTED_VALUE"""),"Male")</f>
        <v>Male</v>
      </c>
      <c r="F1443" s="1">
        <f>IFERROR(__xludf.DUMMYFUNCTION("""COMPUTED_VALUE"""),55.0)</f>
        <v>55</v>
      </c>
      <c r="G1443" s="1">
        <f>IFERROR(__xludf.DUMMYFUNCTION("""COMPUTED_VALUE"""),26.0)</f>
        <v>26</v>
      </c>
      <c r="H1443" s="1">
        <f>IFERROR(__xludf.DUMMYFUNCTION("""COMPUTED_VALUE"""),90.0)</f>
        <v>90</v>
      </c>
      <c r="I1443" s="1">
        <f>IFERROR(__xludf.DUMMYFUNCTION("""COMPUTED_VALUE"""),26.0)</f>
        <v>26</v>
      </c>
      <c r="J1443" s="1">
        <f>IFERROR(__xludf.DUMMYFUNCTION("""COMPUTED_VALUE"""),90.0)</f>
        <v>90</v>
      </c>
      <c r="K1443" s="1">
        <f>IFERROR(__xludf.DUMMYFUNCTION("""COMPUTED_VALUE"""),63.0)</f>
        <v>63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 t="str">
        <f>IFERROR(__xludf.DUMMYFUNCTION("""COMPUTED_VALUE"""),"B")</f>
        <v>B</v>
      </c>
      <c r="E1444" s="1" t="str">
        <f>IFERROR(__xludf.DUMMYFUNCTION("""COMPUTED_VALUE"""),"Male")</f>
        <v>Male</v>
      </c>
      <c r="F1444" s="1">
        <f>IFERROR(__xludf.DUMMYFUNCTION("""COMPUTED_VALUE"""),60.0)</f>
        <v>60</v>
      </c>
      <c r="G1444" s="1">
        <f>IFERROR(__xludf.DUMMYFUNCTION("""COMPUTED_VALUE"""),57.0)</f>
        <v>57</v>
      </c>
      <c r="H1444" s="1">
        <f>IFERROR(__xludf.DUMMYFUNCTION("""COMPUTED_VALUE"""),96.0)</f>
        <v>96</v>
      </c>
      <c r="I1444" s="1">
        <f>IFERROR(__xludf.DUMMYFUNCTION("""COMPUTED_VALUE"""),80.0)</f>
        <v>80</v>
      </c>
      <c r="J1444" s="1">
        <f>IFERROR(__xludf.DUMMYFUNCTION("""COMPUTED_VALUE"""),49.0)</f>
        <v>49</v>
      </c>
      <c r="K1444" s="1">
        <f>IFERROR(__xludf.DUMMYFUNCTION("""COMPUTED_VALUE"""),36.0)</f>
        <v>36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 t="str">
        <f>IFERROR(__xludf.DUMMYFUNCTION("""COMPUTED_VALUE"""),"A")</f>
        <v>A</v>
      </c>
      <c r="E1445" s="1" t="str">
        <f>IFERROR(__xludf.DUMMYFUNCTION("""COMPUTED_VALUE"""),"Female")</f>
        <v>Female</v>
      </c>
      <c r="F1445" s="1">
        <f>IFERROR(__xludf.DUMMYFUNCTION("""COMPUTED_VALUE"""),54.0)</f>
        <v>54</v>
      </c>
      <c r="G1445" s="1">
        <f>IFERROR(__xludf.DUMMYFUNCTION("""COMPUTED_VALUE"""),90.0)</f>
        <v>90</v>
      </c>
      <c r="H1445" s="1">
        <f>IFERROR(__xludf.DUMMYFUNCTION("""COMPUTED_VALUE"""),26.0)</f>
        <v>26</v>
      </c>
      <c r="I1445" s="1">
        <f>IFERROR(__xludf.DUMMYFUNCTION("""COMPUTED_VALUE"""),40.0)</f>
        <v>40</v>
      </c>
      <c r="J1445" s="1">
        <f>IFERROR(__xludf.DUMMYFUNCTION("""COMPUTED_VALUE"""),22.0)</f>
        <v>22</v>
      </c>
      <c r="K1445" s="1">
        <f>IFERROR(__xludf.DUMMYFUNCTION("""COMPUTED_VALUE"""),95.0)</f>
        <v>95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 t="str">
        <f>IFERROR(__xludf.DUMMYFUNCTION("""COMPUTED_VALUE"""),"C")</f>
        <v>C</v>
      </c>
      <c r="E1446" s="1" t="str">
        <f>IFERROR(__xludf.DUMMYFUNCTION("""COMPUTED_VALUE"""),"Male")</f>
        <v>Male</v>
      </c>
      <c r="F1446" s="1">
        <f>IFERROR(__xludf.DUMMYFUNCTION("""COMPUTED_VALUE"""),91.0)</f>
        <v>91</v>
      </c>
      <c r="G1446" s="1">
        <f>IFERROR(__xludf.DUMMYFUNCTION("""COMPUTED_VALUE"""),59.0)</f>
        <v>59</v>
      </c>
      <c r="H1446" s="1">
        <f>IFERROR(__xludf.DUMMYFUNCTION("""COMPUTED_VALUE"""),36.0)</f>
        <v>36</v>
      </c>
      <c r="I1446" s="1">
        <f>IFERROR(__xludf.DUMMYFUNCTION("""COMPUTED_VALUE"""),93.0)</f>
        <v>93</v>
      </c>
      <c r="J1446" s="1">
        <f>IFERROR(__xludf.DUMMYFUNCTION("""COMPUTED_VALUE"""),64.0)</f>
        <v>64</v>
      </c>
      <c r="K1446" s="1">
        <f>IFERROR(__xludf.DUMMYFUNCTION("""COMPUTED_VALUE"""),73.0)</f>
        <v>73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 t="str">
        <f>IFERROR(__xludf.DUMMYFUNCTION("""COMPUTED_VALUE"""),"A")</f>
        <v>A</v>
      </c>
      <c r="E1447" s="1" t="str">
        <f>IFERROR(__xludf.DUMMYFUNCTION("""COMPUTED_VALUE"""),"Female")</f>
        <v>Female</v>
      </c>
      <c r="F1447" s="1">
        <f>IFERROR(__xludf.DUMMYFUNCTION("""COMPUTED_VALUE"""),41.0)</f>
        <v>41</v>
      </c>
      <c r="G1447" s="1">
        <f>IFERROR(__xludf.DUMMYFUNCTION("""COMPUTED_VALUE"""),35.0)</f>
        <v>35</v>
      </c>
      <c r="H1447" s="1">
        <f>IFERROR(__xludf.DUMMYFUNCTION("""COMPUTED_VALUE"""),68.0)</f>
        <v>68</v>
      </c>
      <c r="I1447" s="1">
        <f>IFERROR(__xludf.DUMMYFUNCTION("""COMPUTED_VALUE"""),61.0)</f>
        <v>61</v>
      </c>
      <c r="J1447" s="1">
        <f>IFERROR(__xludf.DUMMYFUNCTION("""COMPUTED_VALUE"""),79.0)</f>
        <v>79</v>
      </c>
      <c r="K1447" s="1">
        <f>IFERROR(__xludf.DUMMYFUNCTION("""COMPUTED_VALUE"""),22.0)</f>
        <v>22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 t="str">
        <f>IFERROR(__xludf.DUMMYFUNCTION("""COMPUTED_VALUE"""),"D")</f>
        <v>D</v>
      </c>
      <c r="E1448" s="1" t="str">
        <f>IFERROR(__xludf.DUMMYFUNCTION("""COMPUTED_VALUE"""),"Male")</f>
        <v>Male</v>
      </c>
      <c r="F1448" s="1">
        <f>IFERROR(__xludf.DUMMYFUNCTION("""COMPUTED_VALUE"""),74.0)</f>
        <v>74</v>
      </c>
      <c r="G1448" s="1">
        <f>IFERROR(__xludf.DUMMYFUNCTION("""COMPUTED_VALUE"""),28.0)</f>
        <v>28</v>
      </c>
      <c r="H1448" s="1">
        <f>IFERROR(__xludf.DUMMYFUNCTION("""COMPUTED_VALUE"""),25.0)</f>
        <v>25</v>
      </c>
      <c r="I1448" s="1">
        <f>IFERROR(__xludf.DUMMYFUNCTION("""COMPUTED_VALUE"""),81.0)</f>
        <v>81</v>
      </c>
      <c r="J1448" s="1">
        <f>IFERROR(__xludf.DUMMYFUNCTION("""COMPUTED_VALUE"""),54.0)</f>
        <v>54</v>
      </c>
      <c r="K1448" s="1">
        <f>IFERROR(__xludf.DUMMYFUNCTION("""COMPUTED_VALUE"""),87.0)</f>
        <v>87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 t="str">
        <f>IFERROR(__xludf.DUMMYFUNCTION("""COMPUTED_VALUE"""),"C")</f>
        <v>C</v>
      </c>
      <c r="E1449" s="1" t="str">
        <f>IFERROR(__xludf.DUMMYFUNCTION("""COMPUTED_VALUE"""),"Female")</f>
        <v>Female</v>
      </c>
      <c r="F1449" s="1">
        <f>IFERROR(__xludf.DUMMYFUNCTION("""COMPUTED_VALUE"""),30.0)</f>
        <v>30</v>
      </c>
      <c r="G1449" s="1">
        <f>IFERROR(__xludf.DUMMYFUNCTION("""COMPUTED_VALUE"""),92.0)</f>
        <v>92</v>
      </c>
      <c r="H1449" s="1">
        <f>IFERROR(__xludf.DUMMYFUNCTION("""COMPUTED_VALUE"""),99.0)</f>
        <v>99</v>
      </c>
      <c r="I1449" s="1">
        <f>IFERROR(__xludf.DUMMYFUNCTION("""COMPUTED_VALUE"""),83.0)</f>
        <v>83</v>
      </c>
      <c r="J1449" s="1">
        <f>IFERROR(__xludf.DUMMYFUNCTION("""COMPUTED_VALUE"""),66.0)</f>
        <v>66</v>
      </c>
      <c r="K1449" s="1">
        <f>IFERROR(__xludf.DUMMYFUNCTION("""COMPUTED_VALUE"""),83.0)</f>
        <v>83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 t="str">
        <f>IFERROR(__xludf.DUMMYFUNCTION("""COMPUTED_VALUE"""),"B")</f>
        <v>B</v>
      </c>
      <c r="E1450" s="1" t="str">
        <f>IFERROR(__xludf.DUMMYFUNCTION("""COMPUTED_VALUE"""),"Male")</f>
        <v>Male</v>
      </c>
      <c r="F1450" s="1">
        <f>IFERROR(__xludf.DUMMYFUNCTION("""COMPUTED_VALUE"""),97.0)</f>
        <v>97</v>
      </c>
      <c r="G1450" s="1">
        <f>IFERROR(__xludf.DUMMYFUNCTION("""COMPUTED_VALUE"""),35.0)</f>
        <v>35</v>
      </c>
      <c r="H1450" s="1">
        <f>IFERROR(__xludf.DUMMYFUNCTION("""COMPUTED_VALUE"""),78.0)</f>
        <v>78</v>
      </c>
      <c r="I1450" s="1">
        <f>IFERROR(__xludf.DUMMYFUNCTION("""COMPUTED_VALUE"""),99.0)</f>
        <v>99</v>
      </c>
      <c r="J1450" s="1">
        <f>IFERROR(__xludf.DUMMYFUNCTION("""COMPUTED_VALUE"""),38.0)</f>
        <v>38</v>
      </c>
      <c r="K1450" s="1">
        <f>IFERROR(__xludf.DUMMYFUNCTION("""COMPUTED_VALUE"""),26.0)</f>
        <v>26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 t="str">
        <f>IFERROR(__xludf.DUMMYFUNCTION("""COMPUTED_VALUE"""),"D")</f>
        <v>D</v>
      </c>
      <c r="E1451" s="1" t="str">
        <f>IFERROR(__xludf.DUMMYFUNCTION("""COMPUTED_VALUE"""),"Male")</f>
        <v>Male</v>
      </c>
      <c r="F1451" s="1">
        <f>IFERROR(__xludf.DUMMYFUNCTION("""COMPUTED_VALUE"""),80.0)</f>
        <v>80</v>
      </c>
      <c r="G1451" s="1">
        <f>IFERROR(__xludf.DUMMYFUNCTION("""COMPUTED_VALUE"""),48.0)</f>
        <v>48</v>
      </c>
      <c r="H1451" s="1">
        <f>IFERROR(__xludf.DUMMYFUNCTION("""COMPUTED_VALUE"""),28.0)</f>
        <v>28</v>
      </c>
      <c r="I1451" s="1">
        <f>IFERROR(__xludf.DUMMYFUNCTION("""COMPUTED_VALUE"""),77.0)</f>
        <v>77</v>
      </c>
      <c r="J1451" s="1">
        <f>IFERROR(__xludf.DUMMYFUNCTION("""COMPUTED_VALUE"""),60.0)</f>
        <v>60</v>
      </c>
      <c r="K1451" s="1">
        <f>IFERROR(__xludf.DUMMYFUNCTION("""COMPUTED_VALUE"""),83.0)</f>
        <v>83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 t="str">
        <f>IFERROR(__xludf.DUMMYFUNCTION("""COMPUTED_VALUE"""),"A")</f>
        <v>A</v>
      </c>
      <c r="E1452" s="1" t="str">
        <f>IFERROR(__xludf.DUMMYFUNCTION("""COMPUTED_VALUE"""),"Male")</f>
        <v>Male</v>
      </c>
      <c r="F1452" s="1">
        <f>IFERROR(__xludf.DUMMYFUNCTION("""COMPUTED_VALUE"""),28.0)</f>
        <v>28</v>
      </c>
      <c r="G1452" s="1">
        <f>IFERROR(__xludf.DUMMYFUNCTION("""COMPUTED_VALUE"""),21.0)</f>
        <v>21</v>
      </c>
      <c r="H1452" s="1">
        <f>IFERROR(__xludf.DUMMYFUNCTION("""COMPUTED_VALUE"""),54.0)</f>
        <v>54</v>
      </c>
      <c r="I1452" s="1">
        <f>IFERROR(__xludf.DUMMYFUNCTION("""COMPUTED_VALUE"""),61.0)</f>
        <v>61</v>
      </c>
      <c r="J1452" s="1">
        <f>IFERROR(__xludf.DUMMYFUNCTION("""COMPUTED_VALUE"""),34.0)</f>
        <v>34</v>
      </c>
      <c r="K1452" s="1">
        <f>IFERROR(__xludf.DUMMYFUNCTION("""COMPUTED_VALUE"""),68.0)</f>
        <v>68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 t="str">
        <f>IFERROR(__xludf.DUMMYFUNCTION("""COMPUTED_VALUE"""),"C")</f>
        <v>C</v>
      </c>
      <c r="E1453" s="1" t="str">
        <f>IFERROR(__xludf.DUMMYFUNCTION("""COMPUTED_VALUE"""),"Female")</f>
        <v>Female</v>
      </c>
      <c r="F1453" s="1">
        <f>IFERROR(__xludf.DUMMYFUNCTION("""COMPUTED_VALUE"""),68.0)</f>
        <v>68</v>
      </c>
      <c r="G1453" s="1">
        <f>IFERROR(__xludf.DUMMYFUNCTION("""COMPUTED_VALUE"""),29.0)</f>
        <v>29</v>
      </c>
      <c r="H1453" s="1">
        <f>IFERROR(__xludf.DUMMYFUNCTION("""COMPUTED_VALUE"""),36.0)</f>
        <v>36</v>
      </c>
      <c r="I1453" s="1">
        <f>IFERROR(__xludf.DUMMYFUNCTION("""COMPUTED_VALUE"""),30.0)</f>
        <v>30</v>
      </c>
      <c r="J1453" s="1">
        <f>IFERROR(__xludf.DUMMYFUNCTION("""COMPUTED_VALUE"""),34.0)</f>
        <v>34</v>
      </c>
      <c r="K1453" s="1">
        <f>IFERROR(__xludf.DUMMYFUNCTION("""COMPUTED_VALUE"""),91.0)</f>
        <v>91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 t="str">
        <f>IFERROR(__xludf.DUMMYFUNCTION("""COMPUTED_VALUE"""),"A")</f>
        <v>A</v>
      </c>
      <c r="E1454" s="1" t="str">
        <f>IFERROR(__xludf.DUMMYFUNCTION("""COMPUTED_VALUE"""),"Male")</f>
        <v>Male</v>
      </c>
      <c r="F1454" s="1">
        <f>IFERROR(__xludf.DUMMYFUNCTION("""COMPUTED_VALUE"""),40.0)</f>
        <v>40</v>
      </c>
      <c r="G1454" s="1">
        <f>IFERROR(__xludf.DUMMYFUNCTION("""COMPUTED_VALUE"""),96.0)</f>
        <v>96</v>
      </c>
      <c r="H1454" s="1">
        <f>IFERROR(__xludf.DUMMYFUNCTION("""COMPUTED_VALUE"""),80.0)</f>
        <v>80</v>
      </c>
      <c r="I1454" s="1">
        <f>IFERROR(__xludf.DUMMYFUNCTION("""COMPUTED_VALUE"""),20.0)</f>
        <v>20</v>
      </c>
      <c r="J1454" s="1">
        <f>IFERROR(__xludf.DUMMYFUNCTION("""COMPUTED_VALUE"""),91.0)</f>
        <v>91</v>
      </c>
      <c r="K1454" s="1">
        <f>IFERROR(__xludf.DUMMYFUNCTION("""COMPUTED_VALUE"""),50.0)</f>
        <v>50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 t="str">
        <f>IFERROR(__xludf.DUMMYFUNCTION("""COMPUTED_VALUE"""),"D")</f>
        <v>D</v>
      </c>
      <c r="E1455" s="1" t="str">
        <f>IFERROR(__xludf.DUMMYFUNCTION("""COMPUTED_VALUE"""),"Female")</f>
        <v>Female</v>
      </c>
      <c r="F1455" s="1">
        <f>IFERROR(__xludf.DUMMYFUNCTION("""COMPUTED_VALUE"""),94.0)</f>
        <v>94</v>
      </c>
      <c r="G1455" s="1">
        <f>IFERROR(__xludf.DUMMYFUNCTION("""COMPUTED_VALUE"""),67.0)</f>
        <v>67</v>
      </c>
      <c r="H1455" s="1">
        <f>IFERROR(__xludf.DUMMYFUNCTION("""COMPUTED_VALUE"""),87.0)</f>
        <v>87</v>
      </c>
      <c r="I1455" s="1">
        <f>IFERROR(__xludf.DUMMYFUNCTION("""COMPUTED_VALUE"""),85.0)</f>
        <v>85</v>
      </c>
      <c r="J1455" s="1">
        <f>IFERROR(__xludf.DUMMYFUNCTION("""COMPUTED_VALUE"""),71.0)</f>
        <v>71</v>
      </c>
      <c r="K1455" s="1">
        <f>IFERROR(__xludf.DUMMYFUNCTION("""COMPUTED_VALUE"""),40.0)</f>
        <v>40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 t="str">
        <f>IFERROR(__xludf.DUMMYFUNCTION("""COMPUTED_VALUE"""),"A")</f>
        <v>A</v>
      </c>
      <c r="E1456" s="1" t="str">
        <f>IFERROR(__xludf.DUMMYFUNCTION("""COMPUTED_VALUE"""),"Male")</f>
        <v>Male</v>
      </c>
      <c r="F1456" s="1">
        <f>IFERROR(__xludf.DUMMYFUNCTION("""COMPUTED_VALUE"""),69.0)</f>
        <v>69</v>
      </c>
      <c r="G1456" s="1">
        <f>IFERROR(__xludf.DUMMYFUNCTION("""COMPUTED_VALUE"""),51.0)</f>
        <v>51</v>
      </c>
      <c r="H1456" s="1">
        <f>IFERROR(__xludf.DUMMYFUNCTION("""COMPUTED_VALUE"""),76.0)</f>
        <v>76</v>
      </c>
      <c r="I1456" s="1">
        <f>IFERROR(__xludf.DUMMYFUNCTION("""COMPUTED_VALUE"""),35.0)</f>
        <v>35</v>
      </c>
      <c r="J1456" s="1">
        <f>IFERROR(__xludf.DUMMYFUNCTION("""COMPUTED_VALUE"""),37.0)</f>
        <v>37</v>
      </c>
      <c r="K1456" s="1">
        <f>IFERROR(__xludf.DUMMYFUNCTION("""COMPUTED_VALUE"""),45.0)</f>
        <v>45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 t="str">
        <f>IFERROR(__xludf.DUMMYFUNCTION("""COMPUTED_VALUE"""),"A")</f>
        <v>A</v>
      </c>
      <c r="E1457" s="1" t="str">
        <f>IFERROR(__xludf.DUMMYFUNCTION("""COMPUTED_VALUE"""),"Male")</f>
        <v>Male</v>
      </c>
      <c r="F1457" s="1">
        <f>IFERROR(__xludf.DUMMYFUNCTION("""COMPUTED_VALUE"""),32.0)</f>
        <v>32</v>
      </c>
      <c r="G1457" s="1">
        <f>IFERROR(__xludf.DUMMYFUNCTION("""COMPUTED_VALUE"""),75.0)</f>
        <v>75</v>
      </c>
      <c r="H1457" s="1">
        <f>IFERROR(__xludf.DUMMYFUNCTION("""COMPUTED_VALUE"""),93.0)</f>
        <v>93</v>
      </c>
      <c r="I1457" s="1">
        <f>IFERROR(__xludf.DUMMYFUNCTION("""COMPUTED_VALUE"""),24.0)</f>
        <v>24</v>
      </c>
      <c r="J1457" s="1">
        <f>IFERROR(__xludf.DUMMYFUNCTION("""COMPUTED_VALUE"""),76.0)</f>
        <v>76</v>
      </c>
      <c r="K1457" s="1">
        <f>IFERROR(__xludf.DUMMYFUNCTION("""COMPUTED_VALUE"""),72.0)</f>
        <v>72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 t="str">
        <f>IFERROR(__xludf.DUMMYFUNCTION("""COMPUTED_VALUE"""),"C")</f>
        <v>C</v>
      </c>
      <c r="E1458" s="1" t="str">
        <f>IFERROR(__xludf.DUMMYFUNCTION("""COMPUTED_VALUE"""),"Female")</f>
        <v>Female</v>
      </c>
      <c r="F1458" s="1">
        <f>IFERROR(__xludf.DUMMYFUNCTION("""COMPUTED_VALUE"""),76.0)</f>
        <v>76</v>
      </c>
      <c r="G1458" s="1">
        <f>IFERROR(__xludf.DUMMYFUNCTION("""COMPUTED_VALUE"""),60.0)</f>
        <v>60</v>
      </c>
      <c r="H1458" s="1">
        <f>IFERROR(__xludf.DUMMYFUNCTION("""COMPUTED_VALUE"""),25.0)</f>
        <v>25</v>
      </c>
      <c r="I1458" s="1">
        <f>IFERROR(__xludf.DUMMYFUNCTION("""COMPUTED_VALUE"""),22.0)</f>
        <v>22</v>
      </c>
      <c r="J1458" s="1">
        <f>IFERROR(__xludf.DUMMYFUNCTION("""COMPUTED_VALUE"""),51.0)</f>
        <v>51</v>
      </c>
      <c r="K1458" s="1">
        <f>IFERROR(__xludf.DUMMYFUNCTION("""COMPUTED_VALUE"""),37.0)</f>
        <v>37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 t="str">
        <f>IFERROR(__xludf.DUMMYFUNCTION("""COMPUTED_VALUE"""),"A")</f>
        <v>A</v>
      </c>
      <c r="E1459" s="1" t="str">
        <f>IFERROR(__xludf.DUMMYFUNCTION("""COMPUTED_VALUE"""),"Male")</f>
        <v>Male</v>
      </c>
      <c r="F1459" s="1">
        <f>IFERROR(__xludf.DUMMYFUNCTION("""COMPUTED_VALUE"""),52.0)</f>
        <v>52</v>
      </c>
      <c r="G1459" s="1">
        <f>IFERROR(__xludf.DUMMYFUNCTION("""COMPUTED_VALUE"""),70.0)</f>
        <v>70</v>
      </c>
      <c r="H1459" s="1">
        <f>IFERROR(__xludf.DUMMYFUNCTION("""COMPUTED_VALUE"""),84.0)</f>
        <v>84</v>
      </c>
      <c r="I1459" s="1">
        <f>IFERROR(__xludf.DUMMYFUNCTION("""COMPUTED_VALUE"""),90.0)</f>
        <v>90</v>
      </c>
      <c r="J1459" s="1">
        <f>IFERROR(__xludf.DUMMYFUNCTION("""COMPUTED_VALUE"""),35.0)</f>
        <v>35</v>
      </c>
      <c r="K1459" s="1">
        <f>IFERROR(__xludf.DUMMYFUNCTION("""COMPUTED_VALUE"""),80.0)</f>
        <v>80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 t="str">
        <f>IFERROR(__xludf.DUMMYFUNCTION("""COMPUTED_VALUE"""),"B")</f>
        <v>B</v>
      </c>
      <c r="E1460" s="1" t="str">
        <f>IFERROR(__xludf.DUMMYFUNCTION("""COMPUTED_VALUE"""),"Female")</f>
        <v>Female</v>
      </c>
      <c r="F1460" s="1">
        <f>IFERROR(__xludf.DUMMYFUNCTION("""COMPUTED_VALUE"""),87.0)</f>
        <v>87</v>
      </c>
      <c r="G1460" s="1">
        <f>IFERROR(__xludf.DUMMYFUNCTION("""COMPUTED_VALUE"""),74.0)</f>
        <v>74</v>
      </c>
      <c r="H1460" s="1">
        <f>IFERROR(__xludf.DUMMYFUNCTION("""COMPUTED_VALUE"""),76.0)</f>
        <v>76</v>
      </c>
      <c r="I1460" s="1">
        <f>IFERROR(__xludf.DUMMYFUNCTION("""COMPUTED_VALUE"""),52.0)</f>
        <v>52</v>
      </c>
      <c r="J1460" s="1">
        <f>IFERROR(__xludf.DUMMYFUNCTION("""COMPUTED_VALUE"""),25.0)</f>
        <v>25</v>
      </c>
      <c r="K1460" s="1">
        <f>IFERROR(__xludf.DUMMYFUNCTION("""COMPUTED_VALUE"""),92.0)</f>
        <v>92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 t="str">
        <f>IFERROR(__xludf.DUMMYFUNCTION("""COMPUTED_VALUE"""),"D")</f>
        <v>D</v>
      </c>
      <c r="E1461" s="1" t="str">
        <f>IFERROR(__xludf.DUMMYFUNCTION("""COMPUTED_VALUE"""),"Male")</f>
        <v>Male</v>
      </c>
      <c r="F1461" s="1">
        <f>IFERROR(__xludf.DUMMYFUNCTION("""COMPUTED_VALUE"""),99.0)</f>
        <v>99</v>
      </c>
      <c r="G1461" s="1">
        <f>IFERROR(__xludf.DUMMYFUNCTION("""COMPUTED_VALUE"""),63.0)</f>
        <v>63</v>
      </c>
      <c r="H1461" s="1">
        <f>IFERROR(__xludf.DUMMYFUNCTION("""COMPUTED_VALUE"""),57.0)</f>
        <v>57</v>
      </c>
      <c r="I1461" s="1">
        <f>IFERROR(__xludf.DUMMYFUNCTION("""COMPUTED_VALUE"""),61.0)</f>
        <v>61</v>
      </c>
      <c r="J1461" s="1">
        <f>IFERROR(__xludf.DUMMYFUNCTION("""COMPUTED_VALUE"""),93.0)</f>
        <v>93</v>
      </c>
      <c r="K1461" s="1">
        <f>IFERROR(__xludf.DUMMYFUNCTION("""COMPUTED_VALUE"""),53.0)</f>
        <v>53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 t="str">
        <f>IFERROR(__xludf.DUMMYFUNCTION("""COMPUTED_VALUE"""),"A")</f>
        <v>A</v>
      </c>
      <c r="E1462" s="1" t="str">
        <f>IFERROR(__xludf.DUMMYFUNCTION("""COMPUTED_VALUE"""),"Female")</f>
        <v>Female</v>
      </c>
      <c r="F1462" s="1">
        <f>IFERROR(__xludf.DUMMYFUNCTION("""COMPUTED_VALUE"""),22.0)</f>
        <v>22</v>
      </c>
      <c r="G1462" s="1">
        <f>IFERROR(__xludf.DUMMYFUNCTION("""COMPUTED_VALUE"""),50.0)</f>
        <v>50</v>
      </c>
      <c r="H1462" s="1">
        <f>IFERROR(__xludf.DUMMYFUNCTION("""COMPUTED_VALUE"""),39.0)</f>
        <v>39</v>
      </c>
      <c r="I1462" s="1">
        <f>IFERROR(__xludf.DUMMYFUNCTION("""COMPUTED_VALUE"""),65.0)</f>
        <v>65</v>
      </c>
      <c r="J1462" s="1">
        <f>IFERROR(__xludf.DUMMYFUNCTION("""COMPUTED_VALUE"""),36.0)</f>
        <v>36</v>
      </c>
      <c r="K1462" s="1">
        <f>IFERROR(__xludf.DUMMYFUNCTION("""COMPUTED_VALUE"""),86.0)</f>
        <v>86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 t="str">
        <f>IFERROR(__xludf.DUMMYFUNCTION("""COMPUTED_VALUE"""),"B")</f>
        <v>B</v>
      </c>
      <c r="E1463" s="1" t="str">
        <f>IFERROR(__xludf.DUMMYFUNCTION("""COMPUTED_VALUE"""),"Female")</f>
        <v>Female</v>
      </c>
      <c r="F1463" s="1">
        <f>IFERROR(__xludf.DUMMYFUNCTION("""COMPUTED_VALUE"""),55.0)</f>
        <v>55</v>
      </c>
      <c r="G1463" s="1">
        <f>IFERROR(__xludf.DUMMYFUNCTION("""COMPUTED_VALUE"""),24.0)</f>
        <v>24</v>
      </c>
      <c r="H1463" s="1">
        <f>IFERROR(__xludf.DUMMYFUNCTION("""COMPUTED_VALUE"""),62.0)</f>
        <v>62</v>
      </c>
      <c r="I1463" s="1">
        <f>IFERROR(__xludf.DUMMYFUNCTION("""COMPUTED_VALUE"""),25.0)</f>
        <v>25</v>
      </c>
      <c r="J1463" s="1">
        <f>IFERROR(__xludf.DUMMYFUNCTION("""COMPUTED_VALUE"""),79.0)</f>
        <v>79</v>
      </c>
      <c r="K1463" s="1">
        <f>IFERROR(__xludf.DUMMYFUNCTION("""COMPUTED_VALUE"""),74.0)</f>
        <v>74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 t="str">
        <f>IFERROR(__xludf.DUMMYFUNCTION("""COMPUTED_VALUE"""),"B")</f>
        <v>B</v>
      </c>
      <c r="E1464" s="1" t="str">
        <f>IFERROR(__xludf.DUMMYFUNCTION("""COMPUTED_VALUE"""),"Male")</f>
        <v>Male</v>
      </c>
      <c r="F1464" s="1">
        <f>IFERROR(__xludf.DUMMYFUNCTION("""COMPUTED_VALUE"""),72.0)</f>
        <v>72</v>
      </c>
      <c r="G1464" s="1">
        <f>IFERROR(__xludf.DUMMYFUNCTION("""COMPUTED_VALUE"""),21.0)</f>
        <v>21</v>
      </c>
      <c r="H1464" s="1">
        <f>IFERROR(__xludf.DUMMYFUNCTION("""COMPUTED_VALUE"""),45.0)</f>
        <v>45</v>
      </c>
      <c r="I1464" s="1">
        <f>IFERROR(__xludf.DUMMYFUNCTION("""COMPUTED_VALUE"""),80.0)</f>
        <v>80</v>
      </c>
      <c r="J1464" s="1">
        <f>IFERROR(__xludf.DUMMYFUNCTION("""COMPUTED_VALUE"""),64.0)</f>
        <v>64</v>
      </c>
      <c r="K1464" s="1">
        <f>IFERROR(__xludf.DUMMYFUNCTION("""COMPUTED_VALUE"""),89.0)</f>
        <v>89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 t="str">
        <f>IFERROR(__xludf.DUMMYFUNCTION("""COMPUTED_VALUE"""),"C")</f>
        <v>C</v>
      </c>
      <c r="E1465" s="1" t="str">
        <f>IFERROR(__xludf.DUMMYFUNCTION("""COMPUTED_VALUE"""),"Male")</f>
        <v>Male</v>
      </c>
      <c r="F1465" s="1">
        <f>IFERROR(__xludf.DUMMYFUNCTION("""COMPUTED_VALUE"""),81.0)</f>
        <v>81</v>
      </c>
      <c r="G1465" s="1">
        <f>IFERROR(__xludf.DUMMYFUNCTION("""COMPUTED_VALUE"""),32.0)</f>
        <v>32</v>
      </c>
      <c r="H1465" s="1">
        <f>IFERROR(__xludf.DUMMYFUNCTION("""COMPUTED_VALUE"""),84.0)</f>
        <v>84</v>
      </c>
      <c r="I1465" s="1">
        <f>IFERROR(__xludf.DUMMYFUNCTION("""COMPUTED_VALUE"""),27.0)</f>
        <v>27</v>
      </c>
      <c r="J1465" s="1">
        <f>IFERROR(__xludf.DUMMYFUNCTION("""COMPUTED_VALUE"""),44.0)</f>
        <v>44</v>
      </c>
      <c r="K1465" s="1">
        <f>IFERROR(__xludf.DUMMYFUNCTION("""COMPUTED_VALUE"""),99.0)</f>
        <v>99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 t="str">
        <f>IFERROR(__xludf.DUMMYFUNCTION("""COMPUTED_VALUE"""),"A")</f>
        <v>A</v>
      </c>
      <c r="E1466" s="1" t="str">
        <f>IFERROR(__xludf.DUMMYFUNCTION("""COMPUTED_VALUE"""),"Male")</f>
        <v>Male</v>
      </c>
      <c r="F1466" s="1">
        <f>IFERROR(__xludf.DUMMYFUNCTION("""COMPUTED_VALUE"""),48.0)</f>
        <v>48</v>
      </c>
      <c r="G1466" s="1">
        <f>IFERROR(__xludf.DUMMYFUNCTION("""COMPUTED_VALUE"""),46.0)</f>
        <v>46</v>
      </c>
      <c r="H1466" s="1">
        <f>IFERROR(__xludf.DUMMYFUNCTION("""COMPUTED_VALUE"""),30.0)</f>
        <v>30</v>
      </c>
      <c r="I1466" s="1">
        <f>IFERROR(__xludf.DUMMYFUNCTION("""COMPUTED_VALUE"""),96.0)</f>
        <v>96</v>
      </c>
      <c r="J1466" s="1">
        <f>IFERROR(__xludf.DUMMYFUNCTION("""COMPUTED_VALUE"""),55.0)</f>
        <v>55</v>
      </c>
      <c r="K1466" s="1">
        <f>IFERROR(__xludf.DUMMYFUNCTION("""COMPUTED_VALUE"""),84.0)</f>
        <v>84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 t="str">
        <f>IFERROR(__xludf.DUMMYFUNCTION("""COMPUTED_VALUE"""),"B")</f>
        <v>B</v>
      </c>
      <c r="E1467" s="1" t="str">
        <f>IFERROR(__xludf.DUMMYFUNCTION("""COMPUTED_VALUE"""),"Female")</f>
        <v>Female</v>
      </c>
      <c r="F1467" s="1">
        <f>IFERROR(__xludf.DUMMYFUNCTION("""COMPUTED_VALUE"""),52.0)</f>
        <v>52</v>
      </c>
      <c r="G1467" s="1">
        <f>IFERROR(__xludf.DUMMYFUNCTION("""COMPUTED_VALUE"""),97.0)</f>
        <v>97</v>
      </c>
      <c r="H1467" s="1">
        <f>IFERROR(__xludf.DUMMYFUNCTION("""COMPUTED_VALUE"""),61.0)</f>
        <v>61</v>
      </c>
      <c r="I1467" s="1">
        <f>IFERROR(__xludf.DUMMYFUNCTION("""COMPUTED_VALUE"""),68.0)</f>
        <v>68</v>
      </c>
      <c r="J1467" s="1">
        <f>IFERROR(__xludf.DUMMYFUNCTION("""COMPUTED_VALUE"""),93.0)</f>
        <v>93</v>
      </c>
      <c r="K1467" s="1">
        <f>IFERROR(__xludf.DUMMYFUNCTION("""COMPUTED_VALUE"""),97.0)</f>
        <v>97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 t="str">
        <f>IFERROR(__xludf.DUMMYFUNCTION("""COMPUTED_VALUE"""),"D")</f>
        <v>D</v>
      </c>
      <c r="E1468" s="1" t="str">
        <f>IFERROR(__xludf.DUMMYFUNCTION("""COMPUTED_VALUE"""),"Female")</f>
        <v>Female</v>
      </c>
      <c r="F1468" s="1">
        <f>IFERROR(__xludf.DUMMYFUNCTION("""COMPUTED_VALUE"""),75.0)</f>
        <v>75</v>
      </c>
      <c r="G1468" s="1">
        <f>IFERROR(__xludf.DUMMYFUNCTION("""COMPUTED_VALUE"""),76.0)</f>
        <v>76</v>
      </c>
      <c r="H1468" s="1">
        <f>IFERROR(__xludf.DUMMYFUNCTION("""COMPUTED_VALUE"""),73.0)</f>
        <v>73</v>
      </c>
      <c r="I1468" s="1">
        <f>IFERROR(__xludf.DUMMYFUNCTION("""COMPUTED_VALUE"""),57.0)</f>
        <v>57</v>
      </c>
      <c r="J1468" s="1">
        <f>IFERROR(__xludf.DUMMYFUNCTION("""COMPUTED_VALUE"""),53.0)</f>
        <v>53</v>
      </c>
      <c r="K1468" s="1">
        <f>IFERROR(__xludf.DUMMYFUNCTION("""COMPUTED_VALUE"""),46.0)</f>
        <v>46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 t="str">
        <f>IFERROR(__xludf.DUMMYFUNCTION("""COMPUTED_VALUE"""),"D")</f>
        <v>D</v>
      </c>
      <c r="E1469" s="1" t="str">
        <f>IFERROR(__xludf.DUMMYFUNCTION("""COMPUTED_VALUE"""),"Male")</f>
        <v>Male</v>
      </c>
      <c r="F1469" s="1">
        <f>IFERROR(__xludf.DUMMYFUNCTION("""COMPUTED_VALUE"""),85.0)</f>
        <v>85</v>
      </c>
      <c r="G1469" s="1">
        <f>IFERROR(__xludf.DUMMYFUNCTION("""COMPUTED_VALUE"""),29.0)</f>
        <v>29</v>
      </c>
      <c r="H1469" s="1">
        <f>IFERROR(__xludf.DUMMYFUNCTION("""COMPUTED_VALUE"""),57.0)</f>
        <v>57</v>
      </c>
      <c r="I1469" s="1">
        <f>IFERROR(__xludf.DUMMYFUNCTION("""COMPUTED_VALUE"""),38.0)</f>
        <v>38</v>
      </c>
      <c r="J1469" s="1">
        <f>IFERROR(__xludf.DUMMYFUNCTION("""COMPUTED_VALUE"""),53.0)</f>
        <v>53</v>
      </c>
      <c r="K1469" s="1">
        <f>IFERROR(__xludf.DUMMYFUNCTION("""COMPUTED_VALUE"""),75.0)</f>
        <v>75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 t="str">
        <f>IFERROR(__xludf.DUMMYFUNCTION("""COMPUTED_VALUE"""),"A")</f>
        <v>A</v>
      </c>
      <c r="E1470" s="1" t="str">
        <f>IFERROR(__xludf.DUMMYFUNCTION("""COMPUTED_VALUE"""),"Male")</f>
        <v>Male</v>
      </c>
      <c r="F1470" s="1">
        <f>IFERROR(__xludf.DUMMYFUNCTION("""COMPUTED_VALUE"""),68.0)</f>
        <v>68</v>
      </c>
      <c r="G1470" s="1">
        <f>IFERROR(__xludf.DUMMYFUNCTION("""COMPUTED_VALUE"""),35.0)</f>
        <v>35</v>
      </c>
      <c r="H1470" s="1">
        <f>IFERROR(__xludf.DUMMYFUNCTION("""COMPUTED_VALUE"""),56.0)</f>
        <v>56</v>
      </c>
      <c r="I1470" s="1">
        <f>IFERROR(__xludf.DUMMYFUNCTION("""COMPUTED_VALUE"""),38.0)</f>
        <v>38</v>
      </c>
      <c r="J1470" s="1">
        <f>IFERROR(__xludf.DUMMYFUNCTION("""COMPUTED_VALUE"""),66.0)</f>
        <v>66</v>
      </c>
      <c r="K1470" s="1">
        <f>IFERROR(__xludf.DUMMYFUNCTION("""COMPUTED_VALUE"""),30.0)</f>
        <v>30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 t="str">
        <f>IFERROR(__xludf.DUMMYFUNCTION("""COMPUTED_VALUE"""),"B")</f>
        <v>B</v>
      </c>
      <c r="E1471" s="1" t="str">
        <f>IFERROR(__xludf.DUMMYFUNCTION("""COMPUTED_VALUE"""),"Male")</f>
        <v>Male</v>
      </c>
      <c r="F1471" s="1">
        <f>IFERROR(__xludf.DUMMYFUNCTION("""COMPUTED_VALUE"""),73.0)</f>
        <v>73</v>
      </c>
      <c r="G1471" s="1">
        <f>IFERROR(__xludf.DUMMYFUNCTION("""COMPUTED_VALUE"""),45.0)</f>
        <v>45</v>
      </c>
      <c r="H1471" s="1">
        <f>IFERROR(__xludf.DUMMYFUNCTION("""COMPUTED_VALUE"""),45.0)</f>
        <v>45</v>
      </c>
      <c r="I1471" s="1">
        <f>IFERROR(__xludf.DUMMYFUNCTION("""COMPUTED_VALUE"""),34.0)</f>
        <v>34</v>
      </c>
      <c r="J1471" s="1">
        <f>IFERROR(__xludf.DUMMYFUNCTION("""COMPUTED_VALUE"""),21.0)</f>
        <v>21</v>
      </c>
      <c r="K1471" s="1">
        <f>IFERROR(__xludf.DUMMYFUNCTION("""COMPUTED_VALUE"""),66.0)</f>
        <v>66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 t="str">
        <f>IFERROR(__xludf.DUMMYFUNCTION("""COMPUTED_VALUE"""),"C")</f>
        <v>C</v>
      </c>
      <c r="E1472" s="1" t="str">
        <f>IFERROR(__xludf.DUMMYFUNCTION("""COMPUTED_VALUE"""),"Female")</f>
        <v>Female</v>
      </c>
      <c r="F1472" s="1">
        <f>IFERROR(__xludf.DUMMYFUNCTION("""COMPUTED_VALUE"""),23.0)</f>
        <v>23</v>
      </c>
      <c r="G1472" s="1">
        <f>IFERROR(__xludf.DUMMYFUNCTION("""COMPUTED_VALUE"""),56.0)</f>
        <v>56</v>
      </c>
      <c r="H1472" s="1">
        <f>IFERROR(__xludf.DUMMYFUNCTION("""COMPUTED_VALUE"""),22.0)</f>
        <v>22</v>
      </c>
      <c r="I1472" s="1">
        <f>IFERROR(__xludf.DUMMYFUNCTION("""COMPUTED_VALUE"""),83.0)</f>
        <v>83</v>
      </c>
      <c r="J1472" s="1">
        <f>IFERROR(__xludf.DUMMYFUNCTION("""COMPUTED_VALUE"""),73.0)</f>
        <v>73</v>
      </c>
      <c r="K1472" s="1">
        <f>IFERROR(__xludf.DUMMYFUNCTION("""COMPUTED_VALUE"""),95.0)</f>
        <v>95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 t="str">
        <f>IFERROR(__xludf.DUMMYFUNCTION("""COMPUTED_VALUE"""),"A")</f>
        <v>A</v>
      </c>
      <c r="E1473" s="1" t="str">
        <f>IFERROR(__xludf.DUMMYFUNCTION("""COMPUTED_VALUE"""),"Male")</f>
        <v>Male</v>
      </c>
      <c r="F1473" s="1">
        <f>IFERROR(__xludf.DUMMYFUNCTION("""COMPUTED_VALUE"""),46.0)</f>
        <v>46</v>
      </c>
      <c r="G1473" s="1">
        <f>IFERROR(__xludf.DUMMYFUNCTION("""COMPUTED_VALUE"""),98.0)</f>
        <v>98</v>
      </c>
      <c r="H1473" s="1">
        <f>IFERROR(__xludf.DUMMYFUNCTION("""COMPUTED_VALUE"""),45.0)</f>
        <v>45</v>
      </c>
      <c r="I1473" s="1">
        <f>IFERROR(__xludf.DUMMYFUNCTION("""COMPUTED_VALUE"""),26.0)</f>
        <v>26</v>
      </c>
      <c r="J1473" s="1">
        <f>IFERROR(__xludf.DUMMYFUNCTION("""COMPUTED_VALUE"""),81.0)</f>
        <v>81</v>
      </c>
      <c r="K1473" s="1">
        <f>IFERROR(__xludf.DUMMYFUNCTION("""COMPUTED_VALUE"""),22.0)</f>
        <v>22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 t="str">
        <f>IFERROR(__xludf.DUMMYFUNCTION("""COMPUTED_VALUE"""),"C")</f>
        <v>C</v>
      </c>
      <c r="E1474" s="1" t="str">
        <f>IFERROR(__xludf.DUMMYFUNCTION("""COMPUTED_VALUE"""),"Male")</f>
        <v>Male</v>
      </c>
      <c r="F1474" s="1">
        <f>IFERROR(__xludf.DUMMYFUNCTION("""COMPUTED_VALUE"""),48.0)</f>
        <v>48</v>
      </c>
      <c r="G1474" s="1">
        <f>IFERROR(__xludf.DUMMYFUNCTION("""COMPUTED_VALUE"""),51.0)</f>
        <v>51</v>
      </c>
      <c r="H1474" s="1">
        <f>IFERROR(__xludf.DUMMYFUNCTION("""COMPUTED_VALUE"""),96.0)</f>
        <v>96</v>
      </c>
      <c r="I1474" s="1">
        <f>IFERROR(__xludf.DUMMYFUNCTION("""COMPUTED_VALUE"""),38.0)</f>
        <v>38</v>
      </c>
      <c r="J1474" s="1">
        <f>IFERROR(__xludf.DUMMYFUNCTION("""COMPUTED_VALUE"""),28.0)</f>
        <v>28</v>
      </c>
      <c r="K1474" s="1">
        <f>IFERROR(__xludf.DUMMYFUNCTION("""COMPUTED_VALUE"""),28.0)</f>
        <v>28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 t="str">
        <f>IFERROR(__xludf.DUMMYFUNCTION("""COMPUTED_VALUE"""),"B")</f>
        <v>B</v>
      </c>
      <c r="E1475" s="1" t="str">
        <f>IFERROR(__xludf.DUMMYFUNCTION("""COMPUTED_VALUE"""),"Female")</f>
        <v>Female</v>
      </c>
      <c r="F1475" s="1">
        <f>IFERROR(__xludf.DUMMYFUNCTION("""COMPUTED_VALUE"""),95.0)</f>
        <v>95</v>
      </c>
      <c r="G1475" s="1">
        <f>IFERROR(__xludf.DUMMYFUNCTION("""COMPUTED_VALUE"""),65.0)</f>
        <v>65</v>
      </c>
      <c r="H1475" s="1">
        <f>IFERROR(__xludf.DUMMYFUNCTION("""COMPUTED_VALUE"""),53.0)</f>
        <v>53</v>
      </c>
      <c r="I1475" s="1">
        <f>IFERROR(__xludf.DUMMYFUNCTION("""COMPUTED_VALUE"""),31.0)</f>
        <v>31</v>
      </c>
      <c r="J1475" s="1">
        <f>IFERROR(__xludf.DUMMYFUNCTION("""COMPUTED_VALUE"""),90.0)</f>
        <v>90</v>
      </c>
      <c r="K1475" s="1">
        <f>IFERROR(__xludf.DUMMYFUNCTION("""COMPUTED_VALUE"""),44.0)</f>
        <v>44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 t="str">
        <f>IFERROR(__xludf.DUMMYFUNCTION("""COMPUTED_VALUE"""),"A")</f>
        <v>A</v>
      </c>
      <c r="E1476" s="1" t="str">
        <f>IFERROR(__xludf.DUMMYFUNCTION("""COMPUTED_VALUE"""),"Female")</f>
        <v>Female</v>
      </c>
      <c r="F1476" s="1">
        <f>IFERROR(__xludf.DUMMYFUNCTION("""COMPUTED_VALUE"""),60.0)</f>
        <v>60</v>
      </c>
      <c r="G1476" s="1">
        <f>IFERROR(__xludf.DUMMYFUNCTION("""COMPUTED_VALUE"""),54.0)</f>
        <v>54</v>
      </c>
      <c r="H1476" s="1">
        <f>IFERROR(__xludf.DUMMYFUNCTION("""COMPUTED_VALUE"""),59.0)</f>
        <v>59</v>
      </c>
      <c r="I1476" s="1">
        <f>IFERROR(__xludf.DUMMYFUNCTION("""COMPUTED_VALUE"""),30.0)</f>
        <v>30</v>
      </c>
      <c r="J1476" s="1">
        <f>IFERROR(__xludf.DUMMYFUNCTION("""COMPUTED_VALUE"""),78.0)</f>
        <v>78</v>
      </c>
      <c r="K1476" s="1">
        <f>IFERROR(__xludf.DUMMYFUNCTION("""COMPUTED_VALUE"""),32.0)</f>
        <v>32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 t="str">
        <f>IFERROR(__xludf.DUMMYFUNCTION("""COMPUTED_VALUE"""),"A")</f>
        <v>A</v>
      </c>
      <c r="E1477" s="1" t="str">
        <f>IFERROR(__xludf.DUMMYFUNCTION("""COMPUTED_VALUE"""),"Male")</f>
        <v>Male</v>
      </c>
      <c r="F1477" s="1">
        <f>IFERROR(__xludf.DUMMYFUNCTION("""COMPUTED_VALUE"""),38.0)</f>
        <v>38</v>
      </c>
      <c r="G1477" s="1">
        <f>IFERROR(__xludf.DUMMYFUNCTION("""COMPUTED_VALUE"""),33.0)</f>
        <v>33</v>
      </c>
      <c r="H1477" s="1">
        <f>IFERROR(__xludf.DUMMYFUNCTION("""COMPUTED_VALUE"""),63.0)</f>
        <v>63</v>
      </c>
      <c r="I1477" s="1">
        <f>IFERROR(__xludf.DUMMYFUNCTION("""COMPUTED_VALUE"""),73.0)</f>
        <v>73</v>
      </c>
      <c r="J1477" s="1">
        <f>IFERROR(__xludf.DUMMYFUNCTION("""COMPUTED_VALUE"""),64.0)</f>
        <v>64</v>
      </c>
      <c r="K1477" s="1">
        <f>IFERROR(__xludf.DUMMYFUNCTION("""COMPUTED_VALUE"""),51.0)</f>
        <v>51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 t="str">
        <f>IFERROR(__xludf.DUMMYFUNCTION("""COMPUTED_VALUE"""),"B")</f>
        <v>B</v>
      </c>
      <c r="E1478" s="1" t="str">
        <f>IFERROR(__xludf.DUMMYFUNCTION("""COMPUTED_VALUE"""),"Male")</f>
        <v>Male</v>
      </c>
      <c r="F1478" s="1">
        <f>IFERROR(__xludf.DUMMYFUNCTION("""COMPUTED_VALUE"""),20.0)</f>
        <v>20</v>
      </c>
      <c r="G1478" s="1">
        <f>IFERROR(__xludf.DUMMYFUNCTION("""COMPUTED_VALUE"""),20.0)</f>
        <v>20</v>
      </c>
      <c r="H1478" s="1">
        <f>IFERROR(__xludf.DUMMYFUNCTION("""COMPUTED_VALUE"""),86.0)</f>
        <v>86</v>
      </c>
      <c r="I1478" s="1">
        <f>IFERROR(__xludf.DUMMYFUNCTION("""COMPUTED_VALUE"""),48.0)</f>
        <v>48</v>
      </c>
      <c r="J1478" s="1">
        <f>IFERROR(__xludf.DUMMYFUNCTION("""COMPUTED_VALUE"""),98.0)</f>
        <v>98</v>
      </c>
      <c r="K1478" s="1">
        <f>IFERROR(__xludf.DUMMYFUNCTION("""COMPUTED_VALUE"""),48.0)</f>
        <v>48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 t="str">
        <f>IFERROR(__xludf.DUMMYFUNCTION("""COMPUTED_VALUE"""),"C")</f>
        <v>C</v>
      </c>
      <c r="E1479" s="1" t="str">
        <f>IFERROR(__xludf.DUMMYFUNCTION("""COMPUTED_VALUE"""),"Female")</f>
        <v>Female</v>
      </c>
      <c r="F1479" s="1">
        <f>IFERROR(__xludf.DUMMYFUNCTION("""COMPUTED_VALUE"""),82.0)</f>
        <v>82</v>
      </c>
      <c r="G1479" s="1">
        <f>IFERROR(__xludf.DUMMYFUNCTION("""COMPUTED_VALUE"""),96.0)</f>
        <v>96</v>
      </c>
      <c r="H1479" s="1">
        <f>IFERROR(__xludf.DUMMYFUNCTION("""COMPUTED_VALUE"""),63.0)</f>
        <v>63</v>
      </c>
      <c r="I1479" s="1">
        <f>IFERROR(__xludf.DUMMYFUNCTION("""COMPUTED_VALUE"""),45.0)</f>
        <v>45</v>
      </c>
      <c r="J1479" s="1">
        <f>IFERROR(__xludf.DUMMYFUNCTION("""COMPUTED_VALUE"""),80.0)</f>
        <v>80</v>
      </c>
      <c r="K1479" s="1">
        <f>IFERROR(__xludf.DUMMYFUNCTION("""COMPUTED_VALUE"""),74.0)</f>
        <v>74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 t="str">
        <f>IFERROR(__xludf.DUMMYFUNCTION("""COMPUTED_VALUE"""),"B")</f>
        <v>B</v>
      </c>
      <c r="E1480" s="1" t="str">
        <f>IFERROR(__xludf.DUMMYFUNCTION("""COMPUTED_VALUE"""),"Female")</f>
        <v>Female</v>
      </c>
      <c r="F1480" s="1">
        <f>IFERROR(__xludf.DUMMYFUNCTION("""COMPUTED_VALUE"""),79.0)</f>
        <v>79</v>
      </c>
      <c r="G1480" s="1">
        <f>IFERROR(__xludf.DUMMYFUNCTION("""COMPUTED_VALUE"""),60.0)</f>
        <v>60</v>
      </c>
      <c r="H1480" s="1">
        <f>IFERROR(__xludf.DUMMYFUNCTION("""COMPUTED_VALUE"""),30.0)</f>
        <v>30</v>
      </c>
      <c r="I1480" s="1">
        <f>IFERROR(__xludf.DUMMYFUNCTION("""COMPUTED_VALUE"""),64.0)</f>
        <v>64</v>
      </c>
      <c r="J1480" s="1">
        <f>IFERROR(__xludf.DUMMYFUNCTION("""COMPUTED_VALUE"""),25.0)</f>
        <v>25</v>
      </c>
      <c r="K1480" s="1">
        <f>IFERROR(__xludf.DUMMYFUNCTION("""COMPUTED_VALUE"""),23.0)</f>
        <v>23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 t="str">
        <f>IFERROR(__xludf.DUMMYFUNCTION("""COMPUTED_VALUE"""),"A")</f>
        <v>A</v>
      </c>
      <c r="E1481" s="1" t="str">
        <f>IFERROR(__xludf.DUMMYFUNCTION("""COMPUTED_VALUE"""),"Male")</f>
        <v>Male</v>
      </c>
      <c r="F1481" s="1">
        <f>IFERROR(__xludf.DUMMYFUNCTION("""COMPUTED_VALUE"""),54.0)</f>
        <v>54</v>
      </c>
      <c r="G1481" s="1">
        <f>IFERROR(__xludf.DUMMYFUNCTION("""COMPUTED_VALUE"""),90.0)</f>
        <v>90</v>
      </c>
      <c r="H1481" s="1">
        <f>IFERROR(__xludf.DUMMYFUNCTION("""COMPUTED_VALUE"""),35.0)</f>
        <v>35</v>
      </c>
      <c r="I1481" s="1">
        <f>IFERROR(__xludf.DUMMYFUNCTION("""COMPUTED_VALUE"""),75.0)</f>
        <v>75</v>
      </c>
      <c r="J1481" s="1">
        <f>IFERROR(__xludf.DUMMYFUNCTION("""COMPUTED_VALUE"""),21.0)</f>
        <v>21</v>
      </c>
      <c r="K1481" s="1">
        <f>IFERROR(__xludf.DUMMYFUNCTION("""COMPUTED_VALUE"""),71.0)</f>
        <v>71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 t="str">
        <f>IFERROR(__xludf.DUMMYFUNCTION("""COMPUTED_VALUE"""),"A")</f>
        <v>A</v>
      </c>
      <c r="E1482" s="1" t="str">
        <f>IFERROR(__xludf.DUMMYFUNCTION("""COMPUTED_VALUE"""),"Male")</f>
        <v>Male</v>
      </c>
      <c r="F1482" s="1">
        <f>IFERROR(__xludf.DUMMYFUNCTION("""COMPUTED_VALUE"""),37.0)</f>
        <v>37</v>
      </c>
      <c r="G1482" s="1">
        <f>IFERROR(__xludf.DUMMYFUNCTION("""COMPUTED_VALUE"""),58.0)</f>
        <v>58</v>
      </c>
      <c r="H1482" s="1">
        <f>IFERROR(__xludf.DUMMYFUNCTION("""COMPUTED_VALUE"""),93.0)</f>
        <v>93</v>
      </c>
      <c r="I1482" s="1">
        <f>IFERROR(__xludf.DUMMYFUNCTION("""COMPUTED_VALUE"""),34.0)</f>
        <v>34</v>
      </c>
      <c r="J1482" s="1">
        <f>IFERROR(__xludf.DUMMYFUNCTION("""COMPUTED_VALUE"""),27.0)</f>
        <v>27</v>
      </c>
      <c r="K1482" s="1">
        <f>IFERROR(__xludf.DUMMYFUNCTION("""COMPUTED_VALUE"""),81.0)</f>
        <v>81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 t="str">
        <f>IFERROR(__xludf.DUMMYFUNCTION("""COMPUTED_VALUE"""),"B")</f>
        <v>B</v>
      </c>
      <c r="E1483" s="1" t="str">
        <f>IFERROR(__xludf.DUMMYFUNCTION("""COMPUTED_VALUE"""),"Female")</f>
        <v>Female</v>
      </c>
      <c r="F1483" s="1">
        <f>IFERROR(__xludf.DUMMYFUNCTION("""COMPUTED_VALUE"""),88.0)</f>
        <v>88</v>
      </c>
      <c r="G1483" s="1">
        <f>IFERROR(__xludf.DUMMYFUNCTION("""COMPUTED_VALUE"""),44.0)</f>
        <v>44</v>
      </c>
      <c r="H1483" s="1">
        <f>IFERROR(__xludf.DUMMYFUNCTION("""COMPUTED_VALUE"""),71.0)</f>
        <v>71</v>
      </c>
      <c r="I1483" s="1">
        <f>IFERROR(__xludf.DUMMYFUNCTION("""COMPUTED_VALUE"""),68.0)</f>
        <v>68</v>
      </c>
      <c r="J1483" s="1">
        <f>IFERROR(__xludf.DUMMYFUNCTION("""COMPUTED_VALUE"""),89.0)</f>
        <v>89</v>
      </c>
      <c r="K1483" s="1">
        <f>IFERROR(__xludf.DUMMYFUNCTION("""COMPUTED_VALUE"""),66.0)</f>
        <v>66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 t="str">
        <f>IFERROR(__xludf.DUMMYFUNCTION("""COMPUTED_VALUE"""),"B")</f>
        <v>B</v>
      </c>
      <c r="E1484" s="1" t="str">
        <f>IFERROR(__xludf.DUMMYFUNCTION("""COMPUTED_VALUE"""),"Female")</f>
        <v>Female</v>
      </c>
      <c r="F1484" s="1">
        <f>IFERROR(__xludf.DUMMYFUNCTION("""COMPUTED_VALUE"""),43.0)</f>
        <v>43</v>
      </c>
      <c r="G1484" s="1">
        <f>IFERROR(__xludf.DUMMYFUNCTION("""COMPUTED_VALUE"""),78.0)</f>
        <v>78</v>
      </c>
      <c r="H1484" s="1">
        <f>IFERROR(__xludf.DUMMYFUNCTION("""COMPUTED_VALUE"""),86.0)</f>
        <v>86</v>
      </c>
      <c r="I1484" s="1">
        <f>IFERROR(__xludf.DUMMYFUNCTION("""COMPUTED_VALUE"""),51.0)</f>
        <v>51</v>
      </c>
      <c r="J1484" s="1">
        <f>IFERROR(__xludf.DUMMYFUNCTION("""COMPUTED_VALUE"""),32.0)</f>
        <v>32</v>
      </c>
      <c r="K1484" s="1">
        <f>IFERROR(__xludf.DUMMYFUNCTION("""COMPUTED_VALUE"""),79.0)</f>
        <v>79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 t="str">
        <f>IFERROR(__xludf.DUMMYFUNCTION("""COMPUTED_VALUE"""),"A")</f>
        <v>A</v>
      </c>
      <c r="E1485" s="1" t="str">
        <f>IFERROR(__xludf.DUMMYFUNCTION("""COMPUTED_VALUE"""),"Male")</f>
        <v>Male</v>
      </c>
      <c r="F1485" s="1">
        <f>IFERROR(__xludf.DUMMYFUNCTION("""COMPUTED_VALUE"""),56.0)</f>
        <v>56</v>
      </c>
      <c r="G1485" s="1">
        <f>IFERROR(__xludf.DUMMYFUNCTION("""COMPUTED_VALUE"""),97.0)</f>
        <v>97</v>
      </c>
      <c r="H1485" s="1">
        <f>IFERROR(__xludf.DUMMYFUNCTION("""COMPUTED_VALUE"""),52.0)</f>
        <v>52</v>
      </c>
      <c r="I1485" s="1">
        <f>IFERROR(__xludf.DUMMYFUNCTION("""COMPUTED_VALUE"""),98.0)</f>
        <v>98</v>
      </c>
      <c r="J1485" s="1">
        <f>IFERROR(__xludf.DUMMYFUNCTION("""COMPUTED_VALUE"""),61.0)</f>
        <v>61</v>
      </c>
      <c r="K1485" s="1">
        <f>IFERROR(__xludf.DUMMYFUNCTION("""COMPUTED_VALUE"""),92.0)</f>
        <v>92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 t="str">
        <f>IFERROR(__xludf.DUMMYFUNCTION("""COMPUTED_VALUE"""),"D")</f>
        <v>D</v>
      </c>
      <c r="E1486" s="1" t="str">
        <f>IFERROR(__xludf.DUMMYFUNCTION("""COMPUTED_VALUE"""),"Female")</f>
        <v>Female</v>
      </c>
      <c r="F1486" s="1">
        <f>IFERROR(__xludf.DUMMYFUNCTION("""COMPUTED_VALUE"""),89.0)</f>
        <v>89</v>
      </c>
      <c r="G1486" s="1">
        <f>IFERROR(__xludf.DUMMYFUNCTION("""COMPUTED_VALUE"""),35.0)</f>
        <v>35</v>
      </c>
      <c r="H1486" s="1">
        <f>IFERROR(__xludf.DUMMYFUNCTION("""COMPUTED_VALUE"""),36.0)</f>
        <v>36</v>
      </c>
      <c r="I1486" s="1">
        <f>IFERROR(__xludf.DUMMYFUNCTION("""COMPUTED_VALUE"""),99.0)</f>
        <v>99</v>
      </c>
      <c r="J1486" s="1">
        <f>IFERROR(__xludf.DUMMYFUNCTION("""COMPUTED_VALUE"""),95.0)</f>
        <v>95</v>
      </c>
      <c r="K1486" s="1">
        <f>IFERROR(__xludf.DUMMYFUNCTION("""COMPUTED_VALUE"""),27.0)</f>
        <v>27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 t="str">
        <f>IFERROR(__xludf.DUMMYFUNCTION("""COMPUTED_VALUE"""),"B")</f>
        <v>B</v>
      </c>
      <c r="E1487" s="1" t="str">
        <f>IFERROR(__xludf.DUMMYFUNCTION("""COMPUTED_VALUE"""),"Female")</f>
        <v>Female</v>
      </c>
      <c r="F1487" s="1">
        <f>IFERROR(__xludf.DUMMYFUNCTION("""COMPUTED_VALUE"""),59.0)</f>
        <v>59</v>
      </c>
      <c r="G1487" s="1">
        <f>IFERROR(__xludf.DUMMYFUNCTION("""COMPUTED_VALUE"""),34.0)</f>
        <v>34</v>
      </c>
      <c r="H1487" s="1">
        <f>IFERROR(__xludf.DUMMYFUNCTION("""COMPUTED_VALUE"""),59.0)</f>
        <v>59</v>
      </c>
      <c r="I1487" s="1">
        <f>IFERROR(__xludf.DUMMYFUNCTION("""COMPUTED_VALUE"""),76.0)</f>
        <v>76</v>
      </c>
      <c r="J1487" s="1">
        <f>IFERROR(__xludf.DUMMYFUNCTION("""COMPUTED_VALUE"""),55.0)</f>
        <v>55</v>
      </c>
      <c r="K1487" s="1">
        <f>IFERROR(__xludf.DUMMYFUNCTION("""COMPUTED_VALUE"""),93.0)</f>
        <v>93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 t="str">
        <f>IFERROR(__xludf.DUMMYFUNCTION("""COMPUTED_VALUE"""),"B")</f>
        <v>B</v>
      </c>
      <c r="E1488" s="1" t="str">
        <f>IFERROR(__xludf.DUMMYFUNCTION("""COMPUTED_VALUE"""),"Male")</f>
        <v>Male</v>
      </c>
      <c r="F1488" s="1">
        <f>IFERROR(__xludf.DUMMYFUNCTION("""COMPUTED_VALUE"""),92.0)</f>
        <v>92</v>
      </c>
      <c r="G1488" s="1">
        <f>IFERROR(__xludf.DUMMYFUNCTION("""COMPUTED_VALUE"""),84.0)</f>
        <v>84</v>
      </c>
      <c r="H1488" s="1">
        <f>IFERROR(__xludf.DUMMYFUNCTION("""COMPUTED_VALUE"""),78.0)</f>
        <v>78</v>
      </c>
      <c r="I1488" s="1">
        <f>IFERROR(__xludf.DUMMYFUNCTION("""COMPUTED_VALUE"""),54.0)</f>
        <v>54</v>
      </c>
      <c r="J1488" s="1">
        <f>IFERROR(__xludf.DUMMYFUNCTION("""COMPUTED_VALUE"""),54.0)</f>
        <v>54</v>
      </c>
      <c r="K1488" s="1">
        <f>IFERROR(__xludf.DUMMYFUNCTION("""COMPUTED_VALUE"""),38.0)</f>
        <v>38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 t="str">
        <f>IFERROR(__xludf.DUMMYFUNCTION("""COMPUTED_VALUE"""),"D")</f>
        <v>D</v>
      </c>
      <c r="E1489" s="1" t="str">
        <f>IFERROR(__xludf.DUMMYFUNCTION("""COMPUTED_VALUE"""),"Female")</f>
        <v>Female</v>
      </c>
      <c r="F1489" s="1">
        <f>IFERROR(__xludf.DUMMYFUNCTION("""COMPUTED_VALUE"""),88.0)</f>
        <v>88</v>
      </c>
      <c r="G1489" s="1">
        <f>IFERROR(__xludf.DUMMYFUNCTION("""COMPUTED_VALUE"""),57.0)</f>
        <v>57</v>
      </c>
      <c r="H1489" s="1">
        <f>IFERROR(__xludf.DUMMYFUNCTION("""COMPUTED_VALUE"""),67.0)</f>
        <v>67</v>
      </c>
      <c r="I1489" s="1">
        <f>IFERROR(__xludf.DUMMYFUNCTION("""COMPUTED_VALUE"""),56.0)</f>
        <v>56</v>
      </c>
      <c r="J1489" s="1">
        <f>IFERROR(__xludf.DUMMYFUNCTION("""COMPUTED_VALUE"""),23.0)</f>
        <v>23</v>
      </c>
      <c r="K1489" s="1">
        <f>IFERROR(__xludf.DUMMYFUNCTION("""COMPUTED_VALUE"""),90.0)</f>
        <v>90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 t="str">
        <f>IFERROR(__xludf.DUMMYFUNCTION("""COMPUTED_VALUE"""),"A")</f>
        <v>A</v>
      </c>
      <c r="E1490" s="1" t="str">
        <f>IFERROR(__xludf.DUMMYFUNCTION("""COMPUTED_VALUE"""),"Male")</f>
        <v>Male</v>
      </c>
      <c r="F1490" s="1">
        <f>IFERROR(__xludf.DUMMYFUNCTION("""COMPUTED_VALUE"""),70.0)</f>
        <v>70</v>
      </c>
      <c r="G1490" s="1">
        <f>IFERROR(__xludf.DUMMYFUNCTION("""COMPUTED_VALUE"""),22.0)</f>
        <v>22</v>
      </c>
      <c r="H1490" s="1">
        <f>IFERROR(__xludf.DUMMYFUNCTION("""COMPUTED_VALUE"""),97.0)</f>
        <v>97</v>
      </c>
      <c r="I1490" s="1">
        <f>IFERROR(__xludf.DUMMYFUNCTION("""COMPUTED_VALUE"""),26.0)</f>
        <v>26</v>
      </c>
      <c r="J1490" s="1">
        <f>IFERROR(__xludf.DUMMYFUNCTION("""COMPUTED_VALUE"""),22.0)</f>
        <v>22</v>
      </c>
      <c r="K1490" s="1">
        <f>IFERROR(__xludf.DUMMYFUNCTION("""COMPUTED_VALUE"""),36.0)</f>
        <v>36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 t="str">
        <f>IFERROR(__xludf.DUMMYFUNCTION("""COMPUTED_VALUE"""),"D")</f>
        <v>D</v>
      </c>
      <c r="E1491" s="1" t="str">
        <f>IFERROR(__xludf.DUMMYFUNCTION("""COMPUTED_VALUE"""),"Female")</f>
        <v>Female</v>
      </c>
      <c r="F1491" s="1">
        <f>IFERROR(__xludf.DUMMYFUNCTION("""COMPUTED_VALUE"""),87.0)</f>
        <v>87</v>
      </c>
      <c r="G1491" s="1">
        <f>IFERROR(__xludf.DUMMYFUNCTION("""COMPUTED_VALUE"""),87.0)</f>
        <v>87</v>
      </c>
      <c r="H1491" s="1">
        <f>IFERROR(__xludf.DUMMYFUNCTION("""COMPUTED_VALUE"""),21.0)</f>
        <v>21</v>
      </c>
      <c r="I1491" s="1">
        <f>IFERROR(__xludf.DUMMYFUNCTION("""COMPUTED_VALUE"""),56.0)</f>
        <v>56</v>
      </c>
      <c r="J1491" s="1">
        <f>IFERROR(__xludf.DUMMYFUNCTION("""COMPUTED_VALUE"""),56.0)</f>
        <v>56</v>
      </c>
      <c r="K1491" s="1">
        <f>IFERROR(__xludf.DUMMYFUNCTION("""COMPUTED_VALUE"""),64.0)</f>
        <v>64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 t="str">
        <f>IFERROR(__xludf.DUMMYFUNCTION("""COMPUTED_VALUE"""),"C")</f>
        <v>C</v>
      </c>
      <c r="E1492" s="1" t="str">
        <f>IFERROR(__xludf.DUMMYFUNCTION("""COMPUTED_VALUE"""),"Male")</f>
        <v>Male</v>
      </c>
      <c r="F1492" s="1">
        <f>IFERROR(__xludf.DUMMYFUNCTION("""COMPUTED_VALUE"""),40.0)</f>
        <v>40</v>
      </c>
      <c r="G1492" s="1">
        <f>IFERROR(__xludf.DUMMYFUNCTION("""COMPUTED_VALUE"""),48.0)</f>
        <v>48</v>
      </c>
      <c r="H1492" s="1">
        <f>IFERROR(__xludf.DUMMYFUNCTION("""COMPUTED_VALUE"""),72.0)</f>
        <v>72</v>
      </c>
      <c r="I1492" s="1">
        <f>IFERROR(__xludf.DUMMYFUNCTION("""COMPUTED_VALUE"""),93.0)</f>
        <v>93</v>
      </c>
      <c r="J1492" s="1">
        <f>IFERROR(__xludf.DUMMYFUNCTION("""COMPUTED_VALUE"""),67.0)</f>
        <v>67</v>
      </c>
      <c r="K1492" s="1">
        <f>IFERROR(__xludf.DUMMYFUNCTION("""COMPUTED_VALUE"""),78.0)</f>
        <v>78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 t="str">
        <f>IFERROR(__xludf.DUMMYFUNCTION("""COMPUTED_VALUE"""),"A")</f>
        <v>A</v>
      </c>
      <c r="E1493" s="1" t="str">
        <f>IFERROR(__xludf.DUMMYFUNCTION("""COMPUTED_VALUE"""),"Female")</f>
        <v>Female</v>
      </c>
      <c r="F1493" s="1">
        <f>IFERROR(__xludf.DUMMYFUNCTION("""COMPUTED_VALUE"""),26.0)</f>
        <v>26</v>
      </c>
      <c r="G1493" s="1">
        <f>IFERROR(__xludf.DUMMYFUNCTION("""COMPUTED_VALUE"""),28.0)</f>
        <v>28</v>
      </c>
      <c r="H1493" s="1">
        <f>IFERROR(__xludf.DUMMYFUNCTION("""COMPUTED_VALUE"""),53.0)</f>
        <v>53</v>
      </c>
      <c r="I1493" s="1">
        <f>IFERROR(__xludf.DUMMYFUNCTION("""COMPUTED_VALUE"""),35.0)</f>
        <v>35</v>
      </c>
      <c r="J1493" s="1">
        <f>IFERROR(__xludf.DUMMYFUNCTION("""COMPUTED_VALUE"""),97.0)</f>
        <v>97</v>
      </c>
      <c r="K1493" s="1">
        <f>IFERROR(__xludf.DUMMYFUNCTION("""COMPUTED_VALUE"""),80.0)</f>
        <v>80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 t="str">
        <f>IFERROR(__xludf.DUMMYFUNCTION("""COMPUTED_VALUE"""),"A")</f>
        <v>A</v>
      </c>
      <c r="E1494" s="1" t="str">
        <f>IFERROR(__xludf.DUMMYFUNCTION("""COMPUTED_VALUE"""),"Male")</f>
        <v>Male</v>
      </c>
      <c r="F1494" s="1">
        <f>IFERROR(__xludf.DUMMYFUNCTION("""COMPUTED_VALUE"""),44.0)</f>
        <v>44</v>
      </c>
      <c r="G1494" s="1">
        <f>IFERROR(__xludf.DUMMYFUNCTION("""COMPUTED_VALUE"""),59.0)</f>
        <v>59</v>
      </c>
      <c r="H1494" s="1">
        <f>IFERROR(__xludf.DUMMYFUNCTION("""COMPUTED_VALUE"""),76.0)</f>
        <v>76</v>
      </c>
      <c r="I1494" s="1">
        <f>IFERROR(__xludf.DUMMYFUNCTION("""COMPUTED_VALUE"""),29.0)</f>
        <v>29</v>
      </c>
      <c r="J1494" s="1">
        <f>IFERROR(__xludf.DUMMYFUNCTION("""COMPUTED_VALUE"""),36.0)</f>
        <v>36</v>
      </c>
      <c r="K1494" s="1">
        <f>IFERROR(__xludf.DUMMYFUNCTION("""COMPUTED_VALUE"""),53.0)</f>
        <v>53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 t="str">
        <f>IFERROR(__xludf.DUMMYFUNCTION("""COMPUTED_VALUE"""),"D")</f>
        <v>D</v>
      </c>
      <c r="E1495" s="1" t="str">
        <f>IFERROR(__xludf.DUMMYFUNCTION("""COMPUTED_VALUE"""),"Female")</f>
        <v>Female</v>
      </c>
      <c r="F1495" s="1">
        <f>IFERROR(__xludf.DUMMYFUNCTION("""COMPUTED_VALUE"""),43.0)</f>
        <v>43</v>
      </c>
      <c r="G1495" s="1">
        <f>IFERROR(__xludf.DUMMYFUNCTION("""COMPUTED_VALUE"""),92.0)</f>
        <v>92</v>
      </c>
      <c r="H1495" s="1">
        <f>IFERROR(__xludf.DUMMYFUNCTION("""COMPUTED_VALUE"""),98.0)</f>
        <v>98</v>
      </c>
      <c r="I1495" s="1">
        <f>IFERROR(__xludf.DUMMYFUNCTION("""COMPUTED_VALUE"""),24.0)</f>
        <v>24</v>
      </c>
      <c r="J1495" s="1">
        <f>IFERROR(__xludf.DUMMYFUNCTION("""COMPUTED_VALUE"""),50.0)</f>
        <v>50</v>
      </c>
      <c r="K1495" s="1">
        <f>IFERROR(__xludf.DUMMYFUNCTION("""COMPUTED_VALUE"""),47.0)</f>
        <v>47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 t="str">
        <f>IFERROR(__xludf.DUMMYFUNCTION("""COMPUTED_VALUE"""),"A")</f>
        <v>A</v>
      </c>
      <c r="E1496" s="1" t="str">
        <f>IFERROR(__xludf.DUMMYFUNCTION("""COMPUTED_VALUE"""),"Male")</f>
        <v>Male</v>
      </c>
      <c r="F1496" s="1">
        <f>IFERROR(__xludf.DUMMYFUNCTION("""COMPUTED_VALUE"""),28.0)</f>
        <v>28</v>
      </c>
      <c r="G1496" s="1">
        <f>IFERROR(__xludf.DUMMYFUNCTION("""COMPUTED_VALUE"""),96.0)</f>
        <v>96</v>
      </c>
      <c r="H1496" s="1">
        <f>IFERROR(__xludf.DUMMYFUNCTION("""COMPUTED_VALUE"""),68.0)</f>
        <v>68</v>
      </c>
      <c r="I1496" s="1">
        <f>IFERROR(__xludf.DUMMYFUNCTION("""COMPUTED_VALUE"""),72.0)</f>
        <v>72</v>
      </c>
      <c r="J1496" s="1">
        <f>IFERROR(__xludf.DUMMYFUNCTION("""COMPUTED_VALUE"""),77.0)</f>
        <v>77</v>
      </c>
      <c r="K1496" s="1">
        <f>IFERROR(__xludf.DUMMYFUNCTION("""COMPUTED_VALUE"""),20.0)</f>
        <v>20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 t="str">
        <f>IFERROR(__xludf.DUMMYFUNCTION("""COMPUTED_VALUE"""),"A")</f>
        <v>A</v>
      </c>
      <c r="E1497" s="1" t="str">
        <f>IFERROR(__xludf.DUMMYFUNCTION("""COMPUTED_VALUE"""),"Male")</f>
        <v>Male</v>
      </c>
      <c r="F1497" s="1">
        <f>IFERROR(__xludf.DUMMYFUNCTION("""COMPUTED_VALUE"""),72.0)</f>
        <v>72</v>
      </c>
      <c r="G1497" s="1">
        <f>IFERROR(__xludf.DUMMYFUNCTION("""COMPUTED_VALUE"""),69.0)</f>
        <v>69</v>
      </c>
      <c r="H1497" s="1">
        <f>IFERROR(__xludf.DUMMYFUNCTION("""COMPUTED_VALUE"""),24.0)</f>
        <v>24</v>
      </c>
      <c r="I1497" s="1">
        <f>IFERROR(__xludf.DUMMYFUNCTION("""COMPUTED_VALUE"""),45.0)</f>
        <v>45</v>
      </c>
      <c r="J1497" s="1">
        <f>IFERROR(__xludf.DUMMYFUNCTION("""COMPUTED_VALUE"""),81.0)</f>
        <v>81</v>
      </c>
      <c r="K1497" s="1">
        <f>IFERROR(__xludf.DUMMYFUNCTION("""COMPUTED_VALUE"""),83.0)</f>
        <v>83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 t="str">
        <f>IFERROR(__xludf.DUMMYFUNCTION("""COMPUTED_VALUE"""),"D")</f>
        <v>D</v>
      </c>
      <c r="E1498" s="1" t="str">
        <f>IFERROR(__xludf.DUMMYFUNCTION("""COMPUTED_VALUE"""),"Female")</f>
        <v>Female</v>
      </c>
      <c r="F1498" s="1">
        <f>IFERROR(__xludf.DUMMYFUNCTION("""COMPUTED_VALUE"""),68.0)</f>
        <v>68</v>
      </c>
      <c r="G1498" s="1">
        <f>IFERROR(__xludf.DUMMYFUNCTION("""COMPUTED_VALUE"""),74.0)</f>
        <v>74</v>
      </c>
      <c r="H1498" s="1">
        <f>IFERROR(__xludf.DUMMYFUNCTION("""COMPUTED_VALUE"""),37.0)</f>
        <v>37</v>
      </c>
      <c r="I1498" s="1">
        <f>IFERROR(__xludf.DUMMYFUNCTION("""COMPUTED_VALUE"""),34.0)</f>
        <v>34</v>
      </c>
      <c r="J1498" s="1">
        <f>IFERROR(__xludf.DUMMYFUNCTION("""COMPUTED_VALUE"""),76.0)</f>
        <v>76</v>
      </c>
      <c r="K1498" s="1">
        <f>IFERROR(__xludf.DUMMYFUNCTION("""COMPUTED_VALUE"""),32.0)</f>
        <v>32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 t="str">
        <f>IFERROR(__xludf.DUMMYFUNCTION("""COMPUTED_VALUE"""),"A")</f>
        <v>A</v>
      </c>
      <c r="E1499" s="1" t="str">
        <f>IFERROR(__xludf.DUMMYFUNCTION("""COMPUTED_VALUE"""),"Male")</f>
        <v>Male</v>
      </c>
      <c r="F1499" s="1">
        <f>IFERROR(__xludf.DUMMYFUNCTION("""COMPUTED_VALUE"""),30.0)</f>
        <v>30</v>
      </c>
      <c r="G1499" s="1">
        <f>IFERROR(__xludf.DUMMYFUNCTION("""COMPUTED_VALUE"""),75.0)</f>
        <v>75</v>
      </c>
      <c r="H1499" s="1">
        <f>IFERROR(__xludf.DUMMYFUNCTION("""COMPUTED_VALUE"""),39.0)</f>
        <v>39</v>
      </c>
      <c r="I1499" s="1">
        <f>IFERROR(__xludf.DUMMYFUNCTION("""COMPUTED_VALUE"""),84.0)</f>
        <v>84</v>
      </c>
      <c r="J1499" s="1">
        <f>IFERROR(__xludf.DUMMYFUNCTION("""COMPUTED_VALUE"""),56.0)</f>
        <v>56</v>
      </c>
      <c r="K1499" s="1">
        <f>IFERROR(__xludf.DUMMYFUNCTION("""COMPUTED_VALUE"""),29.0)</f>
        <v>29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 t="str">
        <f>IFERROR(__xludf.DUMMYFUNCTION("""COMPUTED_VALUE"""),"A")</f>
        <v>A</v>
      </c>
      <c r="E1500" s="1" t="str">
        <f>IFERROR(__xludf.DUMMYFUNCTION("""COMPUTED_VALUE"""),"Male")</f>
        <v>Male</v>
      </c>
      <c r="F1500" s="1">
        <f>IFERROR(__xludf.DUMMYFUNCTION("""COMPUTED_VALUE"""),82.0)</f>
        <v>82</v>
      </c>
      <c r="G1500" s="1">
        <f>IFERROR(__xludf.DUMMYFUNCTION("""COMPUTED_VALUE"""),32.0)</f>
        <v>32</v>
      </c>
      <c r="H1500" s="1">
        <f>IFERROR(__xludf.DUMMYFUNCTION("""COMPUTED_VALUE"""),84.0)</f>
        <v>84</v>
      </c>
      <c r="I1500" s="1">
        <f>IFERROR(__xludf.DUMMYFUNCTION("""COMPUTED_VALUE"""),54.0)</f>
        <v>54</v>
      </c>
      <c r="J1500" s="1">
        <f>IFERROR(__xludf.DUMMYFUNCTION("""COMPUTED_VALUE"""),60.0)</f>
        <v>60</v>
      </c>
      <c r="K1500" s="1">
        <f>IFERROR(__xludf.DUMMYFUNCTION("""COMPUTED_VALUE"""),94.0)</f>
        <v>94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 t="str">
        <f>IFERROR(__xludf.DUMMYFUNCTION("""COMPUTED_VALUE"""),"A")</f>
        <v>A</v>
      </c>
      <c r="E1501" s="1" t="str">
        <f>IFERROR(__xludf.DUMMYFUNCTION("""COMPUTED_VALUE"""),"Female")</f>
        <v>Female</v>
      </c>
      <c r="F1501" s="1">
        <f>IFERROR(__xludf.DUMMYFUNCTION("""COMPUTED_VALUE"""),33.0)</f>
        <v>33</v>
      </c>
      <c r="G1501" s="1">
        <f>IFERROR(__xludf.DUMMYFUNCTION("""COMPUTED_VALUE"""),29.0)</f>
        <v>29</v>
      </c>
      <c r="H1501" s="1">
        <f>IFERROR(__xludf.DUMMYFUNCTION("""COMPUTED_VALUE"""),70.0)</f>
        <v>70</v>
      </c>
      <c r="I1501" s="1">
        <f>IFERROR(__xludf.DUMMYFUNCTION("""COMPUTED_VALUE"""),93.0)</f>
        <v>93</v>
      </c>
      <c r="J1501" s="1">
        <f>IFERROR(__xludf.DUMMYFUNCTION("""COMPUTED_VALUE"""),28.0)</f>
        <v>28</v>
      </c>
      <c r="K1501" s="1">
        <f>IFERROR(__xludf.DUMMYFUNCTION("""COMPUTED_VALUE"""),94.0)</f>
        <v>94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 t="str">
        <f>IFERROR(__xludf.DUMMYFUNCTION("""COMPUTED_VALUE"""),"C")</f>
        <v>C</v>
      </c>
      <c r="E1502" s="1" t="str">
        <f>IFERROR(__xludf.DUMMYFUNCTION("""COMPUTED_VALUE"""),"Female")</f>
        <v>Female</v>
      </c>
      <c r="F1502" s="1">
        <f>IFERROR(__xludf.DUMMYFUNCTION("""COMPUTED_VALUE"""),34.0)</f>
        <v>34</v>
      </c>
      <c r="G1502" s="1">
        <f>IFERROR(__xludf.DUMMYFUNCTION("""COMPUTED_VALUE"""),81.0)</f>
        <v>81</v>
      </c>
      <c r="H1502" s="1">
        <f>IFERROR(__xludf.DUMMYFUNCTION("""COMPUTED_VALUE"""),93.0)</f>
        <v>93</v>
      </c>
      <c r="I1502" s="1">
        <f>IFERROR(__xludf.DUMMYFUNCTION("""COMPUTED_VALUE"""),32.0)</f>
        <v>32</v>
      </c>
      <c r="J1502" s="1">
        <f>IFERROR(__xludf.DUMMYFUNCTION("""COMPUTED_VALUE"""),82.0)</f>
        <v>82</v>
      </c>
      <c r="K1502" s="1">
        <f>IFERROR(__xludf.DUMMYFUNCTION("""COMPUTED_VALUE"""),90.0)</f>
        <v>90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 t="str">
        <f>IFERROR(__xludf.DUMMYFUNCTION("""COMPUTED_VALUE"""),"A")</f>
        <v>A</v>
      </c>
      <c r="E1503" s="1" t="str">
        <f>IFERROR(__xludf.DUMMYFUNCTION("""COMPUTED_VALUE"""),"Male")</f>
        <v>Male</v>
      </c>
      <c r="F1503" s="1">
        <f>IFERROR(__xludf.DUMMYFUNCTION("""COMPUTED_VALUE"""),71.0)</f>
        <v>71</v>
      </c>
      <c r="G1503" s="1">
        <f>IFERROR(__xludf.DUMMYFUNCTION("""COMPUTED_VALUE"""),23.0)</f>
        <v>23</v>
      </c>
      <c r="H1503" s="1">
        <f>IFERROR(__xludf.DUMMYFUNCTION("""COMPUTED_VALUE"""),33.0)</f>
        <v>33</v>
      </c>
      <c r="I1503" s="1">
        <f>IFERROR(__xludf.DUMMYFUNCTION("""COMPUTED_VALUE"""),34.0)</f>
        <v>34</v>
      </c>
      <c r="J1503" s="1">
        <f>IFERROR(__xludf.DUMMYFUNCTION("""COMPUTED_VALUE"""),26.0)</f>
        <v>26</v>
      </c>
      <c r="K1503" s="1">
        <f>IFERROR(__xludf.DUMMYFUNCTION("""COMPUTED_VALUE"""),72.0)</f>
        <v>72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 t="str">
        <f>IFERROR(__xludf.DUMMYFUNCTION("""COMPUTED_VALUE"""),"B")</f>
        <v>B</v>
      </c>
      <c r="E1504" s="1" t="str">
        <f>IFERROR(__xludf.DUMMYFUNCTION("""COMPUTED_VALUE"""),"Male")</f>
        <v>Male</v>
      </c>
      <c r="F1504" s="1">
        <f>IFERROR(__xludf.DUMMYFUNCTION("""COMPUTED_VALUE"""),31.0)</f>
        <v>31</v>
      </c>
      <c r="G1504" s="1">
        <f>IFERROR(__xludf.DUMMYFUNCTION("""COMPUTED_VALUE"""),92.0)</f>
        <v>92</v>
      </c>
      <c r="H1504" s="1">
        <f>IFERROR(__xludf.DUMMYFUNCTION("""COMPUTED_VALUE"""),60.0)</f>
        <v>60</v>
      </c>
      <c r="I1504" s="1">
        <f>IFERROR(__xludf.DUMMYFUNCTION("""COMPUTED_VALUE"""),59.0)</f>
        <v>59</v>
      </c>
      <c r="J1504" s="1">
        <f>IFERROR(__xludf.DUMMYFUNCTION("""COMPUTED_VALUE"""),38.0)</f>
        <v>38</v>
      </c>
      <c r="K1504" s="1">
        <f>IFERROR(__xludf.DUMMYFUNCTION("""COMPUTED_VALUE"""),24.0)</f>
        <v>24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 t="str">
        <f>IFERROR(__xludf.DUMMYFUNCTION("""COMPUTED_VALUE"""),"B")</f>
        <v>B</v>
      </c>
      <c r="E1505" s="1" t="str">
        <f>IFERROR(__xludf.DUMMYFUNCTION("""COMPUTED_VALUE"""),"Female")</f>
        <v>Female</v>
      </c>
      <c r="F1505" s="1">
        <f>IFERROR(__xludf.DUMMYFUNCTION("""COMPUTED_VALUE"""),71.0)</f>
        <v>71</v>
      </c>
      <c r="G1505" s="1">
        <f>IFERROR(__xludf.DUMMYFUNCTION("""COMPUTED_VALUE"""),65.0)</f>
        <v>65</v>
      </c>
      <c r="H1505" s="1">
        <f>IFERROR(__xludf.DUMMYFUNCTION("""COMPUTED_VALUE"""),64.0)</f>
        <v>64</v>
      </c>
      <c r="I1505" s="1">
        <f>IFERROR(__xludf.DUMMYFUNCTION("""COMPUTED_VALUE"""),35.0)</f>
        <v>35</v>
      </c>
      <c r="J1505" s="1">
        <f>IFERROR(__xludf.DUMMYFUNCTION("""COMPUTED_VALUE"""),20.0)</f>
        <v>20</v>
      </c>
      <c r="K1505" s="1">
        <f>IFERROR(__xludf.DUMMYFUNCTION("""COMPUTED_VALUE"""),64.0)</f>
        <v>64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 t="str">
        <f>IFERROR(__xludf.DUMMYFUNCTION("""COMPUTED_VALUE"""),"B")</f>
        <v>B</v>
      </c>
      <c r="E1506" s="1" t="str">
        <f>IFERROR(__xludf.DUMMYFUNCTION("""COMPUTED_VALUE"""),"Female")</f>
        <v>Female</v>
      </c>
      <c r="F1506" s="1">
        <f>IFERROR(__xludf.DUMMYFUNCTION("""COMPUTED_VALUE"""),33.0)</f>
        <v>33</v>
      </c>
      <c r="G1506" s="1">
        <f>IFERROR(__xludf.DUMMYFUNCTION("""COMPUTED_VALUE"""),69.0)</f>
        <v>69</v>
      </c>
      <c r="H1506" s="1">
        <f>IFERROR(__xludf.DUMMYFUNCTION("""COMPUTED_VALUE"""),52.0)</f>
        <v>52</v>
      </c>
      <c r="I1506" s="1">
        <f>IFERROR(__xludf.DUMMYFUNCTION("""COMPUTED_VALUE"""),51.0)</f>
        <v>51</v>
      </c>
      <c r="J1506" s="1">
        <f>IFERROR(__xludf.DUMMYFUNCTION("""COMPUTED_VALUE"""),69.0)</f>
        <v>69</v>
      </c>
      <c r="K1506" s="1">
        <f>IFERROR(__xludf.DUMMYFUNCTION("""COMPUTED_VALUE"""),20.0)</f>
        <v>20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 t="str">
        <f>IFERROR(__xludf.DUMMYFUNCTION("""COMPUTED_VALUE"""),"D")</f>
        <v>D</v>
      </c>
      <c r="E1507" s="1" t="str">
        <f>IFERROR(__xludf.DUMMYFUNCTION("""COMPUTED_VALUE"""),"Male")</f>
        <v>Male</v>
      </c>
      <c r="F1507" s="1">
        <f>IFERROR(__xludf.DUMMYFUNCTION("""COMPUTED_VALUE"""),68.0)</f>
        <v>68</v>
      </c>
      <c r="G1507" s="1">
        <f>IFERROR(__xludf.DUMMYFUNCTION("""COMPUTED_VALUE"""),79.0)</f>
        <v>79</v>
      </c>
      <c r="H1507" s="1">
        <f>IFERROR(__xludf.DUMMYFUNCTION("""COMPUTED_VALUE"""),68.0)</f>
        <v>68</v>
      </c>
      <c r="I1507" s="1">
        <f>IFERROR(__xludf.DUMMYFUNCTION("""COMPUTED_VALUE"""),49.0)</f>
        <v>49</v>
      </c>
      <c r="J1507" s="1">
        <f>IFERROR(__xludf.DUMMYFUNCTION("""COMPUTED_VALUE"""),56.0)</f>
        <v>56</v>
      </c>
      <c r="K1507" s="1">
        <f>IFERROR(__xludf.DUMMYFUNCTION("""COMPUTED_VALUE"""),74.0)</f>
        <v>74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 t="str">
        <f>IFERROR(__xludf.DUMMYFUNCTION("""COMPUTED_VALUE"""),"D")</f>
        <v>D</v>
      </c>
      <c r="E1508" s="1" t="str">
        <f>IFERROR(__xludf.DUMMYFUNCTION("""COMPUTED_VALUE"""),"Male")</f>
        <v>Male</v>
      </c>
      <c r="F1508" s="1">
        <f>IFERROR(__xludf.DUMMYFUNCTION("""COMPUTED_VALUE"""),91.0)</f>
        <v>91</v>
      </c>
      <c r="G1508" s="1">
        <f>IFERROR(__xludf.DUMMYFUNCTION("""COMPUTED_VALUE"""),67.0)</f>
        <v>67</v>
      </c>
      <c r="H1508" s="1">
        <f>IFERROR(__xludf.DUMMYFUNCTION("""COMPUTED_VALUE"""),97.0)</f>
        <v>97</v>
      </c>
      <c r="I1508" s="1">
        <f>IFERROR(__xludf.DUMMYFUNCTION("""COMPUTED_VALUE"""),64.0)</f>
        <v>64</v>
      </c>
      <c r="J1508" s="1">
        <f>IFERROR(__xludf.DUMMYFUNCTION("""COMPUTED_VALUE"""),25.0)</f>
        <v>25</v>
      </c>
      <c r="K1508" s="1">
        <f>IFERROR(__xludf.DUMMYFUNCTION("""COMPUTED_VALUE"""),21.0)</f>
        <v>21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 t="str">
        <f>IFERROR(__xludf.DUMMYFUNCTION("""COMPUTED_VALUE"""),"B")</f>
        <v>B</v>
      </c>
      <c r="E1509" s="1" t="str">
        <f>IFERROR(__xludf.DUMMYFUNCTION("""COMPUTED_VALUE"""),"Female")</f>
        <v>Female</v>
      </c>
      <c r="F1509" s="1">
        <f>IFERROR(__xludf.DUMMYFUNCTION("""COMPUTED_VALUE"""),87.0)</f>
        <v>87</v>
      </c>
      <c r="G1509" s="1">
        <f>IFERROR(__xludf.DUMMYFUNCTION("""COMPUTED_VALUE"""),61.0)</f>
        <v>61</v>
      </c>
      <c r="H1509" s="1">
        <f>IFERROR(__xludf.DUMMYFUNCTION("""COMPUTED_VALUE"""),46.0)</f>
        <v>46</v>
      </c>
      <c r="I1509" s="1">
        <f>IFERROR(__xludf.DUMMYFUNCTION("""COMPUTED_VALUE"""),95.0)</f>
        <v>95</v>
      </c>
      <c r="J1509" s="1">
        <f>IFERROR(__xludf.DUMMYFUNCTION("""COMPUTED_VALUE"""),76.0)</f>
        <v>76</v>
      </c>
      <c r="K1509" s="1">
        <f>IFERROR(__xludf.DUMMYFUNCTION("""COMPUTED_VALUE"""),28.0)</f>
        <v>28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 t="str">
        <f>IFERROR(__xludf.DUMMYFUNCTION("""COMPUTED_VALUE"""),"D")</f>
        <v>D</v>
      </c>
      <c r="E1510" s="1" t="str">
        <f>IFERROR(__xludf.DUMMYFUNCTION("""COMPUTED_VALUE"""),"Female")</f>
        <v>Female</v>
      </c>
      <c r="F1510" s="1">
        <f>IFERROR(__xludf.DUMMYFUNCTION("""COMPUTED_VALUE"""),76.0)</f>
        <v>76</v>
      </c>
      <c r="G1510" s="1">
        <f>IFERROR(__xludf.DUMMYFUNCTION("""COMPUTED_VALUE"""),40.0)</f>
        <v>40</v>
      </c>
      <c r="H1510" s="1">
        <f>IFERROR(__xludf.DUMMYFUNCTION("""COMPUTED_VALUE"""),47.0)</f>
        <v>47</v>
      </c>
      <c r="I1510" s="1">
        <f>IFERROR(__xludf.DUMMYFUNCTION("""COMPUTED_VALUE"""),83.0)</f>
        <v>83</v>
      </c>
      <c r="J1510" s="1">
        <f>IFERROR(__xludf.DUMMYFUNCTION("""COMPUTED_VALUE"""),85.0)</f>
        <v>85</v>
      </c>
      <c r="K1510" s="1">
        <f>IFERROR(__xludf.DUMMYFUNCTION("""COMPUTED_VALUE"""),37.0)</f>
        <v>37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 t="str">
        <f>IFERROR(__xludf.DUMMYFUNCTION("""COMPUTED_VALUE"""),"B")</f>
        <v>B</v>
      </c>
      <c r="E1511" s="1" t="str">
        <f>IFERROR(__xludf.DUMMYFUNCTION("""COMPUTED_VALUE"""),"Female")</f>
        <v>Female</v>
      </c>
      <c r="F1511" s="1">
        <f>IFERROR(__xludf.DUMMYFUNCTION("""COMPUTED_VALUE"""),95.0)</f>
        <v>95</v>
      </c>
      <c r="G1511" s="1">
        <f>IFERROR(__xludf.DUMMYFUNCTION("""COMPUTED_VALUE"""),82.0)</f>
        <v>82</v>
      </c>
      <c r="H1511" s="1">
        <f>IFERROR(__xludf.DUMMYFUNCTION("""COMPUTED_VALUE"""),31.0)</f>
        <v>31</v>
      </c>
      <c r="I1511" s="1">
        <f>IFERROR(__xludf.DUMMYFUNCTION("""COMPUTED_VALUE"""),92.0)</f>
        <v>92</v>
      </c>
      <c r="J1511" s="1">
        <f>IFERROR(__xludf.DUMMYFUNCTION("""COMPUTED_VALUE"""),22.0)</f>
        <v>22</v>
      </c>
      <c r="K1511" s="1">
        <f>IFERROR(__xludf.DUMMYFUNCTION("""COMPUTED_VALUE"""),47.0)</f>
        <v>47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 t="str">
        <f>IFERROR(__xludf.DUMMYFUNCTION("""COMPUTED_VALUE"""),"B")</f>
        <v>B</v>
      </c>
      <c r="E1512" s="1" t="str">
        <f>IFERROR(__xludf.DUMMYFUNCTION("""COMPUTED_VALUE"""),"Male")</f>
        <v>Male</v>
      </c>
      <c r="F1512" s="1">
        <f>IFERROR(__xludf.DUMMYFUNCTION("""COMPUTED_VALUE"""),47.0)</f>
        <v>47</v>
      </c>
      <c r="G1512" s="1">
        <f>IFERROR(__xludf.DUMMYFUNCTION("""COMPUTED_VALUE"""),90.0)</f>
        <v>90</v>
      </c>
      <c r="H1512" s="1">
        <f>IFERROR(__xludf.DUMMYFUNCTION("""COMPUTED_VALUE"""),89.0)</f>
        <v>89</v>
      </c>
      <c r="I1512" s="1">
        <f>IFERROR(__xludf.DUMMYFUNCTION("""COMPUTED_VALUE"""),75.0)</f>
        <v>75</v>
      </c>
      <c r="J1512" s="1">
        <f>IFERROR(__xludf.DUMMYFUNCTION("""COMPUTED_VALUE"""),75.0)</f>
        <v>75</v>
      </c>
      <c r="K1512" s="1">
        <f>IFERROR(__xludf.DUMMYFUNCTION("""COMPUTED_VALUE"""),23.0)</f>
        <v>23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 t="str">
        <f>IFERROR(__xludf.DUMMYFUNCTION("""COMPUTED_VALUE"""),"B")</f>
        <v>B</v>
      </c>
      <c r="E1513" s="1" t="str">
        <f>IFERROR(__xludf.DUMMYFUNCTION("""COMPUTED_VALUE"""),"Male")</f>
        <v>Male</v>
      </c>
      <c r="F1513" s="1">
        <f>IFERROR(__xludf.DUMMYFUNCTION("""COMPUTED_VALUE"""),85.0)</f>
        <v>85</v>
      </c>
      <c r="G1513" s="1">
        <f>IFERROR(__xludf.DUMMYFUNCTION("""COMPUTED_VALUE"""),61.0)</f>
        <v>61</v>
      </c>
      <c r="H1513" s="1">
        <f>IFERROR(__xludf.DUMMYFUNCTION("""COMPUTED_VALUE"""),90.0)</f>
        <v>90</v>
      </c>
      <c r="I1513" s="1">
        <f>IFERROR(__xludf.DUMMYFUNCTION("""COMPUTED_VALUE"""),54.0)</f>
        <v>54</v>
      </c>
      <c r="J1513" s="1">
        <f>IFERROR(__xludf.DUMMYFUNCTION("""COMPUTED_VALUE"""),84.0)</f>
        <v>84</v>
      </c>
      <c r="K1513" s="1">
        <f>IFERROR(__xludf.DUMMYFUNCTION("""COMPUTED_VALUE"""),41.0)</f>
        <v>41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 t="str">
        <f>IFERROR(__xludf.DUMMYFUNCTION("""COMPUTED_VALUE"""),"C")</f>
        <v>C</v>
      </c>
      <c r="E1514" s="1" t="str">
        <f>IFERROR(__xludf.DUMMYFUNCTION("""COMPUTED_VALUE"""),"Female")</f>
        <v>Female</v>
      </c>
      <c r="F1514" s="1">
        <f>IFERROR(__xludf.DUMMYFUNCTION("""COMPUTED_VALUE"""),17.0)</f>
        <v>17</v>
      </c>
      <c r="G1514" s="1">
        <f>IFERROR(__xludf.DUMMYFUNCTION("""COMPUTED_VALUE"""),44.0)</f>
        <v>44</v>
      </c>
      <c r="H1514" s="1">
        <f>IFERROR(__xludf.DUMMYFUNCTION("""COMPUTED_VALUE"""),46.0)</f>
        <v>46</v>
      </c>
      <c r="I1514" s="1">
        <f>IFERROR(__xludf.DUMMYFUNCTION("""COMPUTED_VALUE"""),27.0)</f>
        <v>27</v>
      </c>
      <c r="J1514" s="1">
        <f>IFERROR(__xludf.DUMMYFUNCTION("""COMPUTED_VALUE"""),92.0)</f>
        <v>92</v>
      </c>
      <c r="K1514" s="1">
        <f>IFERROR(__xludf.DUMMYFUNCTION("""COMPUTED_VALUE"""),80.0)</f>
        <v>80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 t="str">
        <f>IFERROR(__xludf.DUMMYFUNCTION("""COMPUTED_VALUE"""),"D")</f>
        <v>D</v>
      </c>
      <c r="E1515" s="1" t="str">
        <f>IFERROR(__xludf.DUMMYFUNCTION("""COMPUTED_VALUE"""),"Female")</f>
        <v>Female</v>
      </c>
      <c r="F1515" s="1">
        <f>IFERROR(__xludf.DUMMYFUNCTION("""COMPUTED_VALUE"""),83.0)</f>
        <v>83</v>
      </c>
      <c r="G1515" s="1">
        <f>IFERROR(__xludf.DUMMYFUNCTION("""COMPUTED_VALUE"""),52.0)</f>
        <v>52</v>
      </c>
      <c r="H1515" s="1">
        <f>IFERROR(__xludf.DUMMYFUNCTION("""COMPUTED_VALUE"""),90.0)</f>
        <v>90</v>
      </c>
      <c r="I1515" s="1">
        <f>IFERROR(__xludf.DUMMYFUNCTION("""COMPUTED_VALUE"""),52.0)</f>
        <v>52</v>
      </c>
      <c r="J1515" s="1">
        <f>IFERROR(__xludf.DUMMYFUNCTION("""COMPUTED_VALUE"""),76.0)</f>
        <v>76</v>
      </c>
      <c r="K1515" s="1">
        <f>IFERROR(__xludf.DUMMYFUNCTION("""COMPUTED_VALUE"""),72.0)</f>
        <v>72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 t="str">
        <f>IFERROR(__xludf.DUMMYFUNCTION("""COMPUTED_VALUE"""),"C")</f>
        <v>C</v>
      </c>
      <c r="E1516" s="1" t="str">
        <f>IFERROR(__xludf.DUMMYFUNCTION("""COMPUTED_VALUE"""),"Male")</f>
        <v>Male</v>
      </c>
      <c r="F1516" s="1">
        <f>IFERROR(__xludf.DUMMYFUNCTION("""COMPUTED_VALUE"""),96.0)</f>
        <v>96</v>
      </c>
      <c r="G1516" s="1">
        <f>IFERROR(__xludf.DUMMYFUNCTION("""COMPUTED_VALUE"""),47.0)</f>
        <v>47</v>
      </c>
      <c r="H1516" s="1">
        <f>IFERROR(__xludf.DUMMYFUNCTION("""COMPUTED_VALUE"""),42.0)</f>
        <v>42</v>
      </c>
      <c r="I1516" s="1">
        <f>IFERROR(__xludf.DUMMYFUNCTION("""COMPUTED_VALUE"""),22.0)</f>
        <v>22</v>
      </c>
      <c r="J1516" s="1">
        <f>IFERROR(__xludf.DUMMYFUNCTION("""COMPUTED_VALUE"""),61.0)</f>
        <v>61</v>
      </c>
      <c r="K1516" s="1">
        <f>IFERROR(__xludf.DUMMYFUNCTION("""COMPUTED_VALUE"""),40.0)</f>
        <v>40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 t="str">
        <f>IFERROR(__xludf.DUMMYFUNCTION("""COMPUTED_VALUE"""),"A")</f>
        <v>A</v>
      </c>
      <c r="E1517" s="1" t="str">
        <f>IFERROR(__xludf.DUMMYFUNCTION("""COMPUTED_VALUE"""),"Female")</f>
        <v>Female</v>
      </c>
      <c r="F1517" s="1">
        <f>IFERROR(__xludf.DUMMYFUNCTION("""COMPUTED_VALUE"""),26.0)</f>
        <v>26</v>
      </c>
      <c r="G1517" s="1">
        <f>IFERROR(__xludf.DUMMYFUNCTION("""COMPUTED_VALUE"""),66.0)</f>
        <v>66</v>
      </c>
      <c r="H1517" s="1">
        <f>IFERROR(__xludf.DUMMYFUNCTION("""COMPUTED_VALUE"""),90.0)</f>
        <v>90</v>
      </c>
      <c r="I1517" s="1">
        <f>IFERROR(__xludf.DUMMYFUNCTION("""COMPUTED_VALUE"""),89.0)</f>
        <v>89</v>
      </c>
      <c r="J1517" s="1">
        <f>IFERROR(__xludf.DUMMYFUNCTION("""COMPUTED_VALUE"""),48.0)</f>
        <v>48</v>
      </c>
      <c r="K1517" s="1">
        <f>IFERROR(__xludf.DUMMYFUNCTION("""COMPUTED_VALUE"""),46.0)</f>
        <v>46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 t="str">
        <f>IFERROR(__xludf.DUMMYFUNCTION("""COMPUTED_VALUE"""),"C")</f>
        <v>C</v>
      </c>
      <c r="E1518" s="1" t="str">
        <f>IFERROR(__xludf.DUMMYFUNCTION("""COMPUTED_VALUE"""),"Female")</f>
        <v>Female</v>
      </c>
      <c r="F1518" s="1">
        <f>IFERROR(__xludf.DUMMYFUNCTION("""COMPUTED_VALUE"""),98.0)</f>
        <v>98</v>
      </c>
      <c r="G1518" s="1">
        <f>IFERROR(__xludf.DUMMYFUNCTION("""COMPUTED_VALUE"""),23.0)</f>
        <v>23</v>
      </c>
      <c r="H1518" s="1">
        <f>IFERROR(__xludf.DUMMYFUNCTION("""COMPUTED_VALUE"""),57.0)</f>
        <v>57</v>
      </c>
      <c r="I1518" s="1">
        <f>IFERROR(__xludf.DUMMYFUNCTION("""COMPUTED_VALUE"""),41.0)</f>
        <v>41</v>
      </c>
      <c r="J1518" s="1">
        <f>IFERROR(__xludf.DUMMYFUNCTION("""COMPUTED_VALUE"""),32.0)</f>
        <v>32</v>
      </c>
      <c r="K1518" s="1">
        <f>IFERROR(__xludf.DUMMYFUNCTION("""COMPUTED_VALUE"""),26.0)</f>
        <v>26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 t="str">
        <f>IFERROR(__xludf.DUMMYFUNCTION("""COMPUTED_VALUE"""),"C")</f>
        <v>C</v>
      </c>
      <c r="E1519" s="1" t="str">
        <f>IFERROR(__xludf.DUMMYFUNCTION("""COMPUTED_VALUE"""),"Female")</f>
        <v>Female</v>
      </c>
      <c r="F1519" s="1">
        <f>IFERROR(__xludf.DUMMYFUNCTION("""COMPUTED_VALUE"""),83.0)</f>
        <v>83</v>
      </c>
      <c r="G1519" s="1">
        <f>IFERROR(__xludf.DUMMYFUNCTION("""COMPUTED_VALUE"""),31.0)</f>
        <v>31</v>
      </c>
      <c r="H1519" s="1">
        <f>IFERROR(__xludf.DUMMYFUNCTION("""COMPUTED_VALUE"""),42.0)</f>
        <v>42</v>
      </c>
      <c r="I1519" s="1">
        <f>IFERROR(__xludf.DUMMYFUNCTION("""COMPUTED_VALUE"""),26.0)</f>
        <v>26</v>
      </c>
      <c r="J1519" s="1">
        <f>IFERROR(__xludf.DUMMYFUNCTION("""COMPUTED_VALUE"""),56.0)</f>
        <v>56</v>
      </c>
      <c r="K1519" s="1">
        <f>IFERROR(__xludf.DUMMYFUNCTION("""COMPUTED_VALUE"""),23.0)</f>
        <v>23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 t="str">
        <f>IFERROR(__xludf.DUMMYFUNCTION("""COMPUTED_VALUE"""),"C")</f>
        <v>C</v>
      </c>
      <c r="E1520" s="1" t="str">
        <f>IFERROR(__xludf.DUMMYFUNCTION("""COMPUTED_VALUE"""),"Female")</f>
        <v>Female</v>
      </c>
      <c r="F1520" s="1">
        <f>IFERROR(__xludf.DUMMYFUNCTION("""COMPUTED_VALUE"""),66.0)</f>
        <v>66</v>
      </c>
      <c r="G1520" s="1">
        <f>IFERROR(__xludf.DUMMYFUNCTION("""COMPUTED_VALUE"""),57.0)</f>
        <v>57</v>
      </c>
      <c r="H1520" s="1">
        <f>IFERROR(__xludf.DUMMYFUNCTION("""COMPUTED_VALUE"""),75.0)</f>
        <v>75</v>
      </c>
      <c r="I1520" s="1">
        <f>IFERROR(__xludf.DUMMYFUNCTION("""COMPUTED_VALUE"""),89.0)</f>
        <v>89</v>
      </c>
      <c r="J1520" s="1">
        <f>IFERROR(__xludf.DUMMYFUNCTION("""COMPUTED_VALUE"""),39.0)</f>
        <v>39</v>
      </c>
      <c r="K1520" s="1">
        <f>IFERROR(__xludf.DUMMYFUNCTION("""COMPUTED_VALUE"""),24.0)</f>
        <v>24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 t="str">
        <f>IFERROR(__xludf.DUMMYFUNCTION("""COMPUTED_VALUE"""),"B")</f>
        <v>B</v>
      </c>
      <c r="E1521" s="1" t="str">
        <f>IFERROR(__xludf.DUMMYFUNCTION("""COMPUTED_VALUE"""),"Male")</f>
        <v>Male</v>
      </c>
      <c r="F1521" s="1">
        <f>IFERROR(__xludf.DUMMYFUNCTION("""COMPUTED_VALUE"""),60.0)</f>
        <v>60</v>
      </c>
      <c r="G1521" s="1">
        <f>IFERROR(__xludf.DUMMYFUNCTION("""COMPUTED_VALUE"""),27.0)</f>
        <v>27</v>
      </c>
      <c r="H1521" s="1">
        <f>IFERROR(__xludf.DUMMYFUNCTION("""COMPUTED_VALUE"""),98.0)</f>
        <v>98</v>
      </c>
      <c r="I1521" s="1">
        <f>IFERROR(__xludf.DUMMYFUNCTION("""COMPUTED_VALUE"""),34.0)</f>
        <v>34</v>
      </c>
      <c r="J1521" s="1">
        <f>IFERROR(__xludf.DUMMYFUNCTION("""COMPUTED_VALUE"""),58.0)</f>
        <v>58</v>
      </c>
      <c r="K1521" s="1">
        <f>IFERROR(__xludf.DUMMYFUNCTION("""COMPUTED_VALUE"""),20.0)</f>
        <v>20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 t="str">
        <f>IFERROR(__xludf.DUMMYFUNCTION("""COMPUTED_VALUE"""),"B")</f>
        <v>B</v>
      </c>
      <c r="E1522" s="1" t="str">
        <f>IFERROR(__xludf.DUMMYFUNCTION("""COMPUTED_VALUE"""),"Male")</f>
        <v>Male</v>
      </c>
      <c r="F1522" s="1">
        <f>IFERROR(__xludf.DUMMYFUNCTION("""COMPUTED_VALUE"""),22.0)</f>
        <v>22</v>
      </c>
      <c r="G1522" s="1">
        <f>IFERROR(__xludf.DUMMYFUNCTION("""COMPUTED_VALUE"""),24.0)</f>
        <v>24</v>
      </c>
      <c r="H1522" s="1">
        <f>IFERROR(__xludf.DUMMYFUNCTION("""COMPUTED_VALUE"""),36.0)</f>
        <v>36</v>
      </c>
      <c r="I1522" s="1">
        <f>IFERROR(__xludf.DUMMYFUNCTION("""COMPUTED_VALUE"""),90.0)</f>
        <v>90</v>
      </c>
      <c r="J1522" s="1">
        <f>IFERROR(__xludf.DUMMYFUNCTION("""COMPUTED_VALUE"""),71.0)</f>
        <v>71</v>
      </c>
      <c r="K1522" s="1">
        <f>IFERROR(__xludf.DUMMYFUNCTION("""COMPUTED_VALUE"""),63.0)</f>
        <v>63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 t="str">
        <f>IFERROR(__xludf.DUMMYFUNCTION("""COMPUTED_VALUE"""),"D")</f>
        <v>D</v>
      </c>
      <c r="E1523" s="1" t="str">
        <f>IFERROR(__xludf.DUMMYFUNCTION("""COMPUTED_VALUE"""),"Female")</f>
        <v>Female</v>
      </c>
      <c r="F1523" s="1">
        <f>IFERROR(__xludf.DUMMYFUNCTION("""COMPUTED_VALUE"""),15.0)</f>
        <v>15</v>
      </c>
      <c r="G1523" s="1">
        <f>IFERROR(__xludf.DUMMYFUNCTION("""COMPUTED_VALUE"""),94.0)</f>
        <v>94</v>
      </c>
      <c r="H1523" s="1">
        <f>IFERROR(__xludf.DUMMYFUNCTION("""COMPUTED_VALUE"""),25.0)</f>
        <v>25</v>
      </c>
      <c r="I1523" s="1">
        <f>IFERROR(__xludf.DUMMYFUNCTION("""COMPUTED_VALUE"""),42.0)</f>
        <v>42</v>
      </c>
      <c r="J1523" s="1">
        <f>IFERROR(__xludf.DUMMYFUNCTION("""COMPUTED_VALUE"""),26.0)</f>
        <v>26</v>
      </c>
      <c r="K1523" s="1">
        <f>IFERROR(__xludf.DUMMYFUNCTION("""COMPUTED_VALUE"""),89.0)</f>
        <v>89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 t="str">
        <f>IFERROR(__xludf.DUMMYFUNCTION("""COMPUTED_VALUE"""),"A")</f>
        <v>A</v>
      </c>
      <c r="E1524" s="1" t="str">
        <f>IFERROR(__xludf.DUMMYFUNCTION("""COMPUTED_VALUE"""),"Male")</f>
        <v>Male</v>
      </c>
      <c r="F1524" s="1">
        <f>IFERROR(__xludf.DUMMYFUNCTION("""COMPUTED_VALUE"""),87.0)</f>
        <v>87</v>
      </c>
      <c r="G1524" s="1">
        <f>IFERROR(__xludf.DUMMYFUNCTION("""COMPUTED_VALUE"""),37.0)</f>
        <v>37</v>
      </c>
      <c r="H1524" s="1">
        <f>IFERROR(__xludf.DUMMYFUNCTION("""COMPUTED_VALUE"""),95.0)</f>
        <v>95</v>
      </c>
      <c r="I1524" s="1">
        <f>IFERROR(__xludf.DUMMYFUNCTION("""COMPUTED_VALUE"""),49.0)</f>
        <v>49</v>
      </c>
      <c r="J1524" s="1">
        <f>IFERROR(__xludf.DUMMYFUNCTION("""COMPUTED_VALUE"""),76.0)</f>
        <v>76</v>
      </c>
      <c r="K1524" s="1">
        <f>IFERROR(__xludf.DUMMYFUNCTION("""COMPUTED_VALUE"""),22.0)</f>
        <v>22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 t="str">
        <f>IFERROR(__xludf.DUMMYFUNCTION("""COMPUTED_VALUE"""),"C")</f>
        <v>C</v>
      </c>
      <c r="E1525" s="1" t="str">
        <f>IFERROR(__xludf.DUMMYFUNCTION("""COMPUTED_VALUE"""),"Female")</f>
        <v>Female</v>
      </c>
      <c r="F1525" s="1">
        <f>IFERROR(__xludf.DUMMYFUNCTION("""COMPUTED_VALUE"""),53.0)</f>
        <v>53</v>
      </c>
      <c r="G1525" s="1">
        <f>IFERROR(__xludf.DUMMYFUNCTION("""COMPUTED_VALUE"""),85.0)</f>
        <v>85</v>
      </c>
      <c r="H1525" s="1">
        <f>IFERROR(__xludf.DUMMYFUNCTION("""COMPUTED_VALUE"""),89.0)</f>
        <v>89</v>
      </c>
      <c r="I1525" s="1">
        <f>IFERROR(__xludf.DUMMYFUNCTION("""COMPUTED_VALUE"""),58.0)</f>
        <v>58</v>
      </c>
      <c r="J1525" s="1">
        <f>IFERROR(__xludf.DUMMYFUNCTION("""COMPUTED_VALUE"""),62.0)</f>
        <v>62</v>
      </c>
      <c r="K1525" s="1">
        <f>IFERROR(__xludf.DUMMYFUNCTION("""COMPUTED_VALUE"""),69.0)</f>
        <v>69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 t="str">
        <f>IFERROR(__xludf.DUMMYFUNCTION("""COMPUTED_VALUE"""),"B")</f>
        <v>B</v>
      </c>
      <c r="E1526" s="1" t="str">
        <f>IFERROR(__xludf.DUMMYFUNCTION("""COMPUTED_VALUE"""),"Female")</f>
        <v>Female</v>
      </c>
      <c r="F1526" s="1">
        <f>IFERROR(__xludf.DUMMYFUNCTION("""COMPUTED_VALUE"""),29.0)</f>
        <v>29</v>
      </c>
      <c r="G1526" s="1">
        <f>IFERROR(__xludf.DUMMYFUNCTION("""COMPUTED_VALUE"""),90.0)</f>
        <v>90</v>
      </c>
      <c r="H1526" s="1">
        <f>IFERROR(__xludf.DUMMYFUNCTION("""COMPUTED_VALUE"""),31.0)</f>
        <v>31</v>
      </c>
      <c r="I1526" s="1">
        <f>IFERROR(__xludf.DUMMYFUNCTION("""COMPUTED_VALUE"""),69.0)</f>
        <v>69</v>
      </c>
      <c r="J1526" s="1">
        <f>IFERROR(__xludf.DUMMYFUNCTION("""COMPUTED_VALUE"""),60.0)</f>
        <v>60</v>
      </c>
      <c r="K1526" s="1">
        <f>IFERROR(__xludf.DUMMYFUNCTION("""COMPUTED_VALUE"""),25.0)</f>
        <v>25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 t="str">
        <f>IFERROR(__xludf.DUMMYFUNCTION("""COMPUTED_VALUE"""),"B")</f>
        <v>B</v>
      </c>
      <c r="E1527" s="1" t="str">
        <f>IFERROR(__xludf.DUMMYFUNCTION("""COMPUTED_VALUE"""),"Female")</f>
        <v>Female</v>
      </c>
      <c r="F1527" s="1">
        <f>IFERROR(__xludf.DUMMYFUNCTION("""COMPUTED_VALUE"""),20.0)</f>
        <v>20</v>
      </c>
      <c r="G1527" s="1">
        <f>IFERROR(__xludf.DUMMYFUNCTION("""COMPUTED_VALUE"""),92.0)</f>
        <v>92</v>
      </c>
      <c r="H1527" s="1">
        <f>IFERROR(__xludf.DUMMYFUNCTION("""COMPUTED_VALUE"""),38.0)</f>
        <v>38</v>
      </c>
      <c r="I1527" s="1">
        <f>IFERROR(__xludf.DUMMYFUNCTION("""COMPUTED_VALUE"""),59.0)</f>
        <v>59</v>
      </c>
      <c r="J1527" s="1">
        <f>IFERROR(__xludf.DUMMYFUNCTION("""COMPUTED_VALUE"""),96.0)</f>
        <v>96</v>
      </c>
      <c r="K1527" s="1">
        <f>IFERROR(__xludf.DUMMYFUNCTION("""COMPUTED_VALUE"""),41.0)</f>
        <v>41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 t="str">
        <f>IFERROR(__xludf.DUMMYFUNCTION("""COMPUTED_VALUE"""),"A")</f>
        <v>A</v>
      </c>
      <c r="E1528" s="1" t="str">
        <f>IFERROR(__xludf.DUMMYFUNCTION("""COMPUTED_VALUE"""),"Female")</f>
        <v>Female</v>
      </c>
      <c r="F1528" s="1">
        <f>IFERROR(__xludf.DUMMYFUNCTION("""COMPUTED_VALUE"""),47.0)</f>
        <v>47</v>
      </c>
      <c r="G1528" s="1">
        <f>IFERROR(__xludf.DUMMYFUNCTION("""COMPUTED_VALUE"""),42.0)</f>
        <v>42</v>
      </c>
      <c r="H1528" s="1">
        <f>IFERROR(__xludf.DUMMYFUNCTION("""COMPUTED_VALUE"""),42.0)</f>
        <v>42</v>
      </c>
      <c r="I1528" s="1">
        <f>IFERROR(__xludf.DUMMYFUNCTION("""COMPUTED_VALUE"""),50.0)</f>
        <v>50</v>
      </c>
      <c r="J1528" s="1">
        <f>IFERROR(__xludf.DUMMYFUNCTION("""COMPUTED_VALUE"""),99.0)</f>
        <v>99</v>
      </c>
      <c r="K1528" s="1">
        <f>IFERROR(__xludf.DUMMYFUNCTION("""COMPUTED_VALUE"""),64.0)</f>
        <v>64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 t="str">
        <f>IFERROR(__xludf.DUMMYFUNCTION("""COMPUTED_VALUE"""),"B")</f>
        <v>B</v>
      </c>
      <c r="E1529" s="1" t="str">
        <f>IFERROR(__xludf.DUMMYFUNCTION("""COMPUTED_VALUE"""),"Female")</f>
        <v>Female</v>
      </c>
      <c r="F1529" s="1">
        <f>IFERROR(__xludf.DUMMYFUNCTION("""COMPUTED_VALUE"""),37.0)</f>
        <v>37</v>
      </c>
      <c r="G1529" s="1">
        <f>IFERROR(__xludf.DUMMYFUNCTION("""COMPUTED_VALUE"""),89.0)</f>
        <v>89</v>
      </c>
      <c r="H1529" s="1">
        <f>IFERROR(__xludf.DUMMYFUNCTION("""COMPUTED_VALUE"""),72.0)</f>
        <v>72</v>
      </c>
      <c r="I1529" s="1">
        <f>IFERROR(__xludf.DUMMYFUNCTION("""COMPUTED_VALUE"""),88.0)</f>
        <v>88</v>
      </c>
      <c r="J1529" s="1">
        <f>IFERROR(__xludf.DUMMYFUNCTION("""COMPUTED_VALUE"""),64.0)</f>
        <v>64</v>
      </c>
      <c r="K1529" s="1">
        <f>IFERROR(__xludf.DUMMYFUNCTION("""COMPUTED_VALUE"""),50.0)</f>
        <v>50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 t="str">
        <f>IFERROR(__xludf.DUMMYFUNCTION("""COMPUTED_VALUE"""),"D")</f>
        <v>D</v>
      </c>
      <c r="E1530" s="1" t="str">
        <f>IFERROR(__xludf.DUMMYFUNCTION("""COMPUTED_VALUE"""),"Female")</f>
        <v>Female</v>
      </c>
      <c r="F1530" s="1">
        <f>IFERROR(__xludf.DUMMYFUNCTION("""COMPUTED_VALUE"""),47.0)</f>
        <v>47</v>
      </c>
      <c r="G1530" s="1">
        <f>IFERROR(__xludf.DUMMYFUNCTION("""COMPUTED_VALUE"""),76.0)</f>
        <v>76</v>
      </c>
      <c r="H1530" s="1">
        <f>IFERROR(__xludf.DUMMYFUNCTION("""COMPUTED_VALUE"""),42.0)</f>
        <v>42</v>
      </c>
      <c r="I1530" s="1">
        <f>IFERROR(__xludf.DUMMYFUNCTION("""COMPUTED_VALUE"""),52.0)</f>
        <v>52</v>
      </c>
      <c r="J1530" s="1">
        <f>IFERROR(__xludf.DUMMYFUNCTION("""COMPUTED_VALUE"""),30.0)</f>
        <v>30</v>
      </c>
      <c r="K1530" s="1">
        <f>IFERROR(__xludf.DUMMYFUNCTION("""COMPUTED_VALUE"""),27.0)</f>
        <v>27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 t="str">
        <f>IFERROR(__xludf.DUMMYFUNCTION("""COMPUTED_VALUE"""),"D")</f>
        <v>D</v>
      </c>
      <c r="E1531" s="1" t="str">
        <f>IFERROR(__xludf.DUMMYFUNCTION("""COMPUTED_VALUE"""),"Female")</f>
        <v>Female</v>
      </c>
      <c r="F1531" s="1">
        <f>IFERROR(__xludf.DUMMYFUNCTION("""COMPUTED_VALUE"""),86.0)</f>
        <v>86</v>
      </c>
      <c r="G1531" s="1">
        <f>IFERROR(__xludf.DUMMYFUNCTION("""COMPUTED_VALUE"""),64.0)</f>
        <v>64</v>
      </c>
      <c r="H1531" s="1">
        <f>IFERROR(__xludf.DUMMYFUNCTION("""COMPUTED_VALUE"""),57.0)</f>
        <v>57</v>
      </c>
      <c r="I1531" s="1">
        <f>IFERROR(__xludf.DUMMYFUNCTION("""COMPUTED_VALUE"""),25.0)</f>
        <v>25</v>
      </c>
      <c r="J1531" s="1">
        <f>IFERROR(__xludf.DUMMYFUNCTION("""COMPUTED_VALUE"""),78.0)</f>
        <v>78</v>
      </c>
      <c r="K1531" s="1">
        <f>IFERROR(__xludf.DUMMYFUNCTION("""COMPUTED_VALUE"""),44.0)</f>
        <v>44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 t="str">
        <f>IFERROR(__xludf.DUMMYFUNCTION("""COMPUTED_VALUE"""),"D")</f>
        <v>D</v>
      </c>
      <c r="E1532" s="1" t="str">
        <f>IFERROR(__xludf.DUMMYFUNCTION("""COMPUTED_VALUE"""),"Female")</f>
        <v>Female</v>
      </c>
      <c r="F1532" s="1">
        <f>IFERROR(__xludf.DUMMYFUNCTION("""COMPUTED_VALUE"""),96.0)</f>
        <v>96</v>
      </c>
      <c r="G1532" s="1">
        <f>IFERROR(__xludf.DUMMYFUNCTION("""COMPUTED_VALUE"""),40.0)</f>
        <v>40</v>
      </c>
      <c r="H1532" s="1">
        <f>IFERROR(__xludf.DUMMYFUNCTION("""COMPUTED_VALUE"""),20.0)</f>
        <v>20</v>
      </c>
      <c r="I1532" s="1">
        <f>IFERROR(__xludf.DUMMYFUNCTION("""COMPUTED_VALUE"""),87.0)</f>
        <v>87</v>
      </c>
      <c r="J1532" s="1">
        <f>IFERROR(__xludf.DUMMYFUNCTION("""COMPUTED_VALUE"""),87.0)</f>
        <v>87</v>
      </c>
      <c r="K1532" s="1">
        <f>IFERROR(__xludf.DUMMYFUNCTION("""COMPUTED_VALUE"""),78.0)</f>
        <v>78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 t="str">
        <f>IFERROR(__xludf.DUMMYFUNCTION("""COMPUTED_VALUE"""),"A")</f>
        <v>A</v>
      </c>
      <c r="E1533" s="1" t="str">
        <f>IFERROR(__xludf.DUMMYFUNCTION("""COMPUTED_VALUE"""),"Male")</f>
        <v>Male</v>
      </c>
      <c r="F1533" s="1">
        <f>IFERROR(__xludf.DUMMYFUNCTION("""COMPUTED_VALUE"""),38.0)</f>
        <v>38</v>
      </c>
      <c r="G1533" s="1">
        <f>IFERROR(__xludf.DUMMYFUNCTION("""COMPUTED_VALUE"""),96.0)</f>
        <v>96</v>
      </c>
      <c r="H1533" s="1">
        <f>IFERROR(__xludf.DUMMYFUNCTION("""COMPUTED_VALUE"""),73.0)</f>
        <v>73</v>
      </c>
      <c r="I1533" s="1">
        <f>IFERROR(__xludf.DUMMYFUNCTION("""COMPUTED_VALUE"""),54.0)</f>
        <v>54</v>
      </c>
      <c r="J1533" s="1">
        <f>IFERROR(__xludf.DUMMYFUNCTION("""COMPUTED_VALUE"""),21.0)</f>
        <v>21</v>
      </c>
      <c r="K1533" s="1">
        <f>IFERROR(__xludf.DUMMYFUNCTION("""COMPUTED_VALUE"""),90.0)</f>
        <v>90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 t="str">
        <f>IFERROR(__xludf.DUMMYFUNCTION("""COMPUTED_VALUE"""),"A")</f>
        <v>A</v>
      </c>
      <c r="E1534" s="1" t="str">
        <f>IFERROR(__xludf.DUMMYFUNCTION("""COMPUTED_VALUE"""),"Female")</f>
        <v>Female</v>
      </c>
      <c r="F1534" s="1">
        <f>IFERROR(__xludf.DUMMYFUNCTION("""COMPUTED_VALUE"""),17.0)</f>
        <v>17</v>
      </c>
      <c r="G1534" s="1">
        <f>IFERROR(__xludf.DUMMYFUNCTION("""COMPUTED_VALUE"""),87.0)</f>
        <v>87</v>
      </c>
      <c r="H1534" s="1">
        <f>IFERROR(__xludf.DUMMYFUNCTION("""COMPUTED_VALUE"""),87.0)</f>
        <v>87</v>
      </c>
      <c r="I1534" s="1">
        <f>IFERROR(__xludf.DUMMYFUNCTION("""COMPUTED_VALUE"""),26.0)</f>
        <v>26</v>
      </c>
      <c r="J1534" s="1">
        <f>IFERROR(__xludf.DUMMYFUNCTION("""COMPUTED_VALUE"""),37.0)</f>
        <v>37</v>
      </c>
      <c r="K1534" s="1">
        <f>IFERROR(__xludf.DUMMYFUNCTION("""COMPUTED_VALUE"""),82.0)</f>
        <v>82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 t="str">
        <f>IFERROR(__xludf.DUMMYFUNCTION("""COMPUTED_VALUE"""),"B")</f>
        <v>B</v>
      </c>
      <c r="E1535" s="1" t="str">
        <f>IFERROR(__xludf.DUMMYFUNCTION("""COMPUTED_VALUE"""),"Female")</f>
        <v>Female</v>
      </c>
      <c r="F1535" s="1">
        <f>IFERROR(__xludf.DUMMYFUNCTION("""COMPUTED_VALUE"""),36.0)</f>
        <v>36</v>
      </c>
      <c r="G1535" s="1">
        <f>IFERROR(__xludf.DUMMYFUNCTION("""COMPUTED_VALUE"""),36.0)</f>
        <v>36</v>
      </c>
      <c r="H1535" s="1">
        <f>IFERROR(__xludf.DUMMYFUNCTION("""COMPUTED_VALUE"""),58.0)</f>
        <v>58</v>
      </c>
      <c r="I1535" s="1">
        <f>IFERROR(__xludf.DUMMYFUNCTION("""COMPUTED_VALUE"""),59.0)</f>
        <v>59</v>
      </c>
      <c r="J1535" s="1">
        <f>IFERROR(__xludf.DUMMYFUNCTION("""COMPUTED_VALUE"""),66.0)</f>
        <v>66</v>
      </c>
      <c r="K1535" s="1">
        <f>IFERROR(__xludf.DUMMYFUNCTION("""COMPUTED_VALUE"""),83.0)</f>
        <v>83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 t="str">
        <f>IFERROR(__xludf.DUMMYFUNCTION("""COMPUTED_VALUE"""),"C")</f>
        <v>C</v>
      </c>
      <c r="E1536" s="1" t="str">
        <f>IFERROR(__xludf.DUMMYFUNCTION("""COMPUTED_VALUE"""),"Female")</f>
        <v>Female</v>
      </c>
      <c r="F1536" s="1">
        <f>IFERROR(__xludf.DUMMYFUNCTION("""COMPUTED_VALUE"""),96.0)</f>
        <v>96</v>
      </c>
      <c r="G1536" s="1">
        <f>IFERROR(__xludf.DUMMYFUNCTION("""COMPUTED_VALUE"""),21.0)</f>
        <v>21</v>
      </c>
      <c r="H1536" s="1">
        <f>IFERROR(__xludf.DUMMYFUNCTION("""COMPUTED_VALUE"""),87.0)</f>
        <v>87</v>
      </c>
      <c r="I1536" s="1">
        <f>IFERROR(__xludf.DUMMYFUNCTION("""COMPUTED_VALUE"""),58.0)</f>
        <v>58</v>
      </c>
      <c r="J1536" s="1">
        <f>IFERROR(__xludf.DUMMYFUNCTION("""COMPUTED_VALUE"""),49.0)</f>
        <v>49</v>
      </c>
      <c r="K1536" s="1">
        <f>IFERROR(__xludf.DUMMYFUNCTION("""COMPUTED_VALUE"""),42.0)</f>
        <v>42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 t="str">
        <f>IFERROR(__xludf.DUMMYFUNCTION("""COMPUTED_VALUE"""),"D")</f>
        <v>D</v>
      </c>
      <c r="E1537" s="1" t="str">
        <f>IFERROR(__xludf.DUMMYFUNCTION("""COMPUTED_VALUE"""),"Female")</f>
        <v>Female</v>
      </c>
      <c r="F1537" s="1">
        <f>IFERROR(__xludf.DUMMYFUNCTION("""COMPUTED_VALUE"""),41.0)</f>
        <v>41</v>
      </c>
      <c r="G1537" s="1">
        <f>IFERROR(__xludf.DUMMYFUNCTION("""COMPUTED_VALUE"""),48.0)</f>
        <v>48</v>
      </c>
      <c r="H1537" s="1">
        <f>IFERROR(__xludf.DUMMYFUNCTION("""COMPUTED_VALUE"""),23.0)</f>
        <v>23</v>
      </c>
      <c r="I1537" s="1">
        <f>IFERROR(__xludf.DUMMYFUNCTION("""COMPUTED_VALUE"""),91.0)</f>
        <v>91</v>
      </c>
      <c r="J1537" s="1">
        <f>IFERROR(__xludf.DUMMYFUNCTION("""COMPUTED_VALUE"""),46.0)</f>
        <v>46</v>
      </c>
      <c r="K1537" s="1">
        <f>IFERROR(__xludf.DUMMYFUNCTION("""COMPUTED_VALUE"""),48.0)</f>
        <v>48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 t="str">
        <f>IFERROR(__xludf.DUMMYFUNCTION("""COMPUTED_VALUE"""),"C")</f>
        <v>C</v>
      </c>
      <c r="E1538" s="1" t="str">
        <f>IFERROR(__xludf.DUMMYFUNCTION("""COMPUTED_VALUE"""),"Male")</f>
        <v>Male</v>
      </c>
      <c r="F1538" s="1">
        <f>IFERROR(__xludf.DUMMYFUNCTION("""COMPUTED_VALUE"""),16.0)</f>
        <v>16</v>
      </c>
      <c r="G1538" s="1">
        <f>IFERROR(__xludf.DUMMYFUNCTION("""COMPUTED_VALUE"""),29.0)</f>
        <v>29</v>
      </c>
      <c r="H1538" s="1">
        <f>IFERROR(__xludf.DUMMYFUNCTION("""COMPUTED_VALUE"""),24.0)</f>
        <v>24</v>
      </c>
      <c r="I1538" s="1">
        <f>IFERROR(__xludf.DUMMYFUNCTION("""COMPUTED_VALUE"""),95.0)</f>
        <v>95</v>
      </c>
      <c r="J1538" s="1">
        <f>IFERROR(__xludf.DUMMYFUNCTION("""COMPUTED_VALUE"""),38.0)</f>
        <v>38</v>
      </c>
      <c r="K1538" s="1">
        <f>IFERROR(__xludf.DUMMYFUNCTION("""COMPUTED_VALUE"""),54.0)</f>
        <v>54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 t="str">
        <f>IFERROR(__xludf.DUMMYFUNCTION("""COMPUTED_VALUE"""),"A")</f>
        <v>A</v>
      </c>
      <c r="E1539" s="1" t="str">
        <f>IFERROR(__xludf.DUMMYFUNCTION("""COMPUTED_VALUE"""),"Male")</f>
        <v>Male</v>
      </c>
      <c r="F1539" s="1">
        <f>IFERROR(__xludf.DUMMYFUNCTION("""COMPUTED_VALUE"""),26.0)</f>
        <v>26</v>
      </c>
      <c r="G1539" s="1">
        <f>IFERROR(__xludf.DUMMYFUNCTION("""COMPUTED_VALUE"""),90.0)</f>
        <v>90</v>
      </c>
      <c r="H1539" s="1">
        <f>IFERROR(__xludf.DUMMYFUNCTION("""COMPUTED_VALUE"""),61.0)</f>
        <v>61</v>
      </c>
      <c r="I1539" s="1">
        <f>IFERROR(__xludf.DUMMYFUNCTION("""COMPUTED_VALUE"""),64.0)</f>
        <v>64</v>
      </c>
      <c r="J1539" s="1">
        <f>IFERROR(__xludf.DUMMYFUNCTION("""COMPUTED_VALUE"""),60.0)</f>
        <v>60</v>
      </c>
      <c r="K1539" s="1">
        <f>IFERROR(__xludf.DUMMYFUNCTION("""COMPUTED_VALUE"""),45.0)</f>
        <v>45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 t="str">
        <f>IFERROR(__xludf.DUMMYFUNCTION("""COMPUTED_VALUE"""),"B")</f>
        <v>B</v>
      </c>
      <c r="E1540" s="1" t="str">
        <f>IFERROR(__xludf.DUMMYFUNCTION("""COMPUTED_VALUE"""),"Female")</f>
        <v>Female</v>
      </c>
      <c r="F1540" s="1">
        <f>IFERROR(__xludf.DUMMYFUNCTION("""COMPUTED_VALUE"""),21.0)</f>
        <v>21</v>
      </c>
      <c r="G1540" s="1">
        <f>IFERROR(__xludf.DUMMYFUNCTION("""COMPUTED_VALUE"""),84.0)</f>
        <v>84</v>
      </c>
      <c r="H1540" s="1">
        <f>IFERROR(__xludf.DUMMYFUNCTION("""COMPUTED_VALUE"""),80.0)</f>
        <v>80</v>
      </c>
      <c r="I1540" s="1">
        <f>IFERROR(__xludf.DUMMYFUNCTION("""COMPUTED_VALUE"""),42.0)</f>
        <v>42</v>
      </c>
      <c r="J1540" s="1">
        <f>IFERROR(__xludf.DUMMYFUNCTION("""COMPUTED_VALUE"""),55.0)</f>
        <v>55</v>
      </c>
      <c r="K1540" s="1">
        <f>IFERROR(__xludf.DUMMYFUNCTION("""COMPUTED_VALUE"""),61.0)</f>
        <v>61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 t="str">
        <f>IFERROR(__xludf.DUMMYFUNCTION("""COMPUTED_VALUE"""),"B")</f>
        <v>B</v>
      </c>
      <c r="E1541" s="1" t="str">
        <f>IFERROR(__xludf.DUMMYFUNCTION("""COMPUTED_VALUE"""),"Male")</f>
        <v>Male</v>
      </c>
      <c r="F1541" s="1">
        <f>IFERROR(__xludf.DUMMYFUNCTION("""COMPUTED_VALUE"""),52.0)</f>
        <v>52</v>
      </c>
      <c r="G1541" s="1">
        <f>IFERROR(__xludf.DUMMYFUNCTION("""COMPUTED_VALUE"""),70.0)</f>
        <v>70</v>
      </c>
      <c r="H1541" s="1">
        <f>IFERROR(__xludf.DUMMYFUNCTION("""COMPUTED_VALUE"""),64.0)</f>
        <v>64</v>
      </c>
      <c r="I1541" s="1">
        <f>IFERROR(__xludf.DUMMYFUNCTION("""COMPUTED_VALUE"""),51.0)</f>
        <v>51</v>
      </c>
      <c r="J1541" s="1">
        <f>IFERROR(__xludf.DUMMYFUNCTION("""COMPUTED_VALUE"""),98.0)</f>
        <v>98</v>
      </c>
      <c r="K1541" s="1">
        <f>IFERROR(__xludf.DUMMYFUNCTION("""COMPUTED_VALUE"""),67.0)</f>
        <v>67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 t="str">
        <f>IFERROR(__xludf.DUMMYFUNCTION("""COMPUTED_VALUE"""),"B")</f>
        <v>B</v>
      </c>
      <c r="E1542" s="1" t="str">
        <f>IFERROR(__xludf.DUMMYFUNCTION("""COMPUTED_VALUE"""),"Male")</f>
        <v>Male</v>
      </c>
      <c r="F1542" s="1">
        <f>IFERROR(__xludf.DUMMYFUNCTION("""COMPUTED_VALUE"""),70.0)</f>
        <v>70</v>
      </c>
      <c r="G1542" s="1">
        <f>IFERROR(__xludf.DUMMYFUNCTION("""COMPUTED_VALUE"""),68.0)</f>
        <v>68</v>
      </c>
      <c r="H1542" s="1">
        <f>IFERROR(__xludf.DUMMYFUNCTION("""COMPUTED_VALUE"""),59.0)</f>
        <v>59</v>
      </c>
      <c r="I1542" s="1">
        <f>IFERROR(__xludf.DUMMYFUNCTION("""COMPUTED_VALUE"""),85.0)</f>
        <v>85</v>
      </c>
      <c r="J1542" s="1">
        <f>IFERROR(__xludf.DUMMYFUNCTION("""COMPUTED_VALUE"""),82.0)</f>
        <v>82</v>
      </c>
      <c r="K1542" s="1">
        <f>IFERROR(__xludf.DUMMYFUNCTION("""COMPUTED_VALUE"""),66.0)</f>
        <v>66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 t="str">
        <f>IFERROR(__xludf.DUMMYFUNCTION("""COMPUTED_VALUE"""),"B")</f>
        <v>B</v>
      </c>
      <c r="E1543" s="1" t="str">
        <f>IFERROR(__xludf.DUMMYFUNCTION("""COMPUTED_VALUE"""),"Female")</f>
        <v>Female</v>
      </c>
      <c r="F1543" s="1">
        <f>IFERROR(__xludf.DUMMYFUNCTION("""COMPUTED_VALUE"""),21.0)</f>
        <v>21</v>
      </c>
      <c r="G1543" s="1">
        <f>IFERROR(__xludf.DUMMYFUNCTION("""COMPUTED_VALUE"""),74.0)</f>
        <v>74</v>
      </c>
      <c r="H1543" s="1">
        <f>IFERROR(__xludf.DUMMYFUNCTION("""COMPUTED_VALUE"""),95.0)</f>
        <v>95</v>
      </c>
      <c r="I1543" s="1">
        <f>IFERROR(__xludf.DUMMYFUNCTION("""COMPUTED_VALUE"""),66.0)</f>
        <v>66</v>
      </c>
      <c r="J1543" s="1">
        <f>IFERROR(__xludf.DUMMYFUNCTION("""COMPUTED_VALUE"""),65.0)</f>
        <v>65</v>
      </c>
      <c r="K1543" s="1">
        <f>IFERROR(__xludf.DUMMYFUNCTION("""COMPUTED_VALUE"""),68.0)</f>
        <v>68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 t="str">
        <f>IFERROR(__xludf.DUMMYFUNCTION("""COMPUTED_VALUE"""),"D")</f>
        <v>D</v>
      </c>
      <c r="E1544" s="1" t="str">
        <f>IFERROR(__xludf.DUMMYFUNCTION("""COMPUTED_VALUE"""),"Female")</f>
        <v>Female</v>
      </c>
      <c r="F1544" s="1">
        <f>IFERROR(__xludf.DUMMYFUNCTION("""COMPUTED_VALUE"""),45.0)</f>
        <v>45</v>
      </c>
      <c r="G1544" s="1">
        <f>IFERROR(__xludf.DUMMYFUNCTION("""COMPUTED_VALUE"""),65.0)</f>
        <v>65</v>
      </c>
      <c r="H1544" s="1">
        <f>IFERROR(__xludf.DUMMYFUNCTION("""COMPUTED_VALUE"""),87.0)</f>
        <v>87</v>
      </c>
      <c r="I1544" s="1">
        <f>IFERROR(__xludf.DUMMYFUNCTION("""COMPUTED_VALUE"""),54.0)</f>
        <v>54</v>
      </c>
      <c r="J1544" s="1">
        <f>IFERROR(__xludf.DUMMYFUNCTION("""COMPUTED_VALUE"""),40.0)</f>
        <v>40</v>
      </c>
      <c r="K1544" s="1">
        <f>IFERROR(__xludf.DUMMYFUNCTION("""COMPUTED_VALUE"""),89.0)</f>
        <v>89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 t="str">
        <f>IFERROR(__xludf.DUMMYFUNCTION("""COMPUTED_VALUE"""),"C")</f>
        <v>C</v>
      </c>
      <c r="E1545" s="1" t="str">
        <f>IFERROR(__xludf.DUMMYFUNCTION("""COMPUTED_VALUE"""),"Female")</f>
        <v>Female</v>
      </c>
      <c r="F1545" s="1">
        <f>IFERROR(__xludf.DUMMYFUNCTION("""COMPUTED_VALUE"""),31.0)</f>
        <v>31</v>
      </c>
      <c r="G1545" s="1">
        <f>IFERROR(__xludf.DUMMYFUNCTION("""COMPUTED_VALUE"""),66.0)</f>
        <v>66</v>
      </c>
      <c r="H1545" s="1">
        <f>IFERROR(__xludf.DUMMYFUNCTION("""COMPUTED_VALUE"""),84.0)</f>
        <v>84</v>
      </c>
      <c r="I1545" s="1">
        <f>IFERROR(__xludf.DUMMYFUNCTION("""COMPUTED_VALUE"""),37.0)</f>
        <v>37</v>
      </c>
      <c r="J1545" s="1">
        <f>IFERROR(__xludf.DUMMYFUNCTION("""COMPUTED_VALUE"""),64.0)</f>
        <v>64</v>
      </c>
      <c r="K1545" s="1">
        <f>IFERROR(__xludf.DUMMYFUNCTION("""COMPUTED_VALUE"""),27.0)</f>
        <v>27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 t="str">
        <f>IFERROR(__xludf.DUMMYFUNCTION("""COMPUTED_VALUE"""),"C")</f>
        <v>C</v>
      </c>
      <c r="E1546" s="1" t="str">
        <f>IFERROR(__xludf.DUMMYFUNCTION("""COMPUTED_VALUE"""),"Male")</f>
        <v>Male</v>
      </c>
      <c r="F1546" s="1">
        <f>IFERROR(__xludf.DUMMYFUNCTION("""COMPUTED_VALUE"""),98.0)</f>
        <v>98</v>
      </c>
      <c r="G1546" s="1">
        <f>IFERROR(__xludf.DUMMYFUNCTION("""COMPUTED_VALUE"""),98.0)</f>
        <v>98</v>
      </c>
      <c r="H1546" s="1">
        <f>IFERROR(__xludf.DUMMYFUNCTION("""COMPUTED_VALUE"""),84.0)</f>
        <v>84</v>
      </c>
      <c r="I1546" s="1">
        <f>IFERROR(__xludf.DUMMYFUNCTION("""COMPUTED_VALUE"""),40.0)</f>
        <v>40</v>
      </c>
      <c r="J1546" s="1">
        <f>IFERROR(__xludf.DUMMYFUNCTION("""COMPUTED_VALUE"""),57.0)</f>
        <v>57</v>
      </c>
      <c r="K1546" s="1">
        <f>IFERROR(__xludf.DUMMYFUNCTION("""COMPUTED_VALUE"""),74.0)</f>
        <v>74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 t="str">
        <f>IFERROR(__xludf.DUMMYFUNCTION("""COMPUTED_VALUE"""),"D")</f>
        <v>D</v>
      </c>
      <c r="E1547" s="1" t="str">
        <f>IFERROR(__xludf.DUMMYFUNCTION("""COMPUTED_VALUE"""),"Female")</f>
        <v>Female</v>
      </c>
      <c r="F1547" s="1">
        <f>IFERROR(__xludf.DUMMYFUNCTION("""COMPUTED_VALUE"""),60.0)</f>
        <v>60</v>
      </c>
      <c r="G1547" s="1">
        <f>IFERROR(__xludf.DUMMYFUNCTION("""COMPUTED_VALUE"""),81.0)</f>
        <v>81</v>
      </c>
      <c r="H1547" s="1">
        <f>IFERROR(__xludf.DUMMYFUNCTION("""COMPUTED_VALUE"""),35.0)</f>
        <v>35</v>
      </c>
      <c r="I1547" s="1">
        <f>IFERROR(__xludf.DUMMYFUNCTION("""COMPUTED_VALUE"""),27.0)</f>
        <v>27</v>
      </c>
      <c r="J1547" s="1">
        <f>IFERROR(__xludf.DUMMYFUNCTION("""COMPUTED_VALUE"""),44.0)</f>
        <v>44</v>
      </c>
      <c r="K1547" s="1">
        <f>IFERROR(__xludf.DUMMYFUNCTION("""COMPUTED_VALUE"""),84.0)</f>
        <v>84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 t="str">
        <f>IFERROR(__xludf.DUMMYFUNCTION("""COMPUTED_VALUE"""),"B")</f>
        <v>B</v>
      </c>
      <c r="E1548" s="1" t="str">
        <f>IFERROR(__xludf.DUMMYFUNCTION("""COMPUTED_VALUE"""),"Male")</f>
        <v>Male</v>
      </c>
      <c r="F1548" s="1">
        <f>IFERROR(__xludf.DUMMYFUNCTION("""COMPUTED_VALUE"""),68.0)</f>
        <v>68</v>
      </c>
      <c r="G1548" s="1">
        <f>IFERROR(__xludf.DUMMYFUNCTION("""COMPUTED_VALUE"""),88.0)</f>
        <v>88</v>
      </c>
      <c r="H1548" s="1">
        <f>IFERROR(__xludf.DUMMYFUNCTION("""COMPUTED_VALUE"""),35.0)</f>
        <v>35</v>
      </c>
      <c r="I1548" s="1">
        <f>IFERROR(__xludf.DUMMYFUNCTION("""COMPUTED_VALUE"""),90.0)</f>
        <v>90</v>
      </c>
      <c r="J1548" s="1">
        <f>IFERROR(__xludf.DUMMYFUNCTION("""COMPUTED_VALUE"""),71.0)</f>
        <v>71</v>
      </c>
      <c r="K1548" s="1">
        <f>IFERROR(__xludf.DUMMYFUNCTION("""COMPUTED_VALUE"""),54.0)</f>
        <v>54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 t="str">
        <f>IFERROR(__xludf.DUMMYFUNCTION("""COMPUTED_VALUE"""),"C")</f>
        <v>C</v>
      </c>
      <c r="E1549" s="1" t="str">
        <f>IFERROR(__xludf.DUMMYFUNCTION("""COMPUTED_VALUE"""),"Male")</f>
        <v>Male</v>
      </c>
      <c r="F1549" s="1">
        <f>IFERROR(__xludf.DUMMYFUNCTION("""COMPUTED_VALUE"""),91.0)</f>
        <v>91</v>
      </c>
      <c r="G1549" s="1">
        <f>IFERROR(__xludf.DUMMYFUNCTION("""COMPUTED_VALUE"""),84.0)</f>
        <v>84</v>
      </c>
      <c r="H1549" s="1">
        <f>IFERROR(__xludf.DUMMYFUNCTION("""COMPUTED_VALUE"""),21.0)</f>
        <v>21</v>
      </c>
      <c r="I1549" s="1">
        <f>IFERROR(__xludf.DUMMYFUNCTION("""COMPUTED_VALUE"""),61.0)</f>
        <v>61</v>
      </c>
      <c r="J1549" s="1">
        <f>IFERROR(__xludf.DUMMYFUNCTION("""COMPUTED_VALUE"""),98.0)</f>
        <v>98</v>
      </c>
      <c r="K1549" s="1">
        <f>IFERROR(__xludf.DUMMYFUNCTION("""COMPUTED_VALUE"""),73.0)</f>
        <v>73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 t="str">
        <f>IFERROR(__xludf.DUMMYFUNCTION("""COMPUTED_VALUE"""),"D")</f>
        <v>D</v>
      </c>
      <c r="E1550" s="1" t="str">
        <f>IFERROR(__xludf.DUMMYFUNCTION("""COMPUTED_VALUE"""),"Male")</f>
        <v>Male</v>
      </c>
      <c r="F1550" s="1">
        <f>IFERROR(__xludf.DUMMYFUNCTION("""COMPUTED_VALUE"""),98.0)</f>
        <v>98</v>
      </c>
      <c r="G1550" s="1">
        <f>IFERROR(__xludf.DUMMYFUNCTION("""COMPUTED_VALUE"""),46.0)</f>
        <v>46</v>
      </c>
      <c r="H1550" s="1">
        <f>IFERROR(__xludf.DUMMYFUNCTION("""COMPUTED_VALUE"""),31.0)</f>
        <v>31</v>
      </c>
      <c r="I1550" s="1">
        <f>IFERROR(__xludf.DUMMYFUNCTION("""COMPUTED_VALUE"""),79.0)</f>
        <v>79</v>
      </c>
      <c r="J1550" s="1">
        <f>IFERROR(__xludf.DUMMYFUNCTION("""COMPUTED_VALUE"""),84.0)</f>
        <v>84</v>
      </c>
      <c r="K1550" s="1">
        <f>IFERROR(__xludf.DUMMYFUNCTION("""COMPUTED_VALUE"""),71.0)</f>
        <v>71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 t="str">
        <f>IFERROR(__xludf.DUMMYFUNCTION("""COMPUTED_VALUE"""),"A")</f>
        <v>A</v>
      </c>
      <c r="E1551" s="1" t="str">
        <f>IFERROR(__xludf.DUMMYFUNCTION("""COMPUTED_VALUE"""),"Female")</f>
        <v>Female</v>
      </c>
      <c r="F1551" s="1">
        <f>IFERROR(__xludf.DUMMYFUNCTION("""COMPUTED_VALUE"""),38.0)</f>
        <v>38</v>
      </c>
      <c r="G1551" s="1">
        <f>IFERROR(__xludf.DUMMYFUNCTION("""COMPUTED_VALUE"""),76.0)</f>
        <v>76</v>
      </c>
      <c r="H1551" s="1">
        <f>IFERROR(__xludf.DUMMYFUNCTION("""COMPUTED_VALUE"""),36.0)</f>
        <v>36</v>
      </c>
      <c r="I1551" s="1">
        <f>IFERROR(__xludf.DUMMYFUNCTION("""COMPUTED_VALUE"""),96.0)</f>
        <v>96</v>
      </c>
      <c r="J1551" s="1">
        <f>IFERROR(__xludf.DUMMYFUNCTION("""COMPUTED_VALUE"""),85.0)</f>
        <v>85</v>
      </c>
      <c r="K1551" s="1">
        <f>IFERROR(__xludf.DUMMYFUNCTION("""COMPUTED_VALUE"""),70.0)</f>
        <v>70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 t="str">
        <f>IFERROR(__xludf.DUMMYFUNCTION("""COMPUTED_VALUE"""),"B")</f>
        <v>B</v>
      </c>
      <c r="E1552" s="1" t="str">
        <f>IFERROR(__xludf.DUMMYFUNCTION("""COMPUTED_VALUE"""),"Female")</f>
        <v>Female</v>
      </c>
      <c r="F1552" s="1">
        <f>IFERROR(__xludf.DUMMYFUNCTION("""COMPUTED_VALUE"""),26.0)</f>
        <v>26</v>
      </c>
      <c r="G1552" s="1">
        <f>IFERROR(__xludf.DUMMYFUNCTION("""COMPUTED_VALUE"""),68.0)</f>
        <v>68</v>
      </c>
      <c r="H1552" s="1">
        <f>IFERROR(__xludf.DUMMYFUNCTION("""COMPUTED_VALUE"""),53.0)</f>
        <v>53</v>
      </c>
      <c r="I1552" s="1">
        <f>IFERROR(__xludf.DUMMYFUNCTION("""COMPUTED_VALUE"""),61.0)</f>
        <v>61</v>
      </c>
      <c r="J1552" s="1">
        <f>IFERROR(__xludf.DUMMYFUNCTION("""COMPUTED_VALUE"""),25.0)</f>
        <v>25</v>
      </c>
      <c r="K1552" s="1">
        <f>IFERROR(__xludf.DUMMYFUNCTION("""COMPUTED_VALUE"""),87.0)</f>
        <v>87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 t="str">
        <f>IFERROR(__xludf.DUMMYFUNCTION("""COMPUTED_VALUE"""),"D")</f>
        <v>D</v>
      </c>
      <c r="E1553" s="1" t="str">
        <f>IFERROR(__xludf.DUMMYFUNCTION("""COMPUTED_VALUE"""),"Male")</f>
        <v>Male</v>
      </c>
      <c r="F1553" s="1">
        <f>IFERROR(__xludf.DUMMYFUNCTION("""COMPUTED_VALUE"""),39.0)</f>
        <v>39</v>
      </c>
      <c r="G1553" s="1">
        <f>IFERROR(__xludf.DUMMYFUNCTION("""COMPUTED_VALUE"""),90.0)</f>
        <v>90</v>
      </c>
      <c r="H1553" s="1">
        <f>IFERROR(__xludf.DUMMYFUNCTION("""COMPUTED_VALUE"""),66.0)</f>
        <v>66</v>
      </c>
      <c r="I1553" s="1">
        <f>IFERROR(__xludf.DUMMYFUNCTION("""COMPUTED_VALUE"""),22.0)</f>
        <v>22</v>
      </c>
      <c r="J1553" s="1">
        <f>IFERROR(__xludf.DUMMYFUNCTION("""COMPUTED_VALUE"""),61.0)</f>
        <v>61</v>
      </c>
      <c r="K1553" s="1">
        <f>IFERROR(__xludf.DUMMYFUNCTION("""COMPUTED_VALUE"""),37.0)</f>
        <v>37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 t="str">
        <f>IFERROR(__xludf.DUMMYFUNCTION("""COMPUTED_VALUE"""),"D")</f>
        <v>D</v>
      </c>
      <c r="E1554" s="1" t="str">
        <f>IFERROR(__xludf.DUMMYFUNCTION("""COMPUTED_VALUE"""),"Male")</f>
        <v>Male</v>
      </c>
      <c r="F1554" s="1">
        <f>IFERROR(__xludf.DUMMYFUNCTION("""COMPUTED_VALUE"""),96.0)</f>
        <v>96</v>
      </c>
      <c r="G1554" s="1">
        <f>IFERROR(__xludf.DUMMYFUNCTION("""COMPUTED_VALUE"""),88.0)</f>
        <v>88</v>
      </c>
      <c r="H1554" s="1">
        <f>IFERROR(__xludf.DUMMYFUNCTION("""COMPUTED_VALUE"""),65.0)</f>
        <v>65</v>
      </c>
      <c r="I1554" s="1">
        <f>IFERROR(__xludf.DUMMYFUNCTION("""COMPUTED_VALUE"""),69.0)</f>
        <v>69</v>
      </c>
      <c r="J1554" s="1">
        <f>IFERROR(__xludf.DUMMYFUNCTION("""COMPUTED_VALUE"""),64.0)</f>
        <v>64</v>
      </c>
      <c r="K1554" s="1">
        <f>IFERROR(__xludf.DUMMYFUNCTION("""COMPUTED_VALUE"""),80.0)</f>
        <v>80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 t="str">
        <f>IFERROR(__xludf.DUMMYFUNCTION("""COMPUTED_VALUE"""),"D")</f>
        <v>D</v>
      </c>
      <c r="E1555" s="1" t="str">
        <f>IFERROR(__xludf.DUMMYFUNCTION("""COMPUTED_VALUE"""),"Female")</f>
        <v>Female</v>
      </c>
      <c r="F1555" s="1">
        <f>IFERROR(__xludf.DUMMYFUNCTION("""COMPUTED_VALUE"""),21.0)</f>
        <v>21</v>
      </c>
      <c r="G1555" s="1">
        <f>IFERROR(__xludf.DUMMYFUNCTION("""COMPUTED_VALUE"""),32.0)</f>
        <v>32</v>
      </c>
      <c r="H1555" s="1">
        <f>IFERROR(__xludf.DUMMYFUNCTION("""COMPUTED_VALUE"""),49.0)</f>
        <v>49</v>
      </c>
      <c r="I1555" s="1">
        <f>IFERROR(__xludf.DUMMYFUNCTION("""COMPUTED_VALUE"""),50.0)</f>
        <v>50</v>
      </c>
      <c r="J1555" s="1">
        <f>IFERROR(__xludf.DUMMYFUNCTION("""COMPUTED_VALUE"""),42.0)</f>
        <v>42</v>
      </c>
      <c r="K1555" s="1">
        <f>IFERROR(__xludf.DUMMYFUNCTION("""COMPUTED_VALUE"""),62.0)</f>
        <v>62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 t="str">
        <f>IFERROR(__xludf.DUMMYFUNCTION("""COMPUTED_VALUE"""),"B")</f>
        <v>B</v>
      </c>
      <c r="E1556" s="1" t="str">
        <f>IFERROR(__xludf.DUMMYFUNCTION("""COMPUTED_VALUE"""),"Male")</f>
        <v>Male</v>
      </c>
      <c r="F1556" s="1">
        <f>IFERROR(__xludf.DUMMYFUNCTION("""COMPUTED_VALUE"""),11.0)</f>
        <v>11</v>
      </c>
      <c r="G1556" s="1">
        <f>IFERROR(__xludf.DUMMYFUNCTION("""COMPUTED_VALUE"""),83.0)</f>
        <v>83</v>
      </c>
      <c r="H1556" s="1">
        <f>IFERROR(__xludf.DUMMYFUNCTION("""COMPUTED_VALUE"""),24.0)</f>
        <v>24</v>
      </c>
      <c r="I1556" s="1">
        <f>IFERROR(__xludf.DUMMYFUNCTION("""COMPUTED_VALUE"""),69.0)</f>
        <v>69</v>
      </c>
      <c r="J1556" s="1">
        <f>IFERROR(__xludf.DUMMYFUNCTION("""COMPUTED_VALUE"""),60.0)</f>
        <v>60</v>
      </c>
      <c r="K1556" s="1">
        <f>IFERROR(__xludf.DUMMYFUNCTION("""COMPUTED_VALUE"""),28.0)</f>
        <v>28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 t="str">
        <f>IFERROR(__xludf.DUMMYFUNCTION("""COMPUTED_VALUE"""),"D")</f>
        <v>D</v>
      </c>
      <c r="E1557" s="1" t="str">
        <f>IFERROR(__xludf.DUMMYFUNCTION("""COMPUTED_VALUE"""),"Male")</f>
        <v>Male</v>
      </c>
      <c r="F1557" s="1">
        <f>IFERROR(__xludf.DUMMYFUNCTION("""COMPUTED_VALUE"""),71.0)</f>
        <v>71</v>
      </c>
      <c r="G1557" s="1">
        <f>IFERROR(__xludf.DUMMYFUNCTION("""COMPUTED_VALUE"""),24.0)</f>
        <v>24</v>
      </c>
      <c r="H1557" s="1">
        <f>IFERROR(__xludf.DUMMYFUNCTION("""COMPUTED_VALUE"""),23.0)</f>
        <v>23</v>
      </c>
      <c r="I1557" s="1">
        <f>IFERROR(__xludf.DUMMYFUNCTION("""COMPUTED_VALUE"""),27.0)</f>
        <v>27</v>
      </c>
      <c r="J1557" s="1">
        <f>IFERROR(__xludf.DUMMYFUNCTION("""COMPUTED_VALUE"""),56.0)</f>
        <v>56</v>
      </c>
      <c r="K1557" s="1">
        <f>IFERROR(__xludf.DUMMYFUNCTION("""COMPUTED_VALUE"""),72.0)</f>
        <v>72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 t="str">
        <f>IFERROR(__xludf.DUMMYFUNCTION("""COMPUTED_VALUE"""),"B")</f>
        <v>B</v>
      </c>
      <c r="E1558" s="1" t="str">
        <f>IFERROR(__xludf.DUMMYFUNCTION("""COMPUTED_VALUE"""),"Male")</f>
        <v>Male</v>
      </c>
      <c r="F1558" s="1">
        <f>IFERROR(__xludf.DUMMYFUNCTION("""COMPUTED_VALUE"""),27.0)</f>
        <v>27</v>
      </c>
      <c r="G1558" s="1">
        <f>IFERROR(__xludf.DUMMYFUNCTION("""COMPUTED_VALUE"""),20.0)</f>
        <v>20</v>
      </c>
      <c r="H1558" s="1">
        <f>IFERROR(__xludf.DUMMYFUNCTION("""COMPUTED_VALUE"""),20.0)</f>
        <v>20</v>
      </c>
      <c r="I1558" s="1">
        <f>IFERROR(__xludf.DUMMYFUNCTION("""COMPUTED_VALUE"""),94.0)</f>
        <v>94</v>
      </c>
      <c r="J1558" s="1">
        <f>IFERROR(__xludf.DUMMYFUNCTION("""COMPUTED_VALUE"""),31.0)</f>
        <v>31</v>
      </c>
      <c r="K1558" s="1">
        <f>IFERROR(__xludf.DUMMYFUNCTION("""COMPUTED_VALUE"""),89.0)</f>
        <v>89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 t="str">
        <f>IFERROR(__xludf.DUMMYFUNCTION("""COMPUTED_VALUE"""),"A")</f>
        <v>A</v>
      </c>
      <c r="E1559" s="1" t="str">
        <f>IFERROR(__xludf.DUMMYFUNCTION("""COMPUTED_VALUE"""),"Female")</f>
        <v>Female</v>
      </c>
      <c r="F1559" s="1">
        <f>IFERROR(__xludf.DUMMYFUNCTION("""COMPUTED_VALUE"""),80.0)</f>
        <v>80</v>
      </c>
      <c r="G1559" s="1">
        <f>IFERROR(__xludf.DUMMYFUNCTION("""COMPUTED_VALUE"""),77.0)</f>
        <v>77</v>
      </c>
      <c r="H1559" s="1">
        <f>IFERROR(__xludf.DUMMYFUNCTION("""COMPUTED_VALUE"""),59.0)</f>
        <v>59</v>
      </c>
      <c r="I1559" s="1">
        <f>IFERROR(__xludf.DUMMYFUNCTION("""COMPUTED_VALUE"""),40.0)</f>
        <v>40</v>
      </c>
      <c r="J1559" s="1">
        <f>IFERROR(__xludf.DUMMYFUNCTION("""COMPUTED_VALUE"""),39.0)</f>
        <v>39</v>
      </c>
      <c r="K1559" s="1">
        <f>IFERROR(__xludf.DUMMYFUNCTION("""COMPUTED_VALUE"""),44.0)</f>
        <v>44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 t="str">
        <f>IFERROR(__xludf.DUMMYFUNCTION("""COMPUTED_VALUE"""),"D")</f>
        <v>D</v>
      </c>
      <c r="E1560" s="1" t="str">
        <f>IFERROR(__xludf.DUMMYFUNCTION("""COMPUTED_VALUE"""),"Female")</f>
        <v>Female</v>
      </c>
      <c r="F1560" s="1">
        <f>IFERROR(__xludf.DUMMYFUNCTION("""COMPUTED_VALUE"""),68.0)</f>
        <v>68</v>
      </c>
      <c r="G1560" s="1">
        <f>IFERROR(__xludf.DUMMYFUNCTION("""COMPUTED_VALUE"""),60.0)</f>
        <v>60</v>
      </c>
      <c r="H1560" s="1">
        <f>IFERROR(__xludf.DUMMYFUNCTION("""COMPUTED_VALUE"""),28.0)</f>
        <v>28</v>
      </c>
      <c r="I1560" s="1">
        <f>IFERROR(__xludf.DUMMYFUNCTION("""COMPUTED_VALUE"""),28.0)</f>
        <v>28</v>
      </c>
      <c r="J1560" s="1">
        <f>IFERROR(__xludf.DUMMYFUNCTION("""COMPUTED_VALUE"""),52.0)</f>
        <v>52</v>
      </c>
      <c r="K1560" s="1">
        <f>IFERROR(__xludf.DUMMYFUNCTION("""COMPUTED_VALUE"""),25.0)</f>
        <v>25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 t="str">
        <f>IFERROR(__xludf.DUMMYFUNCTION("""COMPUTED_VALUE"""),"D")</f>
        <v>D</v>
      </c>
      <c r="E1561" s="1" t="str">
        <f>IFERROR(__xludf.DUMMYFUNCTION("""COMPUTED_VALUE"""),"Male")</f>
        <v>Male</v>
      </c>
      <c r="F1561" s="1">
        <f>IFERROR(__xludf.DUMMYFUNCTION("""COMPUTED_VALUE"""),98.0)</f>
        <v>98</v>
      </c>
      <c r="G1561" s="1">
        <f>IFERROR(__xludf.DUMMYFUNCTION("""COMPUTED_VALUE"""),82.0)</f>
        <v>82</v>
      </c>
      <c r="H1561" s="1">
        <f>IFERROR(__xludf.DUMMYFUNCTION("""COMPUTED_VALUE"""),80.0)</f>
        <v>80</v>
      </c>
      <c r="I1561" s="1">
        <f>IFERROR(__xludf.DUMMYFUNCTION("""COMPUTED_VALUE"""),54.0)</f>
        <v>54</v>
      </c>
      <c r="J1561" s="1">
        <f>IFERROR(__xludf.DUMMYFUNCTION("""COMPUTED_VALUE"""),78.0)</f>
        <v>78</v>
      </c>
      <c r="K1561" s="1">
        <f>IFERROR(__xludf.DUMMYFUNCTION("""COMPUTED_VALUE"""),84.0)</f>
        <v>84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 t="str">
        <f>IFERROR(__xludf.DUMMYFUNCTION("""COMPUTED_VALUE"""),"C")</f>
        <v>C</v>
      </c>
      <c r="E1562" s="1" t="str">
        <f>IFERROR(__xludf.DUMMYFUNCTION("""COMPUTED_VALUE"""),"Female")</f>
        <v>Female</v>
      </c>
      <c r="F1562" s="1">
        <f>IFERROR(__xludf.DUMMYFUNCTION("""COMPUTED_VALUE"""),35.0)</f>
        <v>35</v>
      </c>
      <c r="G1562" s="1">
        <f>IFERROR(__xludf.DUMMYFUNCTION("""COMPUTED_VALUE"""),57.0)</f>
        <v>57</v>
      </c>
      <c r="H1562" s="1">
        <f>IFERROR(__xludf.DUMMYFUNCTION("""COMPUTED_VALUE"""),24.0)</f>
        <v>24</v>
      </c>
      <c r="I1562" s="1">
        <f>IFERROR(__xludf.DUMMYFUNCTION("""COMPUTED_VALUE"""),65.0)</f>
        <v>65</v>
      </c>
      <c r="J1562" s="1">
        <f>IFERROR(__xludf.DUMMYFUNCTION("""COMPUTED_VALUE"""),24.0)</f>
        <v>24</v>
      </c>
      <c r="K1562" s="1">
        <f>IFERROR(__xludf.DUMMYFUNCTION("""COMPUTED_VALUE"""),47.0)</f>
        <v>47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 t="str">
        <f>IFERROR(__xludf.DUMMYFUNCTION("""COMPUTED_VALUE"""),"A")</f>
        <v>A</v>
      </c>
      <c r="E1563" s="1" t="str">
        <f>IFERROR(__xludf.DUMMYFUNCTION("""COMPUTED_VALUE"""),"Male")</f>
        <v>Male</v>
      </c>
      <c r="F1563" s="1">
        <f>IFERROR(__xludf.DUMMYFUNCTION("""COMPUTED_VALUE"""),59.0)</f>
        <v>59</v>
      </c>
      <c r="G1563" s="1">
        <f>IFERROR(__xludf.DUMMYFUNCTION("""COMPUTED_VALUE"""),70.0)</f>
        <v>70</v>
      </c>
      <c r="H1563" s="1">
        <f>IFERROR(__xludf.DUMMYFUNCTION("""COMPUTED_VALUE"""),99.0)</f>
        <v>99</v>
      </c>
      <c r="I1563" s="1">
        <f>IFERROR(__xludf.DUMMYFUNCTION("""COMPUTED_VALUE"""),30.0)</f>
        <v>30</v>
      </c>
      <c r="J1563" s="1">
        <f>IFERROR(__xludf.DUMMYFUNCTION("""COMPUTED_VALUE"""),63.0)</f>
        <v>63</v>
      </c>
      <c r="K1563" s="1">
        <f>IFERROR(__xludf.DUMMYFUNCTION("""COMPUTED_VALUE"""),57.0)</f>
        <v>57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 t="str">
        <f>IFERROR(__xludf.DUMMYFUNCTION("""COMPUTED_VALUE"""),"C")</f>
        <v>C</v>
      </c>
      <c r="E1564" s="1" t="str">
        <f>IFERROR(__xludf.DUMMYFUNCTION("""COMPUTED_VALUE"""),"Male")</f>
        <v>Male</v>
      </c>
      <c r="F1564" s="1">
        <f>IFERROR(__xludf.DUMMYFUNCTION("""COMPUTED_VALUE"""),93.0)</f>
        <v>93</v>
      </c>
      <c r="G1564" s="1">
        <f>IFERROR(__xludf.DUMMYFUNCTION("""COMPUTED_VALUE"""),62.0)</f>
        <v>62</v>
      </c>
      <c r="H1564" s="1">
        <f>IFERROR(__xludf.DUMMYFUNCTION("""COMPUTED_VALUE"""),78.0)</f>
        <v>78</v>
      </c>
      <c r="I1564" s="1">
        <f>IFERROR(__xludf.DUMMYFUNCTION("""COMPUTED_VALUE"""),96.0)</f>
        <v>96</v>
      </c>
      <c r="J1564" s="1">
        <f>IFERROR(__xludf.DUMMYFUNCTION("""COMPUTED_VALUE"""),85.0)</f>
        <v>85</v>
      </c>
      <c r="K1564" s="1">
        <f>IFERROR(__xludf.DUMMYFUNCTION("""COMPUTED_VALUE"""),63.0)</f>
        <v>63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 t="str">
        <f>IFERROR(__xludf.DUMMYFUNCTION("""COMPUTED_VALUE"""),"C")</f>
        <v>C</v>
      </c>
      <c r="E1565" s="1" t="str">
        <f>IFERROR(__xludf.DUMMYFUNCTION("""COMPUTED_VALUE"""),"Male")</f>
        <v>Male</v>
      </c>
      <c r="F1565" s="1">
        <f>IFERROR(__xludf.DUMMYFUNCTION("""COMPUTED_VALUE"""),22.0)</f>
        <v>22</v>
      </c>
      <c r="G1565" s="1">
        <f>IFERROR(__xludf.DUMMYFUNCTION("""COMPUTED_VALUE"""),70.0)</f>
        <v>70</v>
      </c>
      <c r="H1565" s="1">
        <f>IFERROR(__xludf.DUMMYFUNCTION("""COMPUTED_VALUE"""),85.0)</f>
        <v>85</v>
      </c>
      <c r="I1565" s="1">
        <f>IFERROR(__xludf.DUMMYFUNCTION("""COMPUTED_VALUE"""),40.0)</f>
        <v>40</v>
      </c>
      <c r="J1565" s="1">
        <f>IFERROR(__xludf.DUMMYFUNCTION("""COMPUTED_VALUE"""),56.0)</f>
        <v>56</v>
      </c>
      <c r="K1565" s="1">
        <f>IFERROR(__xludf.DUMMYFUNCTION("""COMPUTED_VALUE"""),34.0)</f>
        <v>34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 t="str">
        <f>IFERROR(__xludf.DUMMYFUNCTION("""COMPUTED_VALUE"""),"A")</f>
        <v>A</v>
      </c>
      <c r="E1566" s="1" t="str">
        <f>IFERROR(__xludf.DUMMYFUNCTION("""COMPUTED_VALUE"""),"Female")</f>
        <v>Female</v>
      </c>
      <c r="F1566" s="1">
        <f>IFERROR(__xludf.DUMMYFUNCTION("""COMPUTED_VALUE"""),96.0)</f>
        <v>96</v>
      </c>
      <c r="G1566" s="1">
        <f>IFERROR(__xludf.DUMMYFUNCTION("""COMPUTED_VALUE"""),70.0)</f>
        <v>70</v>
      </c>
      <c r="H1566" s="1">
        <f>IFERROR(__xludf.DUMMYFUNCTION("""COMPUTED_VALUE"""),52.0)</f>
        <v>52</v>
      </c>
      <c r="I1566" s="1">
        <f>IFERROR(__xludf.DUMMYFUNCTION("""COMPUTED_VALUE"""),54.0)</f>
        <v>54</v>
      </c>
      <c r="J1566" s="1">
        <f>IFERROR(__xludf.DUMMYFUNCTION("""COMPUTED_VALUE"""),50.0)</f>
        <v>50</v>
      </c>
      <c r="K1566" s="1">
        <f>IFERROR(__xludf.DUMMYFUNCTION("""COMPUTED_VALUE"""),68.0)</f>
        <v>68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 t="str">
        <f>IFERROR(__xludf.DUMMYFUNCTION("""COMPUTED_VALUE"""),"A")</f>
        <v>A</v>
      </c>
      <c r="E1567" s="1" t="str">
        <f>IFERROR(__xludf.DUMMYFUNCTION("""COMPUTED_VALUE"""),"Female")</f>
        <v>Female</v>
      </c>
      <c r="F1567" s="1">
        <f>IFERROR(__xludf.DUMMYFUNCTION("""COMPUTED_VALUE"""),94.0)</f>
        <v>94</v>
      </c>
      <c r="G1567" s="1">
        <f>IFERROR(__xludf.DUMMYFUNCTION("""COMPUTED_VALUE"""),71.0)</f>
        <v>71</v>
      </c>
      <c r="H1567" s="1">
        <f>IFERROR(__xludf.DUMMYFUNCTION("""COMPUTED_VALUE"""),67.0)</f>
        <v>67</v>
      </c>
      <c r="I1567" s="1">
        <f>IFERROR(__xludf.DUMMYFUNCTION("""COMPUTED_VALUE"""),65.0)</f>
        <v>65</v>
      </c>
      <c r="J1567" s="1">
        <f>IFERROR(__xludf.DUMMYFUNCTION("""COMPUTED_VALUE"""),54.0)</f>
        <v>54</v>
      </c>
      <c r="K1567" s="1">
        <f>IFERROR(__xludf.DUMMYFUNCTION("""COMPUTED_VALUE"""),25.0)</f>
        <v>25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 t="str">
        <f>IFERROR(__xludf.DUMMYFUNCTION("""COMPUTED_VALUE"""),"B")</f>
        <v>B</v>
      </c>
      <c r="E1568" s="1" t="str">
        <f>IFERROR(__xludf.DUMMYFUNCTION("""COMPUTED_VALUE"""),"Male")</f>
        <v>Male</v>
      </c>
      <c r="F1568" s="1">
        <f>IFERROR(__xludf.DUMMYFUNCTION("""COMPUTED_VALUE"""),44.0)</f>
        <v>44</v>
      </c>
      <c r="G1568" s="1">
        <f>IFERROR(__xludf.DUMMYFUNCTION("""COMPUTED_VALUE"""),87.0)</f>
        <v>87</v>
      </c>
      <c r="H1568" s="1">
        <f>IFERROR(__xludf.DUMMYFUNCTION("""COMPUTED_VALUE"""),99.0)</f>
        <v>99</v>
      </c>
      <c r="I1568" s="1">
        <f>IFERROR(__xludf.DUMMYFUNCTION("""COMPUTED_VALUE"""),62.0)</f>
        <v>62</v>
      </c>
      <c r="J1568" s="1">
        <f>IFERROR(__xludf.DUMMYFUNCTION("""COMPUTED_VALUE"""),36.0)</f>
        <v>36</v>
      </c>
      <c r="K1568" s="1">
        <f>IFERROR(__xludf.DUMMYFUNCTION("""COMPUTED_VALUE"""),93.0)</f>
        <v>93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 t="str">
        <f>IFERROR(__xludf.DUMMYFUNCTION("""COMPUTED_VALUE"""),"A")</f>
        <v>A</v>
      </c>
      <c r="E1569" s="1" t="str">
        <f>IFERROR(__xludf.DUMMYFUNCTION("""COMPUTED_VALUE"""),"Male")</f>
        <v>Male</v>
      </c>
      <c r="F1569" s="1">
        <f>IFERROR(__xludf.DUMMYFUNCTION("""COMPUTED_VALUE"""),65.0)</f>
        <v>65</v>
      </c>
      <c r="G1569" s="1">
        <f>IFERROR(__xludf.DUMMYFUNCTION("""COMPUTED_VALUE"""),57.0)</f>
        <v>57</v>
      </c>
      <c r="H1569" s="1">
        <f>IFERROR(__xludf.DUMMYFUNCTION("""COMPUTED_VALUE"""),70.0)</f>
        <v>70</v>
      </c>
      <c r="I1569" s="1">
        <f>IFERROR(__xludf.DUMMYFUNCTION("""COMPUTED_VALUE"""),76.0)</f>
        <v>76</v>
      </c>
      <c r="J1569" s="1">
        <f>IFERROR(__xludf.DUMMYFUNCTION("""COMPUTED_VALUE"""),69.0)</f>
        <v>69</v>
      </c>
      <c r="K1569" s="1">
        <f>IFERROR(__xludf.DUMMYFUNCTION("""COMPUTED_VALUE"""),51.0)</f>
        <v>51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 t="str">
        <f>IFERROR(__xludf.DUMMYFUNCTION("""COMPUTED_VALUE"""),"B")</f>
        <v>B</v>
      </c>
      <c r="E1570" s="1" t="str">
        <f>IFERROR(__xludf.DUMMYFUNCTION("""COMPUTED_VALUE"""),"Female")</f>
        <v>Female</v>
      </c>
      <c r="F1570" s="1">
        <f>IFERROR(__xludf.DUMMYFUNCTION("""COMPUTED_VALUE"""),34.0)</f>
        <v>34</v>
      </c>
      <c r="G1570" s="1">
        <f>IFERROR(__xludf.DUMMYFUNCTION("""COMPUTED_VALUE"""),81.0)</f>
        <v>81</v>
      </c>
      <c r="H1570" s="1">
        <f>IFERROR(__xludf.DUMMYFUNCTION("""COMPUTED_VALUE"""),56.0)</f>
        <v>56</v>
      </c>
      <c r="I1570" s="1">
        <f>IFERROR(__xludf.DUMMYFUNCTION("""COMPUTED_VALUE"""),66.0)</f>
        <v>66</v>
      </c>
      <c r="J1570" s="1">
        <f>IFERROR(__xludf.DUMMYFUNCTION("""COMPUTED_VALUE"""),52.0)</f>
        <v>52</v>
      </c>
      <c r="K1570" s="1">
        <f>IFERROR(__xludf.DUMMYFUNCTION("""COMPUTED_VALUE"""),78.0)</f>
        <v>78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 t="str">
        <f>IFERROR(__xludf.DUMMYFUNCTION("""COMPUTED_VALUE"""),"D")</f>
        <v>D</v>
      </c>
      <c r="E1571" s="1" t="str">
        <f>IFERROR(__xludf.DUMMYFUNCTION("""COMPUTED_VALUE"""),"Male")</f>
        <v>Male</v>
      </c>
      <c r="F1571" s="1">
        <f>IFERROR(__xludf.DUMMYFUNCTION("""COMPUTED_VALUE"""),72.0)</f>
        <v>72</v>
      </c>
      <c r="G1571" s="1">
        <f>IFERROR(__xludf.DUMMYFUNCTION("""COMPUTED_VALUE"""),30.0)</f>
        <v>30</v>
      </c>
      <c r="H1571" s="1">
        <f>IFERROR(__xludf.DUMMYFUNCTION("""COMPUTED_VALUE"""),36.0)</f>
        <v>36</v>
      </c>
      <c r="I1571" s="1">
        <f>IFERROR(__xludf.DUMMYFUNCTION("""COMPUTED_VALUE"""),35.0)</f>
        <v>35</v>
      </c>
      <c r="J1571" s="1">
        <f>IFERROR(__xludf.DUMMYFUNCTION("""COMPUTED_VALUE"""),75.0)</f>
        <v>75</v>
      </c>
      <c r="K1571" s="1">
        <f>IFERROR(__xludf.DUMMYFUNCTION("""COMPUTED_VALUE"""),34.0)</f>
        <v>34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 t="str">
        <f>IFERROR(__xludf.DUMMYFUNCTION("""COMPUTED_VALUE"""),"A")</f>
        <v>A</v>
      </c>
      <c r="E1572" s="1" t="str">
        <f>IFERROR(__xludf.DUMMYFUNCTION("""COMPUTED_VALUE"""),"Female")</f>
        <v>Female</v>
      </c>
      <c r="F1572" s="1">
        <f>IFERROR(__xludf.DUMMYFUNCTION("""COMPUTED_VALUE"""),40.0)</f>
        <v>40</v>
      </c>
      <c r="G1572" s="1">
        <f>IFERROR(__xludf.DUMMYFUNCTION("""COMPUTED_VALUE"""),50.0)</f>
        <v>50</v>
      </c>
      <c r="H1572" s="1">
        <f>IFERROR(__xludf.DUMMYFUNCTION("""COMPUTED_VALUE"""),58.0)</f>
        <v>58</v>
      </c>
      <c r="I1572" s="1">
        <f>IFERROR(__xludf.DUMMYFUNCTION("""COMPUTED_VALUE"""),22.0)</f>
        <v>22</v>
      </c>
      <c r="J1572" s="1">
        <f>IFERROR(__xludf.DUMMYFUNCTION("""COMPUTED_VALUE"""),40.0)</f>
        <v>40</v>
      </c>
      <c r="K1572" s="1">
        <f>IFERROR(__xludf.DUMMYFUNCTION("""COMPUTED_VALUE"""),22.0)</f>
        <v>22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 t="str">
        <f>IFERROR(__xludf.DUMMYFUNCTION("""COMPUTED_VALUE"""),"C")</f>
        <v>C</v>
      </c>
      <c r="E1573" s="1" t="str">
        <f>IFERROR(__xludf.DUMMYFUNCTION("""COMPUTED_VALUE"""),"Male")</f>
        <v>Male</v>
      </c>
      <c r="F1573" s="1">
        <f>IFERROR(__xludf.DUMMYFUNCTION("""COMPUTED_VALUE"""),54.0)</f>
        <v>54</v>
      </c>
      <c r="G1573" s="1">
        <f>IFERROR(__xludf.DUMMYFUNCTION("""COMPUTED_VALUE"""),24.0)</f>
        <v>24</v>
      </c>
      <c r="H1573" s="1">
        <f>IFERROR(__xludf.DUMMYFUNCTION("""COMPUTED_VALUE"""),90.0)</f>
        <v>90</v>
      </c>
      <c r="I1573" s="1">
        <f>IFERROR(__xludf.DUMMYFUNCTION("""COMPUTED_VALUE"""),92.0)</f>
        <v>92</v>
      </c>
      <c r="J1573" s="1">
        <f>IFERROR(__xludf.DUMMYFUNCTION("""COMPUTED_VALUE"""),69.0)</f>
        <v>69</v>
      </c>
      <c r="K1573" s="1">
        <f>IFERROR(__xludf.DUMMYFUNCTION("""COMPUTED_VALUE"""),68.0)</f>
        <v>68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 t="str">
        <f>IFERROR(__xludf.DUMMYFUNCTION("""COMPUTED_VALUE"""),"C")</f>
        <v>C</v>
      </c>
      <c r="E1574" s="1" t="str">
        <f>IFERROR(__xludf.DUMMYFUNCTION("""COMPUTED_VALUE"""),"Female")</f>
        <v>Female</v>
      </c>
      <c r="F1574" s="1">
        <f>IFERROR(__xludf.DUMMYFUNCTION("""COMPUTED_VALUE"""),84.0)</f>
        <v>84</v>
      </c>
      <c r="G1574" s="1">
        <f>IFERROR(__xludf.DUMMYFUNCTION("""COMPUTED_VALUE"""),79.0)</f>
        <v>79</v>
      </c>
      <c r="H1574" s="1">
        <f>IFERROR(__xludf.DUMMYFUNCTION("""COMPUTED_VALUE"""),64.0)</f>
        <v>64</v>
      </c>
      <c r="I1574" s="1">
        <f>IFERROR(__xludf.DUMMYFUNCTION("""COMPUTED_VALUE"""),49.0)</f>
        <v>49</v>
      </c>
      <c r="J1574" s="1">
        <f>IFERROR(__xludf.DUMMYFUNCTION("""COMPUTED_VALUE"""),53.0)</f>
        <v>53</v>
      </c>
      <c r="K1574" s="1">
        <f>IFERROR(__xludf.DUMMYFUNCTION("""COMPUTED_VALUE"""),59.0)</f>
        <v>59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 t="str">
        <f>IFERROR(__xludf.DUMMYFUNCTION("""COMPUTED_VALUE"""),"D")</f>
        <v>D</v>
      </c>
      <c r="E1575" s="1" t="str">
        <f>IFERROR(__xludf.DUMMYFUNCTION("""COMPUTED_VALUE"""),"Female")</f>
        <v>Female</v>
      </c>
      <c r="F1575" s="1">
        <f>IFERROR(__xludf.DUMMYFUNCTION("""COMPUTED_VALUE"""),11.0)</f>
        <v>11</v>
      </c>
      <c r="G1575" s="1">
        <f>IFERROR(__xludf.DUMMYFUNCTION("""COMPUTED_VALUE"""),69.0)</f>
        <v>69</v>
      </c>
      <c r="H1575" s="1">
        <f>IFERROR(__xludf.DUMMYFUNCTION("""COMPUTED_VALUE"""),49.0)</f>
        <v>49</v>
      </c>
      <c r="I1575" s="1">
        <f>IFERROR(__xludf.DUMMYFUNCTION("""COMPUTED_VALUE"""),61.0)</f>
        <v>61</v>
      </c>
      <c r="J1575" s="1">
        <f>IFERROR(__xludf.DUMMYFUNCTION("""COMPUTED_VALUE"""),80.0)</f>
        <v>80</v>
      </c>
      <c r="K1575" s="1">
        <f>IFERROR(__xludf.DUMMYFUNCTION("""COMPUTED_VALUE"""),95.0)</f>
        <v>95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 t="str">
        <f>IFERROR(__xludf.DUMMYFUNCTION("""COMPUTED_VALUE"""),"B")</f>
        <v>B</v>
      </c>
      <c r="E1576" s="1" t="str">
        <f>IFERROR(__xludf.DUMMYFUNCTION("""COMPUTED_VALUE"""),"Male")</f>
        <v>Male</v>
      </c>
      <c r="F1576" s="1">
        <f>IFERROR(__xludf.DUMMYFUNCTION("""COMPUTED_VALUE"""),71.0)</f>
        <v>71</v>
      </c>
      <c r="G1576" s="1">
        <f>IFERROR(__xludf.DUMMYFUNCTION("""COMPUTED_VALUE"""),54.0)</f>
        <v>54</v>
      </c>
      <c r="H1576" s="1">
        <f>IFERROR(__xludf.DUMMYFUNCTION("""COMPUTED_VALUE"""),98.0)</f>
        <v>98</v>
      </c>
      <c r="I1576" s="1">
        <f>IFERROR(__xludf.DUMMYFUNCTION("""COMPUTED_VALUE"""),75.0)</f>
        <v>75</v>
      </c>
      <c r="J1576" s="1">
        <f>IFERROR(__xludf.DUMMYFUNCTION("""COMPUTED_VALUE"""),72.0)</f>
        <v>72</v>
      </c>
      <c r="K1576" s="1">
        <f>IFERROR(__xludf.DUMMYFUNCTION("""COMPUTED_VALUE"""),92.0)</f>
        <v>92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 t="str">
        <f>IFERROR(__xludf.DUMMYFUNCTION("""COMPUTED_VALUE"""),"A")</f>
        <v>A</v>
      </c>
      <c r="E1577" s="1" t="str">
        <f>IFERROR(__xludf.DUMMYFUNCTION("""COMPUTED_VALUE"""),"Female")</f>
        <v>Female</v>
      </c>
      <c r="F1577" s="1">
        <f>IFERROR(__xludf.DUMMYFUNCTION("""COMPUTED_VALUE"""),60.0)</f>
        <v>60</v>
      </c>
      <c r="G1577" s="1">
        <f>IFERROR(__xludf.DUMMYFUNCTION("""COMPUTED_VALUE"""),31.0)</f>
        <v>31</v>
      </c>
      <c r="H1577" s="1">
        <f>IFERROR(__xludf.DUMMYFUNCTION("""COMPUTED_VALUE"""),70.0)</f>
        <v>70</v>
      </c>
      <c r="I1577" s="1">
        <f>IFERROR(__xludf.DUMMYFUNCTION("""COMPUTED_VALUE"""),29.0)</f>
        <v>29</v>
      </c>
      <c r="J1577" s="1">
        <f>IFERROR(__xludf.DUMMYFUNCTION("""COMPUTED_VALUE"""),74.0)</f>
        <v>74</v>
      </c>
      <c r="K1577" s="1">
        <f>IFERROR(__xludf.DUMMYFUNCTION("""COMPUTED_VALUE"""),85.0)</f>
        <v>85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 t="str">
        <f>IFERROR(__xludf.DUMMYFUNCTION("""COMPUTED_VALUE"""),"C")</f>
        <v>C</v>
      </c>
      <c r="E1578" s="1" t="str">
        <f>IFERROR(__xludf.DUMMYFUNCTION("""COMPUTED_VALUE"""),"Female")</f>
        <v>Female</v>
      </c>
      <c r="F1578" s="1">
        <f>IFERROR(__xludf.DUMMYFUNCTION("""COMPUTED_VALUE"""),82.0)</f>
        <v>82</v>
      </c>
      <c r="G1578" s="1">
        <f>IFERROR(__xludf.DUMMYFUNCTION("""COMPUTED_VALUE"""),61.0)</f>
        <v>61</v>
      </c>
      <c r="H1578" s="1">
        <f>IFERROR(__xludf.DUMMYFUNCTION("""COMPUTED_VALUE"""),63.0)</f>
        <v>63</v>
      </c>
      <c r="I1578" s="1">
        <f>IFERROR(__xludf.DUMMYFUNCTION("""COMPUTED_VALUE"""),79.0)</f>
        <v>79</v>
      </c>
      <c r="J1578" s="1">
        <f>IFERROR(__xludf.DUMMYFUNCTION("""COMPUTED_VALUE"""),42.0)</f>
        <v>42</v>
      </c>
      <c r="K1578" s="1">
        <f>IFERROR(__xludf.DUMMYFUNCTION("""COMPUTED_VALUE"""),94.0)</f>
        <v>94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 t="str">
        <f>IFERROR(__xludf.DUMMYFUNCTION("""COMPUTED_VALUE"""),"C")</f>
        <v>C</v>
      </c>
      <c r="E1579" s="1" t="str">
        <f>IFERROR(__xludf.DUMMYFUNCTION("""COMPUTED_VALUE"""),"Female")</f>
        <v>Female</v>
      </c>
      <c r="F1579" s="1">
        <f>IFERROR(__xludf.DUMMYFUNCTION("""COMPUTED_VALUE"""),87.0)</f>
        <v>87</v>
      </c>
      <c r="G1579" s="1">
        <f>IFERROR(__xludf.DUMMYFUNCTION("""COMPUTED_VALUE"""),38.0)</f>
        <v>38</v>
      </c>
      <c r="H1579" s="1">
        <f>IFERROR(__xludf.DUMMYFUNCTION("""COMPUTED_VALUE"""),89.0)</f>
        <v>89</v>
      </c>
      <c r="I1579" s="1">
        <f>IFERROR(__xludf.DUMMYFUNCTION("""COMPUTED_VALUE"""),50.0)</f>
        <v>50</v>
      </c>
      <c r="J1579" s="1">
        <f>IFERROR(__xludf.DUMMYFUNCTION("""COMPUTED_VALUE"""),94.0)</f>
        <v>94</v>
      </c>
      <c r="K1579" s="1">
        <f>IFERROR(__xludf.DUMMYFUNCTION("""COMPUTED_VALUE"""),25.0)</f>
        <v>25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 t="str">
        <f>IFERROR(__xludf.DUMMYFUNCTION("""COMPUTED_VALUE"""),"C")</f>
        <v>C</v>
      </c>
      <c r="E1580" s="1" t="str">
        <f>IFERROR(__xludf.DUMMYFUNCTION("""COMPUTED_VALUE"""),"Female")</f>
        <v>Female</v>
      </c>
      <c r="F1580" s="1">
        <f>IFERROR(__xludf.DUMMYFUNCTION("""COMPUTED_VALUE"""),11.0)</f>
        <v>11</v>
      </c>
      <c r="G1580" s="1">
        <f>IFERROR(__xludf.DUMMYFUNCTION("""COMPUTED_VALUE"""),72.0)</f>
        <v>72</v>
      </c>
      <c r="H1580" s="1">
        <f>IFERROR(__xludf.DUMMYFUNCTION("""COMPUTED_VALUE"""),82.0)</f>
        <v>82</v>
      </c>
      <c r="I1580" s="1">
        <f>IFERROR(__xludf.DUMMYFUNCTION("""COMPUTED_VALUE"""),27.0)</f>
        <v>27</v>
      </c>
      <c r="J1580" s="1">
        <f>IFERROR(__xludf.DUMMYFUNCTION("""COMPUTED_VALUE"""),28.0)</f>
        <v>28</v>
      </c>
      <c r="K1580" s="1">
        <f>IFERROR(__xludf.DUMMYFUNCTION("""COMPUTED_VALUE"""),22.0)</f>
        <v>22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 t="str">
        <f>IFERROR(__xludf.DUMMYFUNCTION("""COMPUTED_VALUE"""),"B")</f>
        <v>B</v>
      </c>
      <c r="E1581" s="1" t="str">
        <f>IFERROR(__xludf.DUMMYFUNCTION("""COMPUTED_VALUE"""),"Male")</f>
        <v>Male</v>
      </c>
      <c r="F1581" s="1">
        <f>IFERROR(__xludf.DUMMYFUNCTION("""COMPUTED_VALUE"""),67.0)</f>
        <v>67</v>
      </c>
      <c r="G1581" s="1">
        <f>IFERROR(__xludf.DUMMYFUNCTION("""COMPUTED_VALUE"""),71.0)</f>
        <v>71</v>
      </c>
      <c r="H1581" s="1">
        <f>IFERROR(__xludf.DUMMYFUNCTION("""COMPUTED_VALUE"""),73.0)</f>
        <v>73</v>
      </c>
      <c r="I1581" s="1">
        <f>IFERROR(__xludf.DUMMYFUNCTION("""COMPUTED_VALUE"""),20.0)</f>
        <v>20</v>
      </c>
      <c r="J1581" s="1">
        <f>IFERROR(__xludf.DUMMYFUNCTION("""COMPUTED_VALUE"""),75.0)</f>
        <v>75</v>
      </c>
      <c r="K1581" s="1">
        <f>IFERROR(__xludf.DUMMYFUNCTION("""COMPUTED_VALUE"""),83.0)</f>
        <v>83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 t="str">
        <f>IFERROR(__xludf.DUMMYFUNCTION("""COMPUTED_VALUE"""),"B")</f>
        <v>B</v>
      </c>
      <c r="E1582" s="1" t="str">
        <f>IFERROR(__xludf.DUMMYFUNCTION("""COMPUTED_VALUE"""),"Male")</f>
        <v>Male</v>
      </c>
      <c r="F1582" s="1">
        <f>IFERROR(__xludf.DUMMYFUNCTION("""COMPUTED_VALUE"""),51.0)</f>
        <v>51</v>
      </c>
      <c r="G1582" s="1">
        <f>IFERROR(__xludf.DUMMYFUNCTION("""COMPUTED_VALUE"""),81.0)</f>
        <v>81</v>
      </c>
      <c r="H1582" s="1">
        <f>IFERROR(__xludf.DUMMYFUNCTION("""COMPUTED_VALUE"""),90.0)</f>
        <v>90</v>
      </c>
      <c r="I1582" s="1">
        <f>IFERROR(__xludf.DUMMYFUNCTION("""COMPUTED_VALUE"""),89.0)</f>
        <v>89</v>
      </c>
      <c r="J1582" s="1">
        <f>IFERROR(__xludf.DUMMYFUNCTION("""COMPUTED_VALUE"""),92.0)</f>
        <v>92</v>
      </c>
      <c r="K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 t="str">
        <f>IFERROR(__xludf.DUMMYFUNCTION("""COMPUTED_VALUE"""),"A")</f>
        <v>A</v>
      </c>
      <c r="E1583" s="1" t="str">
        <f>IFERROR(__xludf.DUMMYFUNCTION("""COMPUTED_VALUE"""),"Male")</f>
        <v>Male</v>
      </c>
      <c r="F1583" s="1">
        <f>IFERROR(__xludf.DUMMYFUNCTION("""COMPUTED_VALUE"""),80.0)</f>
        <v>80</v>
      </c>
      <c r="G1583" s="1">
        <f>IFERROR(__xludf.DUMMYFUNCTION("""COMPUTED_VALUE"""),96.0)</f>
        <v>96</v>
      </c>
      <c r="H1583" s="1">
        <f>IFERROR(__xludf.DUMMYFUNCTION("""COMPUTED_VALUE"""),42.0)</f>
        <v>42</v>
      </c>
      <c r="I1583" s="1">
        <f>IFERROR(__xludf.DUMMYFUNCTION("""COMPUTED_VALUE"""),74.0)</f>
        <v>74</v>
      </c>
      <c r="J1583" s="1">
        <f>IFERROR(__xludf.DUMMYFUNCTION("""COMPUTED_VALUE"""),76.0)</f>
        <v>76</v>
      </c>
      <c r="K1583" s="1">
        <f>IFERROR(__xludf.DUMMYFUNCTION("""COMPUTED_VALUE"""),22.0)</f>
        <v>22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 t="str">
        <f>IFERROR(__xludf.DUMMYFUNCTION("""COMPUTED_VALUE"""),"B")</f>
        <v>B</v>
      </c>
      <c r="E1584" s="1" t="str">
        <f>IFERROR(__xludf.DUMMYFUNCTION("""COMPUTED_VALUE"""),"Male")</f>
        <v>Male</v>
      </c>
      <c r="F1584" s="1">
        <f>IFERROR(__xludf.DUMMYFUNCTION("""COMPUTED_VALUE"""),69.0)</f>
        <v>69</v>
      </c>
      <c r="G1584" s="1">
        <f>IFERROR(__xludf.DUMMYFUNCTION("""COMPUTED_VALUE"""),22.0)</f>
        <v>22</v>
      </c>
      <c r="H1584" s="1">
        <f>IFERROR(__xludf.DUMMYFUNCTION("""COMPUTED_VALUE"""),84.0)</f>
        <v>84</v>
      </c>
      <c r="I1584" s="1">
        <f>IFERROR(__xludf.DUMMYFUNCTION("""COMPUTED_VALUE"""),94.0)</f>
        <v>94</v>
      </c>
      <c r="J1584" s="1">
        <f>IFERROR(__xludf.DUMMYFUNCTION("""COMPUTED_VALUE"""),49.0)</f>
        <v>49</v>
      </c>
      <c r="K1584" s="1">
        <f>IFERROR(__xludf.DUMMYFUNCTION("""COMPUTED_VALUE"""),97.0)</f>
        <v>97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 t="str">
        <f>IFERROR(__xludf.DUMMYFUNCTION("""COMPUTED_VALUE"""),"C")</f>
        <v>C</v>
      </c>
      <c r="E1585" s="1" t="str">
        <f>IFERROR(__xludf.DUMMYFUNCTION("""COMPUTED_VALUE"""),"Male")</f>
        <v>Male</v>
      </c>
      <c r="F1585" s="1">
        <f>IFERROR(__xludf.DUMMYFUNCTION("""COMPUTED_VALUE"""),16.0)</f>
        <v>16</v>
      </c>
      <c r="G1585" s="1">
        <f>IFERROR(__xludf.DUMMYFUNCTION("""COMPUTED_VALUE"""),53.0)</f>
        <v>53</v>
      </c>
      <c r="H1585" s="1">
        <f>IFERROR(__xludf.DUMMYFUNCTION("""COMPUTED_VALUE"""),58.0)</f>
        <v>58</v>
      </c>
      <c r="I1585" s="1">
        <f>IFERROR(__xludf.DUMMYFUNCTION("""COMPUTED_VALUE"""),84.0)</f>
        <v>84</v>
      </c>
      <c r="J1585" s="1">
        <f>IFERROR(__xludf.DUMMYFUNCTION("""COMPUTED_VALUE"""),73.0)</f>
        <v>73</v>
      </c>
      <c r="K1585" s="1">
        <f>IFERROR(__xludf.DUMMYFUNCTION("""COMPUTED_VALUE"""),33.0)</f>
        <v>33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 t="str">
        <f>IFERROR(__xludf.DUMMYFUNCTION("""COMPUTED_VALUE"""),"C")</f>
        <v>C</v>
      </c>
      <c r="E1586" s="1" t="str">
        <f>IFERROR(__xludf.DUMMYFUNCTION("""COMPUTED_VALUE"""),"Female")</f>
        <v>Female</v>
      </c>
      <c r="F1586" s="1">
        <f>IFERROR(__xludf.DUMMYFUNCTION("""COMPUTED_VALUE"""),94.0)</f>
        <v>94</v>
      </c>
      <c r="G1586" s="1">
        <f>IFERROR(__xludf.DUMMYFUNCTION("""COMPUTED_VALUE"""),48.0)</f>
        <v>48</v>
      </c>
      <c r="H1586" s="1">
        <f>IFERROR(__xludf.DUMMYFUNCTION("""COMPUTED_VALUE"""),87.0)</f>
        <v>87</v>
      </c>
      <c r="I1586" s="1">
        <f>IFERROR(__xludf.DUMMYFUNCTION("""COMPUTED_VALUE"""),57.0)</f>
        <v>57</v>
      </c>
      <c r="J1586" s="1">
        <f>IFERROR(__xludf.DUMMYFUNCTION("""COMPUTED_VALUE"""),26.0)</f>
        <v>26</v>
      </c>
      <c r="K1586" s="1">
        <f>IFERROR(__xludf.DUMMYFUNCTION("""COMPUTED_VALUE"""),60.0)</f>
        <v>60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 t="str">
        <f>IFERROR(__xludf.DUMMYFUNCTION("""COMPUTED_VALUE"""),"B")</f>
        <v>B</v>
      </c>
      <c r="E1587" s="1" t="str">
        <f>IFERROR(__xludf.DUMMYFUNCTION("""COMPUTED_VALUE"""),"Male")</f>
        <v>Male</v>
      </c>
      <c r="F1587" s="1">
        <f>IFERROR(__xludf.DUMMYFUNCTION("""COMPUTED_VALUE"""),85.0)</f>
        <v>85</v>
      </c>
      <c r="G1587" s="1">
        <f>IFERROR(__xludf.DUMMYFUNCTION("""COMPUTED_VALUE"""),74.0)</f>
        <v>74</v>
      </c>
      <c r="H1587" s="1">
        <f>IFERROR(__xludf.DUMMYFUNCTION("""COMPUTED_VALUE"""),30.0)</f>
        <v>30</v>
      </c>
      <c r="I1587" s="1">
        <f>IFERROR(__xludf.DUMMYFUNCTION("""COMPUTED_VALUE"""),76.0)</f>
        <v>76</v>
      </c>
      <c r="J1587" s="1">
        <f>IFERROR(__xludf.DUMMYFUNCTION("""COMPUTED_VALUE"""),78.0)</f>
        <v>78</v>
      </c>
      <c r="K1587" s="1">
        <f>IFERROR(__xludf.DUMMYFUNCTION("""COMPUTED_VALUE"""),92.0)</f>
        <v>92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 t="str">
        <f>IFERROR(__xludf.DUMMYFUNCTION("""COMPUTED_VALUE"""),"A")</f>
        <v>A</v>
      </c>
      <c r="E1588" s="1" t="str">
        <f>IFERROR(__xludf.DUMMYFUNCTION("""COMPUTED_VALUE"""),"Male")</f>
        <v>Male</v>
      </c>
      <c r="F1588" s="1">
        <f>IFERROR(__xludf.DUMMYFUNCTION("""COMPUTED_VALUE"""),79.0)</f>
        <v>79</v>
      </c>
      <c r="G1588" s="1">
        <f>IFERROR(__xludf.DUMMYFUNCTION("""COMPUTED_VALUE"""),64.0)</f>
        <v>64</v>
      </c>
      <c r="H1588" s="1">
        <f>IFERROR(__xludf.DUMMYFUNCTION("""COMPUTED_VALUE"""),26.0)</f>
        <v>26</v>
      </c>
      <c r="I1588" s="1">
        <f>IFERROR(__xludf.DUMMYFUNCTION("""COMPUTED_VALUE"""),28.0)</f>
        <v>28</v>
      </c>
      <c r="J1588" s="1">
        <f>IFERROR(__xludf.DUMMYFUNCTION("""COMPUTED_VALUE"""),89.0)</f>
        <v>89</v>
      </c>
      <c r="K1588" s="1">
        <f>IFERROR(__xludf.DUMMYFUNCTION("""COMPUTED_VALUE"""),66.0)</f>
        <v>66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 t="str">
        <f>IFERROR(__xludf.DUMMYFUNCTION("""COMPUTED_VALUE"""),"C")</f>
        <v>C</v>
      </c>
      <c r="E1589" s="1" t="str">
        <f>IFERROR(__xludf.DUMMYFUNCTION("""COMPUTED_VALUE"""),"Male")</f>
        <v>Male</v>
      </c>
      <c r="F1589" s="1">
        <f>IFERROR(__xludf.DUMMYFUNCTION("""COMPUTED_VALUE"""),80.0)</f>
        <v>80</v>
      </c>
      <c r="G1589" s="1">
        <f>IFERROR(__xludf.DUMMYFUNCTION("""COMPUTED_VALUE"""),33.0)</f>
        <v>33</v>
      </c>
      <c r="H1589" s="1">
        <f>IFERROR(__xludf.DUMMYFUNCTION("""COMPUTED_VALUE"""),93.0)</f>
        <v>93</v>
      </c>
      <c r="I1589" s="1">
        <f>IFERROR(__xludf.DUMMYFUNCTION("""COMPUTED_VALUE"""),37.0)</f>
        <v>37</v>
      </c>
      <c r="J1589" s="1">
        <f>IFERROR(__xludf.DUMMYFUNCTION("""COMPUTED_VALUE"""),85.0)</f>
        <v>85</v>
      </c>
      <c r="K1589" s="1">
        <f>IFERROR(__xludf.DUMMYFUNCTION("""COMPUTED_VALUE"""),38.0)</f>
        <v>38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 t="str">
        <f>IFERROR(__xludf.DUMMYFUNCTION("""COMPUTED_VALUE"""),"A")</f>
        <v>A</v>
      </c>
      <c r="E1590" s="1" t="str">
        <f>IFERROR(__xludf.DUMMYFUNCTION("""COMPUTED_VALUE"""),"Female")</f>
        <v>Female</v>
      </c>
      <c r="F1590" s="1">
        <f>IFERROR(__xludf.DUMMYFUNCTION("""COMPUTED_VALUE"""),85.0)</f>
        <v>85</v>
      </c>
      <c r="G1590" s="1">
        <f>IFERROR(__xludf.DUMMYFUNCTION("""COMPUTED_VALUE"""),33.0)</f>
        <v>33</v>
      </c>
      <c r="H1590" s="1">
        <f>IFERROR(__xludf.DUMMYFUNCTION("""COMPUTED_VALUE"""),62.0)</f>
        <v>62</v>
      </c>
      <c r="I1590" s="1">
        <f>IFERROR(__xludf.DUMMYFUNCTION("""COMPUTED_VALUE"""),37.0)</f>
        <v>37</v>
      </c>
      <c r="J1590" s="1">
        <f>IFERROR(__xludf.DUMMYFUNCTION("""COMPUTED_VALUE"""),38.0)</f>
        <v>38</v>
      </c>
      <c r="K1590" s="1">
        <f>IFERROR(__xludf.DUMMYFUNCTION("""COMPUTED_VALUE"""),56.0)</f>
        <v>56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 t="str">
        <f>IFERROR(__xludf.DUMMYFUNCTION("""COMPUTED_VALUE"""),"C")</f>
        <v>C</v>
      </c>
      <c r="E1591" s="1" t="str">
        <f>IFERROR(__xludf.DUMMYFUNCTION("""COMPUTED_VALUE"""),"Female")</f>
        <v>Female</v>
      </c>
      <c r="F1591" s="1">
        <f>IFERROR(__xludf.DUMMYFUNCTION("""COMPUTED_VALUE"""),52.0)</f>
        <v>52</v>
      </c>
      <c r="G1591" s="1">
        <f>IFERROR(__xludf.DUMMYFUNCTION("""COMPUTED_VALUE"""),20.0)</f>
        <v>20</v>
      </c>
      <c r="H1591" s="1">
        <f>IFERROR(__xludf.DUMMYFUNCTION("""COMPUTED_VALUE"""),28.0)</f>
        <v>28</v>
      </c>
      <c r="I1591" s="1">
        <f>IFERROR(__xludf.DUMMYFUNCTION("""COMPUTED_VALUE"""),24.0)</f>
        <v>24</v>
      </c>
      <c r="J1591" s="1">
        <f>IFERROR(__xludf.DUMMYFUNCTION("""COMPUTED_VALUE"""),33.0)</f>
        <v>33</v>
      </c>
      <c r="K1591" s="1">
        <f>IFERROR(__xludf.DUMMYFUNCTION("""COMPUTED_VALUE"""),73.0)</f>
        <v>73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 t="str">
        <f>IFERROR(__xludf.DUMMYFUNCTION("""COMPUTED_VALUE"""),"A")</f>
        <v>A</v>
      </c>
      <c r="E1592" s="1" t="str">
        <f>IFERROR(__xludf.DUMMYFUNCTION("""COMPUTED_VALUE"""),"Female")</f>
        <v>Female</v>
      </c>
      <c r="F1592" s="1">
        <f>IFERROR(__xludf.DUMMYFUNCTION("""COMPUTED_VALUE"""),87.0)</f>
        <v>87</v>
      </c>
      <c r="G1592" s="1">
        <f>IFERROR(__xludf.DUMMYFUNCTION("""COMPUTED_VALUE"""),69.0)</f>
        <v>69</v>
      </c>
      <c r="H1592" s="1">
        <f>IFERROR(__xludf.DUMMYFUNCTION("""COMPUTED_VALUE"""),78.0)</f>
        <v>78</v>
      </c>
      <c r="I1592" s="1">
        <f>IFERROR(__xludf.DUMMYFUNCTION("""COMPUTED_VALUE"""),25.0)</f>
        <v>25</v>
      </c>
      <c r="J1592" s="1">
        <f>IFERROR(__xludf.DUMMYFUNCTION("""COMPUTED_VALUE"""),44.0)</f>
        <v>44</v>
      </c>
      <c r="K1592" s="1">
        <f>IFERROR(__xludf.DUMMYFUNCTION("""COMPUTED_VALUE"""),79.0)</f>
        <v>79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 t="str">
        <f>IFERROR(__xludf.DUMMYFUNCTION("""COMPUTED_VALUE"""),"C")</f>
        <v>C</v>
      </c>
      <c r="E1593" s="1" t="str">
        <f>IFERROR(__xludf.DUMMYFUNCTION("""COMPUTED_VALUE"""),"Male")</f>
        <v>Male</v>
      </c>
      <c r="F1593" s="1">
        <f>IFERROR(__xludf.DUMMYFUNCTION("""COMPUTED_VALUE"""),68.0)</f>
        <v>68</v>
      </c>
      <c r="G1593" s="1">
        <f>IFERROR(__xludf.DUMMYFUNCTION("""COMPUTED_VALUE"""),73.0)</f>
        <v>73</v>
      </c>
      <c r="H1593" s="1">
        <f>IFERROR(__xludf.DUMMYFUNCTION("""COMPUTED_VALUE"""),72.0)</f>
        <v>72</v>
      </c>
      <c r="I1593" s="1">
        <f>IFERROR(__xludf.DUMMYFUNCTION("""COMPUTED_VALUE"""),52.0)</f>
        <v>52</v>
      </c>
      <c r="J1593" s="1">
        <f>IFERROR(__xludf.DUMMYFUNCTION("""COMPUTED_VALUE"""),73.0)</f>
        <v>73</v>
      </c>
      <c r="K1593" s="1">
        <f>IFERROR(__xludf.DUMMYFUNCTION("""COMPUTED_VALUE"""),73.0)</f>
        <v>73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 t="str">
        <f>IFERROR(__xludf.DUMMYFUNCTION("""COMPUTED_VALUE"""),"B")</f>
        <v>B</v>
      </c>
      <c r="E1594" s="1" t="str">
        <f>IFERROR(__xludf.DUMMYFUNCTION("""COMPUTED_VALUE"""),"Male")</f>
        <v>Male</v>
      </c>
      <c r="F1594" s="1">
        <f>IFERROR(__xludf.DUMMYFUNCTION("""COMPUTED_VALUE"""),72.0)</f>
        <v>72</v>
      </c>
      <c r="G1594" s="1">
        <f>IFERROR(__xludf.DUMMYFUNCTION("""COMPUTED_VALUE"""),85.0)</f>
        <v>85</v>
      </c>
      <c r="H1594" s="1">
        <f>IFERROR(__xludf.DUMMYFUNCTION("""COMPUTED_VALUE"""),75.0)</f>
        <v>75</v>
      </c>
      <c r="I1594" s="1">
        <f>IFERROR(__xludf.DUMMYFUNCTION("""COMPUTED_VALUE"""),87.0)</f>
        <v>87</v>
      </c>
      <c r="J1594" s="1">
        <f>IFERROR(__xludf.DUMMYFUNCTION("""COMPUTED_VALUE"""),78.0)</f>
        <v>78</v>
      </c>
      <c r="K1594" s="1">
        <f>IFERROR(__xludf.DUMMYFUNCTION("""COMPUTED_VALUE"""),43.0)</f>
        <v>43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 t="str">
        <f>IFERROR(__xludf.DUMMYFUNCTION("""COMPUTED_VALUE"""),"C")</f>
        <v>C</v>
      </c>
      <c r="E1595" s="1" t="str">
        <f>IFERROR(__xludf.DUMMYFUNCTION("""COMPUTED_VALUE"""),"Male")</f>
        <v>Male</v>
      </c>
      <c r="F1595" s="1">
        <f>IFERROR(__xludf.DUMMYFUNCTION("""COMPUTED_VALUE"""),51.0)</f>
        <v>51</v>
      </c>
      <c r="G1595" s="1">
        <f>IFERROR(__xludf.DUMMYFUNCTION("""COMPUTED_VALUE"""),28.0)</f>
        <v>28</v>
      </c>
      <c r="H1595" s="1">
        <f>IFERROR(__xludf.DUMMYFUNCTION("""COMPUTED_VALUE"""),22.0)</f>
        <v>22</v>
      </c>
      <c r="I1595" s="1">
        <f>IFERROR(__xludf.DUMMYFUNCTION("""COMPUTED_VALUE"""),40.0)</f>
        <v>40</v>
      </c>
      <c r="J1595" s="1">
        <f>IFERROR(__xludf.DUMMYFUNCTION("""COMPUTED_VALUE"""),51.0)</f>
        <v>51</v>
      </c>
      <c r="K1595" s="1">
        <f>IFERROR(__xludf.DUMMYFUNCTION("""COMPUTED_VALUE"""),91.0)</f>
        <v>91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 t="str">
        <f>IFERROR(__xludf.DUMMYFUNCTION("""COMPUTED_VALUE"""),"B")</f>
        <v>B</v>
      </c>
      <c r="E1596" s="1" t="str">
        <f>IFERROR(__xludf.DUMMYFUNCTION("""COMPUTED_VALUE"""),"Male")</f>
        <v>Male</v>
      </c>
      <c r="F1596" s="1">
        <f>IFERROR(__xludf.DUMMYFUNCTION("""COMPUTED_VALUE"""),11.0)</f>
        <v>11</v>
      </c>
      <c r="G1596" s="1">
        <f>IFERROR(__xludf.DUMMYFUNCTION("""COMPUTED_VALUE"""),27.0)</f>
        <v>27</v>
      </c>
      <c r="H1596" s="1">
        <f>IFERROR(__xludf.DUMMYFUNCTION("""COMPUTED_VALUE"""),76.0)</f>
        <v>76</v>
      </c>
      <c r="I1596" s="1">
        <f>IFERROR(__xludf.DUMMYFUNCTION("""COMPUTED_VALUE"""),80.0)</f>
        <v>80</v>
      </c>
      <c r="J1596" s="1">
        <f>IFERROR(__xludf.DUMMYFUNCTION("""COMPUTED_VALUE"""),74.0)</f>
        <v>74</v>
      </c>
      <c r="K1596" s="1">
        <f>IFERROR(__xludf.DUMMYFUNCTION("""COMPUTED_VALUE"""),97.0)</f>
        <v>97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 t="str">
        <f>IFERROR(__xludf.DUMMYFUNCTION("""COMPUTED_VALUE"""),"C")</f>
        <v>C</v>
      </c>
      <c r="E1597" s="1" t="str">
        <f>IFERROR(__xludf.DUMMYFUNCTION("""COMPUTED_VALUE"""),"Female")</f>
        <v>Female</v>
      </c>
      <c r="F1597" s="1">
        <f>IFERROR(__xludf.DUMMYFUNCTION("""COMPUTED_VALUE"""),99.0)</f>
        <v>99</v>
      </c>
      <c r="G1597" s="1">
        <f>IFERROR(__xludf.DUMMYFUNCTION("""COMPUTED_VALUE"""),84.0)</f>
        <v>84</v>
      </c>
      <c r="H1597" s="1">
        <f>IFERROR(__xludf.DUMMYFUNCTION("""COMPUTED_VALUE"""),45.0)</f>
        <v>45</v>
      </c>
      <c r="I1597" s="1">
        <f>IFERROR(__xludf.DUMMYFUNCTION("""COMPUTED_VALUE"""),51.0)</f>
        <v>51</v>
      </c>
      <c r="J1597" s="1">
        <f>IFERROR(__xludf.DUMMYFUNCTION("""COMPUTED_VALUE"""),86.0)</f>
        <v>86</v>
      </c>
      <c r="K1597" s="1">
        <f>IFERROR(__xludf.DUMMYFUNCTION("""COMPUTED_VALUE"""),68.0)</f>
        <v>68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 t="str">
        <f>IFERROR(__xludf.DUMMYFUNCTION("""COMPUTED_VALUE"""),"A")</f>
        <v>A</v>
      </c>
      <c r="E1598" s="1" t="str">
        <f>IFERROR(__xludf.DUMMYFUNCTION("""COMPUTED_VALUE"""),"Female")</f>
        <v>Female</v>
      </c>
      <c r="F1598" s="1">
        <f>IFERROR(__xludf.DUMMYFUNCTION("""COMPUTED_VALUE"""),90.0)</f>
        <v>90</v>
      </c>
      <c r="G1598" s="1">
        <f>IFERROR(__xludf.DUMMYFUNCTION("""COMPUTED_VALUE"""),46.0)</f>
        <v>46</v>
      </c>
      <c r="H1598" s="1">
        <f>IFERROR(__xludf.DUMMYFUNCTION("""COMPUTED_VALUE"""),65.0)</f>
        <v>65</v>
      </c>
      <c r="I1598" s="1">
        <f>IFERROR(__xludf.DUMMYFUNCTION("""COMPUTED_VALUE"""),28.0)</f>
        <v>28</v>
      </c>
      <c r="J1598" s="1">
        <f>IFERROR(__xludf.DUMMYFUNCTION("""COMPUTED_VALUE"""),80.0)</f>
        <v>80</v>
      </c>
      <c r="K1598" s="1">
        <f>IFERROR(__xludf.DUMMYFUNCTION("""COMPUTED_VALUE"""),75.0)</f>
        <v>75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 t="str">
        <f>IFERROR(__xludf.DUMMYFUNCTION("""COMPUTED_VALUE"""),"D")</f>
        <v>D</v>
      </c>
      <c r="E1599" s="1" t="str">
        <f>IFERROR(__xludf.DUMMYFUNCTION("""COMPUTED_VALUE"""),"Female")</f>
        <v>Female</v>
      </c>
      <c r="F1599" s="1">
        <f>IFERROR(__xludf.DUMMYFUNCTION("""COMPUTED_VALUE"""),87.0)</f>
        <v>87</v>
      </c>
      <c r="G1599" s="1">
        <f>IFERROR(__xludf.DUMMYFUNCTION("""COMPUTED_VALUE"""),52.0)</f>
        <v>52</v>
      </c>
      <c r="H1599" s="1">
        <f>IFERROR(__xludf.DUMMYFUNCTION("""COMPUTED_VALUE"""),53.0)</f>
        <v>53</v>
      </c>
      <c r="I1599" s="1">
        <f>IFERROR(__xludf.DUMMYFUNCTION("""COMPUTED_VALUE"""),73.0)</f>
        <v>73</v>
      </c>
      <c r="J1599" s="1">
        <f>IFERROR(__xludf.DUMMYFUNCTION("""COMPUTED_VALUE"""),43.0)</f>
        <v>43</v>
      </c>
      <c r="K1599" s="1">
        <f>IFERROR(__xludf.DUMMYFUNCTION("""COMPUTED_VALUE"""),29.0)</f>
        <v>29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 t="str">
        <f>IFERROR(__xludf.DUMMYFUNCTION("""COMPUTED_VALUE"""),"C")</f>
        <v>C</v>
      </c>
      <c r="E1600" s="1" t="str">
        <f>IFERROR(__xludf.DUMMYFUNCTION("""COMPUTED_VALUE"""),"Male")</f>
        <v>Male</v>
      </c>
      <c r="F1600" s="1">
        <f>IFERROR(__xludf.DUMMYFUNCTION("""COMPUTED_VALUE"""),95.0)</f>
        <v>95</v>
      </c>
      <c r="G1600" s="1">
        <f>IFERROR(__xludf.DUMMYFUNCTION("""COMPUTED_VALUE"""),36.0)</f>
        <v>36</v>
      </c>
      <c r="H1600" s="1">
        <f>IFERROR(__xludf.DUMMYFUNCTION("""COMPUTED_VALUE"""),44.0)</f>
        <v>44</v>
      </c>
      <c r="I1600" s="1">
        <f>IFERROR(__xludf.DUMMYFUNCTION("""COMPUTED_VALUE"""),56.0)</f>
        <v>56</v>
      </c>
      <c r="J1600" s="1">
        <f>IFERROR(__xludf.DUMMYFUNCTION("""COMPUTED_VALUE"""),96.0)</f>
        <v>96</v>
      </c>
      <c r="K1600" s="1">
        <f>IFERROR(__xludf.DUMMYFUNCTION("""COMPUTED_VALUE"""),49.0)</f>
        <v>49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 t="str">
        <f>IFERROR(__xludf.DUMMYFUNCTION("""COMPUTED_VALUE"""),"B")</f>
        <v>B</v>
      </c>
      <c r="E1601" s="1" t="str">
        <f>IFERROR(__xludf.DUMMYFUNCTION("""COMPUTED_VALUE"""),"Male")</f>
        <v>Male</v>
      </c>
      <c r="F1601" s="1">
        <f>IFERROR(__xludf.DUMMYFUNCTION("""COMPUTED_VALUE"""),11.0)</f>
        <v>11</v>
      </c>
      <c r="G1601" s="1">
        <f>IFERROR(__xludf.DUMMYFUNCTION("""COMPUTED_VALUE"""),30.0)</f>
        <v>30</v>
      </c>
      <c r="H1601" s="1">
        <f>IFERROR(__xludf.DUMMYFUNCTION("""COMPUTED_VALUE"""),85.0)</f>
        <v>85</v>
      </c>
      <c r="I1601" s="1">
        <f>IFERROR(__xludf.DUMMYFUNCTION("""COMPUTED_VALUE"""),35.0)</f>
        <v>35</v>
      </c>
      <c r="J1601" s="1">
        <f>IFERROR(__xludf.DUMMYFUNCTION("""COMPUTED_VALUE"""),91.0)</f>
        <v>91</v>
      </c>
      <c r="K1601" s="1">
        <f>IFERROR(__xludf.DUMMYFUNCTION("""COMPUTED_VALUE"""),53.0)</f>
        <v>53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 t="str">
        <f>IFERROR(__xludf.DUMMYFUNCTION("""COMPUTED_VALUE"""),"D")</f>
        <v>D</v>
      </c>
      <c r="E1602" s="1" t="str">
        <f>IFERROR(__xludf.DUMMYFUNCTION("""COMPUTED_VALUE"""),"Female")</f>
        <v>Female</v>
      </c>
      <c r="F1602" s="1">
        <f>IFERROR(__xludf.DUMMYFUNCTION("""COMPUTED_VALUE"""),99.0)</f>
        <v>99</v>
      </c>
      <c r="G1602" s="1">
        <f>IFERROR(__xludf.DUMMYFUNCTION("""COMPUTED_VALUE"""),44.0)</f>
        <v>44</v>
      </c>
      <c r="H1602" s="1">
        <f>IFERROR(__xludf.DUMMYFUNCTION("""COMPUTED_VALUE"""),24.0)</f>
        <v>24</v>
      </c>
      <c r="I1602" s="1">
        <f>IFERROR(__xludf.DUMMYFUNCTION("""COMPUTED_VALUE"""),90.0)</f>
        <v>90</v>
      </c>
      <c r="J1602" s="1">
        <f>IFERROR(__xludf.DUMMYFUNCTION("""COMPUTED_VALUE"""),34.0)</f>
        <v>34</v>
      </c>
      <c r="K1602" s="1">
        <f>IFERROR(__xludf.DUMMYFUNCTION("""COMPUTED_VALUE"""),49.0)</f>
        <v>49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 t="str">
        <f>IFERROR(__xludf.DUMMYFUNCTION("""COMPUTED_VALUE"""),"B")</f>
        <v>B</v>
      </c>
      <c r="E1603" s="1" t="str">
        <f>IFERROR(__xludf.DUMMYFUNCTION("""COMPUTED_VALUE"""),"Female")</f>
        <v>Female</v>
      </c>
      <c r="F1603" s="1">
        <f>IFERROR(__xludf.DUMMYFUNCTION("""COMPUTED_VALUE"""),12.0)</f>
        <v>12</v>
      </c>
      <c r="G1603" s="1">
        <f>IFERROR(__xludf.DUMMYFUNCTION("""COMPUTED_VALUE"""),51.0)</f>
        <v>51</v>
      </c>
      <c r="H1603" s="1">
        <f>IFERROR(__xludf.DUMMYFUNCTION("""COMPUTED_VALUE"""),39.0)</f>
        <v>39</v>
      </c>
      <c r="I1603" s="1">
        <f>IFERROR(__xludf.DUMMYFUNCTION("""COMPUTED_VALUE"""),76.0)</f>
        <v>76</v>
      </c>
      <c r="J1603" s="1">
        <f>IFERROR(__xludf.DUMMYFUNCTION("""COMPUTED_VALUE"""),45.0)</f>
        <v>45</v>
      </c>
      <c r="K1603" s="1">
        <f>IFERROR(__xludf.DUMMYFUNCTION("""COMPUTED_VALUE"""),78.0)</f>
        <v>78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 t="str">
        <f>IFERROR(__xludf.DUMMYFUNCTION("""COMPUTED_VALUE"""),"A")</f>
        <v>A</v>
      </c>
      <c r="E1604" s="1" t="str">
        <f>IFERROR(__xludf.DUMMYFUNCTION("""COMPUTED_VALUE"""),"Male")</f>
        <v>Male</v>
      </c>
      <c r="F1604" s="1">
        <f>IFERROR(__xludf.DUMMYFUNCTION("""COMPUTED_VALUE"""),64.0)</f>
        <v>64</v>
      </c>
      <c r="G1604" s="1">
        <f>IFERROR(__xludf.DUMMYFUNCTION("""COMPUTED_VALUE"""),68.0)</f>
        <v>68</v>
      </c>
      <c r="H1604" s="1">
        <f>IFERROR(__xludf.DUMMYFUNCTION("""COMPUTED_VALUE"""),38.0)</f>
        <v>38</v>
      </c>
      <c r="I1604" s="1">
        <f>IFERROR(__xludf.DUMMYFUNCTION("""COMPUTED_VALUE"""),90.0)</f>
        <v>90</v>
      </c>
      <c r="J1604" s="1">
        <f>IFERROR(__xludf.DUMMYFUNCTION("""COMPUTED_VALUE"""),99.0)</f>
        <v>99</v>
      </c>
      <c r="K1604" s="1">
        <f>IFERROR(__xludf.DUMMYFUNCTION("""COMPUTED_VALUE"""),43.0)</f>
        <v>43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 t="str">
        <f>IFERROR(__xludf.DUMMYFUNCTION("""COMPUTED_VALUE"""),"D")</f>
        <v>D</v>
      </c>
      <c r="E1605" s="1" t="str">
        <f>IFERROR(__xludf.DUMMYFUNCTION("""COMPUTED_VALUE"""),"Male")</f>
        <v>Male</v>
      </c>
      <c r="F1605" s="1">
        <f>IFERROR(__xludf.DUMMYFUNCTION("""COMPUTED_VALUE"""),35.0)</f>
        <v>35</v>
      </c>
      <c r="G1605" s="1">
        <f>IFERROR(__xludf.DUMMYFUNCTION("""COMPUTED_VALUE"""),32.0)</f>
        <v>32</v>
      </c>
      <c r="H1605" s="1">
        <f>IFERROR(__xludf.DUMMYFUNCTION("""COMPUTED_VALUE"""),70.0)</f>
        <v>70</v>
      </c>
      <c r="I1605" s="1">
        <f>IFERROR(__xludf.DUMMYFUNCTION("""COMPUTED_VALUE"""),46.0)</f>
        <v>46</v>
      </c>
      <c r="J1605" s="1">
        <f>IFERROR(__xludf.DUMMYFUNCTION("""COMPUTED_VALUE"""),96.0)</f>
        <v>96</v>
      </c>
      <c r="K1605" s="1">
        <f>IFERROR(__xludf.DUMMYFUNCTION("""COMPUTED_VALUE"""),81.0)</f>
        <v>81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 t="str">
        <f>IFERROR(__xludf.DUMMYFUNCTION("""COMPUTED_VALUE"""),"B")</f>
        <v>B</v>
      </c>
      <c r="E1606" s="1" t="str">
        <f>IFERROR(__xludf.DUMMYFUNCTION("""COMPUTED_VALUE"""),"Male")</f>
        <v>Male</v>
      </c>
      <c r="F1606" s="1">
        <f>IFERROR(__xludf.DUMMYFUNCTION("""COMPUTED_VALUE"""),58.0)</f>
        <v>58</v>
      </c>
      <c r="G1606" s="1">
        <f>IFERROR(__xludf.DUMMYFUNCTION("""COMPUTED_VALUE"""),25.0)</f>
        <v>25</v>
      </c>
      <c r="H1606" s="1">
        <f>IFERROR(__xludf.DUMMYFUNCTION("""COMPUTED_VALUE"""),50.0)</f>
        <v>50</v>
      </c>
      <c r="I1606" s="1">
        <f>IFERROR(__xludf.DUMMYFUNCTION("""COMPUTED_VALUE"""),87.0)</f>
        <v>87</v>
      </c>
      <c r="J1606" s="1">
        <f>IFERROR(__xludf.DUMMYFUNCTION("""COMPUTED_VALUE"""),78.0)</f>
        <v>78</v>
      </c>
      <c r="K1606" s="1">
        <f>IFERROR(__xludf.DUMMYFUNCTION("""COMPUTED_VALUE"""),23.0)</f>
        <v>23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 t="str">
        <f>IFERROR(__xludf.DUMMYFUNCTION("""COMPUTED_VALUE"""),"B")</f>
        <v>B</v>
      </c>
      <c r="E1607" s="1" t="str">
        <f>IFERROR(__xludf.DUMMYFUNCTION("""COMPUTED_VALUE"""),"Female")</f>
        <v>Female</v>
      </c>
      <c r="F1607" s="1">
        <f>IFERROR(__xludf.DUMMYFUNCTION("""COMPUTED_VALUE"""),21.0)</f>
        <v>21</v>
      </c>
      <c r="G1607" s="1">
        <f>IFERROR(__xludf.DUMMYFUNCTION("""COMPUTED_VALUE"""),77.0)</f>
        <v>77</v>
      </c>
      <c r="H1607" s="1">
        <f>IFERROR(__xludf.DUMMYFUNCTION("""COMPUTED_VALUE"""),83.0)</f>
        <v>83</v>
      </c>
      <c r="I1607" s="1">
        <f>IFERROR(__xludf.DUMMYFUNCTION("""COMPUTED_VALUE"""),20.0)</f>
        <v>20</v>
      </c>
      <c r="J1607" s="1">
        <f>IFERROR(__xludf.DUMMYFUNCTION("""COMPUTED_VALUE"""),91.0)</f>
        <v>91</v>
      </c>
      <c r="K1607" s="1">
        <f>IFERROR(__xludf.DUMMYFUNCTION("""COMPUTED_VALUE"""),41.0)</f>
        <v>41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 t="str">
        <f>IFERROR(__xludf.DUMMYFUNCTION("""COMPUTED_VALUE"""),"A")</f>
        <v>A</v>
      </c>
      <c r="E1608" s="1" t="str">
        <f>IFERROR(__xludf.DUMMYFUNCTION("""COMPUTED_VALUE"""),"Male")</f>
        <v>Male</v>
      </c>
      <c r="F1608" s="1">
        <f>IFERROR(__xludf.DUMMYFUNCTION("""COMPUTED_VALUE"""),36.0)</f>
        <v>36</v>
      </c>
      <c r="G1608" s="1">
        <f>IFERROR(__xludf.DUMMYFUNCTION("""COMPUTED_VALUE"""),26.0)</f>
        <v>26</v>
      </c>
      <c r="H1608" s="1">
        <f>IFERROR(__xludf.DUMMYFUNCTION("""COMPUTED_VALUE"""),70.0)</f>
        <v>70</v>
      </c>
      <c r="I1608" s="1">
        <f>IFERROR(__xludf.DUMMYFUNCTION("""COMPUTED_VALUE"""),57.0)</f>
        <v>57</v>
      </c>
      <c r="J1608" s="1">
        <f>IFERROR(__xludf.DUMMYFUNCTION("""COMPUTED_VALUE"""),57.0)</f>
        <v>57</v>
      </c>
      <c r="K1608" s="1">
        <f>IFERROR(__xludf.DUMMYFUNCTION("""COMPUTED_VALUE"""),22.0)</f>
        <v>22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 t="str">
        <f>IFERROR(__xludf.DUMMYFUNCTION("""COMPUTED_VALUE"""),"A")</f>
        <v>A</v>
      </c>
      <c r="E1609" s="1" t="str">
        <f>IFERROR(__xludf.DUMMYFUNCTION("""COMPUTED_VALUE"""),"Female")</f>
        <v>Female</v>
      </c>
      <c r="F1609" s="1">
        <f>IFERROR(__xludf.DUMMYFUNCTION("""COMPUTED_VALUE"""),92.0)</f>
        <v>92</v>
      </c>
      <c r="G1609" s="1">
        <f>IFERROR(__xludf.DUMMYFUNCTION("""COMPUTED_VALUE"""),69.0)</f>
        <v>69</v>
      </c>
      <c r="H1609" s="1">
        <f>IFERROR(__xludf.DUMMYFUNCTION("""COMPUTED_VALUE"""),51.0)</f>
        <v>51</v>
      </c>
      <c r="I1609" s="1">
        <f>IFERROR(__xludf.DUMMYFUNCTION("""COMPUTED_VALUE"""),36.0)</f>
        <v>36</v>
      </c>
      <c r="J1609" s="1">
        <f>IFERROR(__xludf.DUMMYFUNCTION("""COMPUTED_VALUE"""),73.0)</f>
        <v>73</v>
      </c>
      <c r="K1609" s="1">
        <f>IFERROR(__xludf.DUMMYFUNCTION("""COMPUTED_VALUE"""),30.0)</f>
        <v>30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 t="str">
        <f>IFERROR(__xludf.DUMMYFUNCTION("""COMPUTED_VALUE"""),"B")</f>
        <v>B</v>
      </c>
      <c r="E1610" s="1" t="str">
        <f>IFERROR(__xludf.DUMMYFUNCTION("""COMPUTED_VALUE"""),"Female")</f>
        <v>Female</v>
      </c>
      <c r="F1610" s="1">
        <f>IFERROR(__xludf.DUMMYFUNCTION("""COMPUTED_VALUE"""),26.0)</f>
        <v>26</v>
      </c>
      <c r="G1610" s="1">
        <f>IFERROR(__xludf.DUMMYFUNCTION("""COMPUTED_VALUE"""),31.0)</f>
        <v>31</v>
      </c>
      <c r="H1610" s="1">
        <f>IFERROR(__xludf.DUMMYFUNCTION("""COMPUTED_VALUE"""),40.0)</f>
        <v>40</v>
      </c>
      <c r="I1610" s="1">
        <f>IFERROR(__xludf.DUMMYFUNCTION("""COMPUTED_VALUE"""),70.0)</f>
        <v>70</v>
      </c>
      <c r="J1610" s="1">
        <f>IFERROR(__xludf.DUMMYFUNCTION("""COMPUTED_VALUE"""),40.0)</f>
        <v>40</v>
      </c>
      <c r="K1610" s="1">
        <f>IFERROR(__xludf.DUMMYFUNCTION("""COMPUTED_VALUE"""),95.0)</f>
        <v>95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 t="str">
        <f>IFERROR(__xludf.DUMMYFUNCTION("""COMPUTED_VALUE"""),"A")</f>
        <v>A</v>
      </c>
      <c r="E1611" s="1" t="str">
        <f>IFERROR(__xludf.DUMMYFUNCTION("""COMPUTED_VALUE"""),"Female")</f>
        <v>Female</v>
      </c>
      <c r="F1611" s="1">
        <f>IFERROR(__xludf.DUMMYFUNCTION("""COMPUTED_VALUE"""),93.0)</f>
        <v>93</v>
      </c>
      <c r="G1611" s="1">
        <f>IFERROR(__xludf.DUMMYFUNCTION("""COMPUTED_VALUE"""),79.0)</f>
        <v>79</v>
      </c>
      <c r="H1611" s="1">
        <f>IFERROR(__xludf.DUMMYFUNCTION("""COMPUTED_VALUE"""),57.0)</f>
        <v>57</v>
      </c>
      <c r="I1611" s="1">
        <f>IFERROR(__xludf.DUMMYFUNCTION("""COMPUTED_VALUE"""),35.0)</f>
        <v>35</v>
      </c>
      <c r="J1611" s="1">
        <f>IFERROR(__xludf.DUMMYFUNCTION("""COMPUTED_VALUE"""),90.0)</f>
        <v>90</v>
      </c>
      <c r="K1611" s="1">
        <f>IFERROR(__xludf.DUMMYFUNCTION("""COMPUTED_VALUE"""),23.0)</f>
        <v>23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 t="str">
        <f>IFERROR(__xludf.DUMMYFUNCTION("""COMPUTED_VALUE"""),"B")</f>
        <v>B</v>
      </c>
      <c r="E1612" s="1" t="str">
        <f>IFERROR(__xludf.DUMMYFUNCTION("""COMPUTED_VALUE"""),"Male")</f>
        <v>Male</v>
      </c>
      <c r="F1612" s="1">
        <f>IFERROR(__xludf.DUMMYFUNCTION("""COMPUTED_VALUE"""),23.0)</f>
        <v>23</v>
      </c>
      <c r="G1612" s="1">
        <f>IFERROR(__xludf.DUMMYFUNCTION("""COMPUTED_VALUE"""),51.0)</f>
        <v>51</v>
      </c>
      <c r="H1612" s="1">
        <f>IFERROR(__xludf.DUMMYFUNCTION("""COMPUTED_VALUE"""),40.0)</f>
        <v>40</v>
      </c>
      <c r="I1612" s="1">
        <f>IFERROR(__xludf.DUMMYFUNCTION("""COMPUTED_VALUE"""),32.0)</f>
        <v>32</v>
      </c>
      <c r="J1612" s="1">
        <f>IFERROR(__xludf.DUMMYFUNCTION("""COMPUTED_VALUE"""),28.0)</f>
        <v>28</v>
      </c>
      <c r="K1612" s="1">
        <f>IFERROR(__xludf.DUMMYFUNCTION("""COMPUTED_VALUE"""),87.0)</f>
        <v>87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 t="str">
        <f>IFERROR(__xludf.DUMMYFUNCTION("""COMPUTED_VALUE"""),"B")</f>
        <v>B</v>
      </c>
      <c r="E1613" s="1" t="str">
        <f>IFERROR(__xludf.DUMMYFUNCTION("""COMPUTED_VALUE"""),"Female")</f>
        <v>Female</v>
      </c>
      <c r="F1613" s="1">
        <f>IFERROR(__xludf.DUMMYFUNCTION("""COMPUTED_VALUE"""),27.0)</f>
        <v>27</v>
      </c>
      <c r="G1613" s="1">
        <f>IFERROR(__xludf.DUMMYFUNCTION("""COMPUTED_VALUE"""),38.0)</f>
        <v>38</v>
      </c>
      <c r="H1613" s="1">
        <f>IFERROR(__xludf.DUMMYFUNCTION("""COMPUTED_VALUE"""),99.0)</f>
        <v>99</v>
      </c>
      <c r="I1613" s="1">
        <f>IFERROR(__xludf.DUMMYFUNCTION("""COMPUTED_VALUE"""),69.0)</f>
        <v>69</v>
      </c>
      <c r="J1613" s="1">
        <f>IFERROR(__xludf.DUMMYFUNCTION("""COMPUTED_VALUE"""),64.0)</f>
        <v>64</v>
      </c>
      <c r="K1613" s="1">
        <f>IFERROR(__xludf.DUMMYFUNCTION("""COMPUTED_VALUE"""),49.0)</f>
        <v>49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 t="str">
        <f>IFERROR(__xludf.DUMMYFUNCTION("""COMPUTED_VALUE"""),"C")</f>
        <v>C</v>
      </c>
      <c r="E1614" s="1" t="str">
        <f>IFERROR(__xludf.DUMMYFUNCTION("""COMPUTED_VALUE"""),"Male")</f>
        <v>Male</v>
      </c>
      <c r="F1614" s="1">
        <f>IFERROR(__xludf.DUMMYFUNCTION("""COMPUTED_VALUE"""),42.0)</f>
        <v>42</v>
      </c>
      <c r="G1614" s="1">
        <f>IFERROR(__xludf.DUMMYFUNCTION("""COMPUTED_VALUE"""),99.0)</f>
        <v>99</v>
      </c>
      <c r="H1614" s="1">
        <f>IFERROR(__xludf.DUMMYFUNCTION("""COMPUTED_VALUE"""),42.0)</f>
        <v>42</v>
      </c>
      <c r="I1614" s="1">
        <f>IFERROR(__xludf.DUMMYFUNCTION("""COMPUTED_VALUE"""),23.0)</f>
        <v>23</v>
      </c>
      <c r="J1614" s="1">
        <f>IFERROR(__xludf.DUMMYFUNCTION("""COMPUTED_VALUE"""),99.0)</f>
        <v>99</v>
      </c>
      <c r="K1614" s="1">
        <f>IFERROR(__xludf.DUMMYFUNCTION("""COMPUTED_VALUE"""),83.0)</f>
        <v>83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 t="str">
        <f>IFERROR(__xludf.DUMMYFUNCTION("""COMPUTED_VALUE"""),"D")</f>
        <v>D</v>
      </c>
      <c r="E1615" s="1" t="str">
        <f>IFERROR(__xludf.DUMMYFUNCTION("""COMPUTED_VALUE"""),"Male")</f>
        <v>Male</v>
      </c>
      <c r="F1615" s="1">
        <f>IFERROR(__xludf.DUMMYFUNCTION("""COMPUTED_VALUE"""),58.0)</f>
        <v>58</v>
      </c>
      <c r="G1615" s="1">
        <f>IFERROR(__xludf.DUMMYFUNCTION("""COMPUTED_VALUE"""),60.0)</f>
        <v>60</v>
      </c>
      <c r="H1615" s="1">
        <f>IFERROR(__xludf.DUMMYFUNCTION("""COMPUTED_VALUE"""),84.0)</f>
        <v>84</v>
      </c>
      <c r="I1615" s="1">
        <f>IFERROR(__xludf.DUMMYFUNCTION("""COMPUTED_VALUE"""),84.0)</f>
        <v>84</v>
      </c>
      <c r="J1615" s="1">
        <f>IFERROR(__xludf.DUMMYFUNCTION("""COMPUTED_VALUE"""),93.0)</f>
        <v>93</v>
      </c>
      <c r="K1615" s="1">
        <f>IFERROR(__xludf.DUMMYFUNCTION("""COMPUTED_VALUE"""),95.0)</f>
        <v>95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 t="str">
        <f>IFERROR(__xludf.DUMMYFUNCTION("""COMPUTED_VALUE"""),"A")</f>
        <v>A</v>
      </c>
      <c r="E1616" s="1" t="str">
        <f>IFERROR(__xludf.DUMMYFUNCTION("""COMPUTED_VALUE"""),"Female")</f>
        <v>Female</v>
      </c>
      <c r="F1616" s="1">
        <f>IFERROR(__xludf.DUMMYFUNCTION("""COMPUTED_VALUE"""),50.0)</f>
        <v>50</v>
      </c>
      <c r="G1616" s="1">
        <f>IFERROR(__xludf.DUMMYFUNCTION("""COMPUTED_VALUE"""),41.0)</f>
        <v>41</v>
      </c>
      <c r="H1616" s="1">
        <f>IFERROR(__xludf.DUMMYFUNCTION("""COMPUTED_VALUE"""),49.0)</f>
        <v>49</v>
      </c>
      <c r="I1616" s="1">
        <f>IFERROR(__xludf.DUMMYFUNCTION("""COMPUTED_VALUE"""),78.0)</f>
        <v>78</v>
      </c>
      <c r="J1616" s="1">
        <f>IFERROR(__xludf.DUMMYFUNCTION("""COMPUTED_VALUE"""),44.0)</f>
        <v>44</v>
      </c>
      <c r="K1616" s="1">
        <f>IFERROR(__xludf.DUMMYFUNCTION("""COMPUTED_VALUE"""),36.0)</f>
        <v>36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 t="str">
        <f>IFERROR(__xludf.DUMMYFUNCTION("""COMPUTED_VALUE"""),"B")</f>
        <v>B</v>
      </c>
      <c r="E1617" s="1" t="str">
        <f>IFERROR(__xludf.DUMMYFUNCTION("""COMPUTED_VALUE"""),"Female")</f>
        <v>Female</v>
      </c>
      <c r="F1617" s="1">
        <f>IFERROR(__xludf.DUMMYFUNCTION("""COMPUTED_VALUE"""),85.0)</f>
        <v>85</v>
      </c>
      <c r="G1617" s="1">
        <f>IFERROR(__xludf.DUMMYFUNCTION("""COMPUTED_VALUE"""),37.0)</f>
        <v>37</v>
      </c>
      <c r="H1617" s="1">
        <f>IFERROR(__xludf.DUMMYFUNCTION("""COMPUTED_VALUE"""),37.0)</f>
        <v>37</v>
      </c>
      <c r="I1617" s="1">
        <f>IFERROR(__xludf.DUMMYFUNCTION("""COMPUTED_VALUE"""),71.0)</f>
        <v>71</v>
      </c>
      <c r="J1617" s="1">
        <f>IFERROR(__xludf.DUMMYFUNCTION("""COMPUTED_VALUE"""),52.0)</f>
        <v>52</v>
      </c>
      <c r="K1617" s="1">
        <f>IFERROR(__xludf.DUMMYFUNCTION("""COMPUTED_VALUE"""),89.0)</f>
        <v>89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 t="str">
        <f>IFERROR(__xludf.DUMMYFUNCTION("""COMPUTED_VALUE"""),"A")</f>
        <v>A</v>
      </c>
      <c r="E1618" s="1" t="str">
        <f>IFERROR(__xludf.DUMMYFUNCTION("""COMPUTED_VALUE"""),"Male")</f>
        <v>Male</v>
      </c>
      <c r="F1618" s="1">
        <f>IFERROR(__xludf.DUMMYFUNCTION("""COMPUTED_VALUE"""),35.0)</f>
        <v>35</v>
      </c>
      <c r="G1618" s="1">
        <f>IFERROR(__xludf.DUMMYFUNCTION("""COMPUTED_VALUE"""),58.0)</f>
        <v>58</v>
      </c>
      <c r="H1618" s="1">
        <f>IFERROR(__xludf.DUMMYFUNCTION("""COMPUTED_VALUE"""),92.0)</f>
        <v>92</v>
      </c>
      <c r="I1618" s="1">
        <f>IFERROR(__xludf.DUMMYFUNCTION("""COMPUTED_VALUE"""),73.0)</f>
        <v>73</v>
      </c>
      <c r="J1618" s="1">
        <f>IFERROR(__xludf.DUMMYFUNCTION("""COMPUTED_VALUE"""),34.0)</f>
        <v>34</v>
      </c>
      <c r="K1618" s="1">
        <f>IFERROR(__xludf.DUMMYFUNCTION("""COMPUTED_VALUE"""),64.0)</f>
        <v>64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 t="str">
        <f>IFERROR(__xludf.DUMMYFUNCTION("""COMPUTED_VALUE"""),"A")</f>
        <v>A</v>
      </c>
      <c r="E1619" s="1" t="str">
        <f>IFERROR(__xludf.DUMMYFUNCTION("""COMPUTED_VALUE"""),"Male")</f>
        <v>Male</v>
      </c>
      <c r="F1619" s="1">
        <f>IFERROR(__xludf.DUMMYFUNCTION("""COMPUTED_VALUE"""),20.0)</f>
        <v>20</v>
      </c>
      <c r="G1619" s="1">
        <f>IFERROR(__xludf.DUMMYFUNCTION("""COMPUTED_VALUE"""),78.0)</f>
        <v>78</v>
      </c>
      <c r="H1619" s="1">
        <f>IFERROR(__xludf.DUMMYFUNCTION("""COMPUTED_VALUE"""),32.0)</f>
        <v>32</v>
      </c>
      <c r="I1619" s="1">
        <f>IFERROR(__xludf.DUMMYFUNCTION("""COMPUTED_VALUE"""),85.0)</f>
        <v>85</v>
      </c>
      <c r="J1619" s="1">
        <f>IFERROR(__xludf.DUMMYFUNCTION("""COMPUTED_VALUE"""),54.0)</f>
        <v>54</v>
      </c>
      <c r="K1619" s="1">
        <f>IFERROR(__xludf.DUMMYFUNCTION("""COMPUTED_VALUE"""),74.0)</f>
        <v>74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 t="str">
        <f>IFERROR(__xludf.DUMMYFUNCTION("""COMPUTED_VALUE"""),"D")</f>
        <v>D</v>
      </c>
      <c r="E1620" s="1" t="str">
        <f>IFERROR(__xludf.DUMMYFUNCTION("""COMPUTED_VALUE"""),"Female")</f>
        <v>Female</v>
      </c>
      <c r="F1620" s="1">
        <f>IFERROR(__xludf.DUMMYFUNCTION("""COMPUTED_VALUE"""),19.0)</f>
        <v>19</v>
      </c>
      <c r="G1620" s="1">
        <f>IFERROR(__xludf.DUMMYFUNCTION("""COMPUTED_VALUE"""),76.0)</f>
        <v>76</v>
      </c>
      <c r="H1620" s="1">
        <f>IFERROR(__xludf.DUMMYFUNCTION("""COMPUTED_VALUE"""),88.0)</f>
        <v>88</v>
      </c>
      <c r="I1620" s="1">
        <f>IFERROR(__xludf.DUMMYFUNCTION("""COMPUTED_VALUE"""),88.0)</f>
        <v>88</v>
      </c>
      <c r="J1620" s="1">
        <f>IFERROR(__xludf.DUMMYFUNCTION("""COMPUTED_VALUE"""),77.0)</f>
        <v>77</v>
      </c>
      <c r="K1620" s="1">
        <f>IFERROR(__xludf.DUMMYFUNCTION("""COMPUTED_VALUE"""),24.0)</f>
        <v>24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 t="str">
        <f>IFERROR(__xludf.DUMMYFUNCTION("""COMPUTED_VALUE"""),"D")</f>
        <v>D</v>
      </c>
      <c r="E1621" s="1" t="str">
        <f>IFERROR(__xludf.DUMMYFUNCTION("""COMPUTED_VALUE"""),"Male")</f>
        <v>Male</v>
      </c>
      <c r="F1621" s="1">
        <f>IFERROR(__xludf.DUMMYFUNCTION("""COMPUTED_VALUE"""),13.0)</f>
        <v>13</v>
      </c>
      <c r="G1621" s="1">
        <f>IFERROR(__xludf.DUMMYFUNCTION("""COMPUTED_VALUE"""),37.0)</f>
        <v>37</v>
      </c>
      <c r="H1621" s="1">
        <f>IFERROR(__xludf.DUMMYFUNCTION("""COMPUTED_VALUE"""),35.0)</f>
        <v>35</v>
      </c>
      <c r="I1621" s="1">
        <f>IFERROR(__xludf.DUMMYFUNCTION("""COMPUTED_VALUE"""),31.0)</f>
        <v>31</v>
      </c>
      <c r="J1621" s="1">
        <f>IFERROR(__xludf.DUMMYFUNCTION("""COMPUTED_VALUE"""),53.0)</f>
        <v>53</v>
      </c>
      <c r="K1621" s="1">
        <f>IFERROR(__xludf.DUMMYFUNCTION("""COMPUTED_VALUE"""),80.0)</f>
        <v>80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 t="str">
        <f>IFERROR(__xludf.DUMMYFUNCTION("""COMPUTED_VALUE"""),"D")</f>
        <v>D</v>
      </c>
      <c r="E1622" s="1" t="str">
        <f>IFERROR(__xludf.DUMMYFUNCTION("""COMPUTED_VALUE"""),"Female")</f>
        <v>Female</v>
      </c>
      <c r="F1622" s="1">
        <f>IFERROR(__xludf.DUMMYFUNCTION("""COMPUTED_VALUE"""),20.0)</f>
        <v>20</v>
      </c>
      <c r="G1622" s="1">
        <f>IFERROR(__xludf.DUMMYFUNCTION("""COMPUTED_VALUE"""),23.0)</f>
        <v>23</v>
      </c>
      <c r="H1622" s="1">
        <f>IFERROR(__xludf.DUMMYFUNCTION("""COMPUTED_VALUE"""),94.0)</f>
        <v>94</v>
      </c>
      <c r="I1622" s="1">
        <f>IFERROR(__xludf.DUMMYFUNCTION("""COMPUTED_VALUE"""),76.0)</f>
        <v>76</v>
      </c>
      <c r="J1622" s="1">
        <f>IFERROR(__xludf.DUMMYFUNCTION("""COMPUTED_VALUE"""),45.0)</f>
        <v>45</v>
      </c>
      <c r="K1622" s="1">
        <f>IFERROR(__xludf.DUMMYFUNCTION("""COMPUTED_VALUE"""),33.0)</f>
        <v>33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 t="str">
        <f>IFERROR(__xludf.DUMMYFUNCTION("""COMPUTED_VALUE"""),"B")</f>
        <v>B</v>
      </c>
      <c r="E1623" s="1" t="str">
        <f>IFERROR(__xludf.DUMMYFUNCTION("""COMPUTED_VALUE"""),"Male")</f>
        <v>Male</v>
      </c>
      <c r="F1623" s="1">
        <f>IFERROR(__xludf.DUMMYFUNCTION("""COMPUTED_VALUE"""),81.0)</f>
        <v>81</v>
      </c>
      <c r="G1623" s="1">
        <f>IFERROR(__xludf.DUMMYFUNCTION("""COMPUTED_VALUE"""),40.0)</f>
        <v>40</v>
      </c>
      <c r="H1623" s="1">
        <f>IFERROR(__xludf.DUMMYFUNCTION("""COMPUTED_VALUE"""),84.0)</f>
        <v>84</v>
      </c>
      <c r="I1623" s="1">
        <f>IFERROR(__xludf.DUMMYFUNCTION("""COMPUTED_VALUE"""),50.0)</f>
        <v>50</v>
      </c>
      <c r="J1623" s="1">
        <f>IFERROR(__xludf.DUMMYFUNCTION("""COMPUTED_VALUE"""),71.0)</f>
        <v>71</v>
      </c>
      <c r="K1623" s="1">
        <f>IFERROR(__xludf.DUMMYFUNCTION("""COMPUTED_VALUE"""),49.0)</f>
        <v>49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 t="str">
        <f>IFERROR(__xludf.DUMMYFUNCTION("""COMPUTED_VALUE"""),"B")</f>
        <v>B</v>
      </c>
      <c r="E1624" s="1" t="str">
        <f>IFERROR(__xludf.DUMMYFUNCTION("""COMPUTED_VALUE"""),"Male")</f>
        <v>Male</v>
      </c>
      <c r="F1624" s="1">
        <f>IFERROR(__xludf.DUMMYFUNCTION("""COMPUTED_VALUE"""),100.0)</f>
        <v>100</v>
      </c>
      <c r="G1624" s="1">
        <f>IFERROR(__xludf.DUMMYFUNCTION("""COMPUTED_VALUE"""),34.0)</f>
        <v>34</v>
      </c>
      <c r="H1624" s="1">
        <f>IFERROR(__xludf.DUMMYFUNCTION("""COMPUTED_VALUE"""),93.0)</f>
        <v>93</v>
      </c>
      <c r="I1624" s="1">
        <f>IFERROR(__xludf.DUMMYFUNCTION("""COMPUTED_VALUE"""),57.0)</f>
        <v>57</v>
      </c>
      <c r="J1624" s="1">
        <f>IFERROR(__xludf.DUMMYFUNCTION("""COMPUTED_VALUE"""),76.0)</f>
        <v>76</v>
      </c>
      <c r="K1624" s="1">
        <f>IFERROR(__xludf.DUMMYFUNCTION("""COMPUTED_VALUE"""),79.0)</f>
        <v>79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 t="str">
        <f>IFERROR(__xludf.DUMMYFUNCTION("""COMPUTED_VALUE"""),"D")</f>
        <v>D</v>
      </c>
      <c r="E1625" s="1" t="str">
        <f>IFERROR(__xludf.DUMMYFUNCTION("""COMPUTED_VALUE"""),"Female")</f>
        <v>Female</v>
      </c>
      <c r="F1625" s="1">
        <f>IFERROR(__xludf.DUMMYFUNCTION("""COMPUTED_VALUE"""),93.0)</f>
        <v>93</v>
      </c>
      <c r="G1625" s="1">
        <f>IFERROR(__xludf.DUMMYFUNCTION("""COMPUTED_VALUE"""),73.0)</f>
        <v>73</v>
      </c>
      <c r="H1625" s="1">
        <f>IFERROR(__xludf.DUMMYFUNCTION("""COMPUTED_VALUE"""),98.0)</f>
        <v>98</v>
      </c>
      <c r="I1625" s="1">
        <f>IFERROR(__xludf.DUMMYFUNCTION("""COMPUTED_VALUE"""),58.0)</f>
        <v>58</v>
      </c>
      <c r="J1625" s="1">
        <f>IFERROR(__xludf.DUMMYFUNCTION("""COMPUTED_VALUE"""),43.0)</f>
        <v>43</v>
      </c>
      <c r="K1625" s="1">
        <f>IFERROR(__xludf.DUMMYFUNCTION("""COMPUTED_VALUE"""),78.0)</f>
        <v>78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 t="str">
        <f>IFERROR(__xludf.DUMMYFUNCTION("""COMPUTED_VALUE"""),"D")</f>
        <v>D</v>
      </c>
      <c r="E1626" s="1" t="str">
        <f>IFERROR(__xludf.DUMMYFUNCTION("""COMPUTED_VALUE"""),"Male")</f>
        <v>Male</v>
      </c>
      <c r="F1626" s="1">
        <f>IFERROR(__xludf.DUMMYFUNCTION("""COMPUTED_VALUE"""),39.0)</f>
        <v>39</v>
      </c>
      <c r="G1626" s="1">
        <f>IFERROR(__xludf.DUMMYFUNCTION("""COMPUTED_VALUE"""),51.0)</f>
        <v>51</v>
      </c>
      <c r="H1626" s="1">
        <f>IFERROR(__xludf.DUMMYFUNCTION("""COMPUTED_VALUE"""),30.0)</f>
        <v>30</v>
      </c>
      <c r="I1626" s="1">
        <f>IFERROR(__xludf.DUMMYFUNCTION("""COMPUTED_VALUE"""),73.0)</f>
        <v>73</v>
      </c>
      <c r="J1626" s="1">
        <f>IFERROR(__xludf.DUMMYFUNCTION("""COMPUTED_VALUE"""),64.0)</f>
        <v>64</v>
      </c>
      <c r="K1626" s="1">
        <f>IFERROR(__xludf.DUMMYFUNCTION("""COMPUTED_VALUE"""),69.0)</f>
        <v>69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 t="str">
        <f>IFERROR(__xludf.DUMMYFUNCTION("""COMPUTED_VALUE"""),"C")</f>
        <v>C</v>
      </c>
      <c r="E1627" s="1" t="str">
        <f>IFERROR(__xludf.DUMMYFUNCTION("""COMPUTED_VALUE"""),"Male")</f>
        <v>Male</v>
      </c>
      <c r="F1627" s="1">
        <f>IFERROR(__xludf.DUMMYFUNCTION("""COMPUTED_VALUE"""),65.0)</f>
        <v>65</v>
      </c>
      <c r="G1627" s="1">
        <f>IFERROR(__xludf.DUMMYFUNCTION("""COMPUTED_VALUE"""),87.0)</f>
        <v>87</v>
      </c>
      <c r="H1627" s="1">
        <f>IFERROR(__xludf.DUMMYFUNCTION("""COMPUTED_VALUE"""),32.0)</f>
        <v>32</v>
      </c>
      <c r="I1627" s="1">
        <f>IFERROR(__xludf.DUMMYFUNCTION("""COMPUTED_VALUE"""),69.0)</f>
        <v>69</v>
      </c>
      <c r="J1627" s="1">
        <f>IFERROR(__xludf.DUMMYFUNCTION("""COMPUTED_VALUE"""),74.0)</f>
        <v>74</v>
      </c>
      <c r="K1627" s="1">
        <f>IFERROR(__xludf.DUMMYFUNCTION("""COMPUTED_VALUE"""),60.0)</f>
        <v>60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 t="str">
        <f>IFERROR(__xludf.DUMMYFUNCTION("""COMPUTED_VALUE"""),"B")</f>
        <v>B</v>
      </c>
      <c r="E1628" s="1" t="str">
        <f>IFERROR(__xludf.DUMMYFUNCTION("""COMPUTED_VALUE"""),"Female")</f>
        <v>Female</v>
      </c>
      <c r="F1628" s="1">
        <f>IFERROR(__xludf.DUMMYFUNCTION("""COMPUTED_VALUE"""),93.0)</f>
        <v>93</v>
      </c>
      <c r="G1628" s="1">
        <f>IFERROR(__xludf.DUMMYFUNCTION("""COMPUTED_VALUE"""),48.0)</f>
        <v>48</v>
      </c>
      <c r="H1628" s="1">
        <f>IFERROR(__xludf.DUMMYFUNCTION("""COMPUTED_VALUE"""),36.0)</f>
        <v>36</v>
      </c>
      <c r="I1628" s="1">
        <f>IFERROR(__xludf.DUMMYFUNCTION("""COMPUTED_VALUE"""),64.0)</f>
        <v>64</v>
      </c>
      <c r="J1628" s="1">
        <f>IFERROR(__xludf.DUMMYFUNCTION("""COMPUTED_VALUE"""),29.0)</f>
        <v>29</v>
      </c>
      <c r="K1628" s="1">
        <f>IFERROR(__xludf.DUMMYFUNCTION("""COMPUTED_VALUE"""),95.0)</f>
        <v>95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 t="str">
        <f>IFERROR(__xludf.DUMMYFUNCTION("""COMPUTED_VALUE"""),"D")</f>
        <v>D</v>
      </c>
      <c r="E1629" s="1" t="str">
        <f>IFERROR(__xludf.DUMMYFUNCTION("""COMPUTED_VALUE"""),"Female")</f>
        <v>Female</v>
      </c>
      <c r="F1629" s="1">
        <f>IFERROR(__xludf.DUMMYFUNCTION("""COMPUTED_VALUE"""),61.0)</f>
        <v>61</v>
      </c>
      <c r="G1629" s="1">
        <f>IFERROR(__xludf.DUMMYFUNCTION("""COMPUTED_VALUE"""),68.0)</f>
        <v>68</v>
      </c>
      <c r="H1629" s="1">
        <f>IFERROR(__xludf.DUMMYFUNCTION("""COMPUTED_VALUE"""),72.0)</f>
        <v>72</v>
      </c>
      <c r="I1629" s="1">
        <f>IFERROR(__xludf.DUMMYFUNCTION("""COMPUTED_VALUE"""),20.0)</f>
        <v>20</v>
      </c>
      <c r="J1629" s="1">
        <f>IFERROR(__xludf.DUMMYFUNCTION("""COMPUTED_VALUE"""),91.0)</f>
        <v>91</v>
      </c>
      <c r="K1629" s="1">
        <f>IFERROR(__xludf.DUMMYFUNCTION("""COMPUTED_VALUE"""),42.0)</f>
        <v>42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 t="str">
        <f>IFERROR(__xludf.DUMMYFUNCTION("""COMPUTED_VALUE"""),"A")</f>
        <v>A</v>
      </c>
      <c r="E1630" s="1" t="str">
        <f>IFERROR(__xludf.DUMMYFUNCTION("""COMPUTED_VALUE"""),"Female")</f>
        <v>Female</v>
      </c>
      <c r="F1630" s="1">
        <f>IFERROR(__xludf.DUMMYFUNCTION("""COMPUTED_VALUE"""),36.0)</f>
        <v>36</v>
      </c>
      <c r="G1630" s="1">
        <f>IFERROR(__xludf.DUMMYFUNCTION("""COMPUTED_VALUE"""),98.0)</f>
        <v>98</v>
      </c>
      <c r="H1630" s="1">
        <f>IFERROR(__xludf.DUMMYFUNCTION("""COMPUTED_VALUE"""),48.0)</f>
        <v>48</v>
      </c>
      <c r="I1630" s="1">
        <f>IFERROR(__xludf.DUMMYFUNCTION("""COMPUTED_VALUE"""),91.0)</f>
        <v>91</v>
      </c>
      <c r="J1630" s="1">
        <f>IFERROR(__xludf.DUMMYFUNCTION("""COMPUTED_VALUE"""),32.0)</f>
        <v>32</v>
      </c>
      <c r="K1630" s="1">
        <f>IFERROR(__xludf.DUMMYFUNCTION("""COMPUTED_VALUE"""),74.0)</f>
        <v>74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 t="str">
        <f>IFERROR(__xludf.DUMMYFUNCTION("""COMPUTED_VALUE"""),"A")</f>
        <v>A</v>
      </c>
      <c r="E1631" s="1" t="str">
        <f>IFERROR(__xludf.DUMMYFUNCTION("""COMPUTED_VALUE"""),"Female")</f>
        <v>Female</v>
      </c>
      <c r="F1631" s="1">
        <f>IFERROR(__xludf.DUMMYFUNCTION("""COMPUTED_VALUE"""),64.0)</f>
        <v>64</v>
      </c>
      <c r="G1631" s="1">
        <f>IFERROR(__xludf.DUMMYFUNCTION("""COMPUTED_VALUE"""),21.0)</f>
        <v>21</v>
      </c>
      <c r="H1631" s="1">
        <f>IFERROR(__xludf.DUMMYFUNCTION("""COMPUTED_VALUE"""),24.0)</f>
        <v>24</v>
      </c>
      <c r="I1631" s="1">
        <f>IFERROR(__xludf.DUMMYFUNCTION("""COMPUTED_VALUE"""),72.0)</f>
        <v>72</v>
      </c>
      <c r="J1631" s="1">
        <f>IFERROR(__xludf.DUMMYFUNCTION("""COMPUTED_VALUE"""),76.0)</f>
        <v>76</v>
      </c>
      <c r="K1631" s="1">
        <f>IFERROR(__xludf.DUMMYFUNCTION("""COMPUTED_VALUE"""),45.0)</f>
        <v>45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 t="str">
        <f>IFERROR(__xludf.DUMMYFUNCTION("""COMPUTED_VALUE"""),"C")</f>
        <v>C</v>
      </c>
      <c r="E1632" s="1" t="str">
        <f>IFERROR(__xludf.DUMMYFUNCTION("""COMPUTED_VALUE"""),"Female")</f>
        <v>Female</v>
      </c>
      <c r="F1632" s="1">
        <f>IFERROR(__xludf.DUMMYFUNCTION("""COMPUTED_VALUE"""),61.0)</f>
        <v>61</v>
      </c>
      <c r="G1632" s="1">
        <f>IFERROR(__xludf.DUMMYFUNCTION("""COMPUTED_VALUE"""),68.0)</f>
        <v>68</v>
      </c>
      <c r="H1632" s="1">
        <f>IFERROR(__xludf.DUMMYFUNCTION("""COMPUTED_VALUE"""),87.0)</f>
        <v>87</v>
      </c>
      <c r="I1632" s="1">
        <f>IFERROR(__xludf.DUMMYFUNCTION("""COMPUTED_VALUE"""),94.0)</f>
        <v>94</v>
      </c>
      <c r="J1632" s="1">
        <f>IFERROR(__xludf.DUMMYFUNCTION("""COMPUTED_VALUE"""),66.0)</f>
        <v>66</v>
      </c>
      <c r="K1632" s="1">
        <f>IFERROR(__xludf.DUMMYFUNCTION("""COMPUTED_VALUE"""),80.0)</f>
        <v>80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 t="str">
        <f>IFERROR(__xludf.DUMMYFUNCTION("""COMPUTED_VALUE"""),"A")</f>
        <v>A</v>
      </c>
      <c r="E1633" s="1" t="str">
        <f>IFERROR(__xludf.DUMMYFUNCTION("""COMPUTED_VALUE"""),"Female")</f>
        <v>Female</v>
      </c>
      <c r="F1633" s="1">
        <f>IFERROR(__xludf.DUMMYFUNCTION("""COMPUTED_VALUE"""),30.0)</f>
        <v>30</v>
      </c>
      <c r="G1633" s="1">
        <f>IFERROR(__xludf.DUMMYFUNCTION("""COMPUTED_VALUE"""),33.0)</f>
        <v>33</v>
      </c>
      <c r="H1633" s="1">
        <f>IFERROR(__xludf.DUMMYFUNCTION("""COMPUTED_VALUE"""),97.0)</f>
        <v>97</v>
      </c>
      <c r="I1633" s="1">
        <f>IFERROR(__xludf.DUMMYFUNCTION("""COMPUTED_VALUE"""),51.0)</f>
        <v>51</v>
      </c>
      <c r="J1633" s="1">
        <f>IFERROR(__xludf.DUMMYFUNCTION("""COMPUTED_VALUE"""),74.0)</f>
        <v>74</v>
      </c>
      <c r="K1633" s="1">
        <f>IFERROR(__xludf.DUMMYFUNCTION("""COMPUTED_VALUE"""),41.0)</f>
        <v>41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 t="str">
        <f>IFERROR(__xludf.DUMMYFUNCTION("""COMPUTED_VALUE"""),"D")</f>
        <v>D</v>
      </c>
      <c r="E1634" s="1" t="str">
        <f>IFERROR(__xludf.DUMMYFUNCTION("""COMPUTED_VALUE"""),"Female")</f>
        <v>Female</v>
      </c>
      <c r="F1634" s="1">
        <f>IFERROR(__xludf.DUMMYFUNCTION("""COMPUTED_VALUE"""),67.0)</f>
        <v>67</v>
      </c>
      <c r="G1634" s="1">
        <f>IFERROR(__xludf.DUMMYFUNCTION("""COMPUTED_VALUE"""),38.0)</f>
        <v>38</v>
      </c>
      <c r="H1634" s="1">
        <f>IFERROR(__xludf.DUMMYFUNCTION("""COMPUTED_VALUE"""),93.0)</f>
        <v>93</v>
      </c>
      <c r="I1634" s="1">
        <f>IFERROR(__xludf.DUMMYFUNCTION("""COMPUTED_VALUE"""),46.0)</f>
        <v>46</v>
      </c>
      <c r="J1634" s="1">
        <f>IFERROR(__xludf.DUMMYFUNCTION("""COMPUTED_VALUE"""),48.0)</f>
        <v>48</v>
      </c>
      <c r="K1634" s="1">
        <f>IFERROR(__xludf.DUMMYFUNCTION("""COMPUTED_VALUE"""),67.0)</f>
        <v>67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 t="str">
        <f>IFERROR(__xludf.DUMMYFUNCTION("""COMPUTED_VALUE"""),"B")</f>
        <v>B</v>
      </c>
      <c r="E1635" s="1" t="str">
        <f>IFERROR(__xludf.DUMMYFUNCTION("""COMPUTED_VALUE"""),"Female")</f>
        <v>Female</v>
      </c>
      <c r="F1635" s="1">
        <f>IFERROR(__xludf.DUMMYFUNCTION("""COMPUTED_VALUE"""),15.0)</f>
        <v>15</v>
      </c>
      <c r="G1635" s="1">
        <f>IFERROR(__xludf.DUMMYFUNCTION("""COMPUTED_VALUE"""),89.0)</f>
        <v>89</v>
      </c>
      <c r="H1635" s="1">
        <f>IFERROR(__xludf.DUMMYFUNCTION("""COMPUTED_VALUE"""),98.0)</f>
        <v>98</v>
      </c>
      <c r="I1635" s="1">
        <f>IFERROR(__xludf.DUMMYFUNCTION("""COMPUTED_VALUE"""),79.0)</f>
        <v>79</v>
      </c>
      <c r="J1635" s="1">
        <f>IFERROR(__xludf.DUMMYFUNCTION("""COMPUTED_VALUE"""),32.0)</f>
        <v>32</v>
      </c>
      <c r="K1635" s="1">
        <f>IFERROR(__xludf.DUMMYFUNCTION("""COMPUTED_VALUE"""),51.0)</f>
        <v>51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 t="str">
        <f>IFERROR(__xludf.DUMMYFUNCTION("""COMPUTED_VALUE"""),"C")</f>
        <v>C</v>
      </c>
      <c r="E1636" s="1" t="str">
        <f>IFERROR(__xludf.DUMMYFUNCTION("""COMPUTED_VALUE"""),"Male")</f>
        <v>Male</v>
      </c>
      <c r="F1636" s="1">
        <f>IFERROR(__xludf.DUMMYFUNCTION("""COMPUTED_VALUE"""),61.0)</f>
        <v>61</v>
      </c>
      <c r="G1636" s="1">
        <f>IFERROR(__xludf.DUMMYFUNCTION("""COMPUTED_VALUE"""),65.0)</f>
        <v>65</v>
      </c>
      <c r="H1636" s="1">
        <f>IFERROR(__xludf.DUMMYFUNCTION("""COMPUTED_VALUE"""),90.0)</f>
        <v>90</v>
      </c>
      <c r="I1636" s="1">
        <f>IFERROR(__xludf.DUMMYFUNCTION("""COMPUTED_VALUE"""),54.0)</f>
        <v>54</v>
      </c>
      <c r="J1636" s="1">
        <f>IFERROR(__xludf.DUMMYFUNCTION("""COMPUTED_VALUE"""),54.0)</f>
        <v>54</v>
      </c>
      <c r="K1636" s="1">
        <f>IFERROR(__xludf.DUMMYFUNCTION("""COMPUTED_VALUE"""),34.0)</f>
        <v>34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 t="str">
        <f>IFERROR(__xludf.DUMMYFUNCTION("""COMPUTED_VALUE"""),"C")</f>
        <v>C</v>
      </c>
      <c r="E1637" s="1" t="str">
        <f>IFERROR(__xludf.DUMMYFUNCTION("""COMPUTED_VALUE"""),"Male")</f>
        <v>Male</v>
      </c>
      <c r="F1637" s="1">
        <f>IFERROR(__xludf.DUMMYFUNCTION("""COMPUTED_VALUE"""),57.0)</f>
        <v>57</v>
      </c>
      <c r="G1637" s="1">
        <f>IFERROR(__xludf.DUMMYFUNCTION("""COMPUTED_VALUE"""),95.0)</f>
        <v>95</v>
      </c>
      <c r="H1637" s="1">
        <f>IFERROR(__xludf.DUMMYFUNCTION("""COMPUTED_VALUE"""),51.0)</f>
        <v>51</v>
      </c>
      <c r="I1637" s="1">
        <f>IFERROR(__xludf.DUMMYFUNCTION("""COMPUTED_VALUE"""),21.0)</f>
        <v>21</v>
      </c>
      <c r="J1637" s="1">
        <f>IFERROR(__xludf.DUMMYFUNCTION("""COMPUTED_VALUE"""),22.0)</f>
        <v>22</v>
      </c>
      <c r="K1637" s="1">
        <f>IFERROR(__xludf.DUMMYFUNCTION("""COMPUTED_VALUE"""),42.0)</f>
        <v>42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 t="str">
        <f>IFERROR(__xludf.DUMMYFUNCTION("""COMPUTED_VALUE"""),"D")</f>
        <v>D</v>
      </c>
      <c r="E1638" s="1" t="str">
        <f>IFERROR(__xludf.DUMMYFUNCTION("""COMPUTED_VALUE"""),"Female")</f>
        <v>Female</v>
      </c>
      <c r="F1638" s="1">
        <f>IFERROR(__xludf.DUMMYFUNCTION("""COMPUTED_VALUE"""),72.0)</f>
        <v>72</v>
      </c>
      <c r="G1638" s="1">
        <f>IFERROR(__xludf.DUMMYFUNCTION("""COMPUTED_VALUE"""),20.0)</f>
        <v>20</v>
      </c>
      <c r="H1638" s="1">
        <f>IFERROR(__xludf.DUMMYFUNCTION("""COMPUTED_VALUE"""),48.0)</f>
        <v>48</v>
      </c>
      <c r="I1638" s="1">
        <f>IFERROR(__xludf.DUMMYFUNCTION("""COMPUTED_VALUE"""),76.0)</f>
        <v>76</v>
      </c>
      <c r="J1638" s="1">
        <f>IFERROR(__xludf.DUMMYFUNCTION("""COMPUTED_VALUE"""),44.0)</f>
        <v>44</v>
      </c>
      <c r="K1638" s="1">
        <f>IFERROR(__xludf.DUMMYFUNCTION("""COMPUTED_VALUE"""),60.0)</f>
        <v>60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 t="str">
        <f>IFERROR(__xludf.DUMMYFUNCTION("""COMPUTED_VALUE"""),"B")</f>
        <v>B</v>
      </c>
      <c r="E1639" s="1" t="str">
        <f>IFERROR(__xludf.DUMMYFUNCTION("""COMPUTED_VALUE"""),"Female")</f>
        <v>Female</v>
      </c>
      <c r="F1639" s="1">
        <f>IFERROR(__xludf.DUMMYFUNCTION("""COMPUTED_VALUE"""),29.0)</f>
        <v>29</v>
      </c>
      <c r="G1639" s="1">
        <f>IFERROR(__xludf.DUMMYFUNCTION("""COMPUTED_VALUE"""),59.0)</f>
        <v>59</v>
      </c>
      <c r="H1639" s="1">
        <f>IFERROR(__xludf.DUMMYFUNCTION("""COMPUTED_VALUE"""),90.0)</f>
        <v>90</v>
      </c>
      <c r="I1639" s="1">
        <f>IFERROR(__xludf.DUMMYFUNCTION("""COMPUTED_VALUE"""),75.0)</f>
        <v>75</v>
      </c>
      <c r="J1639" s="1">
        <f>IFERROR(__xludf.DUMMYFUNCTION("""COMPUTED_VALUE"""),41.0)</f>
        <v>41</v>
      </c>
      <c r="K1639" s="1">
        <f>IFERROR(__xludf.DUMMYFUNCTION("""COMPUTED_VALUE"""),71.0)</f>
        <v>71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 t="str">
        <f>IFERROR(__xludf.DUMMYFUNCTION("""COMPUTED_VALUE"""),"A")</f>
        <v>A</v>
      </c>
      <c r="E1640" s="1" t="str">
        <f>IFERROR(__xludf.DUMMYFUNCTION("""COMPUTED_VALUE"""),"Male")</f>
        <v>Male</v>
      </c>
      <c r="F1640" s="1">
        <f>IFERROR(__xludf.DUMMYFUNCTION("""COMPUTED_VALUE"""),33.0)</f>
        <v>33</v>
      </c>
      <c r="G1640" s="1">
        <f>IFERROR(__xludf.DUMMYFUNCTION("""COMPUTED_VALUE"""),77.0)</f>
        <v>77</v>
      </c>
      <c r="H1640" s="1">
        <f>IFERROR(__xludf.DUMMYFUNCTION("""COMPUTED_VALUE"""),93.0)</f>
        <v>93</v>
      </c>
      <c r="I1640" s="1">
        <f>IFERROR(__xludf.DUMMYFUNCTION("""COMPUTED_VALUE"""),23.0)</f>
        <v>23</v>
      </c>
      <c r="J1640" s="1">
        <f>IFERROR(__xludf.DUMMYFUNCTION("""COMPUTED_VALUE"""),89.0)</f>
        <v>89</v>
      </c>
      <c r="K1640" s="1">
        <f>IFERROR(__xludf.DUMMYFUNCTION("""COMPUTED_VALUE"""),22.0)</f>
        <v>22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 t="str">
        <f>IFERROR(__xludf.DUMMYFUNCTION("""COMPUTED_VALUE"""),"B")</f>
        <v>B</v>
      </c>
      <c r="E1641" s="1" t="str">
        <f>IFERROR(__xludf.DUMMYFUNCTION("""COMPUTED_VALUE"""),"Male")</f>
        <v>Male</v>
      </c>
      <c r="F1641" s="1">
        <f>IFERROR(__xludf.DUMMYFUNCTION("""COMPUTED_VALUE"""),89.0)</f>
        <v>89</v>
      </c>
      <c r="G1641" s="1">
        <f>IFERROR(__xludf.DUMMYFUNCTION("""COMPUTED_VALUE"""),40.0)</f>
        <v>40</v>
      </c>
      <c r="H1641" s="1">
        <f>IFERROR(__xludf.DUMMYFUNCTION("""COMPUTED_VALUE"""),71.0)</f>
        <v>71</v>
      </c>
      <c r="I1641" s="1">
        <f>IFERROR(__xludf.DUMMYFUNCTION("""COMPUTED_VALUE"""),56.0)</f>
        <v>56</v>
      </c>
      <c r="J1641" s="1">
        <f>IFERROR(__xludf.DUMMYFUNCTION("""COMPUTED_VALUE"""),75.0)</f>
        <v>75</v>
      </c>
      <c r="K1641" s="1">
        <f>IFERROR(__xludf.DUMMYFUNCTION("""COMPUTED_VALUE"""),74.0)</f>
        <v>74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 t="str">
        <f>IFERROR(__xludf.DUMMYFUNCTION("""COMPUTED_VALUE"""),"A")</f>
        <v>A</v>
      </c>
      <c r="E1642" s="1" t="str">
        <f>IFERROR(__xludf.DUMMYFUNCTION("""COMPUTED_VALUE"""),"Female")</f>
        <v>Female</v>
      </c>
      <c r="F1642" s="1">
        <f>IFERROR(__xludf.DUMMYFUNCTION("""COMPUTED_VALUE"""),65.0)</f>
        <v>65</v>
      </c>
      <c r="G1642" s="1">
        <f>IFERROR(__xludf.DUMMYFUNCTION("""COMPUTED_VALUE"""),37.0)</f>
        <v>37</v>
      </c>
      <c r="H1642" s="1">
        <f>IFERROR(__xludf.DUMMYFUNCTION("""COMPUTED_VALUE"""),69.0)</f>
        <v>69</v>
      </c>
      <c r="I1642" s="1">
        <f>IFERROR(__xludf.DUMMYFUNCTION("""COMPUTED_VALUE"""),85.0)</f>
        <v>85</v>
      </c>
      <c r="J1642" s="1">
        <f>IFERROR(__xludf.DUMMYFUNCTION("""COMPUTED_VALUE"""),31.0)</f>
        <v>31</v>
      </c>
      <c r="K1642" s="1">
        <f>IFERROR(__xludf.DUMMYFUNCTION("""COMPUTED_VALUE"""),46.0)</f>
        <v>46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 t="str">
        <f>IFERROR(__xludf.DUMMYFUNCTION("""COMPUTED_VALUE"""),"D")</f>
        <v>D</v>
      </c>
      <c r="E1643" s="1" t="str">
        <f>IFERROR(__xludf.DUMMYFUNCTION("""COMPUTED_VALUE"""),"Male")</f>
        <v>Male</v>
      </c>
      <c r="F1643" s="1">
        <f>IFERROR(__xludf.DUMMYFUNCTION("""COMPUTED_VALUE"""),35.0)</f>
        <v>35</v>
      </c>
      <c r="G1643" s="1">
        <f>IFERROR(__xludf.DUMMYFUNCTION("""COMPUTED_VALUE"""),73.0)</f>
        <v>73</v>
      </c>
      <c r="H1643" s="1">
        <f>IFERROR(__xludf.DUMMYFUNCTION("""COMPUTED_VALUE"""),40.0)</f>
        <v>40</v>
      </c>
      <c r="I1643" s="1">
        <f>IFERROR(__xludf.DUMMYFUNCTION("""COMPUTED_VALUE"""),75.0)</f>
        <v>75</v>
      </c>
      <c r="J1643" s="1">
        <f>IFERROR(__xludf.DUMMYFUNCTION("""COMPUTED_VALUE"""),83.0)</f>
        <v>83</v>
      </c>
      <c r="K1643" s="1">
        <f>IFERROR(__xludf.DUMMYFUNCTION("""COMPUTED_VALUE"""),35.0)</f>
        <v>35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 t="str">
        <f>IFERROR(__xludf.DUMMYFUNCTION("""COMPUTED_VALUE"""),"C")</f>
        <v>C</v>
      </c>
      <c r="E1644" s="1" t="str">
        <f>IFERROR(__xludf.DUMMYFUNCTION("""COMPUTED_VALUE"""),"Male")</f>
        <v>Male</v>
      </c>
      <c r="F1644" s="1">
        <f>IFERROR(__xludf.DUMMYFUNCTION("""COMPUTED_VALUE"""),45.0)</f>
        <v>45</v>
      </c>
      <c r="G1644" s="1">
        <f>IFERROR(__xludf.DUMMYFUNCTION("""COMPUTED_VALUE"""),68.0)</f>
        <v>68</v>
      </c>
      <c r="H1644" s="1">
        <f>IFERROR(__xludf.DUMMYFUNCTION("""COMPUTED_VALUE"""),27.0)</f>
        <v>27</v>
      </c>
      <c r="I1644" s="1">
        <f>IFERROR(__xludf.DUMMYFUNCTION("""COMPUTED_VALUE"""),52.0)</f>
        <v>52</v>
      </c>
      <c r="J1644" s="1">
        <f>IFERROR(__xludf.DUMMYFUNCTION("""COMPUTED_VALUE"""),99.0)</f>
        <v>99</v>
      </c>
      <c r="K1644" s="1">
        <f>IFERROR(__xludf.DUMMYFUNCTION("""COMPUTED_VALUE"""),99.0)</f>
        <v>99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 t="str">
        <f>IFERROR(__xludf.DUMMYFUNCTION("""COMPUTED_VALUE"""),"A")</f>
        <v>A</v>
      </c>
      <c r="E1645" s="1" t="str">
        <f>IFERROR(__xludf.DUMMYFUNCTION("""COMPUTED_VALUE"""),"Female")</f>
        <v>Female</v>
      </c>
      <c r="F1645" s="1">
        <f>IFERROR(__xludf.DUMMYFUNCTION("""COMPUTED_VALUE"""),57.0)</f>
        <v>57</v>
      </c>
      <c r="G1645" s="1">
        <f>IFERROR(__xludf.DUMMYFUNCTION("""COMPUTED_VALUE"""),61.0)</f>
        <v>61</v>
      </c>
      <c r="H1645" s="1">
        <f>IFERROR(__xludf.DUMMYFUNCTION("""COMPUTED_VALUE"""),24.0)</f>
        <v>24</v>
      </c>
      <c r="I1645" s="1">
        <f>IFERROR(__xludf.DUMMYFUNCTION("""COMPUTED_VALUE"""),48.0)</f>
        <v>48</v>
      </c>
      <c r="J1645" s="1">
        <f>IFERROR(__xludf.DUMMYFUNCTION("""COMPUTED_VALUE"""),78.0)</f>
        <v>78</v>
      </c>
      <c r="K1645" s="1">
        <f>IFERROR(__xludf.DUMMYFUNCTION("""COMPUTED_VALUE"""),41.0)</f>
        <v>41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 t="str">
        <f>IFERROR(__xludf.DUMMYFUNCTION("""COMPUTED_VALUE"""),"A")</f>
        <v>A</v>
      </c>
      <c r="E1646" s="1" t="str">
        <f>IFERROR(__xludf.DUMMYFUNCTION("""COMPUTED_VALUE"""),"Male")</f>
        <v>Male</v>
      </c>
      <c r="F1646" s="1">
        <f>IFERROR(__xludf.DUMMYFUNCTION("""COMPUTED_VALUE"""),59.0)</f>
        <v>59</v>
      </c>
      <c r="G1646" s="1">
        <f>IFERROR(__xludf.DUMMYFUNCTION("""COMPUTED_VALUE"""),26.0)</f>
        <v>26</v>
      </c>
      <c r="H1646" s="1">
        <f>IFERROR(__xludf.DUMMYFUNCTION("""COMPUTED_VALUE"""),24.0)</f>
        <v>24</v>
      </c>
      <c r="I1646" s="1">
        <f>IFERROR(__xludf.DUMMYFUNCTION("""COMPUTED_VALUE"""),34.0)</f>
        <v>34</v>
      </c>
      <c r="J1646" s="1">
        <f>IFERROR(__xludf.DUMMYFUNCTION("""COMPUTED_VALUE"""),67.0)</f>
        <v>67</v>
      </c>
      <c r="K1646" s="1">
        <f>IFERROR(__xludf.DUMMYFUNCTION("""COMPUTED_VALUE"""),39.0)</f>
        <v>39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 t="str">
        <f>IFERROR(__xludf.DUMMYFUNCTION("""COMPUTED_VALUE"""),"D")</f>
        <v>D</v>
      </c>
      <c r="E1647" s="1" t="str">
        <f>IFERROR(__xludf.DUMMYFUNCTION("""COMPUTED_VALUE"""),"Male")</f>
        <v>Male</v>
      </c>
      <c r="F1647" s="1">
        <f>IFERROR(__xludf.DUMMYFUNCTION("""COMPUTED_VALUE"""),68.0)</f>
        <v>68</v>
      </c>
      <c r="G1647" s="1">
        <f>IFERROR(__xludf.DUMMYFUNCTION("""COMPUTED_VALUE"""),33.0)</f>
        <v>33</v>
      </c>
      <c r="H1647" s="1">
        <f>IFERROR(__xludf.DUMMYFUNCTION("""COMPUTED_VALUE"""),78.0)</f>
        <v>78</v>
      </c>
      <c r="I1647" s="1">
        <f>IFERROR(__xludf.DUMMYFUNCTION("""COMPUTED_VALUE"""),79.0)</f>
        <v>79</v>
      </c>
      <c r="J1647" s="1">
        <f>IFERROR(__xludf.DUMMYFUNCTION("""COMPUTED_VALUE"""),22.0)</f>
        <v>22</v>
      </c>
      <c r="K1647" s="1">
        <f>IFERROR(__xludf.DUMMYFUNCTION("""COMPUTED_VALUE"""),22.0)</f>
        <v>22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 t="str">
        <f>IFERROR(__xludf.DUMMYFUNCTION("""COMPUTED_VALUE"""),"B")</f>
        <v>B</v>
      </c>
      <c r="E1648" s="1" t="str">
        <f>IFERROR(__xludf.DUMMYFUNCTION("""COMPUTED_VALUE"""),"Female")</f>
        <v>Female</v>
      </c>
      <c r="F1648" s="1">
        <f>IFERROR(__xludf.DUMMYFUNCTION("""COMPUTED_VALUE"""),81.0)</f>
        <v>81</v>
      </c>
      <c r="G1648" s="1">
        <f>IFERROR(__xludf.DUMMYFUNCTION("""COMPUTED_VALUE"""),83.0)</f>
        <v>83</v>
      </c>
      <c r="H1648" s="1">
        <f>IFERROR(__xludf.DUMMYFUNCTION("""COMPUTED_VALUE"""),46.0)</f>
        <v>46</v>
      </c>
      <c r="I1648" s="1">
        <f>IFERROR(__xludf.DUMMYFUNCTION("""COMPUTED_VALUE"""),54.0)</f>
        <v>54</v>
      </c>
      <c r="J1648" s="1">
        <f>IFERROR(__xludf.DUMMYFUNCTION("""COMPUTED_VALUE"""),69.0)</f>
        <v>69</v>
      </c>
      <c r="K1648" s="1">
        <f>IFERROR(__xludf.DUMMYFUNCTION("""COMPUTED_VALUE"""),92.0)</f>
        <v>92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 t="str">
        <f>IFERROR(__xludf.DUMMYFUNCTION("""COMPUTED_VALUE"""),"A")</f>
        <v>A</v>
      </c>
      <c r="E1649" s="1" t="str">
        <f>IFERROR(__xludf.DUMMYFUNCTION("""COMPUTED_VALUE"""),"Male")</f>
        <v>Male</v>
      </c>
      <c r="F1649" s="1">
        <f>IFERROR(__xludf.DUMMYFUNCTION("""COMPUTED_VALUE"""),33.0)</f>
        <v>33</v>
      </c>
      <c r="G1649" s="1">
        <f>IFERROR(__xludf.DUMMYFUNCTION("""COMPUTED_VALUE"""),42.0)</f>
        <v>42</v>
      </c>
      <c r="H1649" s="1">
        <f>IFERROR(__xludf.DUMMYFUNCTION("""COMPUTED_VALUE"""),61.0)</f>
        <v>61</v>
      </c>
      <c r="I1649" s="1">
        <f>IFERROR(__xludf.DUMMYFUNCTION("""COMPUTED_VALUE"""),99.0)</f>
        <v>99</v>
      </c>
      <c r="J1649" s="1">
        <f>IFERROR(__xludf.DUMMYFUNCTION("""COMPUTED_VALUE"""),20.0)</f>
        <v>20</v>
      </c>
      <c r="K1649" s="1">
        <f>IFERROR(__xludf.DUMMYFUNCTION("""COMPUTED_VALUE"""),54.0)</f>
        <v>54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 t="str">
        <f>IFERROR(__xludf.DUMMYFUNCTION("""COMPUTED_VALUE"""),"A")</f>
        <v>A</v>
      </c>
      <c r="E1650" s="1" t="str">
        <f>IFERROR(__xludf.DUMMYFUNCTION("""COMPUTED_VALUE"""),"Female")</f>
        <v>Female</v>
      </c>
      <c r="F1650" s="1">
        <f>IFERROR(__xludf.DUMMYFUNCTION("""COMPUTED_VALUE"""),79.0)</f>
        <v>79</v>
      </c>
      <c r="G1650" s="1">
        <f>IFERROR(__xludf.DUMMYFUNCTION("""COMPUTED_VALUE"""),52.0)</f>
        <v>52</v>
      </c>
      <c r="H1650" s="1">
        <f>IFERROR(__xludf.DUMMYFUNCTION("""COMPUTED_VALUE"""),88.0)</f>
        <v>88</v>
      </c>
      <c r="I1650" s="1">
        <f>IFERROR(__xludf.DUMMYFUNCTION("""COMPUTED_VALUE"""),80.0)</f>
        <v>80</v>
      </c>
      <c r="J1650" s="1">
        <f>IFERROR(__xludf.DUMMYFUNCTION("""COMPUTED_VALUE"""),70.0)</f>
        <v>70</v>
      </c>
      <c r="K1650" s="1">
        <f>IFERROR(__xludf.DUMMYFUNCTION("""COMPUTED_VALUE"""),78.0)</f>
        <v>78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 t="str">
        <f>IFERROR(__xludf.DUMMYFUNCTION("""COMPUTED_VALUE"""),"A")</f>
        <v>A</v>
      </c>
      <c r="E1651" s="1" t="str">
        <f>IFERROR(__xludf.DUMMYFUNCTION("""COMPUTED_VALUE"""),"Male")</f>
        <v>Male</v>
      </c>
      <c r="F1651" s="1">
        <f>IFERROR(__xludf.DUMMYFUNCTION("""COMPUTED_VALUE"""),17.0)</f>
        <v>17</v>
      </c>
      <c r="G1651" s="1">
        <f>IFERROR(__xludf.DUMMYFUNCTION("""COMPUTED_VALUE"""),61.0)</f>
        <v>61</v>
      </c>
      <c r="H1651" s="1">
        <f>IFERROR(__xludf.DUMMYFUNCTION("""COMPUTED_VALUE"""),42.0)</f>
        <v>42</v>
      </c>
      <c r="I1651" s="1">
        <f>IFERROR(__xludf.DUMMYFUNCTION("""COMPUTED_VALUE"""),99.0)</f>
        <v>99</v>
      </c>
      <c r="J1651" s="1">
        <f>IFERROR(__xludf.DUMMYFUNCTION("""COMPUTED_VALUE"""),49.0)</f>
        <v>49</v>
      </c>
      <c r="K1651" s="1">
        <f>IFERROR(__xludf.DUMMYFUNCTION("""COMPUTED_VALUE"""),76.0)</f>
        <v>76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 t="str">
        <f>IFERROR(__xludf.DUMMYFUNCTION("""COMPUTED_VALUE"""),"B")</f>
        <v>B</v>
      </c>
      <c r="E1652" s="1" t="str">
        <f>IFERROR(__xludf.DUMMYFUNCTION("""COMPUTED_VALUE"""),"Male")</f>
        <v>Male</v>
      </c>
      <c r="F1652" s="1">
        <f>IFERROR(__xludf.DUMMYFUNCTION("""COMPUTED_VALUE"""),69.0)</f>
        <v>69</v>
      </c>
      <c r="G1652" s="1">
        <f>IFERROR(__xludf.DUMMYFUNCTION("""COMPUTED_VALUE"""),91.0)</f>
        <v>91</v>
      </c>
      <c r="H1652" s="1">
        <f>IFERROR(__xludf.DUMMYFUNCTION("""COMPUTED_VALUE"""),63.0)</f>
        <v>63</v>
      </c>
      <c r="I1652" s="1">
        <f>IFERROR(__xludf.DUMMYFUNCTION("""COMPUTED_VALUE"""),56.0)</f>
        <v>56</v>
      </c>
      <c r="J1652" s="1">
        <f>IFERROR(__xludf.DUMMYFUNCTION("""COMPUTED_VALUE"""),59.0)</f>
        <v>59</v>
      </c>
      <c r="K1652" s="1">
        <f>IFERROR(__xludf.DUMMYFUNCTION("""COMPUTED_VALUE"""),39.0)</f>
        <v>39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 t="str">
        <f>IFERROR(__xludf.DUMMYFUNCTION("""COMPUTED_VALUE"""),"D")</f>
        <v>D</v>
      </c>
      <c r="E1653" s="1" t="str">
        <f>IFERROR(__xludf.DUMMYFUNCTION("""COMPUTED_VALUE"""),"Female")</f>
        <v>Female</v>
      </c>
      <c r="F1653" s="1">
        <f>IFERROR(__xludf.DUMMYFUNCTION("""COMPUTED_VALUE"""),93.0)</f>
        <v>93</v>
      </c>
      <c r="G1653" s="1">
        <f>IFERROR(__xludf.DUMMYFUNCTION("""COMPUTED_VALUE"""),61.0)</f>
        <v>61</v>
      </c>
      <c r="H1653" s="1">
        <f>IFERROR(__xludf.DUMMYFUNCTION("""COMPUTED_VALUE"""),57.0)</f>
        <v>57</v>
      </c>
      <c r="I1653" s="1">
        <f>IFERROR(__xludf.DUMMYFUNCTION("""COMPUTED_VALUE"""),49.0)</f>
        <v>49</v>
      </c>
      <c r="J1653" s="1">
        <f>IFERROR(__xludf.DUMMYFUNCTION("""COMPUTED_VALUE"""),51.0)</f>
        <v>51</v>
      </c>
      <c r="K1653" s="1">
        <f>IFERROR(__xludf.DUMMYFUNCTION("""COMPUTED_VALUE"""),53.0)</f>
        <v>53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 t="str">
        <f>IFERROR(__xludf.DUMMYFUNCTION("""COMPUTED_VALUE"""),"A")</f>
        <v>A</v>
      </c>
      <c r="E1654" s="1" t="str">
        <f>IFERROR(__xludf.DUMMYFUNCTION("""COMPUTED_VALUE"""),"Female")</f>
        <v>Female</v>
      </c>
      <c r="F1654" s="1">
        <f>IFERROR(__xludf.DUMMYFUNCTION("""COMPUTED_VALUE"""),35.0)</f>
        <v>35</v>
      </c>
      <c r="G1654" s="1">
        <f>IFERROR(__xludf.DUMMYFUNCTION("""COMPUTED_VALUE"""),63.0)</f>
        <v>63</v>
      </c>
      <c r="H1654" s="1">
        <f>IFERROR(__xludf.DUMMYFUNCTION("""COMPUTED_VALUE"""),23.0)</f>
        <v>23</v>
      </c>
      <c r="I1654" s="1">
        <f>IFERROR(__xludf.DUMMYFUNCTION("""COMPUTED_VALUE"""),24.0)</f>
        <v>24</v>
      </c>
      <c r="J1654" s="1">
        <f>IFERROR(__xludf.DUMMYFUNCTION("""COMPUTED_VALUE"""),94.0)</f>
        <v>94</v>
      </c>
      <c r="K1654" s="1">
        <f>IFERROR(__xludf.DUMMYFUNCTION("""COMPUTED_VALUE"""),68.0)</f>
        <v>68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 t="str">
        <f>IFERROR(__xludf.DUMMYFUNCTION("""COMPUTED_VALUE"""),"D")</f>
        <v>D</v>
      </c>
      <c r="E1655" s="1" t="str">
        <f>IFERROR(__xludf.DUMMYFUNCTION("""COMPUTED_VALUE"""),"Female")</f>
        <v>Female</v>
      </c>
      <c r="F1655" s="1">
        <f>IFERROR(__xludf.DUMMYFUNCTION("""COMPUTED_VALUE"""),35.0)</f>
        <v>35</v>
      </c>
      <c r="G1655" s="1">
        <f>IFERROR(__xludf.DUMMYFUNCTION("""COMPUTED_VALUE"""),43.0)</f>
        <v>43</v>
      </c>
      <c r="H1655" s="1">
        <f>IFERROR(__xludf.DUMMYFUNCTION("""COMPUTED_VALUE"""),91.0)</f>
        <v>91</v>
      </c>
      <c r="I1655" s="1">
        <f>IFERROR(__xludf.DUMMYFUNCTION("""COMPUTED_VALUE"""),89.0)</f>
        <v>89</v>
      </c>
      <c r="J1655" s="1">
        <f>IFERROR(__xludf.DUMMYFUNCTION("""COMPUTED_VALUE"""),92.0)</f>
        <v>92</v>
      </c>
      <c r="K1655" s="1">
        <f>IFERROR(__xludf.DUMMYFUNCTION("""COMPUTED_VALUE"""),34.0)</f>
        <v>34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 t="str">
        <f>IFERROR(__xludf.DUMMYFUNCTION("""COMPUTED_VALUE"""),"B")</f>
        <v>B</v>
      </c>
      <c r="E1656" s="1" t="str">
        <f>IFERROR(__xludf.DUMMYFUNCTION("""COMPUTED_VALUE"""),"Female")</f>
        <v>Female</v>
      </c>
      <c r="F1656" s="1">
        <f>IFERROR(__xludf.DUMMYFUNCTION("""COMPUTED_VALUE"""),50.0)</f>
        <v>50</v>
      </c>
      <c r="G1656" s="1">
        <f>IFERROR(__xludf.DUMMYFUNCTION("""COMPUTED_VALUE"""),84.0)</f>
        <v>84</v>
      </c>
      <c r="H1656" s="1">
        <f>IFERROR(__xludf.DUMMYFUNCTION("""COMPUTED_VALUE"""),44.0)</f>
        <v>44</v>
      </c>
      <c r="I1656" s="1">
        <f>IFERROR(__xludf.DUMMYFUNCTION("""COMPUTED_VALUE"""),91.0)</f>
        <v>91</v>
      </c>
      <c r="J1656" s="1">
        <f>IFERROR(__xludf.DUMMYFUNCTION("""COMPUTED_VALUE"""),20.0)</f>
        <v>20</v>
      </c>
      <c r="K1656" s="1">
        <f>IFERROR(__xludf.DUMMYFUNCTION("""COMPUTED_VALUE"""),27.0)</f>
        <v>27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 t="str">
        <f>IFERROR(__xludf.DUMMYFUNCTION("""COMPUTED_VALUE"""),"A")</f>
        <v>A</v>
      </c>
      <c r="E1657" s="1" t="str">
        <f>IFERROR(__xludf.DUMMYFUNCTION("""COMPUTED_VALUE"""),"Female")</f>
        <v>Female</v>
      </c>
      <c r="F1657" s="1">
        <f>IFERROR(__xludf.DUMMYFUNCTION("""COMPUTED_VALUE"""),56.0)</f>
        <v>56</v>
      </c>
      <c r="G1657" s="1">
        <f>IFERROR(__xludf.DUMMYFUNCTION("""COMPUTED_VALUE"""),62.0)</f>
        <v>62</v>
      </c>
      <c r="H1657" s="1">
        <f>IFERROR(__xludf.DUMMYFUNCTION("""COMPUTED_VALUE"""),38.0)</f>
        <v>38</v>
      </c>
      <c r="I1657" s="1">
        <f>IFERROR(__xludf.DUMMYFUNCTION("""COMPUTED_VALUE"""),25.0)</f>
        <v>25</v>
      </c>
      <c r="J1657" s="1">
        <f>IFERROR(__xludf.DUMMYFUNCTION("""COMPUTED_VALUE"""),26.0)</f>
        <v>26</v>
      </c>
      <c r="K1657" s="1">
        <f>IFERROR(__xludf.DUMMYFUNCTION("""COMPUTED_VALUE"""),64.0)</f>
        <v>64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 t="str">
        <f>IFERROR(__xludf.DUMMYFUNCTION("""COMPUTED_VALUE"""),"D")</f>
        <v>D</v>
      </c>
      <c r="E1658" s="1" t="str">
        <f>IFERROR(__xludf.DUMMYFUNCTION("""COMPUTED_VALUE"""),"Male")</f>
        <v>Male</v>
      </c>
      <c r="F1658" s="1">
        <f>IFERROR(__xludf.DUMMYFUNCTION("""COMPUTED_VALUE"""),45.0)</f>
        <v>45</v>
      </c>
      <c r="G1658" s="1">
        <f>IFERROR(__xludf.DUMMYFUNCTION("""COMPUTED_VALUE"""),32.0)</f>
        <v>32</v>
      </c>
      <c r="H1658" s="1">
        <f>IFERROR(__xludf.DUMMYFUNCTION("""COMPUTED_VALUE"""),78.0)</f>
        <v>78</v>
      </c>
      <c r="I1658" s="1">
        <f>IFERROR(__xludf.DUMMYFUNCTION("""COMPUTED_VALUE"""),36.0)</f>
        <v>36</v>
      </c>
      <c r="J1658" s="1">
        <f>IFERROR(__xludf.DUMMYFUNCTION("""COMPUTED_VALUE"""),52.0)</f>
        <v>52</v>
      </c>
      <c r="K1658" s="1">
        <f>IFERROR(__xludf.DUMMYFUNCTION("""COMPUTED_VALUE"""),62.0)</f>
        <v>62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 t="str">
        <f>IFERROR(__xludf.DUMMYFUNCTION("""COMPUTED_VALUE"""),"B")</f>
        <v>B</v>
      </c>
      <c r="E1659" s="1" t="str">
        <f>IFERROR(__xludf.DUMMYFUNCTION("""COMPUTED_VALUE"""),"Male")</f>
        <v>Male</v>
      </c>
      <c r="F1659" s="1">
        <f>IFERROR(__xludf.DUMMYFUNCTION("""COMPUTED_VALUE"""),44.0)</f>
        <v>44</v>
      </c>
      <c r="G1659" s="1">
        <f>IFERROR(__xludf.DUMMYFUNCTION("""COMPUTED_VALUE"""),53.0)</f>
        <v>53</v>
      </c>
      <c r="H1659" s="1">
        <f>IFERROR(__xludf.DUMMYFUNCTION("""COMPUTED_VALUE"""),67.0)</f>
        <v>67</v>
      </c>
      <c r="I1659" s="1">
        <f>IFERROR(__xludf.DUMMYFUNCTION("""COMPUTED_VALUE"""),57.0)</f>
        <v>57</v>
      </c>
      <c r="J1659" s="1">
        <f>IFERROR(__xludf.DUMMYFUNCTION("""COMPUTED_VALUE"""),52.0)</f>
        <v>52</v>
      </c>
      <c r="K1659" s="1">
        <f>IFERROR(__xludf.DUMMYFUNCTION("""COMPUTED_VALUE"""),93.0)</f>
        <v>93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 t="str">
        <f>IFERROR(__xludf.DUMMYFUNCTION("""COMPUTED_VALUE"""),"B")</f>
        <v>B</v>
      </c>
      <c r="E1660" s="1" t="str">
        <f>IFERROR(__xludf.DUMMYFUNCTION("""COMPUTED_VALUE"""),"Male")</f>
        <v>Male</v>
      </c>
      <c r="F1660" s="1">
        <f>IFERROR(__xludf.DUMMYFUNCTION("""COMPUTED_VALUE"""),89.0)</f>
        <v>89</v>
      </c>
      <c r="G1660" s="1">
        <f>IFERROR(__xludf.DUMMYFUNCTION("""COMPUTED_VALUE"""),55.0)</f>
        <v>55</v>
      </c>
      <c r="H1660" s="1">
        <f>IFERROR(__xludf.DUMMYFUNCTION("""COMPUTED_VALUE"""),61.0)</f>
        <v>61</v>
      </c>
      <c r="I1660" s="1">
        <f>IFERROR(__xludf.DUMMYFUNCTION("""COMPUTED_VALUE"""),51.0)</f>
        <v>51</v>
      </c>
      <c r="J1660" s="1">
        <f>IFERROR(__xludf.DUMMYFUNCTION("""COMPUTED_VALUE"""),34.0)</f>
        <v>34</v>
      </c>
      <c r="K1660" s="1">
        <f>IFERROR(__xludf.DUMMYFUNCTION("""COMPUTED_VALUE"""),29.0)</f>
        <v>29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 t="str">
        <f>IFERROR(__xludf.DUMMYFUNCTION("""COMPUTED_VALUE"""),"D")</f>
        <v>D</v>
      </c>
      <c r="E1661" s="1" t="str">
        <f>IFERROR(__xludf.DUMMYFUNCTION("""COMPUTED_VALUE"""),"Female")</f>
        <v>Female</v>
      </c>
      <c r="F1661" s="1">
        <f>IFERROR(__xludf.DUMMYFUNCTION("""COMPUTED_VALUE"""),98.0)</f>
        <v>98</v>
      </c>
      <c r="G1661" s="1">
        <f>IFERROR(__xludf.DUMMYFUNCTION("""COMPUTED_VALUE"""),29.0)</f>
        <v>29</v>
      </c>
      <c r="H1661" s="1">
        <f>IFERROR(__xludf.DUMMYFUNCTION("""COMPUTED_VALUE"""),58.0)</f>
        <v>58</v>
      </c>
      <c r="I1661" s="1">
        <f>IFERROR(__xludf.DUMMYFUNCTION("""COMPUTED_VALUE"""),60.0)</f>
        <v>60</v>
      </c>
      <c r="J1661" s="1">
        <f>IFERROR(__xludf.DUMMYFUNCTION("""COMPUTED_VALUE"""),57.0)</f>
        <v>57</v>
      </c>
      <c r="K1661" s="1">
        <f>IFERROR(__xludf.DUMMYFUNCTION("""COMPUTED_VALUE"""),95.0)</f>
        <v>95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 t="str">
        <f>IFERROR(__xludf.DUMMYFUNCTION("""COMPUTED_VALUE"""),"A")</f>
        <v>A</v>
      </c>
      <c r="E1662" s="1" t="str">
        <f>IFERROR(__xludf.DUMMYFUNCTION("""COMPUTED_VALUE"""),"Male")</f>
        <v>Male</v>
      </c>
      <c r="F1662" s="1">
        <f>IFERROR(__xludf.DUMMYFUNCTION("""COMPUTED_VALUE"""),76.0)</f>
        <v>76</v>
      </c>
      <c r="G1662" s="1">
        <f>IFERROR(__xludf.DUMMYFUNCTION("""COMPUTED_VALUE"""),20.0)</f>
        <v>20</v>
      </c>
      <c r="H1662" s="1">
        <f>IFERROR(__xludf.DUMMYFUNCTION("""COMPUTED_VALUE"""),50.0)</f>
        <v>50</v>
      </c>
      <c r="I1662" s="1">
        <f>IFERROR(__xludf.DUMMYFUNCTION("""COMPUTED_VALUE"""),62.0)</f>
        <v>62</v>
      </c>
      <c r="J1662" s="1">
        <f>IFERROR(__xludf.DUMMYFUNCTION("""COMPUTED_VALUE"""),71.0)</f>
        <v>71</v>
      </c>
      <c r="K1662" s="1">
        <f>IFERROR(__xludf.DUMMYFUNCTION("""COMPUTED_VALUE"""),58.0)</f>
        <v>58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 t="str">
        <f>IFERROR(__xludf.DUMMYFUNCTION("""COMPUTED_VALUE"""),"D")</f>
        <v>D</v>
      </c>
      <c r="E1663" s="1" t="str">
        <f>IFERROR(__xludf.DUMMYFUNCTION("""COMPUTED_VALUE"""),"Female")</f>
        <v>Female</v>
      </c>
      <c r="F1663" s="1">
        <f>IFERROR(__xludf.DUMMYFUNCTION("""COMPUTED_VALUE"""),47.0)</f>
        <v>47</v>
      </c>
      <c r="G1663" s="1">
        <f>IFERROR(__xludf.DUMMYFUNCTION("""COMPUTED_VALUE"""),55.0)</f>
        <v>55</v>
      </c>
      <c r="H1663" s="1">
        <f>IFERROR(__xludf.DUMMYFUNCTION("""COMPUTED_VALUE"""),54.0)</f>
        <v>54</v>
      </c>
      <c r="I1663" s="1">
        <f>IFERROR(__xludf.DUMMYFUNCTION("""COMPUTED_VALUE"""),32.0)</f>
        <v>32</v>
      </c>
      <c r="J1663" s="1">
        <f>IFERROR(__xludf.DUMMYFUNCTION("""COMPUTED_VALUE"""),22.0)</f>
        <v>22</v>
      </c>
      <c r="K1663" s="1">
        <f>IFERROR(__xludf.DUMMYFUNCTION("""COMPUTED_VALUE"""),88.0)</f>
        <v>88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 t="str">
        <f>IFERROR(__xludf.DUMMYFUNCTION("""COMPUTED_VALUE"""),"C")</f>
        <v>C</v>
      </c>
      <c r="E1664" s="1" t="str">
        <f>IFERROR(__xludf.DUMMYFUNCTION("""COMPUTED_VALUE"""),"Female")</f>
        <v>Female</v>
      </c>
      <c r="F1664" s="1">
        <f>IFERROR(__xludf.DUMMYFUNCTION("""COMPUTED_VALUE"""),33.0)</f>
        <v>33</v>
      </c>
      <c r="G1664" s="1">
        <f>IFERROR(__xludf.DUMMYFUNCTION("""COMPUTED_VALUE"""),39.0)</f>
        <v>39</v>
      </c>
      <c r="H1664" s="1">
        <f>IFERROR(__xludf.DUMMYFUNCTION("""COMPUTED_VALUE"""),60.0)</f>
        <v>60</v>
      </c>
      <c r="I1664" s="1">
        <f>IFERROR(__xludf.DUMMYFUNCTION("""COMPUTED_VALUE"""),45.0)</f>
        <v>45</v>
      </c>
      <c r="J1664" s="1">
        <f>IFERROR(__xludf.DUMMYFUNCTION("""COMPUTED_VALUE"""),41.0)</f>
        <v>41</v>
      </c>
      <c r="K1664" s="1">
        <f>IFERROR(__xludf.DUMMYFUNCTION("""COMPUTED_VALUE"""),53.0)</f>
        <v>53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 t="str">
        <f>IFERROR(__xludf.DUMMYFUNCTION("""COMPUTED_VALUE"""),"A")</f>
        <v>A</v>
      </c>
      <c r="E1665" s="1" t="str">
        <f>IFERROR(__xludf.DUMMYFUNCTION("""COMPUTED_VALUE"""),"Female")</f>
        <v>Female</v>
      </c>
      <c r="F1665" s="1">
        <f>IFERROR(__xludf.DUMMYFUNCTION("""COMPUTED_VALUE"""),72.0)</f>
        <v>72</v>
      </c>
      <c r="G1665" s="1">
        <f>IFERROR(__xludf.DUMMYFUNCTION("""COMPUTED_VALUE"""),31.0)</f>
        <v>31</v>
      </c>
      <c r="H1665" s="1">
        <f>IFERROR(__xludf.DUMMYFUNCTION("""COMPUTED_VALUE"""),49.0)</f>
        <v>49</v>
      </c>
      <c r="I1665" s="1">
        <f>IFERROR(__xludf.DUMMYFUNCTION("""COMPUTED_VALUE"""),60.0)</f>
        <v>60</v>
      </c>
      <c r="J1665" s="1">
        <f>IFERROR(__xludf.DUMMYFUNCTION("""COMPUTED_VALUE"""),51.0)</f>
        <v>51</v>
      </c>
      <c r="K1665" s="1">
        <f>IFERROR(__xludf.DUMMYFUNCTION("""COMPUTED_VALUE"""),29.0)</f>
        <v>29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 t="str">
        <f>IFERROR(__xludf.DUMMYFUNCTION("""COMPUTED_VALUE"""),"C")</f>
        <v>C</v>
      </c>
      <c r="E1666" s="1" t="str">
        <f>IFERROR(__xludf.DUMMYFUNCTION("""COMPUTED_VALUE"""),"Female")</f>
        <v>Female</v>
      </c>
      <c r="F1666" s="1">
        <f>IFERROR(__xludf.DUMMYFUNCTION("""COMPUTED_VALUE"""),21.0)</f>
        <v>21</v>
      </c>
      <c r="G1666" s="1">
        <f>IFERROR(__xludf.DUMMYFUNCTION("""COMPUTED_VALUE"""),34.0)</f>
        <v>34</v>
      </c>
      <c r="H1666" s="1">
        <f>IFERROR(__xludf.DUMMYFUNCTION("""COMPUTED_VALUE"""),56.0)</f>
        <v>56</v>
      </c>
      <c r="I1666" s="1">
        <f>IFERROR(__xludf.DUMMYFUNCTION("""COMPUTED_VALUE"""),61.0)</f>
        <v>61</v>
      </c>
      <c r="J1666" s="1">
        <f>IFERROR(__xludf.DUMMYFUNCTION("""COMPUTED_VALUE"""),27.0)</f>
        <v>27</v>
      </c>
      <c r="K1666" s="1">
        <f>IFERROR(__xludf.DUMMYFUNCTION("""COMPUTED_VALUE"""),95.0)</f>
        <v>95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 t="str">
        <f>IFERROR(__xludf.DUMMYFUNCTION("""COMPUTED_VALUE"""),"A")</f>
        <v>A</v>
      </c>
      <c r="E1667" s="1" t="str">
        <f>IFERROR(__xludf.DUMMYFUNCTION("""COMPUTED_VALUE"""),"Female")</f>
        <v>Female</v>
      </c>
      <c r="F1667" s="1">
        <f>IFERROR(__xludf.DUMMYFUNCTION("""COMPUTED_VALUE"""),30.0)</f>
        <v>30</v>
      </c>
      <c r="G1667" s="1">
        <f>IFERROR(__xludf.DUMMYFUNCTION("""COMPUTED_VALUE"""),56.0)</f>
        <v>56</v>
      </c>
      <c r="H1667" s="1">
        <f>IFERROR(__xludf.DUMMYFUNCTION("""COMPUTED_VALUE"""),90.0)</f>
        <v>90</v>
      </c>
      <c r="I1667" s="1">
        <f>IFERROR(__xludf.DUMMYFUNCTION("""COMPUTED_VALUE"""),62.0)</f>
        <v>62</v>
      </c>
      <c r="J1667" s="1">
        <f>IFERROR(__xludf.DUMMYFUNCTION("""COMPUTED_VALUE"""),40.0)</f>
        <v>40</v>
      </c>
      <c r="K1667" s="1">
        <f>IFERROR(__xludf.DUMMYFUNCTION("""COMPUTED_VALUE"""),60.0)</f>
        <v>60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 t="str">
        <f>IFERROR(__xludf.DUMMYFUNCTION("""COMPUTED_VALUE"""),"B")</f>
        <v>B</v>
      </c>
      <c r="E1668" s="1" t="str">
        <f>IFERROR(__xludf.DUMMYFUNCTION("""COMPUTED_VALUE"""),"Female")</f>
        <v>Female</v>
      </c>
      <c r="F1668" s="1">
        <f>IFERROR(__xludf.DUMMYFUNCTION("""COMPUTED_VALUE"""),34.0)</f>
        <v>34</v>
      </c>
      <c r="G1668" s="1">
        <f>IFERROR(__xludf.DUMMYFUNCTION("""COMPUTED_VALUE"""),88.0)</f>
        <v>88</v>
      </c>
      <c r="H1668" s="1">
        <f>IFERROR(__xludf.DUMMYFUNCTION("""COMPUTED_VALUE"""),72.0)</f>
        <v>72</v>
      </c>
      <c r="I1668" s="1">
        <f>IFERROR(__xludf.DUMMYFUNCTION("""COMPUTED_VALUE"""),20.0)</f>
        <v>20</v>
      </c>
      <c r="J1668" s="1">
        <f>IFERROR(__xludf.DUMMYFUNCTION("""COMPUTED_VALUE"""),81.0)</f>
        <v>81</v>
      </c>
      <c r="K1668" s="1">
        <f>IFERROR(__xludf.DUMMYFUNCTION("""COMPUTED_VALUE"""),31.0)</f>
        <v>31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 t="str">
        <f>IFERROR(__xludf.DUMMYFUNCTION("""COMPUTED_VALUE"""),"B")</f>
        <v>B</v>
      </c>
      <c r="E1669" s="1" t="str">
        <f>IFERROR(__xludf.DUMMYFUNCTION("""COMPUTED_VALUE"""),"Female")</f>
        <v>Female</v>
      </c>
      <c r="F1669" s="1">
        <f>IFERROR(__xludf.DUMMYFUNCTION("""COMPUTED_VALUE"""),19.0)</f>
        <v>19</v>
      </c>
      <c r="G1669" s="1">
        <f>IFERROR(__xludf.DUMMYFUNCTION("""COMPUTED_VALUE"""),59.0)</f>
        <v>59</v>
      </c>
      <c r="H1669" s="1">
        <f>IFERROR(__xludf.DUMMYFUNCTION("""COMPUTED_VALUE"""),46.0)</f>
        <v>46</v>
      </c>
      <c r="I1669" s="1">
        <f>IFERROR(__xludf.DUMMYFUNCTION("""COMPUTED_VALUE"""),30.0)</f>
        <v>30</v>
      </c>
      <c r="J1669" s="1">
        <f>IFERROR(__xludf.DUMMYFUNCTION("""COMPUTED_VALUE"""),31.0)</f>
        <v>31</v>
      </c>
      <c r="K1669" s="1">
        <f>IFERROR(__xludf.DUMMYFUNCTION("""COMPUTED_VALUE"""),21.0)</f>
        <v>21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 t="str">
        <f>IFERROR(__xludf.DUMMYFUNCTION("""COMPUTED_VALUE"""),"A")</f>
        <v>A</v>
      </c>
      <c r="E1670" s="1" t="str">
        <f>IFERROR(__xludf.DUMMYFUNCTION("""COMPUTED_VALUE"""),"Female")</f>
        <v>Female</v>
      </c>
      <c r="F1670" s="1">
        <f>IFERROR(__xludf.DUMMYFUNCTION("""COMPUTED_VALUE"""),80.0)</f>
        <v>80</v>
      </c>
      <c r="G1670" s="1">
        <f>IFERROR(__xludf.DUMMYFUNCTION("""COMPUTED_VALUE"""),93.0)</f>
        <v>93</v>
      </c>
      <c r="H1670" s="1">
        <f>IFERROR(__xludf.DUMMYFUNCTION("""COMPUTED_VALUE"""),68.0)</f>
        <v>68</v>
      </c>
      <c r="I1670" s="1">
        <f>IFERROR(__xludf.DUMMYFUNCTION("""COMPUTED_VALUE"""),37.0)</f>
        <v>37</v>
      </c>
      <c r="J1670" s="1">
        <f>IFERROR(__xludf.DUMMYFUNCTION("""COMPUTED_VALUE"""),84.0)</f>
        <v>84</v>
      </c>
      <c r="K1670" s="1">
        <f>IFERROR(__xludf.DUMMYFUNCTION("""COMPUTED_VALUE"""),79.0)</f>
        <v>79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 t="str">
        <f>IFERROR(__xludf.DUMMYFUNCTION("""COMPUTED_VALUE"""),"D")</f>
        <v>D</v>
      </c>
      <c r="E1671" s="1" t="str">
        <f>IFERROR(__xludf.DUMMYFUNCTION("""COMPUTED_VALUE"""),"Male")</f>
        <v>Male</v>
      </c>
      <c r="F1671" s="1">
        <f>IFERROR(__xludf.DUMMYFUNCTION("""COMPUTED_VALUE"""),85.0)</f>
        <v>85</v>
      </c>
      <c r="G1671" s="1">
        <f>IFERROR(__xludf.DUMMYFUNCTION("""COMPUTED_VALUE"""),60.0)</f>
        <v>60</v>
      </c>
      <c r="H1671" s="1">
        <f>IFERROR(__xludf.DUMMYFUNCTION("""COMPUTED_VALUE"""),84.0)</f>
        <v>84</v>
      </c>
      <c r="I1671" s="1">
        <f>IFERROR(__xludf.DUMMYFUNCTION("""COMPUTED_VALUE"""),63.0)</f>
        <v>63</v>
      </c>
      <c r="J1671" s="1">
        <f>IFERROR(__xludf.DUMMYFUNCTION("""COMPUTED_VALUE"""),75.0)</f>
        <v>75</v>
      </c>
      <c r="K1671" s="1">
        <f>IFERROR(__xludf.DUMMYFUNCTION("""COMPUTED_VALUE"""),62.0)</f>
        <v>62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 t="str">
        <f>IFERROR(__xludf.DUMMYFUNCTION("""COMPUTED_VALUE"""),"A")</f>
        <v>A</v>
      </c>
      <c r="E1672" s="1" t="str">
        <f>IFERROR(__xludf.DUMMYFUNCTION("""COMPUTED_VALUE"""),"Female")</f>
        <v>Female</v>
      </c>
      <c r="F1672" s="1">
        <f>IFERROR(__xludf.DUMMYFUNCTION("""COMPUTED_VALUE"""),17.0)</f>
        <v>17</v>
      </c>
      <c r="G1672" s="1">
        <f>IFERROR(__xludf.DUMMYFUNCTION("""COMPUTED_VALUE"""),97.0)</f>
        <v>97</v>
      </c>
      <c r="H1672" s="1">
        <f>IFERROR(__xludf.DUMMYFUNCTION("""COMPUTED_VALUE"""),88.0)</f>
        <v>88</v>
      </c>
      <c r="I1672" s="1">
        <f>IFERROR(__xludf.DUMMYFUNCTION("""COMPUTED_VALUE"""),26.0)</f>
        <v>26</v>
      </c>
      <c r="J1672" s="1">
        <f>IFERROR(__xludf.DUMMYFUNCTION("""COMPUTED_VALUE"""),38.0)</f>
        <v>38</v>
      </c>
      <c r="K1672" s="1">
        <f>IFERROR(__xludf.DUMMYFUNCTION("""COMPUTED_VALUE"""),73.0)</f>
        <v>73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 t="str">
        <f>IFERROR(__xludf.DUMMYFUNCTION("""COMPUTED_VALUE"""),"A")</f>
        <v>A</v>
      </c>
      <c r="E1673" s="1" t="str">
        <f>IFERROR(__xludf.DUMMYFUNCTION("""COMPUTED_VALUE"""),"Male")</f>
        <v>Male</v>
      </c>
      <c r="F1673" s="1">
        <f>IFERROR(__xludf.DUMMYFUNCTION("""COMPUTED_VALUE"""),40.0)</f>
        <v>40</v>
      </c>
      <c r="G1673" s="1">
        <f>IFERROR(__xludf.DUMMYFUNCTION("""COMPUTED_VALUE"""),92.0)</f>
        <v>92</v>
      </c>
      <c r="H1673" s="1">
        <f>IFERROR(__xludf.DUMMYFUNCTION("""COMPUTED_VALUE"""),39.0)</f>
        <v>39</v>
      </c>
      <c r="I1673" s="1">
        <f>IFERROR(__xludf.DUMMYFUNCTION("""COMPUTED_VALUE"""),81.0)</f>
        <v>81</v>
      </c>
      <c r="J1673" s="1">
        <f>IFERROR(__xludf.DUMMYFUNCTION("""COMPUTED_VALUE"""),34.0)</f>
        <v>34</v>
      </c>
      <c r="K1673" s="1">
        <f>IFERROR(__xludf.DUMMYFUNCTION("""COMPUTED_VALUE"""),44.0)</f>
        <v>44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 t="str">
        <f>IFERROR(__xludf.DUMMYFUNCTION("""COMPUTED_VALUE"""),"D")</f>
        <v>D</v>
      </c>
      <c r="E1674" s="1" t="str">
        <f>IFERROR(__xludf.DUMMYFUNCTION("""COMPUTED_VALUE"""),"Female")</f>
        <v>Female</v>
      </c>
      <c r="F1674" s="1">
        <f>IFERROR(__xludf.DUMMYFUNCTION("""COMPUTED_VALUE"""),51.0)</f>
        <v>51</v>
      </c>
      <c r="G1674" s="1">
        <f>IFERROR(__xludf.DUMMYFUNCTION("""COMPUTED_VALUE"""),80.0)</f>
        <v>80</v>
      </c>
      <c r="H1674" s="1">
        <f>IFERROR(__xludf.DUMMYFUNCTION("""COMPUTED_VALUE"""),35.0)</f>
        <v>35</v>
      </c>
      <c r="I1674" s="1">
        <f>IFERROR(__xludf.DUMMYFUNCTION("""COMPUTED_VALUE"""),65.0)</f>
        <v>65</v>
      </c>
      <c r="J1674" s="1">
        <f>IFERROR(__xludf.DUMMYFUNCTION("""COMPUTED_VALUE"""),73.0)</f>
        <v>73</v>
      </c>
      <c r="K1674" s="1">
        <f>IFERROR(__xludf.DUMMYFUNCTION("""COMPUTED_VALUE"""),74.0)</f>
        <v>74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 t="str">
        <f>IFERROR(__xludf.DUMMYFUNCTION("""COMPUTED_VALUE"""),"B")</f>
        <v>B</v>
      </c>
      <c r="E1675" s="1" t="str">
        <f>IFERROR(__xludf.DUMMYFUNCTION("""COMPUTED_VALUE"""),"Male")</f>
        <v>Male</v>
      </c>
      <c r="F1675" s="1">
        <f>IFERROR(__xludf.DUMMYFUNCTION("""COMPUTED_VALUE"""),36.0)</f>
        <v>36</v>
      </c>
      <c r="G1675" s="1">
        <f>IFERROR(__xludf.DUMMYFUNCTION("""COMPUTED_VALUE"""),99.0)</f>
        <v>99</v>
      </c>
      <c r="H1675" s="1">
        <f>IFERROR(__xludf.DUMMYFUNCTION("""COMPUTED_VALUE"""),96.0)</f>
        <v>96</v>
      </c>
      <c r="I1675" s="1">
        <f>IFERROR(__xludf.DUMMYFUNCTION("""COMPUTED_VALUE"""),41.0)</f>
        <v>41</v>
      </c>
      <c r="J1675" s="1">
        <f>IFERROR(__xludf.DUMMYFUNCTION("""COMPUTED_VALUE"""),28.0)</f>
        <v>28</v>
      </c>
      <c r="K1675" s="1">
        <f>IFERROR(__xludf.DUMMYFUNCTION("""COMPUTED_VALUE"""),31.0)</f>
        <v>31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 t="str">
        <f>IFERROR(__xludf.DUMMYFUNCTION("""COMPUTED_VALUE"""),"D")</f>
        <v>D</v>
      </c>
      <c r="E1676" s="1" t="str">
        <f>IFERROR(__xludf.DUMMYFUNCTION("""COMPUTED_VALUE"""),"Female")</f>
        <v>Female</v>
      </c>
      <c r="F1676" s="1">
        <f>IFERROR(__xludf.DUMMYFUNCTION("""COMPUTED_VALUE"""),29.0)</f>
        <v>29</v>
      </c>
      <c r="G1676" s="1">
        <f>IFERROR(__xludf.DUMMYFUNCTION("""COMPUTED_VALUE"""),38.0)</f>
        <v>38</v>
      </c>
      <c r="H1676" s="1">
        <f>IFERROR(__xludf.DUMMYFUNCTION("""COMPUTED_VALUE"""),28.0)</f>
        <v>28</v>
      </c>
      <c r="I1676" s="1">
        <f>IFERROR(__xludf.DUMMYFUNCTION("""COMPUTED_VALUE"""),99.0)</f>
        <v>99</v>
      </c>
      <c r="J1676" s="1">
        <f>IFERROR(__xludf.DUMMYFUNCTION("""COMPUTED_VALUE"""),44.0)</f>
        <v>44</v>
      </c>
      <c r="K1676" s="1">
        <f>IFERROR(__xludf.DUMMYFUNCTION("""COMPUTED_VALUE"""),32.0)</f>
        <v>32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 t="str">
        <f>IFERROR(__xludf.DUMMYFUNCTION("""COMPUTED_VALUE"""),"A")</f>
        <v>A</v>
      </c>
      <c r="E1677" s="1" t="str">
        <f>IFERROR(__xludf.DUMMYFUNCTION("""COMPUTED_VALUE"""),"Male")</f>
        <v>Male</v>
      </c>
      <c r="F1677" s="1">
        <f>IFERROR(__xludf.DUMMYFUNCTION("""COMPUTED_VALUE"""),31.0)</f>
        <v>31</v>
      </c>
      <c r="G1677" s="1">
        <f>IFERROR(__xludf.DUMMYFUNCTION("""COMPUTED_VALUE"""),20.0)</f>
        <v>20</v>
      </c>
      <c r="H1677" s="1">
        <f>IFERROR(__xludf.DUMMYFUNCTION("""COMPUTED_VALUE"""),58.0)</f>
        <v>58</v>
      </c>
      <c r="I1677" s="1">
        <f>IFERROR(__xludf.DUMMYFUNCTION("""COMPUTED_VALUE"""),95.0)</f>
        <v>95</v>
      </c>
      <c r="J1677" s="1">
        <f>IFERROR(__xludf.DUMMYFUNCTION("""COMPUTED_VALUE"""),57.0)</f>
        <v>57</v>
      </c>
      <c r="K1677" s="1">
        <f>IFERROR(__xludf.DUMMYFUNCTION("""COMPUTED_VALUE"""),57.0)</f>
        <v>57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 t="str">
        <f>IFERROR(__xludf.DUMMYFUNCTION("""COMPUTED_VALUE"""),"D")</f>
        <v>D</v>
      </c>
      <c r="E1678" s="1" t="str">
        <f>IFERROR(__xludf.DUMMYFUNCTION("""COMPUTED_VALUE"""),"Female")</f>
        <v>Female</v>
      </c>
      <c r="F1678" s="1">
        <f>IFERROR(__xludf.DUMMYFUNCTION("""COMPUTED_VALUE"""),12.0)</f>
        <v>12</v>
      </c>
      <c r="G1678" s="1">
        <f>IFERROR(__xludf.DUMMYFUNCTION("""COMPUTED_VALUE"""),76.0)</f>
        <v>76</v>
      </c>
      <c r="H1678" s="1">
        <f>IFERROR(__xludf.DUMMYFUNCTION("""COMPUTED_VALUE"""),44.0)</f>
        <v>44</v>
      </c>
      <c r="I1678" s="1">
        <f>IFERROR(__xludf.DUMMYFUNCTION("""COMPUTED_VALUE"""),83.0)</f>
        <v>83</v>
      </c>
      <c r="J1678" s="1">
        <f>IFERROR(__xludf.DUMMYFUNCTION("""COMPUTED_VALUE"""),81.0)</f>
        <v>81</v>
      </c>
      <c r="K1678" s="1">
        <f>IFERROR(__xludf.DUMMYFUNCTION("""COMPUTED_VALUE"""),52.0)</f>
        <v>52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 t="str">
        <f>IFERROR(__xludf.DUMMYFUNCTION("""COMPUTED_VALUE"""),"C")</f>
        <v>C</v>
      </c>
      <c r="E1679" s="1" t="str">
        <f>IFERROR(__xludf.DUMMYFUNCTION("""COMPUTED_VALUE"""),"Male")</f>
        <v>Male</v>
      </c>
      <c r="F1679" s="1">
        <f>IFERROR(__xludf.DUMMYFUNCTION("""COMPUTED_VALUE"""),33.0)</f>
        <v>33</v>
      </c>
      <c r="G1679" s="1">
        <f>IFERROR(__xludf.DUMMYFUNCTION("""COMPUTED_VALUE"""),38.0)</f>
        <v>38</v>
      </c>
      <c r="H1679" s="1">
        <f>IFERROR(__xludf.DUMMYFUNCTION("""COMPUTED_VALUE"""),25.0)</f>
        <v>25</v>
      </c>
      <c r="I1679" s="1">
        <f>IFERROR(__xludf.DUMMYFUNCTION("""COMPUTED_VALUE"""),99.0)</f>
        <v>99</v>
      </c>
      <c r="J1679" s="1">
        <f>IFERROR(__xludf.DUMMYFUNCTION("""COMPUTED_VALUE"""),94.0)</f>
        <v>94</v>
      </c>
      <c r="K1679" s="1">
        <f>IFERROR(__xludf.DUMMYFUNCTION("""COMPUTED_VALUE"""),29.0)</f>
        <v>29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 t="str">
        <f>IFERROR(__xludf.DUMMYFUNCTION("""COMPUTED_VALUE"""),"A")</f>
        <v>A</v>
      </c>
      <c r="E1680" s="1" t="str">
        <f>IFERROR(__xludf.DUMMYFUNCTION("""COMPUTED_VALUE"""),"Male")</f>
        <v>Male</v>
      </c>
      <c r="F1680" s="1">
        <f>IFERROR(__xludf.DUMMYFUNCTION("""COMPUTED_VALUE"""),44.0)</f>
        <v>44</v>
      </c>
      <c r="G1680" s="1">
        <f>IFERROR(__xludf.DUMMYFUNCTION("""COMPUTED_VALUE"""),59.0)</f>
        <v>59</v>
      </c>
      <c r="H1680" s="1">
        <f>IFERROR(__xludf.DUMMYFUNCTION("""COMPUTED_VALUE"""),31.0)</f>
        <v>31</v>
      </c>
      <c r="I1680" s="1">
        <f>IFERROR(__xludf.DUMMYFUNCTION("""COMPUTED_VALUE"""),87.0)</f>
        <v>87</v>
      </c>
      <c r="J1680" s="1">
        <f>IFERROR(__xludf.DUMMYFUNCTION("""COMPUTED_VALUE"""),88.0)</f>
        <v>88</v>
      </c>
      <c r="K1680" s="1">
        <f>IFERROR(__xludf.DUMMYFUNCTION("""COMPUTED_VALUE"""),97.0)</f>
        <v>97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 t="str">
        <f>IFERROR(__xludf.DUMMYFUNCTION("""COMPUTED_VALUE"""),"D")</f>
        <v>D</v>
      </c>
      <c r="E1681" s="1" t="str">
        <f>IFERROR(__xludf.DUMMYFUNCTION("""COMPUTED_VALUE"""),"Female")</f>
        <v>Female</v>
      </c>
      <c r="F1681" s="1">
        <f>IFERROR(__xludf.DUMMYFUNCTION("""COMPUTED_VALUE"""),38.0)</f>
        <v>38</v>
      </c>
      <c r="G1681" s="1">
        <f>IFERROR(__xludf.DUMMYFUNCTION("""COMPUTED_VALUE"""),25.0)</f>
        <v>25</v>
      </c>
      <c r="H1681" s="1">
        <f>IFERROR(__xludf.DUMMYFUNCTION("""COMPUTED_VALUE"""),80.0)</f>
        <v>80</v>
      </c>
      <c r="I1681" s="1">
        <f>IFERROR(__xludf.DUMMYFUNCTION("""COMPUTED_VALUE"""),43.0)</f>
        <v>43</v>
      </c>
      <c r="J1681" s="1">
        <f>IFERROR(__xludf.DUMMYFUNCTION("""COMPUTED_VALUE"""),98.0)</f>
        <v>98</v>
      </c>
      <c r="K1681" s="1">
        <f>IFERROR(__xludf.DUMMYFUNCTION("""COMPUTED_VALUE"""),29.0)</f>
        <v>29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 t="str">
        <f>IFERROR(__xludf.DUMMYFUNCTION("""COMPUTED_VALUE"""),"A")</f>
        <v>A</v>
      </c>
      <c r="E1682" s="1" t="str">
        <f>IFERROR(__xludf.DUMMYFUNCTION("""COMPUTED_VALUE"""),"Male")</f>
        <v>Male</v>
      </c>
      <c r="F1682" s="1">
        <f>IFERROR(__xludf.DUMMYFUNCTION("""COMPUTED_VALUE"""),21.0)</f>
        <v>21</v>
      </c>
      <c r="G1682" s="1">
        <f>IFERROR(__xludf.DUMMYFUNCTION("""COMPUTED_VALUE"""),55.0)</f>
        <v>55</v>
      </c>
      <c r="H1682" s="1">
        <f>IFERROR(__xludf.DUMMYFUNCTION("""COMPUTED_VALUE"""),62.0)</f>
        <v>62</v>
      </c>
      <c r="I1682" s="1">
        <f>IFERROR(__xludf.DUMMYFUNCTION("""COMPUTED_VALUE"""),81.0)</f>
        <v>81</v>
      </c>
      <c r="J1682" s="1">
        <f>IFERROR(__xludf.DUMMYFUNCTION("""COMPUTED_VALUE"""),48.0)</f>
        <v>48</v>
      </c>
      <c r="K1682" s="1">
        <f>IFERROR(__xludf.DUMMYFUNCTION("""COMPUTED_VALUE"""),93.0)</f>
        <v>93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 t="str">
        <f>IFERROR(__xludf.DUMMYFUNCTION("""COMPUTED_VALUE"""),"A")</f>
        <v>A</v>
      </c>
      <c r="E1683" s="1" t="str">
        <f>IFERROR(__xludf.DUMMYFUNCTION("""COMPUTED_VALUE"""),"Female")</f>
        <v>Female</v>
      </c>
      <c r="F1683" s="1">
        <f>IFERROR(__xludf.DUMMYFUNCTION("""COMPUTED_VALUE"""),95.0)</f>
        <v>95</v>
      </c>
      <c r="G1683" s="1">
        <f>IFERROR(__xludf.DUMMYFUNCTION("""COMPUTED_VALUE"""),55.0)</f>
        <v>55</v>
      </c>
      <c r="H1683" s="1">
        <f>IFERROR(__xludf.DUMMYFUNCTION("""COMPUTED_VALUE"""),33.0)</f>
        <v>33</v>
      </c>
      <c r="I1683" s="1">
        <f>IFERROR(__xludf.DUMMYFUNCTION("""COMPUTED_VALUE"""),62.0)</f>
        <v>62</v>
      </c>
      <c r="J1683" s="1">
        <f>IFERROR(__xludf.DUMMYFUNCTION("""COMPUTED_VALUE"""),63.0)</f>
        <v>63</v>
      </c>
      <c r="K1683" s="1">
        <f>IFERROR(__xludf.DUMMYFUNCTION("""COMPUTED_VALUE"""),50.0)</f>
        <v>50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 t="str">
        <f>IFERROR(__xludf.DUMMYFUNCTION("""COMPUTED_VALUE"""),"B")</f>
        <v>B</v>
      </c>
      <c r="E1684" s="1" t="str">
        <f>IFERROR(__xludf.DUMMYFUNCTION("""COMPUTED_VALUE"""),"Female")</f>
        <v>Female</v>
      </c>
      <c r="F1684" s="1">
        <f>IFERROR(__xludf.DUMMYFUNCTION("""COMPUTED_VALUE"""),76.0)</f>
        <v>76</v>
      </c>
      <c r="G1684" s="1">
        <f>IFERROR(__xludf.DUMMYFUNCTION("""COMPUTED_VALUE"""),77.0)</f>
        <v>77</v>
      </c>
      <c r="H1684" s="1">
        <f>IFERROR(__xludf.DUMMYFUNCTION("""COMPUTED_VALUE"""),24.0)</f>
        <v>24</v>
      </c>
      <c r="I1684" s="1">
        <f>IFERROR(__xludf.DUMMYFUNCTION("""COMPUTED_VALUE"""),46.0)</f>
        <v>46</v>
      </c>
      <c r="J1684" s="1">
        <f>IFERROR(__xludf.DUMMYFUNCTION("""COMPUTED_VALUE"""),61.0)</f>
        <v>61</v>
      </c>
      <c r="K1684" s="1">
        <f>IFERROR(__xludf.DUMMYFUNCTION("""COMPUTED_VALUE"""),21.0)</f>
        <v>21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 t="str">
        <f>IFERROR(__xludf.DUMMYFUNCTION("""COMPUTED_VALUE"""),"A")</f>
        <v>A</v>
      </c>
      <c r="E1685" s="1" t="str">
        <f>IFERROR(__xludf.DUMMYFUNCTION("""COMPUTED_VALUE"""),"Male")</f>
        <v>Male</v>
      </c>
      <c r="F1685" s="1">
        <f>IFERROR(__xludf.DUMMYFUNCTION("""COMPUTED_VALUE"""),23.0)</f>
        <v>23</v>
      </c>
      <c r="G1685" s="1">
        <f>IFERROR(__xludf.DUMMYFUNCTION("""COMPUTED_VALUE"""),89.0)</f>
        <v>89</v>
      </c>
      <c r="H1685" s="1">
        <f>IFERROR(__xludf.DUMMYFUNCTION("""COMPUTED_VALUE"""),85.0)</f>
        <v>85</v>
      </c>
      <c r="I1685" s="1">
        <f>IFERROR(__xludf.DUMMYFUNCTION("""COMPUTED_VALUE"""),48.0)</f>
        <v>48</v>
      </c>
      <c r="J1685" s="1">
        <f>IFERROR(__xludf.DUMMYFUNCTION("""COMPUTED_VALUE"""),88.0)</f>
        <v>88</v>
      </c>
      <c r="K1685" s="1">
        <f>IFERROR(__xludf.DUMMYFUNCTION("""COMPUTED_VALUE"""),62.0)</f>
        <v>62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 t="str">
        <f>IFERROR(__xludf.DUMMYFUNCTION("""COMPUTED_VALUE"""),"C")</f>
        <v>C</v>
      </c>
      <c r="E1686" s="1" t="str">
        <f>IFERROR(__xludf.DUMMYFUNCTION("""COMPUTED_VALUE"""),"Female")</f>
        <v>Female</v>
      </c>
      <c r="F1686" s="1">
        <f>IFERROR(__xludf.DUMMYFUNCTION("""COMPUTED_VALUE"""),31.0)</f>
        <v>31</v>
      </c>
      <c r="G1686" s="1">
        <f>IFERROR(__xludf.DUMMYFUNCTION("""COMPUTED_VALUE"""),55.0)</f>
        <v>55</v>
      </c>
      <c r="H1686" s="1">
        <f>IFERROR(__xludf.DUMMYFUNCTION("""COMPUTED_VALUE"""),40.0)</f>
        <v>40</v>
      </c>
      <c r="I1686" s="1">
        <f>IFERROR(__xludf.DUMMYFUNCTION("""COMPUTED_VALUE"""),44.0)</f>
        <v>44</v>
      </c>
      <c r="J1686" s="1">
        <f>IFERROR(__xludf.DUMMYFUNCTION("""COMPUTED_VALUE"""),21.0)</f>
        <v>21</v>
      </c>
      <c r="K1686" s="1">
        <f>IFERROR(__xludf.DUMMYFUNCTION("""COMPUTED_VALUE"""),93.0)</f>
        <v>93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 t="str">
        <f>IFERROR(__xludf.DUMMYFUNCTION("""COMPUTED_VALUE"""),"A")</f>
        <v>A</v>
      </c>
      <c r="E1687" s="1" t="str">
        <f>IFERROR(__xludf.DUMMYFUNCTION("""COMPUTED_VALUE"""),"Female")</f>
        <v>Female</v>
      </c>
      <c r="F1687" s="1">
        <f>IFERROR(__xludf.DUMMYFUNCTION("""COMPUTED_VALUE"""),42.0)</f>
        <v>42</v>
      </c>
      <c r="G1687" s="1">
        <f>IFERROR(__xludf.DUMMYFUNCTION("""COMPUTED_VALUE"""),61.0)</f>
        <v>61</v>
      </c>
      <c r="H1687" s="1">
        <f>IFERROR(__xludf.DUMMYFUNCTION("""COMPUTED_VALUE"""),25.0)</f>
        <v>25</v>
      </c>
      <c r="I1687" s="1">
        <f>IFERROR(__xludf.DUMMYFUNCTION("""COMPUTED_VALUE"""),51.0)</f>
        <v>51</v>
      </c>
      <c r="J1687" s="1">
        <f>IFERROR(__xludf.DUMMYFUNCTION("""COMPUTED_VALUE"""),68.0)</f>
        <v>68</v>
      </c>
      <c r="K1687" s="1">
        <f>IFERROR(__xludf.DUMMYFUNCTION("""COMPUTED_VALUE"""),30.0)</f>
        <v>30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 t="str">
        <f>IFERROR(__xludf.DUMMYFUNCTION("""COMPUTED_VALUE"""),"A")</f>
        <v>A</v>
      </c>
      <c r="E1688" s="1" t="str">
        <f>IFERROR(__xludf.DUMMYFUNCTION("""COMPUTED_VALUE"""),"Male")</f>
        <v>Male</v>
      </c>
      <c r="F1688" s="1">
        <f>IFERROR(__xludf.DUMMYFUNCTION("""COMPUTED_VALUE"""),33.0)</f>
        <v>33</v>
      </c>
      <c r="G1688" s="1">
        <f>IFERROR(__xludf.DUMMYFUNCTION("""COMPUTED_VALUE"""),21.0)</f>
        <v>21</v>
      </c>
      <c r="H1688" s="1">
        <f>IFERROR(__xludf.DUMMYFUNCTION("""COMPUTED_VALUE"""),21.0)</f>
        <v>21</v>
      </c>
      <c r="I1688" s="1">
        <f>IFERROR(__xludf.DUMMYFUNCTION("""COMPUTED_VALUE"""),94.0)</f>
        <v>94</v>
      </c>
      <c r="J1688" s="1">
        <f>IFERROR(__xludf.DUMMYFUNCTION("""COMPUTED_VALUE"""),36.0)</f>
        <v>36</v>
      </c>
      <c r="K1688" s="1">
        <f>IFERROR(__xludf.DUMMYFUNCTION("""COMPUTED_VALUE"""),63.0)</f>
        <v>63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 t="str">
        <f>IFERROR(__xludf.DUMMYFUNCTION("""COMPUTED_VALUE"""),"A")</f>
        <v>A</v>
      </c>
      <c r="E1689" s="1" t="str">
        <f>IFERROR(__xludf.DUMMYFUNCTION("""COMPUTED_VALUE"""),"Female")</f>
        <v>Female</v>
      </c>
      <c r="F1689" s="1">
        <f>IFERROR(__xludf.DUMMYFUNCTION("""COMPUTED_VALUE"""),72.0)</f>
        <v>72</v>
      </c>
      <c r="G1689" s="1">
        <f>IFERROR(__xludf.DUMMYFUNCTION("""COMPUTED_VALUE"""),79.0)</f>
        <v>79</v>
      </c>
      <c r="H1689" s="1">
        <f>IFERROR(__xludf.DUMMYFUNCTION("""COMPUTED_VALUE"""),79.0)</f>
        <v>79</v>
      </c>
      <c r="I1689" s="1">
        <f>IFERROR(__xludf.DUMMYFUNCTION("""COMPUTED_VALUE"""),35.0)</f>
        <v>35</v>
      </c>
      <c r="J1689" s="1">
        <f>IFERROR(__xludf.DUMMYFUNCTION("""COMPUTED_VALUE"""),26.0)</f>
        <v>26</v>
      </c>
      <c r="K1689" s="1">
        <f>IFERROR(__xludf.DUMMYFUNCTION("""COMPUTED_VALUE"""),52.0)</f>
        <v>52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 t="str">
        <f>IFERROR(__xludf.DUMMYFUNCTION("""COMPUTED_VALUE"""),"A")</f>
        <v>A</v>
      </c>
      <c r="E1690" s="1" t="str">
        <f>IFERROR(__xludf.DUMMYFUNCTION("""COMPUTED_VALUE"""),"Female")</f>
        <v>Female</v>
      </c>
      <c r="F1690" s="1">
        <f>IFERROR(__xludf.DUMMYFUNCTION("""COMPUTED_VALUE"""),28.0)</f>
        <v>28</v>
      </c>
      <c r="G1690" s="1">
        <f>IFERROR(__xludf.DUMMYFUNCTION("""COMPUTED_VALUE"""),74.0)</f>
        <v>74</v>
      </c>
      <c r="H1690" s="1">
        <f>IFERROR(__xludf.DUMMYFUNCTION("""COMPUTED_VALUE"""),70.0)</f>
        <v>70</v>
      </c>
      <c r="I1690" s="1">
        <f>IFERROR(__xludf.DUMMYFUNCTION("""COMPUTED_VALUE"""),27.0)</f>
        <v>27</v>
      </c>
      <c r="J1690" s="1">
        <f>IFERROR(__xludf.DUMMYFUNCTION("""COMPUTED_VALUE"""),70.0)</f>
        <v>70</v>
      </c>
      <c r="K1690" s="1">
        <f>IFERROR(__xludf.DUMMYFUNCTION("""COMPUTED_VALUE"""),54.0)</f>
        <v>54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 t="str">
        <f>IFERROR(__xludf.DUMMYFUNCTION("""COMPUTED_VALUE"""),"B")</f>
        <v>B</v>
      </c>
      <c r="E1691" s="1" t="str">
        <f>IFERROR(__xludf.DUMMYFUNCTION("""COMPUTED_VALUE"""),"Female")</f>
        <v>Female</v>
      </c>
      <c r="F1691" s="1">
        <f>IFERROR(__xludf.DUMMYFUNCTION("""COMPUTED_VALUE"""),28.0)</f>
        <v>28</v>
      </c>
      <c r="G1691" s="1">
        <f>IFERROR(__xludf.DUMMYFUNCTION("""COMPUTED_VALUE"""),76.0)</f>
        <v>76</v>
      </c>
      <c r="H1691" s="1">
        <f>IFERROR(__xludf.DUMMYFUNCTION("""COMPUTED_VALUE"""),20.0)</f>
        <v>20</v>
      </c>
      <c r="I1691" s="1">
        <f>IFERROR(__xludf.DUMMYFUNCTION("""COMPUTED_VALUE"""),56.0)</f>
        <v>56</v>
      </c>
      <c r="J1691" s="1">
        <f>IFERROR(__xludf.DUMMYFUNCTION("""COMPUTED_VALUE"""),66.0)</f>
        <v>66</v>
      </c>
      <c r="K1691" s="1">
        <f>IFERROR(__xludf.DUMMYFUNCTION("""COMPUTED_VALUE"""),92.0)</f>
        <v>92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 t="str">
        <f>IFERROR(__xludf.DUMMYFUNCTION("""COMPUTED_VALUE"""),"C")</f>
        <v>C</v>
      </c>
      <c r="E1692" s="1" t="str">
        <f>IFERROR(__xludf.DUMMYFUNCTION("""COMPUTED_VALUE"""),"Female")</f>
        <v>Female</v>
      </c>
      <c r="F1692" s="1">
        <f>IFERROR(__xludf.DUMMYFUNCTION("""COMPUTED_VALUE"""),16.0)</f>
        <v>16</v>
      </c>
      <c r="G1692" s="1">
        <f>IFERROR(__xludf.DUMMYFUNCTION("""COMPUTED_VALUE"""),84.0)</f>
        <v>84</v>
      </c>
      <c r="H1692" s="1">
        <f>IFERROR(__xludf.DUMMYFUNCTION("""COMPUTED_VALUE"""),39.0)</f>
        <v>39</v>
      </c>
      <c r="I1692" s="1">
        <f>IFERROR(__xludf.DUMMYFUNCTION("""COMPUTED_VALUE"""),58.0)</f>
        <v>58</v>
      </c>
      <c r="J1692" s="1">
        <f>IFERROR(__xludf.DUMMYFUNCTION("""COMPUTED_VALUE"""),99.0)</f>
        <v>99</v>
      </c>
      <c r="K1692" s="1">
        <f>IFERROR(__xludf.DUMMYFUNCTION("""COMPUTED_VALUE"""),82.0)</f>
        <v>82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 t="str">
        <f>IFERROR(__xludf.DUMMYFUNCTION("""COMPUTED_VALUE"""),"A")</f>
        <v>A</v>
      </c>
      <c r="E1693" s="1" t="str">
        <f>IFERROR(__xludf.DUMMYFUNCTION("""COMPUTED_VALUE"""),"Male")</f>
        <v>Male</v>
      </c>
      <c r="F1693" s="1">
        <f>IFERROR(__xludf.DUMMYFUNCTION("""COMPUTED_VALUE"""),76.0)</f>
        <v>76</v>
      </c>
      <c r="G1693" s="1">
        <f>IFERROR(__xludf.DUMMYFUNCTION("""COMPUTED_VALUE"""),81.0)</f>
        <v>81</v>
      </c>
      <c r="H1693" s="1">
        <f>IFERROR(__xludf.DUMMYFUNCTION("""COMPUTED_VALUE"""),30.0)</f>
        <v>30</v>
      </c>
      <c r="I1693" s="1">
        <f>IFERROR(__xludf.DUMMYFUNCTION("""COMPUTED_VALUE"""),67.0)</f>
        <v>67</v>
      </c>
      <c r="J1693" s="1">
        <f>IFERROR(__xludf.DUMMYFUNCTION("""COMPUTED_VALUE"""),27.0)</f>
        <v>27</v>
      </c>
      <c r="K1693" s="1">
        <f>IFERROR(__xludf.DUMMYFUNCTION("""COMPUTED_VALUE"""),69.0)</f>
        <v>69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 t="str">
        <f>IFERROR(__xludf.DUMMYFUNCTION("""COMPUTED_VALUE"""),"B")</f>
        <v>B</v>
      </c>
      <c r="E1694" s="1" t="str">
        <f>IFERROR(__xludf.DUMMYFUNCTION("""COMPUTED_VALUE"""),"Female")</f>
        <v>Female</v>
      </c>
      <c r="F1694" s="1">
        <f>IFERROR(__xludf.DUMMYFUNCTION("""COMPUTED_VALUE"""),42.0)</f>
        <v>42</v>
      </c>
      <c r="G1694" s="1">
        <f>IFERROR(__xludf.DUMMYFUNCTION("""COMPUTED_VALUE"""),22.0)</f>
        <v>22</v>
      </c>
      <c r="H1694" s="1">
        <f>IFERROR(__xludf.DUMMYFUNCTION("""COMPUTED_VALUE"""),73.0)</f>
        <v>73</v>
      </c>
      <c r="I1694" s="1">
        <f>IFERROR(__xludf.DUMMYFUNCTION("""COMPUTED_VALUE"""),70.0)</f>
        <v>70</v>
      </c>
      <c r="J1694" s="1">
        <f>IFERROR(__xludf.DUMMYFUNCTION("""COMPUTED_VALUE"""),73.0)</f>
        <v>73</v>
      </c>
      <c r="K1694" s="1">
        <f>IFERROR(__xludf.DUMMYFUNCTION("""COMPUTED_VALUE"""),51.0)</f>
        <v>51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 t="str">
        <f>IFERROR(__xludf.DUMMYFUNCTION("""COMPUTED_VALUE"""),"B")</f>
        <v>B</v>
      </c>
      <c r="E1695" s="1" t="str">
        <f>IFERROR(__xludf.DUMMYFUNCTION("""COMPUTED_VALUE"""),"Female")</f>
        <v>Female</v>
      </c>
      <c r="F1695" s="1">
        <f>IFERROR(__xludf.DUMMYFUNCTION("""COMPUTED_VALUE"""),71.0)</f>
        <v>71</v>
      </c>
      <c r="G1695" s="1">
        <f>IFERROR(__xludf.DUMMYFUNCTION("""COMPUTED_VALUE"""),28.0)</f>
        <v>28</v>
      </c>
      <c r="H1695" s="1">
        <f>IFERROR(__xludf.DUMMYFUNCTION("""COMPUTED_VALUE"""),80.0)</f>
        <v>80</v>
      </c>
      <c r="I1695" s="1">
        <f>IFERROR(__xludf.DUMMYFUNCTION("""COMPUTED_VALUE"""),96.0)</f>
        <v>96</v>
      </c>
      <c r="J1695" s="1">
        <f>IFERROR(__xludf.DUMMYFUNCTION("""COMPUTED_VALUE"""),41.0)</f>
        <v>41</v>
      </c>
      <c r="K1695" s="1">
        <f>IFERROR(__xludf.DUMMYFUNCTION("""COMPUTED_VALUE"""),80.0)</f>
        <v>80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 t="str">
        <f>IFERROR(__xludf.DUMMYFUNCTION("""COMPUTED_VALUE"""),"D")</f>
        <v>D</v>
      </c>
      <c r="E1696" s="1" t="str">
        <f>IFERROR(__xludf.DUMMYFUNCTION("""COMPUTED_VALUE"""),"Female")</f>
        <v>Female</v>
      </c>
      <c r="F1696" s="1">
        <f>IFERROR(__xludf.DUMMYFUNCTION("""COMPUTED_VALUE"""),66.0)</f>
        <v>66</v>
      </c>
      <c r="G1696" s="1">
        <f>IFERROR(__xludf.DUMMYFUNCTION("""COMPUTED_VALUE"""),90.0)</f>
        <v>90</v>
      </c>
      <c r="H1696" s="1">
        <f>IFERROR(__xludf.DUMMYFUNCTION("""COMPUTED_VALUE"""),39.0)</f>
        <v>39</v>
      </c>
      <c r="I1696" s="1">
        <f>IFERROR(__xludf.DUMMYFUNCTION("""COMPUTED_VALUE"""),21.0)</f>
        <v>21</v>
      </c>
      <c r="J1696" s="1">
        <f>IFERROR(__xludf.DUMMYFUNCTION("""COMPUTED_VALUE"""),42.0)</f>
        <v>42</v>
      </c>
      <c r="K1696" s="1">
        <f>IFERROR(__xludf.DUMMYFUNCTION("""COMPUTED_VALUE"""),85.0)</f>
        <v>85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 t="str">
        <f>IFERROR(__xludf.DUMMYFUNCTION("""COMPUTED_VALUE"""),"B")</f>
        <v>B</v>
      </c>
      <c r="E1697" s="1" t="str">
        <f>IFERROR(__xludf.DUMMYFUNCTION("""COMPUTED_VALUE"""),"Male")</f>
        <v>Male</v>
      </c>
      <c r="F1697" s="1">
        <f>IFERROR(__xludf.DUMMYFUNCTION("""COMPUTED_VALUE"""),56.0)</f>
        <v>56</v>
      </c>
      <c r="G1697" s="1">
        <f>IFERROR(__xludf.DUMMYFUNCTION("""COMPUTED_VALUE"""),37.0)</f>
        <v>37</v>
      </c>
      <c r="H1697" s="1">
        <f>IFERROR(__xludf.DUMMYFUNCTION("""COMPUTED_VALUE"""),71.0)</f>
        <v>71</v>
      </c>
      <c r="I1697" s="1">
        <f>IFERROR(__xludf.DUMMYFUNCTION("""COMPUTED_VALUE"""),64.0)</f>
        <v>64</v>
      </c>
      <c r="J1697" s="1">
        <f>IFERROR(__xludf.DUMMYFUNCTION("""COMPUTED_VALUE"""),90.0)</f>
        <v>90</v>
      </c>
      <c r="K1697" s="1">
        <f>IFERROR(__xludf.DUMMYFUNCTION("""COMPUTED_VALUE"""),26.0)</f>
        <v>26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 t="str">
        <f>IFERROR(__xludf.DUMMYFUNCTION("""COMPUTED_VALUE"""),"D")</f>
        <v>D</v>
      </c>
      <c r="E1698" s="1" t="str">
        <f>IFERROR(__xludf.DUMMYFUNCTION("""COMPUTED_VALUE"""),"Female")</f>
        <v>Female</v>
      </c>
      <c r="F1698" s="1">
        <f>IFERROR(__xludf.DUMMYFUNCTION("""COMPUTED_VALUE"""),25.0)</f>
        <v>25</v>
      </c>
      <c r="G1698" s="1">
        <f>IFERROR(__xludf.DUMMYFUNCTION("""COMPUTED_VALUE"""),64.0)</f>
        <v>64</v>
      </c>
      <c r="H1698" s="1">
        <f>IFERROR(__xludf.DUMMYFUNCTION("""COMPUTED_VALUE"""),22.0)</f>
        <v>22</v>
      </c>
      <c r="I1698" s="1">
        <f>IFERROR(__xludf.DUMMYFUNCTION("""COMPUTED_VALUE"""),70.0)</f>
        <v>70</v>
      </c>
      <c r="J1698" s="1">
        <f>IFERROR(__xludf.DUMMYFUNCTION("""COMPUTED_VALUE"""),88.0)</f>
        <v>88</v>
      </c>
      <c r="K1698" s="1">
        <f>IFERROR(__xludf.DUMMYFUNCTION("""COMPUTED_VALUE"""),66.0)</f>
        <v>66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 t="str">
        <f>IFERROR(__xludf.DUMMYFUNCTION("""COMPUTED_VALUE"""),"B")</f>
        <v>B</v>
      </c>
      <c r="E1699" s="1" t="str">
        <f>IFERROR(__xludf.DUMMYFUNCTION("""COMPUTED_VALUE"""),"Male")</f>
        <v>Male</v>
      </c>
      <c r="F1699" s="1">
        <f>IFERROR(__xludf.DUMMYFUNCTION("""COMPUTED_VALUE"""),53.0)</f>
        <v>53</v>
      </c>
      <c r="G1699" s="1">
        <f>IFERROR(__xludf.DUMMYFUNCTION("""COMPUTED_VALUE"""),98.0)</f>
        <v>98</v>
      </c>
      <c r="H1699" s="1">
        <f>IFERROR(__xludf.DUMMYFUNCTION("""COMPUTED_VALUE"""),33.0)</f>
        <v>33</v>
      </c>
      <c r="I1699" s="1">
        <f>IFERROR(__xludf.DUMMYFUNCTION("""COMPUTED_VALUE"""),38.0)</f>
        <v>38</v>
      </c>
      <c r="J1699" s="1">
        <f>IFERROR(__xludf.DUMMYFUNCTION("""COMPUTED_VALUE"""),73.0)</f>
        <v>73</v>
      </c>
      <c r="K1699" s="1">
        <f>IFERROR(__xludf.DUMMYFUNCTION("""COMPUTED_VALUE"""),56.0)</f>
        <v>56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 t="str">
        <f>IFERROR(__xludf.DUMMYFUNCTION("""COMPUTED_VALUE"""),"A")</f>
        <v>A</v>
      </c>
      <c r="E1700" s="1" t="str">
        <f>IFERROR(__xludf.DUMMYFUNCTION("""COMPUTED_VALUE"""),"Female")</f>
        <v>Female</v>
      </c>
      <c r="F1700" s="1">
        <f>IFERROR(__xludf.DUMMYFUNCTION("""COMPUTED_VALUE"""),72.0)</f>
        <v>72</v>
      </c>
      <c r="G1700" s="1">
        <f>IFERROR(__xludf.DUMMYFUNCTION("""COMPUTED_VALUE"""),33.0)</f>
        <v>33</v>
      </c>
      <c r="H1700" s="1">
        <f>IFERROR(__xludf.DUMMYFUNCTION("""COMPUTED_VALUE"""),33.0)</f>
        <v>33</v>
      </c>
      <c r="I1700" s="1">
        <f>IFERROR(__xludf.DUMMYFUNCTION("""COMPUTED_VALUE"""),92.0)</f>
        <v>92</v>
      </c>
      <c r="J1700" s="1">
        <f>IFERROR(__xludf.DUMMYFUNCTION("""COMPUTED_VALUE"""),23.0)</f>
        <v>23</v>
      </c>
      <c r="K1700" s="1">
        <f>IFERROR(__xludf.DUMMYFUNCTION("""COMPUTED_VALUE"""),71.0)</f>
        <v>71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 t="str">
        <f>IFERROR(__xludf.DUMMYFUNCTION("""COMPUTED_VALUE"""),"D")</f>
        <v>D</v>
      </c>
      <c r="E1701" s="1" t="str">
        <f>IFERROR(__xludf.DUMMYFUNCTION("""COMPUTED_VALUE"""),"Female")</f>
        <v>Female</v>
      </c>
      <c r="F1701" s="1">
        <f>IFERROR(__xludf.DUMMYFUNCTION("""COMPUTED_VALUE"""),69.0)</f>
        <v>69</v>
      </c>
      <c r="G1701" s="1">
        <f>IFERROR(__xludf.DUMMYFUNCTION("""COMPUTED_VALUE"""),35.0)</f>
        <v>35</v>
      </c>
      <c r="H1701" s="1">
        <f>IFERROR(__xludf.DUMMYFUNCTION("""COMPUTED_VALUE"""),31.0)</f>
        <v>31</v>
      </c>
      <c r="I1701" s="1">
        <f>IFERROR(__xludf.DUMMYFUNCTION("""COMPUTED_VALUE"""),71.0)</f>
        <v>71</v>
      </c>
      <c r="J1701" s="1">
        <f>IFERROR(__xludf.DUMMYFUNCTION("""COMPUTED_VALUE"""),99.0)</f>
        <v>99</v>
      </c>
      <c r="K1701" s="1">
        <f>IFERROR(__xludf.DUMMYFUNCTION("""COMPUTED_VALUE"""),30.0)</f>
        <v>30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 t="str">
        <f>IFERROR(__xludf.DUMMYFUNCTION("""COMPUTED_VALUE"""),"D")</f>
        <v>D</v>
      </c>
      <c r="E1702" s="1" t="str">
        <f>IFERROR(__xludf.DUMMYFUNCTION("""COMPUTED_VALUE"""),"Female")</f>
        <v>Female</v>
      </c>
      <c r="F1702" s="1">
        <f>IFERROR(__xludf.DUMMYFUNCTION("""COMPUTED_VALUE"""),12.0)</f>
        <v>12</v>
      </c>
      <c r="G1702" s="1">
        <f>IFERROR(__xludf.DUMMYFUNCTION("""COMPUTED_VALUE"""),28.0)</f>
        <v>28</v>
      </c>
      <c r="H1702" s="1">
        <f>IFERROR(__xludf.DUMMYFUNCTION("""COMPUTED_VALUE"""),52.0)</f>
        <v>52</v>
      </c>
      <c r="I1702" s="1">
        <f>IFERROR(__xludf.DUMMYFUNCTION("""COMPUTED_VALUE"""),43.0)</f>
        <v>43</v>
      </c>
      <c r="J1702" s="1">
        <f>IFERROR(__xludf.DUMMYFUNCTION("""COMPUTED_VALUE"""),89.0)</f>
        <v>89</v>
      </c>
      <c r="K1702" s="1">
        <f>IFERROR(__xludf.DUMMYFUNCTION("""COMPUTED_VALUE"""),52.0)</f>
        <v>52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 t="str">
        <f>IFERROR(__xludf.DUMMYFUNCTION("""COMPUTED_VALUE"""),"A")</f>
        <v>A</v>
      </c>
      <c r="E1703" s="1" t="str">
        <f>IFERROR(__xludf.DUMMYFUNCTION("""COMPUTED_VALUE"""),"Female")</f>
        <v>Female</v>
      </c>
      <c r="F1703" s="1">
        <f>IFERROR(__xludf.DUMMYFUNCTION("""COMPUTED_VALUE"""),85.0)</f>
        <v>85</v>
      </c>
      <c r="G1703" s="1">
        <f>IFERROR(__xludf.DUMMYFUNCTION("""COMPUTED_VALUE"""),29.0)</f>
        <v>29</v>
      </c>
      <c r="H1703" s="1">
        <f>IFERROR(__xludf.DUMMYFUNCTION("""COMPUTED_VALUE"""),42.0)</f>
        <v>42</v>
      </c>
      <c r="I1703" s="1">
        <f>IFERROR(__xludf.DUMMYFUNCTION("""COMPUTED_VALUE"""),81.0)</f>
        <v>81</v>
      </c>
      <c r="J1703" s="1">
        <f>IFERROR(__xludf.DUMMYFUNCTION("""COMPUTED_VALUE"""),43.0)</f>
        <v>43</v>
      </c>
      <c r="K1703" s="1">
        <f>IFERROR(__xludf.DUMMYFUNCTION("""COMPUTED_VALUE"""),70.0)</f>
        <v>70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 t="str">
        <f>IFERROR(__xludf.DUMMYFUNCTION("""COMPUTED_VALUE"""),"C")</f>
        <v>C</v>
      </c>
      <c r="E1704" s="1" t="str">
        <f>IFERROR(__xludf.DUMMYFUNCTION("""COMPUTED_VALUE"""),"Male")</f>
        <v>Male</v>
      </c>
      <c r="F1704" s="1">
        <f>IFERROR(__xludf.DUMMYFUNCTION("""COMPUTED_VALUE"""),78.0)</f>
        <v>78</v>
      </c>
      <c r="G1704" s="1">
        <f>IFERROR(__xludf.DUMMYFUNCTION("""COMPUTED_VALUE"""),69.0)</f>
        <v>69</v>
      </c>
      <c r="H1704" s="1">
        <f>IFERROR(__xludf.DUMMYFUNCTION("""COMPUTED_VALUE"""),35.0)</f>
        <v>35</v>
      </c>
      <c r="I1704" s="1">
        <f>IFERROR(__xludf.DUMMYFUNCTION("""COMPUTED_VALUE"""),71.0)</f>
        <v>71</v>
      </c>
      <c r="J1704" s="1">
        <f>IFERROR(__xludf.DUMMYFUNCTION("""COMPUTED_VALUE"""),78.0)</f>
        <v>78</v>
      </c>
      <c r="K1704" s="1">
        <f>IFERROR(__xludf.DUMMYFUNCTION("""COMPUTED_VALUE"""),22.0)</f>
        <v>22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 t="str">
        <f>IFERROR(__xludf.DUMMYFUNCTION("""COMPUTED_VALUE"""),"D")</f>
        <v>D</v>
      </c>
      <c r="E1705" s="1" t="str">
        <f>IFERROR(__xludf.DUMMYFUNCTION("""COMPUTED_VALUE"""),"Male")</f>
        <v>Male</v>
      </c>
      <c r="F1705" s="1">
        <f>IFERROR(__xludf.DUMMYFUNCTION("""COMPUTED_VALUE"""),32.0)</f>
        <v>32</v>
      </c>
      <c r="G1705" s="1">
        <f>IFERROR(__xludf.DUMMYFUNCTION("""COMPUTED_VALUE"""),86.0)</f>
        <v>86</v>
      </c>
      <c r="H1705" s="1">
        <f>IFERROR(__xludf.DUMMYFUNCTION("""COMPUTED_VALUE"""),61.0)</f>
        <v>61</v>
      </c>
      <c r="I1705" s="1">
        <f>IFERROR(__xludf.DUMMYFUNCTION("""COMPUTED_VALUE"""),32.0)</f>
        <v>32</v>
      </c>
      <c r="J1705" s="1">
        <f>IFERROR(__xludf.DUMMYFUNCTION("""COMPUTED_VALUE"""),60.0)</f>
        <v>60</v>
      </c>
      <c r="K1705" s="1">
        <f>IFERROR(__xludf.DUMMYFUNCTION("""COMPUTED_VALUE"""),70.0)</f>
        <v>70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 t="str">
        <f>IFERROR(__xludf.DUMMYFUNCTION("""COMPUTED_VALUE"""),"D")</f>
        <v>D</v>
      </c>
      <c r="E1706" s="1" t="str">
        <f>IFERROR(__xludf.DUMMYFUNCTION("""COMPUTED_VALUE"""),"Female")</f>
        <v>Female</v>
      </c>
      <c r="F1706" s="1">
        <f>IFERROR(__xludf.DUMMYFUNCTION("""COMPUTED_VALUE"""),10.0)</f>
        <v>10</v>
      </c>
      <c r="G1706" s="1">
        <f>IFERROR(__xludf.DUMMYFUNCTION("""COMPUTED_VALUE"""),70.0)</f>
        <v>70</v>
      </c>
      <c r="H1706" s="1">
        <f>IFERROR(__xludf.DUMMYFUNCTION("""COMPUTED_VALUE"""),46.0)</f>
        <v>46</v>
      </c>
      <c r="I1706" s="1">
        <f>IFERROR(__xludf.DUMMYFUNCTION("""COMPUTED_VALUE"""),57.0)</f>
        <v>57</v>
      </c>
      <c r="J1706" s="1">
        <f>IFERROR(__xludf.DUMMYFUNCTION("""COMPUTED_VALUE"""),70.0)</f>
        <v>70</v>
      </c>
      <c r="K1706" s="1">
        <f>IFERROR(__xludf.DUMMYFUNCTION("""COMPUTED_VALUE"""),65.0)</f>
        <v>65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 t="str">
        <f>IFERROR(__xludf.DUMMYFUNCTION("""COMPUTED_VALUE"""),"A")</f>
        <v>A</v>
      </c>
      <c r="E1707" s="1" t="str">
        <f>IFERROR(__xludf.DUMMYFUNCTION("""COMPUTED_VALUE"""),"Male")</f>
        <v>Male</v>
      </c>
      <c r="F1707" s="1">
        <f>IFERROR(__xludf.DUMMYFUNCTION("""COMPUTED_VALUE"""),22.0)</f>
        <v>22</v>
      </c>
      <c r="G1707" s="1">
        <f>IFERROR(__xludf.DUMMYFUNCTION("""COMPUTED_VALUE"""),36.0)</f>
        <v>36</v>
      </c>
      <c r="H1707" s="1">
        <f>IFERROR(__xludf.DUMMYFUNCTION("""COMPUTED_VALUE"""),25.0)</f>
        <v>25</v>
      </c>
      <c r="I1707" s="1">
        <f>IFERROR(__xludf.DUMMYFUNCTION("""COMPUTED_VALUE"""),89.0)</f>
        <v>89</v>
      </c>
      <c r="J1707" s="1">
        <f>IFERROR(__xludf.DUMMYFUNCTION("""COMPUTED_VALUE"""),60.0)</f>
        <v>60</v>
      </c>
      <c r="K1707" s="1">
        <f>IFERROR(__xludf.DUMMYFUNCTION("""COMPUTED_VALUE"""),47.0)</f>
        <v>47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 t="str">
        <f>IFERROR(__xludf.DUMMYFUNCTION("""COMPUTED_VALUE"""),"C")</f>
        <v>C</v>
      </c>
      <c r="E1708" s="1" t="str">
        <f>IFERROR(__xludf.DUMMYFUNCTION("""COMPUTED_VALUE"""),"Male")</f>
        <v>Male</v>
      </c>
      <c r="F1708" s="1">
        <f>IFERROR(__xludf.DUMMYFUNCTION("""COMPUTED_VALUE"""),73.0)</f>
        <v>73</v>
      </c>
      <c r="G1708" s="1">
        <f>IFERROR(__xludf.DUMMYFUNCTION("""COMPUTED_VALUE"""),51.0)</f>
        <v>51</v>
      </c>
      <c r="H1708" s="1">
        <f>IFERROR(__xludf.DUMMYFUNCTION("""COMPUTED_VALUE"""),61.0)</f>
        <v>61</v>
      </c>
      <c r="I1708" s="1">
        <f>IFERROR(__xludf.DUMMYFUNCTION("""COMPUTED_VALUE"""),69.0)</f>
        <v>69</v>
      </c>
      <c r="J1708" s="1">
        <f>IFERROR(__xludf.DUMMYFUNCTION("""COMPUTED_VALUE"""),73.0)</f>
        <v>73</v>
      </c>
      <c r="K1708" s="1">
        <f>IFERROR(__xludf.DUMMYFUNCTION("""COMPUTED_VALUE"""),75.0)</f>
        <v>75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 t="str">
        <f>IFERROR(__xludf.DUMMYFUNCTION("""COMPUTED_VALUE"""),"C")</f>
        <v>C</v>
      </c>
      <c r="E1709" s="1" t="str">
        <f>IFERROR(__xludf.DUMMYFUNCTION("""COMPUTED_VALUE"""),"Female")</f>
        <v>Female</v>
      </c>
      <c r="F1709" s="1">
        <f>IFERROR(__xludf.DUMMYFUNCTION("""COMPUTED_VALUE"""),44.0)</f>
        <v>44</v>
      </c>
      <c r="G1709" s="1">
        <f>IFERROR(__xludf.DUMMYFUNCTION("""COMPUTED_VALUE"""),68.0)</f>
        <v>68</v>
      </c>
      <c r="H1709" s="1">
        <f>IFERROR(__xludf.DUMMYFUNCTION("""COMPUTED_VALUE"""),75.0)</f>
        <v>75</v>
      </c>
      <c r="I1709" s="1">
        <f>IFERROR(__xludf.DUMMYFUNCTION("""COMPUTED_VALUE"""),61.0)</f>
        <v>61</v>
      </c>
      <c r="J1709" s="1">
        <f>IFERROR(__xludf.DUMMYFUNCTION("""COMPUTED_VALUE"""),94.0)</f>
        <v>94</v>
      </c>
      <c r="K1709" s="1">
        <f>IFERROR(__xludf.DUMMYFUNCTION("""COMPUTED_VALUE"""),57.0)</f>
        <v>57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 t="str">
        <f>IFERROR(__xludf.DUMMYFUNCTION("""COMPUTED_VALUE"""),"C")</f>
        <v>C</v>
      </c>
      <c r="E1710" s="1" t="str">
        <f>IFERROR(__xludf.DUMMYFUNCTION("""COMPUTED_VALUE"""),"Female")</f>
        <v>Female</v>
      </c>
      <c r="F1710" s="1">
        <f>IFERROR(__xludf.DUMMYFUNCTION("""COMPUTED_VALUE"""),23.0)</f>
        <v>23</v>
      </c>
      <c r="G1710" s="1">
        <f>IFERROR(__xludf.DUMMYFUNCTION("""COMPUTED_VALUE"""),42.0)</f>
        <v>42</v>
      </c>
      <c r="H1710" s="1">
        <f>IFERROR(__xludf.DUMMYFUNCTION("""COMPUTED_VALUE"""),55.0)</f>
        <v>55</v>
      </c>
      <c r="I1710" s="1">
        <f>IFERROR(__xludf.DUMMYFUNCTION("""COMPUTED_VALUE"""),70.0)</f>
        <v>70</v>
      </c>
      <c r="J1710" s="1">
        <f>IFERROR(__xludf.DUMMYFUNCTION("""COMPUTED_VALUE"""),99.0)</f>
        <v>99</v>
      </c>
      <c r="K1710" s="1">
        <f>IFERROR(__xludf.DUMMYFUNCTION("""COMPUTED_VALUE"""),94.0)</f>
        <v>94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 t="str">
        <f>IFERROR(__xludf.DUMMYFUNCTION("""COMPUTED_VALUE"""),"C")</f>
        <v>C</v>
      </c>
      <c r="E1711" s="1" t="str">
        <f>IFERROR(__xludf.DUMMYFUNCTION("""COMPUTED_VALUE"""),"Female")</f>
        <v>Female</v>
      </c>
      <c r="F1711" s="1">
        <f>IFERROR(__xludf.DUMMYFUNCTION("""COMPUTED_VALUE"""),30.0)</f>
        <v>30</v>
      </c>
      <c r="G1711" s="1">
        <f>IFERROR(__xludf.DUMMYFUNCTION("""COMPUTED_VALUE"""),56.0)</f>
        <v>56</v>
      </c>
      <c r="H1711" s="1">
        <f>IFERROR(__xludf.DUMMYFUNCTION("""COMPUTED_VALUE"""),53.0)</f>
        <v>53</v>
      </c>
      <c r="I1711" s="1">
        <f>IFERROR(__xludf.DUMMYFUNCTION("""COMPUTED_VALUE"""),47.0)</f>
        <v>47</v>
      </c>
      <c r="J1711" s="1">
        <f>IFERROR(__xludf.DUMMYFUNCTION("""COMPUTED_VALUE"""),56.0)</f>
        <v>56</v>
      </c>
      <c r="K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 t="str">
        <f>IFERROR(__xludf.DUMMYFUNCTION("""COMPUTED_VALUE"""),"D")</f>
        <v>D</v>
      </c>
      <c r="E1712" s="1" t="str">
        <f>IFERROR(__xludf.DUMMYFUNCTION("""COMPUTED_VALUE"""),"Male")</f>
        <v>Male</v>
      </c>
      <c r="F1712" s="1">
        <f>IFERROR(__xludf.DUMMYFUNCTION("""COMPUTED_VALUE"""),79.0)</f>
        <v>79</v>
      </c>
      <c r="G1712" s="1">
        <f>IFERROR(__xludf.DUMMYFUNCTION("""COMPUTED_VALUE"""),58.0)</f>
        <v>58</v>
      </c>
      <c r="H1712" s="1">
        <f>IFERROR(__xludf.DUMMYFUNCTION("""COMPUTED_VALUE"""),42.0)</f>
        <v>42</v>
      </c>
      <c r="I1712" s="1">
        <f>IFERROR(__xludf.DUMMYFUNCTION("""COMPUTED_VALUE"""),90.0)</f>
        <v>90</v>
      </c>
      <c r="J1712" s="1">
        <f>IFERROR(__xludf.DUMMYFUNCTION("""COMPUTED_VALUE"""),68.0)</f>
        <v>68</v>
      </c>
      <c r="K1712" s="1">
        <f>IFERROR(__xludf.DUMMYFUNCTION("""COMPUTED_VALUE"""),70.0)</f>
        <v>70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 t="str">
        <f>IFERROR(__xludf.DUMMYFUNCTION("""COMPUTED_VALUE"""),"C")</f>
        <v>C</v>
      </c>
      <c r="E1713" s="1" t="str">
        <f>IFERROR(__xludf.DUMMYFUNCTION("""COMPUTED_VALUE"""),"Male")</f>
        <v>Male</v>
      </c>
      <c r="F1713" s="1">
        <f>IFERROR(__xludf.DUMMYFUNCTION("""COMPUTED_VALUE"""),85.0)</f>
        <v>85</v>
      </c>
      <c r="G1713" s="1">
        <f>IFERROR(__xludf.DUMMYFUNCTION("""COMPUTED_VALUE"""),60.0)</f>
        <v>60</v>
      </c>
      <c r="H1713" s="1">
        <f>IFERROR(__xludf.DUMMYFUNCTION("""COMPUTED_VALUE"""),96.0)</f>
        <v>96</v>
      </c>
      <c r="I1713" s="1">
        <f>IFERROR(__xludf.DUMMYFUNCTION("""COMPUTED_VALUE"""),51.0)</f>
        <v>51</v>
      </c>
      <c r="J1713" s="1">
        <f>IFERROR(__xludf.DUMMYFUNCTION("""COMPUTED_VALUE"""),66.0)</f>
        <v>66</v>
      </c>
      <c r="K1713" s="1">
        <f>IFERROR(__xludf.DUMMYFUNCTION("""COMPUTED_VALUE"""),58.0)</f>
        <v>58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 t="str">
        <f>IFERROR(__xludf.DUMMYFUNCTION("""COMPUTED_VALUE"""),"B")</f>
        <v>B</v>
      </c>
      <c r="E1714" s="1" t="str">
        <f>IFERROR(__xludf.DUMMYFUNCTION("""COMPUTED_VALUE"""),"Male")</f>
        <v>Male</v>
      </c>
      <c r="F1714" s="1">
        <f>IFERROR(__xludf.DUMMYFUNCTION("""COMPUTED_VALUE"""),44.0)</f>
        <v>44</v>
      </c>
      <c r="G1714" s="1">
        <f>IFERROR(__xludf.DUMMYFUNCTION("""COMPUTED_VALUE"""),55.0)</f>
        <v>55</v>
      </c>
      <c r="H1714" s="1">
        <f>IFERROR(__xludf.DUMMYFUNCTION("""COMPUTED_VALUE"""),92.0)</f>
        <v>92</v>
      </c>
      <c r="I1714" s="1">
        <f>IFERROR(__xludf.DUMMYFUNCTION("""COMPUTED_VALUE"""),21.0)</f>
        <v>21</v>
      </c>
      <c r="J1714" s="1">
        <f>IFERROR(__xludf.DUMMYFUNCTION("""COMPUTED_VALUE"""),86.0)</f>
        <v>86</v>
      </c>
      <c r="K1714" s="1">
        <f>IFERROR(__xludf.DUMMYFUNCTION("""COMPUTED_VALUE"""),69.0)</f>
        <v>69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 t="str">
        <f>IFERROR(__xludf.DUMMYFUNCTION("""COMPUTED_VALUE"""),"D")</f>
        <v>D</v>
      </c>
      <c r="E1715" s="1" t="str">
        <f>IFERROR(__xludf.DUMMYFUNCTION("""COMPUTED_VALUE"""),"Male")</f>
        <v>Male</v>
      </c>
      <c r="F1715" s="1">
        <f>IFERROR(__xludf.DUMMYFUNCTION("""COMPUTED_VALUE"""),29.0)</f>
        <v>29</v>
      </c>
      <c r="G1715" s="1">
        <f>IFERROR(__xludf.DUMMYFUNCTION("""COMPUTED_VALUE"""),82.0)</f>
        <v>82</v>
      </c>
      <c r="H1715" s="1">
        <f>IFERROR(__xludf.DUMMYFUNCTION("""COMPUTED_VALUE"""),39.0)</f>
        <v>39</v>
      </c>
      <c r="I1715" s="1">
        <f>IFERROR(__xludf.DUMMYFUNCTION("""COMPUTED_VALUE"""),48.0)</f>
        <v>48</v>
      </c>
      <c r="J1715" s="1">
        <f>IFERROR(__xludf.DUMMYFUNCTION("""COMPUTED_VALUE"""),84.0)</f>
        <v>84</v>
      </c>
      <c r="K1715" s="1">
        <f>IFERROR(__xludf.DUMMYFUNCTION("""COMPUTED_VALUE"""),51.0)</f>
        <v>51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 t="str">
        <f>IFERROR(__xludf.DUMMYFUNCTION("""COMPUTED_VALUE"""),"A")</f>
        <v>A</v>
      </c>
      <c r="E1716" s="1" t="str">
        <f>IFERROR(__xludf.DUMMYFUNCTION("""COMPUTED_VALUE"""),"Female")</f>
        <v>Female</v>
      </c>
      <c r="F1716" s="1">
        <f>IFERROR(__xludf.DUMMYFUNCTION("""COMPUTED_VALUE"""),12.0)</f>
        <v>12</v>
      </c>
      <c r="G1716" s="1">
        <f>IFERROR(__xludf.DUMMYFUNCTION("""COMPUTED_VALUE"""),50.0)</f>
        <v>50</v>
      </c>
      <c r="H1716" s="1">
        <f>IFERROR(__xludf.DUMMYFUNCTION("""COMPUTED_VALUE"""),95.0)</f>
        <v>95</v>
      </c>
      <c r="I1716" s="1">
        <f>IFERROR(__xludf.DUMMYFUNCTION("""COMPUTED_VALUE"""),42.0)</f>
        <v>42</v>
      </c>
      <c r="J1716" s="1">
        <f>IFERROR(__xludf.DUMMYFUNCTION("""COMPUTED_VALUE"""),78.0)</f>
        <v>78</v>
      </c>
      <c r="K1716" s="1">
        <f>IFERROR(__xludf.DUMMYFUNCTION("""COMPUTED_VALUE"""),33.0)</f>
        <v>33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 t="str">
        <f>IFERROR(__xludf.DUMMYFUNCTION("""COMPUTED_VALUE"""),"A")</f>
        <v>A</v>
      </c>
      <c r="E1717" s="1" t="str">
        <f>IFERROR(__xludf.DUMMYFUNCTION("""COMPUTED_VALUE"""),"Male")</f>
        <v>Male</v>
      </c>
      <c r="F1717" s="1">
        <f>IFERROR(__xludf.DUMMYFUNCTION("""COMPUTED_VALUE"""),27.0)</f>
        <v>27</v>
      </c>
      <c r="G1717" s="1">
        <f>IFERROR(__xludf.DUMMYFUNCTION("""COMPUTED_VALUE"""),93.0)</f>
        <v>93</v>
      </c>
      <c r="H1717" s="1">
        <f>IFERROR(__xludf.DUMMYFUNCTION("""COMPUTED_VALUE"""),34.0)</f>
        <v>34</v>
      </c>
      <c r="I1717" s="1">
        <f>IFERROR(__xludf.DUMMYFUNCTION("""COMPUTED_VALUE"""),52.0)</f>
        <v>52</v>
      </c>
      <c r="J1717" s="1">
        <f>IFERROR(__xludf.DUMMYFUNCTION("""COMPUTED_VALUE"""),55.0)</f>
        <v>55</v>
      </c>
      <c r="K1717" s="1">
        <f>IFERROR(__xludf.DUMMYFUNCTION("""COMPUTED_VALUE"""),52.0)</f>
        <v>52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 t="str">
        <f>IFERROR(__xludf.DUMMYFUNCTION("""COMPUTED_VALUE"""),"A")</f>
        <v>A</v>
      </c>
      <c r="E1718" s="1" t="str">
        <f>IFERROR(__xludf.DUMMYFUNCTION("""COMPUTED_VALUE"""),"Female")</f>
        <v>Female</v>
      </c>
      <c r="F1718" s="1">
        <f>IFERROR(__xludf.DUMMYFUNCTION("""COMPUTED_VALUE"""),70.0)</f>
        <v>70</v>
      </c>
      <c r="G1718" s="1">
        <f>IFERROR(__xludf.DUMMYFUNCTION("""COMPUTED_VALUE"""),44.0)</f>
        <v>44</v>
      </c>
      <c r="H1718" s="1">
        <f>IFERROR(__xludf.DUMMYFUNCTION("""COMPUTED_VALUE"""),79.0)</f>
        <v>79</v>
      </c>
      <c r="I1718" s="1">
        <f>IFERROR(__xludf.DUMMYFUNCTION("""COMPUTED_VALUE"""),83.0)</f>
        <v>83</v>
      </c>
      <c r="J1718" s="1">
        <f>IFERROR(__xludf.DUMMYFUNCTION("""COMPUTED_VALUE"""),49.0)</f>
        <v>49</v>
      </c>
      <c r="K1718" s="1">
        <f>IFERROR(__xludf.DUMMYFUNCTION("""COMPUTED_VALUE"""),24.0)</f>
        <v>24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 t="str">
        <f>IFERROR(__xludf.DUMMYFUNCTION("""COMPUTED_VALUE"""),"C")</f>
        <v>C</v>
      </c>
      <c r="E1719" s="1" t="str">
        <f>IFERROR(__xludf.DUMMYFUNCTION("""COMPUTED_VALUE"""),"Female")</f>
        <v>Female</v>
      </c>
      <c r="F1719" s="1">
        <f>IFERROR(__xludf.DUMMYFUNCTION("""COMPUTED_VALUE"""),46.0)</f>
        <v>46</v>
      </c>
      <c r="G1719" s="1">
        <f>IFERROR(__xludf.DUMMYFUNCTION("""COMPUTED_VALUE"""),49.0)</f>
        <v>49</v>
      </c>
      <c r="H1719" s="1">
        <f>IFERROR(__xludf.DUMMYFUNCTION("""COMPUTED_VALUE"""),95.0)</f>
        <v>95</v>
      </c>
      <c r="I1719" s="1">
        <f>IFERROR(__xludf.DUMMYFUNCTION("""COMPUTED_VALUE"""),54.0)</f>
        <v>54</v>
      </c>
      <c r="J1719" s="1">
        <f>IFERROR(__xludf.DUMMYFUNCTION("""COMPUTED_VALUE"""),61.0)</f>
        <v>61</v>
      </c>
      <c r="K1719" s="1">
        <f>IFERROR(__xludf.DUMMYFUNCTION("""COMPUTED_VALUE"""),71.0)</f>
        <v>71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 t="str">
        <f>IFERROR(__xludf.DUMMYFUNCTION("""COMPUTED_VALUE"""),"B")</f>
        <v>B</v>
      </c>
      <c r="E1720" s="1" t="str">
        <f>IFERROR(__xludf.DUMMYFUNCTION("""COMPUTED_VALUE"""),"Male")</f>
        <v>Male</v>
      </c>
      <c r="F1720" s="1">
        <f>IFERROR(__xludf.DUMMYFUNCTION("""COMPUTED_VALUE"""),69.0)</f>
        <v>69</v>
      </c>
      <c r="G1720" s="1">
        <f>IFERROR(__xludf.DUMMYFUNCTION("""COMPUTED_VALUE"""),59.0)</f>
        <v>59</v>
      </c>
      <c r="H1720" s="1">
        <f>IFERROR(__xludf.DUMMYFUNCTION("""COMPUTED_VALUE"""),62.0)</f>
        <v>62</v>
      </c>
      <c r="I1720" s="1">
        <f>IFERROR(__xludf.DUMMYFUNCTION("""COMPUTED_VALUE"""),58.0)</f>
        <v>58</v>
      </c>
      <c r="J1720" s="1">
        <f>IFERROR(__xludf.DUMMYFUNCTION("""COMPUTED_VALUE"""),48.0)</f>
        <v>48</v>
      </c>
      <c r="K1720" s="1">
        <f>IFERROR(__xludf.DUMMYFUNCTION("""COMPUTED_VALUE"""),41.0)</f>
        <v>41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 t="str">
        <f>IFERROR(__xludf.DUMMYFUNCTION("""COMPUTED_VALUE"""),"D")</f>
        <v>D</v>
      </c>
      <c r="E1721" s="1" t="str">
        <f>IFERROR(__xludf.DUMMYFUNCTION("""COMPUTED_VALUE"""),"Female")</f>
        <v>Female</v>
      </c>
      <c r="F1721" s="1">
        <f>IFERROR(__xludf.DUMMYFUNCTION("""COMPUTED_VALUE"""),78.0)</f>
        <v>78</v>
      </c>
      <c r="G1721" s="1">
        <f>IFERROR(__xludf.DUMMYFUNCTION("""COMPUTED_VALUE"""),77.0)</f>
        <v>77</v>
      </c>
      <c r="H1721" s="1">
        <f>IFERROR(__xludf.DUMMYFUNCTION("""COMPUTED_VALUE"""),83.0)</f>
        <v>83</v>
      </c>
      <c r="I1721" s="1">
        <f>IFERROR(__xludf.DUMMYFUNCTION("""COMPUTED_VALUE"""),79.0)</f>
        <v>79</v>
      </c>
      <c r="J1721" s="1">
        <f>IFERROR(__xludf.DUMMYFUNCTION("""COMPUTED_VALUE"""),85.0)</f>
        <v>85</v>
      </c>
      <c r="K1721" s="1">
        <f>IFERROR(__xludf.DUMMYFUNCTION("""COMPUTED_VALUE"""),22.0)</f>
        <v>22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 t="str">
        <f>IFERROR(__xludf.DUMMYFUNCTION("""COMPUTED_VALUE"""),"D")</f>
        <v>D</v>
      </c>
      <c r="E1722" s="1" t="str">
        <f>IFERROR(__xludf.DUMMYFUNCTION("""COMPUTED_VALUE"""),"Female")</f>
        <v>Female</v>
      </c>
      <c r="F1722" s="1">
        <f>IFERROR(__xludf.DUMMYFUNCTION("""COMPUTED_VALUE"""),36.0)</f>
        <v>36</v>
      </c>
      <c r="G1722" s="1">
        <f>IFERROR(__xludf.DUMMYFUNCTION("""COMPUTED_VALUE"""),95.0)</f>
        <v>95</v>
      </c>
      <c r="H1722" s="1">
        <f>IFERROR(__xludf.DUMMYFUNCTION("""COMPUTED_VALUE"""),43.0)</f>
        <v>43</v>
      </c>
      <c r="I1722" s="1">
        <f>IFERROR(__xludf.DUMMYFUNCTION("""COMPUTED_VALUE"""),33.0)</f>
        <v>33</v>
      </c>
      <c r="J1722" s="1">
        <f>IFERROR(__xludf.DUMMYFUNCTION("""COMPUTED_VALUE"""),64.0)</f>
        <v>64</v>
      </c>
      <c r="K1722" s="1">
        <f>IFERROR(__xludf.DUMMYFUNCTION("""COMPUTED_VALUE"""),70.0)</f>
        <v>70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 t="str">
        <f>IFERROR(__xludf.DUMMYFUNCTION("""COMPUTED_VALUE"""),"C")</f>
        <v>C</v>
      </c>
      <c r="E1723" s="1" t="str">
        <f>IFERROR(__xludf.DUMMYFUNCTION("""COMPUTED_VALUE"""),"Male")</f>
        <v>Male</v>
      </c>
      <c r="F1723" s="1">
        <f>IFERROR(__xludf.DUMMYFUNCTION("""COMPUTED_VALUE"""),14.0)</f>
        <v>14</v>
      </c>
      <c r="G1723" s="1">
        <f>IFERROR(__xludf.DUMMYFUNCTION("""COMPUTED_VALUE"""),44.0)</f>
        <v>44</v>
      </c>
      <c r="H1723" s="1">
        <f>IFERROR(__xludf.DUMMYFUNCTION("""COMPUTED_VALUE"""),21.0)</f>
        <v>21</v>
      </c>
      <c r="I1723" s="1">
        <f>IFERROR(__xludf.DUMMYFUNCTION("""COMPUTED_VALUE"""),62.0)</f>
        <v>62</v>
      </c>
      <c r="J1723" s="1">
        <f>IFERROR(__xludf.DUMMYFUNCTION("""COMPUTED_VALUE"""),28.0)</f>
        <v>28</v>
      </c>
      <c r="K1723" s="1">
        <f>IFERROR(__xludf.DUMMYFUNCTION("""COMPUTED_VALUE"""),21.0)</f>
        <v>21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 t="str">
        <f>IFERROR(__xludf.DUMMYFUNCTION("""COMPUTED_VALUE"""),"A")</f>
        <v>A</v>
      </c>
      <c r="E1724" s="1" t="str">
        <f>IFERROR(__xludf.DUMMYFUNCTION("""COMPUTED_VALUE"""),"Female")</f>
        <v>Female</v>
      </c>
      <c r="F1724" s="1">
        <f>IFERROR(__xludf.DUMMYFUNCTION("""COMPUTED_VALUE"""),41.0)</f>
        <v>41</v>
      </c>
      <c r="G1724" s="1">
        <f>IFERROR(__xludf.DUMMYFUNCTION("""COMPUTED_VALUE"""),47.0)</f>
        <v>47</v>
      </c>
      <c r="H1724" s="1">
        <f>IFERROR(__xludf.DUMMYFUNCTION("""COMPUTED_VALUE"""),32.0)</f>
        <v>32</v>
      </c>
      <c r="I1724" s="1">
        <f>IFERROR(__xludf.DUMMYFUNCTION("""COMPUTED_VALUE"""),82.0)</f>
        <v>82</v>
      </c>
      <c r="J1724" s="1">
        <f>IFERROR(__xludf.DUMMYFUNCTION("""COMPUTED_VALUE"""),30.0)</f>
        <v>30</v>
      </c>
      <c r="K1724" s="1">
        <f>IFERROR(__xludf.DUMMYFUNCTION("""COMPUTED_VALUE"""),99.0)</f>
        <v>99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 t="str">
        <f>IFERROR(__xludf.DUMMYFUNCTION("""COMPUTED_VALUE"""),"C")</f>
        <v>C</v>
      </c>
      <c r="E1725" s="1" t="str">
        <f>IFERROR(__xludf.DUMMYFUNCTION("""COMPUTED_VALUE"""),"Male")</f>
        <v>Male</v>
      </c>
      <c r="F1725" s="1">
        <f>IFERROR(__xludf.DUMMYFUNCTION("""COMPUTED_VALUE"""),32.0)</f>
        <v>32</v>
      </c>
      <c r="G1725" s="1">
        <f>IFERROR(__xludf.DUMMYFUNCTION("""COMPUTED_VALUE"""),22.0)</f>
        <v>22</v>
      </c>
      <c r="H1725" s="1">
        <f>IFERROR(__xludf.DUMMYFUNCTION("""COMPUTED_VALUE"""),30.0)</f>
        <v>30</v>
      </c>
      <c r="I1725" s="1">
        <f>IFERROR(__xludf.DUMMYFUNCTION("""COMPUTED_VALUE"""),64.0)</f>
        <v>64</v>
      </c>
      <c r="J1725" s="1">
        <f>IFERROR(__xludf.DUMMYFUNCTION("""COMPUTED_VALUE"""),32.0)</f>
        <v>32</v>
      </c>
      <c r="K1725" s="1">
        <f>IFERROR(__xludf.DUMMYFUNCTION("""COMPUTED_VALUE"""),62.0)</f>
        <v>62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 t="str">
        <f>IFERROR(__xludf.DUMMYFUNCTION("""COMPUTED_VALUE"""),"B")</f>
        <v>B</v>
      </c>
      <c r="E1726" s="1" t="str">
        <f>IFERROR(__xludf.DUMMYFUNCTION("""COMPUTED_VALUE"""),"Female")</f>
        <v>Female</v>
      </c>
      <c r="F1726" s="1">
        <f>IFERROR(__xludf.DUMMYFUNCTION("""COMPUTED_VALUE"""),52.0)</f>
        <v>52</v>
      </c>
      <c r="G1726" s="1">
        <f>IFERROR(__xludf.DUMMYFUNCTION("""COMPUTED_VALUE"""),33.0)</f>
        <v>33</v>
      </c>
      <c r="H1726" s="1">
        <f>IFERROR(__xludf.DUMMYFUNCTION("""COMPUTED_VALUE"""),33.0)</f>
        <v>33</v>
      </c>
      <c r="I1726" s="1">
        <f>IFERROR(__xludf.DUMMYFUNCTION("""COMPUTED_VALUE"""),76.0)</f>
        <v>76</v>
      </c>
      <c r="J1726" s="1">
        <f>IFERROR(__xludf.DUMMYFUNCTION("""COMPUTED_VALUE"""),38.0)</f>
        <v>38</v>
      </c>
      <c r="K1726" s="1">
        <f>IFERROR(__xludf.DUMMYFUNCTION("""COMPUTED_VALUE"""),57.0)</f>
        <v>57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 t="str">
        <f>IFERROR(__xludf.DUMMYFUNCTION("""COMPUTED_VALUE"""),"D")</f>
        <v>D</v>
      </c>
      <c r="E1727" s="1" t="str">
        <f>IFERROR(__xludf.DUMMYFUNCTION("""COMPUTED_VALUE"""),"Female")</f>
        <v>Female</v>
      </c>
      <c r="F1727" s="1">
        <f>IFERROR(__xludf.DUMMYFUNCTION("""COMPUTED_VALUE"""),86.0)</f>
        <v>86</v>
      </c>
      <c r="G1727" s="1">
        <f>IFERROR(__xludf.DUMMYFUNCTION("""COMPUTED_VALUE"""),78.0)</f>
        <v>78</v>
      </c>
      <c r="H1727" s="1">
        <f>IFERROR(__xludf.DUMMYFUNCTION("""COMPUTED_VALUE"""),90.0)</f>
        <v>90</v>
      </c>
      <c r="I1727" s="1">
        <f>IFERROR(__xludf.DUMMYFUNCTION("""COMPUTED_VALUE"""),74.0)</f>
        <v>74</v>
      </c>
      <c r="J1727" s="1">
        <f>IFERROR(__xludf.DUMMYFUNCTION("""COMPUTED_VALUE"""),55.0)</f>
        <v>55</v>
      </c>
      <c r="K1727" s="1">
        <f>IFERROR(__xludf.DUMMYFUNCTION("""COMPUTED_VALUE"""),43.0)</f>
        <v>43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 t="str">
        <f>IFERROR(__xludf.DUMMYFUNCTION("""COMPUTED_VALUE"""),"C")</f>
        <v>C</v>
      </c>
      <c r="E1728" s="1" t="str">
        <f>IFERROR(__xludf.DUMMYFUNCTION("""COMPUTED_VALUE"""),"Female")</f>
        <v>Female</v>
      </c>
      <c r="F1728" s="1">
        <f>IFERROR(__xludf.DUMMYFUNCTION("""COMPUTED_VALUE"""),47.0)</f>
        <v>47</v>
      </c>
      <c r="G1728" s="1">
        <f>IFERROR(__xludf.DUMMYFUNCTION("""COMPUTED_VALUE"""),94.0)</f>
        <v>94</v>
      </c>
      <c r="H1728" s="1">
        <f>IFERROR(__xludf.DUMMYFUNCTION("""COMPUTED_VALUE"""),87.0)</f>
        <v>87</v>
      </c>
      <c r="I1728" s="1">
        <f>IFERROR(__xludf.DUMMYFUNCTION("""COMPUTED_VALUE"""),27.0)</f>
        <v>27</v>
      </c>
      <c r="J1728" s="1">
        <f>IFERROR(__xludf.DUMMYFUNCTION("""COMPUTED_VALUE"""),20.0)</f>
        <v>20</v>
      </c>
      <c r="K1728" s="1">
        <f>IFERROR(__xludf.DUMMYFUNCTION("""COMPUTED_VALUE"""),63.0)</f>
        <v>63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 t="str">
        <f>IFERROR(__xludf.DUMMYFUNCTION("""COMPUTED_VALUE"""),"C")</f>
        <v>C</v>
      </c>
      <c r="E1729" s="1" t="str">
        <f>IFERROR(__xludf.DUMMYFUNCTION("""COMPUTED_VALUE"""),"Female")</f>
        <v>Female</v>
      </c>
      <c r="F1729" s="1">
        <f>IFERROR(__xludf.DUMMYFUNCTION("""COMPUTED_VALUE"""),15.0)</f>
        <v>15</v>
      </c>
      <c r="G1729" s="1">
        <f>IFERROR(__xludf.DUMMYFUNCTION("""COMPUTED_VALUE"""),60.0)</f>
        <v>60</v>
      </c>
      <c r="H1729" s="1">
        <f>IFERROR(__xludf.DUMMYFUNCTION("""COMPUTED_VALUE"""),74.0)</f>
        <v>74</v>
      </c>
      <c r="I1729" s="1">
        <f>IFERROR(__xludf.DUMMYFUNCTION("""COMPUTED_VALUE"""),44.0)</f>
        <v>44</v>
      </c>
      <c r="J1729" s="1">
        <f>IFERROR(__xludf.DUMMYFUNCTION("""COMPUTED_VALUE"""),98.0)</f>
        <v>98</v>
      </c>
      <c r="K1729" s="1">
        <f>IFERROR(__xludf.DUMMYFUNCTION("""COMPUTED_VALUE"""),93.0)</f>
        <v>93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 t="str">
        <f>IFERROR(__xludf.DUMMYFUNCTION("""COMPUTED_VALUE"""),"C")</f>
        <v>C</v>
      </c>
      <c r="E1730" s="1" t="str">
        <f>IFERROR(__xludf.DUMMYFUNCTION("""COMPUTED_VALUE"""),"Female")</f>
        <v>Female</v>
      </c>
      <c r="F1730" s="1">
        <f>IFERROR(__xludf.DUMMYFUNCTION("""COMPUTED_VALUE"""),17.0)</f>
        <v>17</v>
      </c>
      <c r="G1730" s="1">
        <f>IFERROR(__xludf.DUMMYFUNCTION("""COMPUTED_VALUE"""),53.0)</f>
        <v>53</v>
      </c>
      <c r="H1730" s="1">
        <f>IFERROR(__xludf.DUMMYFUNCTION("""COMPUTED_VALUE"""),59.0)</f>
        <v>59</v>
      </c>
      <c r="I1730" s="1">
        <f>IFERROR(__xludf.DUMMYFUNCTION("""COMPUTED_VALUE"""),43.0)</f>
        <v>43</v>
      </c>
      <c r="J1730" s="1">
        <f>IFERROR(__xludf.DUMMYFUNCTION("""COMPUTED_VALUE"""),32.0)</f>
        <v>32</v>
      </c>
      <c r="K1730" s="1">
        <f>IFERROR(__xludf.DUMMYFUNCTION("""COMPUTED_VALUE"""),56.0)</f>
        <v>56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 t="str">
        <f>IFERROR(__xludf.DUMMYFUNCTION("""COMPUTED_VALUE"""),"C")</f>
        <v>C</v>
      </c>
      <c r="E1731" s="1" t="str">
        <f>IFERROR(__xludf.DUMMYFUNCTION("""COMPUTED_VALUE"""),"Male")</f>
        <v>Male</v>
      </c>
      <c r="F1731" s="1">
        <f>IFERROR(__xludf.DUMMYFUNCTION("""COMPUTED_VALUE"""),88.0)</f>
        <v>88</v>
      </c>
      <c r="G1731" s="1">
        <f>IFERROR(__xludf.DUMMYFUNCTION("""COMPUTED_VALUE"""),27.0)</f>
        <v>27</v>
      </c>
      <c r="H1731" s="1">
        <f>IFERROR(__xludf.DUMMYFUNCTION("""COMPUTED_VALUE"""),26.0)</f>
        <v>26</v>
      </c>
      <c r="I1731" s="1">
        <f>IFERROR(__xludf.DUMMYFUNCTION("""COMPUTED_VALUE"""),68.0)</f>
        <v>68</v>
      </c>
      <c r="J1731" s="1">
        <f>IFERROR(__xludf.DUMMYFUNCTION("""COMPUTED_VALUE"""),86.0)</f>
        <v>86</v>
      </c>
      <c r="K1731" s="1">
        <f>IFERROR(__xludf.DUMMYFUNCTION("""COMPUTED_VALUE"""),60.0)</f>
        <v>60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 t="str">
        <f>IFERROR(__xludf.DUMMYFUNCTION("""COMPUTED_VALUE"""),"D")</f>
        <v>D</v>
      </c>
      <c r="E1732" s="1" t="str">
        <f>IFERROR(__xludf.DUMMYFUNCTION("""COMPUTED_VALUE"""),"Male")</f>
        <v>Male</v>
      </c>
      <c r="F1732" s="1">
        <f>IFERROR(__xludf.DUMMYFUNCTION("""COMPUTED_VALUE"""),47.0)</f>
        <v>47</v>
      </c>
      <c r="G1732" s="1">
        <f>IFERROR(__xludf.DUMMYFUNCTION("""COMPUTED_VALUE"""),42.0)</f>
        <v>42</v>
      </c>
      <c r="H1732" s="1">
        <f>IFERROR(__xludf.DUMMYFUNCTION("""COMPUTED_VALUE"""),25.0)</f>
        <v>25</v>
      </c>
      <c r="I1732" s="1">
        <f>IFERROR(__xludf.DUMMYFUNCTION("""COMPUTED_VALUE"""),82.0)</f>
        <v>82</v>
      </c>
      <c r="J1732" s="1">
        <f>IFERROR(__xludf.DUMMYFUNCTION("""COMPUTED_VALUE"""),26.0)</f>
        <v>26</v>
      </c>
      <c r="K1732" s="1">
        <f>IFERROR(__xludf.DUMMYFUNCTION("""COMPUTED_VALUE"""),82.0)</f>
        <v>82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 t="str">
        <f>IFERROR(__xludf.DUMMYFUNCTION("""COMPUTED_VALUE"""),"C")</f>
        <v>C</v>
      </c>
      <c r="E1733" s="1" t="str">
        <f>IFERROR(__xludf.DUMMYFUNCTION("""COMPUTED_VALUE"""),"Male")</f>
        <v>Male</v>
      </c>
      <c r="F1733" s="1">
        <f>IFERROR(__xludf.DUMMYFUNCTION("""COMPUTED_VALUE"""),83.0)</f>
        <v>83</v>
      </c>
      <c r="G1733" s="1">
        <f>IFERROR(__xludf.DUMMYFUNCTION("""COMPUTED_VALUE"""),33.0)</f>
        <v>33</v>
      </c>
      <c r="H1733" s="1">
        <f>IFERROR(__xludf.DUMMYFUNCTION("""COMPUTED_VALUE"""),64.0)</f>
        <v>64</v>
      </c>
      <c r="I1733" s="1">
        <f>IFERROR(__xludf.DUMMYFUNCTION("""COMPUTED_VALUE"""),80.0)</f>
        <v>80</v>
      </c>
      <c r="J1733" s="1">
        <f>IFERROR(__xludf.DUMMYFUNCTION("""COMPUTED_VALUE"""),58.0)</f>
        <v>58</v>
      </c>
      <c r="K1733" s="1">
        <f>IFERROR(__xludf.DUMMYFUNCTION("""COMPUTED_VALUE"""),60.0)</f>
        <v>60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 t="str">
        <f>IFERROR(__xludf.DUMMYFUNCTION("""COMPUTED_VALUE"""),"B")</f>
        <v>B</v>
      </c>
      <c r="E1734" s="1" t="str">
        <f>IFERROR(__xludf.DUMMYFUNCTION("""COMPUTED_VALUE"""),"Male")</f>
        <v>Male</v>
      </c>
      <c r="F1734" s="1">
        <f>IFERROR(__xludf.DUMMYFUNCTION("""COMPUTED_VALUE"""),32.0)</f>
        <v>32</v>
      </c>
      <c r="G1734" s="1">
        <f>IFERROR(__xludf.DUMMYFUNCTION("""COMPUTED_VALUE"""),84.0)</f>
        <v>84</v>
      </c>
      <c r="H1734" s="1">
        <f>IFERROR(__xludf.DUMMYFUNCTION("""COMPUTED_VALUE"""),44.0)</f>
        <v>44</v>
      </c>
      <c r="I1734" s="1">
        <f>IFERROR(__xludf.DUMMYFUNCTION("""COMPUTED_VALUE"""),41.0)</f>
        <v>41</v>
      </c>
      <c r="J1734" s="1">
        <f>IFERROR(__xludf.DUMMYFUNCTION("""COMPUTED_VALUE"""),84.0)</f>
        <v>84</v>
      </c>
      <c r="K1734" s="1">
        <f>IFERROR(__xludf.DUMMYFUNCTION("""COMPUTED_VALUE"""),36.0)</f>
        <v>36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 t="str">
        <f>IFERROR(__xludf.DUMMYFUNCTION("""COMPUTED_VALUE"""),"D")</f>
        <v>D</v>
      </c>
      <c r="E1735" s="1" t="str">
        <f>IFERROR(__xludf.DUMMYFUNCTION("""COMPUTED_VALUE"""),"Female")</f>
        <v>Female</v>
      </c>
      <c r="F1735" s="1">
        <f>IFERROR(__xludf.DUMMYFUNCTION("""COMPUTED_VALUE"""),16.0)</f>
        <v>16</v>
      </c>
      <c r="G1735" s="1">
        <f>IFERROR(__xludf.DUMMYFUNCTION("""COMPUTED_VALUE"""),51.0)</f>
        <v>51</v>
      </c>
      <c r="H1735" s="1">
        <f>IFERROR(__xludf.DUMMYFUNCTION("""COMPUTED_VALUE"""),36.0)</f>
        <v>36</v>
      </c>
      <c r="I1735" s="1">
        <f>IFERROR(__xludf.DUMMYFUNCTION("""COMPUTED_VALUE"""),21.0)</f>
        <v>21</v>
      </c>
      <c r="J1735" s="1">
        <f>IFERROR(__xludf.DUMMYFUNCTION("""COMPUTED_VALUE"""),98.0)</f>
        <v>98</v>
      </c>
      <c r="K1735" s="1">
        <f>IFERROR(__xludf.DUMMYFUNCTION("""COMPUTED_VALUE"""),99.0)</f>
        <v>99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 t="str">
        <f>IFERROR(__xludf.DUMMYFUNCTION("""COMPUTED_VALUE"""),"B")</f>
        <v>B</v>
      </c>
      <c r="E1736" s="1" t="str">
        <f>IFERROR(__xludf.DUMMYFUNCTION("""COMPUTED_VALUE"""),"Male")</f>
        <v>Male</v>
      </c>
      <c r="F1736" s="1">
        <f>IFERROR(__xludf.DUMMYFUNCTION("""COMPUTED_VALUE"""),93.0)</f>
        <v>93</v>
      </c>
      <c r="G1736" s="1">
        <f>IFERROR(__xludf.DUMMYFUNCTION("""COMPUTED_VALUE"""),48.0)</f>
        <v>48</v>
      </c>
      <c r="H1736" s="1">
        <f>IFERROR(__xludf.DUMMYFUNCTION("""COMPUTED_VALUE"""),22.0)</f>
        <v>22</v>
      </c>
      <c r="I1736" s="1">
        <f>IFERROR(__xludf.DUMMYFUNCTION("""COMPUTED_VALUE"""),27.0)</f>
        <v>27</v>
      </c>
      <c r="J1736" s="1">
        <f>IFERROR(__xludf.DUMMYFUNCTION("""COMPUTED_VALUE"""),86.0)</f>
        <v>86</v>
      </c>
      <c r="K1736" s="1">
        <f>IFERROR(__xludf.DUMMYFUNCTION("""COMPUTED_VALUE"""),58.0)</f>
        <v>58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 t="str">
        <f>IFERROR(__xludf.DUMMYFUNCTION("""COMPUTED_VALUE"""),"C")</f>
        <v>C</v>
      </c>
      <c r="E1737" s="1" t="str">
        <f>IFERROR(__xludf.DUMMYFUNCTION("""COMPUTED_VALUE"""),"Female")</f>
        <v>Female</v>
      </c>
      <c r="F1737" s="1">
        <f>IFERROR(__xludf.DUMMYFUNCTION("""COMPUTED_VALUE"""),95.0)</f>
        <v>95</v>
      </c>
      <c r="G1737" s="1">
        <f>IFERROR(__xludf.DUMMYFUNCTION("""COMPUTED_VALUE"""),20.0)</f>
        <v>20</v>
      </c>
      <c r="H1737" s="1">
        <f>IFERROR(__xludf.DUMMYFUNCTION("""COMPUTED_VALUE"""),59.0)</f>
        <v>59</v>
      </c>
      <c r="I1737" s="1">
        <f>IFERROR(__xludf.DUMMYFUNCTION("""COMPUTED_VALUE"""),40.0)</f>
        <v>40</v>
      </c>
      <c r="J1737" s="1">
        <f>IFERROR(__xludf.DUMMYFUNCTION("""COMPUTED_VALUE"""),99.0)</f>
        <v>99</v>
      </c>
      <c r="K1737" s="1">
        <f>IFERROR(__xludf.DUMMYFUNCTION("""COMPUTED_VALUE"""),21.0)</f>
        <v>21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 t="str">
        <f>IFERROR(__xludf.DUMMYFUNCTION("""COMPUTED_VALUE"""),"D")</f>
        <v>D</v>
      </c>
      <c r="E1738" s="1" t="str">
        <f>IFERROR(__xludf.DUMMYFUNCTION("""COMPUTED_VALUE"""),"Male")</f>
        <v>Male</v>
      </c>
      <c r="F1738" s="1">
        <f>IFERROR(__xludf.DUMMYFUNCTION("""COMPUTED_VALUE"""),62.0)</f>
        <v>62</v>
      </c>
      <c r="G1738" s="1">
        <f>IFERROR(__xludf.DUMMYFUNCTION("""COMPUTED_VALUE"""),58.0)</f>
        <v>58</v>
      </c>
      <c r="H1738" s="1">
        <f>IFERROR(__xludf.DUMMYFUNCTION("""COMPUTED_VALUE"""),68.0)</f>
        <v>68</v>
      </c>
      <c r="I1738" s="1">
        <f>IFERROR(__xludf.DUMMYFUNCTION("""COMPUTED_VALUE"""),70.0)</f>
        <v>70</v>
      </c>
      <c r="J1738" s="1">
        <f>IFERROR(__xludf.DUMMYFUNCTION("""COMPUTED_VALUE"""),73.0)</f>
        <v>73</v>
      </c>
      <c r="K1738" s="1">
        <f>IFERROR(__xludf.DUMMYFUNCTION("""COMPUTED_VALUE"""),90.0)</f>
        <v>90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 t="str">
        <f>IFERROR(__xludf.DUMMYFUNCTION("""COMPUTED_VALUE"""),"D")</f>
        <v>D</v>
      </c>
      <c r="E1739" s="1" t="str">
        <f>IFERROR(__xludf.DUMMYFUNCTION("""COMPUTED_VALUE"""),"Female")</f>
        <v>Female</v>
      </c>
      <c r="F1739" s="1">
        <f>IFERROR(__xludf.DUMMYFUNCTION("""COMPUTED_VALUE"""),49.0)</f>
        <v>49</v>
      </c>
      <c r="G1739" s="1">
        <f>IFERROR(__xludf.DUMMYFUNCTION("""COMPUTED_VALUE"""),23.0)</f>
        <v>23</v>
      </c>
      <c r="H1739" s="1">
        <f>IFERROR(__xludf.DUMMYFUNCTION("""COMPUTED_VALUE"""),26.0)</f>
        <v>26</v>
      </c>
      <c r="I1739" s="1">
        <f>IFERROR(__xludf.DUMMYFUNCTION("""COMPUTED_VALUE"""),30.0)</f>
        <v>30</v>
      </c>
      <c r="J1739" s="1">
        <f>IFERROR(__xludf.DUMMYFUNCTION("""COMPUTED_VALUE"""),37.0)</f>
        <v>37</v>
      </c>
      <c r="K1739" s="1">
        <f>IFERROR(__xludf.DUMMYFUNCTION("""COMPUTED_VALUE"""),40.0)</f>
        <v>40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 t="str">
        <f>IFERROR(__xludf.DUMMYFUNCTION("""COMPUTED_VALUE"""),"D")</f>
        <v>D</v>
      </c>
      <c r="E1740" s="1" t="str">
        <f>IFERROR(__xludf.DUMMYFUNCTION("""COMPUTED_VALUE"""),"Male")</f>
        <v>Male</v>
      </c>
      <c r="F1740" s="1">
        <f>IFERROR(__xludf.DUMMYFUNCTION("""COMPUTED_VALUE"""),45.0)</f>
        <v>45</v>
      </c>
      <c r="G1740" s="1">
        <f>IFERROR(__xludf.DUMMYFUNCTION("""COMPUTED_VALUE"""),48.0)</f>
        <v>48</v>
      </c>
      <c r="H1740" s="1">
        <f>IFERROR(__xludf.DUMMYFUNCTION("""COMPUTED_VALUE"""),96.0)</f>
        <v>96</v>
      </c>
      <c r="I1740" s="1">
        <f>IFERROR(__xludf.DUMMYFUNCTION("""COMPUTED_VALUE"""),52.0)</f>
        <v>52</v>
      </c>
      <c r="J1740" s="1">
        <f>IFERROR(__xludf.DUMMYFUNCTION("""COMPUTED_VALUE"""),29.0)</f>
        <v>29</v>
      </c>
      <c r="K1740" s="1">
        <f>IFERROR(__xludf.DUMMYFUNCTION("""COMPUTED_VALUE"""),47.0)</f>
        <v>47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 t="str">
        <f>IFERROR(__xludf.DUMMYFUNCTION("""COMPUTED_VALUE"""),"A")</f>
        <v>A</v>
      </c>
      <c r="E1741" s="1" t="str">
        <f>IFERROR(__xludf.DUMMYFUNCTION("""COMPUTED_VALUE"""),"Female")</f>
        <v>Female</v>
      </c>
      <c r="F1741" s="1">
        <f>IFERROR(__xludf.DUMMYFUNCTION("""COMPUTED_VALUE"""),65.0)</f>
        <v>65</v>
      </c>
      <c r="G1741" s="1">
        <f>IFERROR(__xludf.DUMMYFUNCTION("""COMPUTED_VALUE"""),46.0)</f>
        <v>46</v>
      </c>
      <c r="H1741" s="1">
        <f>IFERROR(__xludf.DUMMYFUNCTION("""COMPUTED_VALUE"""),43.0)</f>
        <v>43</v>
      </c>
      <c r="I1741" s="1">
        <f>IFERROR(__xludf.DUMMYFUNCTION("""COMPUTED_VALUE"""),25.0)</f>
        <v>25</v>
      </c>
      <c r="J1741" s="1">
        <f>IFERROR(__xludf.DUMMYFUNCTION("""COMPUTED_VALUE"""),94.0)</f>
        <v>94</v>
      </c>
      <c r="K1741" s="1">
        <f>IFERROR(__xludf.DUMMYFUNCTION("""COMPUTED_VALUE"""),97.0)</f>
        <v>97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 t="str">
        <f>IFERROR(__xludf.DUMMYFUNCTION("""COMPUTED_VALUE"""),"D")</f>
        <v>D</v>
      </c>
      <c r="E1742" s="1" t="str">
        <f>IFERROR(__xludf.DUMMYFUNCTION("""COMPUTED_VALUE"""),"Male")</f>
        <v>Male</v>
      </c>
      <c r="F1742" s="1">
        <f>IFERROR(__xludf.DUMMYFUNCTION("""COMPUTED_VALUE"""),52.0)</f>
        <v>52</v>
      </c>
      <c r="G1742" s="1">
        <f>IFERROR(__xludf.DUMMYFUNCTION("""COMPUTED_VALUE"""),53.0)</f>
        <v>53</v>
      </c>
      <c r="H1742" s="1">
        <f>IFERROR(__xludf.DUMMYFUNCTION("""COMPUTED_VALUE"""),39.0)</f>
        <v>39</v>
      </c>
      <c r="I1742" s="1">
        <f>IFERROR(__xludf.DUMMYFUNCTION("""COMPUTED_VALUE"""),29.0)</f>
        <v>29</v>
      </c>
      <c r="J1742" s="1">
        <f>IFERROR(__xludf.DUMMYFUNCTION("""COMPUTED_VALUE"""),58.0)</f>
        <v>58</v>
      </c>
      <c r="K1742" s="1">
        <f>IFERROR(__xludf.DUMMYFUNCTION("""COMPUTED_VALUE"""),81.0)</f>
        <v>81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 t="str">
        <f>IFERROR(__xludf.DUMMYFUNCTION("""COMPUTED_VALUE"""),"C")</f>
        <v>C</v>
      </c>
      <c r="E1743" s="1" t="str">
        <f>IFERROR(__xludf.DUMMYFUNCTION("""COMPUTED_VALUE"""),"Male")</f>
        <v>Male</v>
      </c>
      <c r="F1743" s="1">
        <f>IFERROR(__xludf.DUMMYFUNCTION("""COMPUTED_VALUE"""),93.0)</f>
        <v>93</v>
      </c>
      <c r="G1743" s="1">
        <f>IFERROR(__xludf.DUMMYFUNCTION("""COMPUTED_VALUE"""),52.0)</f>
        <v>52</v>
      </c>
      <c r="H1743" s="1">
        <f>IFERROR(__xludf.DUMMYFUNCTION("""COMPUTED_VALUE"""),23.0)</f>
        <v>23</v>
      </c>
      <c r="I1743" s="1">
        <f>IFERROR(__xludf.DUMMYFUNCTION("""COMPUTED_VALUE"""),90.0)</f>
        <v>90</v>
      </c>
      <c r="J1743" s="1">
        <f>IFERROR(__xludf.DUMMYFUNCTION("""COMPUTED_VALUE"""),68.0)</f>
        <v>68</v>
      </c>
      <c r="K1743" s="1">
        <f>IFERROR(__xludf.DUMMYFUNCTION("""COMPUTED_VALUE"""),40.0)</f>
        <v>40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 t="str">
        <f>IFERROR(__xludf.DUMMYFUNCTION("""COMPUTED_VALUE"""),"B")</f>
        <v>B</v>
      </c>
      <c r="E1744" s="1" t="str">
        <f>IFERROR(__xludf.DUMMYFUNCTION("""COMPUTED_VALUE"""),"Female")</f>
        <v>Female</v>
      </c>
      <c r="F1744" s="1">
        <f>IFERROR(__xludf.DUMMYFUNCTION("""COMPUTED_VALUE"""),97.0)</f>
        <v>97</v>
      </c>
      <c r="G1744" s="1">
        <f>IFERROR(__xludf.DUMMYFUNCTION("""COMPUTED_VALUE"""),62.0)</f>
        <v>62</v>
      </c>
      <c r="H1744" s="1">
        <f>IFERROR(__xludf.DUMMYFUNCTION("""COMPUTED_VALUE"""),33.0)</f>
        <v>33</v>
      </c>
      <c r="I1744" s="1">
        <f>IFERROR(__xludf.DUMMYFUNCTION("""COMPUTED_VALUE"""),36.0)</f>
        <v>36</v>
      </c>
      <c r="J1744" s="1">
        <f>IFERROR(__xludf.DUMMYFUNCTION("""COMPUTED_VALUE"""),25.0)</f>
        <v>25</v>
      </c>
      <c r="K1744" s="1">
        <f>IFERROR(__xludf.DUMMYFUNCTION("""COMPUTED_VALUE"""),49.0)</f>
        <v>49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 t="str">
        <f>IFERROR(__xludf.DUMMYFUNCTION("""COMPUTED_VALUE"""),"C")</f>
        <v>C</v>
      </c>
      <c r="E1745" s="1" t="str">
        <f>IFERROR(__xludf.DUMMYFUNCTION("""COMPUTED_VALUE"""),"Female")</f>
        <v>Female</v>
      </c>
      <c r="F1745" s="1">
        <f>IFERROR(__xludf.DUMMYFUNCTION("""COMPUTED_VALUE"""),71.0)</f>
        <v>71</v>
      </c>
      <c r="G1745" s="1">
        <f>IFERROR(__xludf.DUMMYFUNCTION("""COMPUTED_VALUE"""),57.0)</f>
        <v>57</v>
      </c>
      <c r="H1745" s="1">
        <f>IFERROR(__xludf.DUMMYFUNCTION("""COMPUTED_VALUE"""),48.0)</f>
        <v>48</v>
      </c>
      <c r="I1745" s="1">
        <f>IFERROR(__xludf.DUMMYFUNCTION("""COMPUTED_VALUE"""),56.0)</f>
        <v>56</v>
      </c>
      <c r="J1745" s="1">
        <f>IFERROR(__xludf.DUMMYFUNCTION("""COMPUTED_VALUE"""),39.0)</f>
        <v>39</v>
      </c>
      <c r="K1745" s="1">
        <f>IFERROR(__xludf.DUMMYFUNCTION("""COMPUTED_VALUE"""),54.0)</f>
        <v>54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 t="str">
        <f>IFERROR(__xludf.DUMMYFUNCTION("""COMPUTED_VALUE"""),"A")</f>
        <v>A</v>
      </c>
      <c r="E1746" s="1" t="str">
        <f>IFERROR(__xludf.DUMMYFUNCTION("""COMPUTED_VALUE"""),"Female")</f>
        <v>Female</v>
      </c>
      <c r="F1746" s="1">
        <f>IFERROR(__xludf.DUMMYFUNCTION("""COMPUTED_VALUE"""),22.0)</f>
        <v>22</v>
      </c>
      <c r="G1746" s="1">
        <f>IFERROR(__xludf.DUMMYFUNCTION("""COMPUTED_VALUE"""),95.0)</f>
        <v>95</v>
      </c>
      <c r="H1746" s="1">
        <f>IFERROR(__xludf.DUMMYFUNCTION("""COMPUTED_VALUE"""),27.0)</f>
        <v>27</v>
      </c>
      <c r="I1746" s="1">
        <f>IFERROR(__xludf.DUMMYFUNCTION("""COMPUTED_VALUE"""),37.0)</f>
        <v>37</v>
      </c>
      <c r="J1746" s="1">
        <f>IFERROR(__xludf.DUMMYFUNCTION("""COMPUTED_VALUE"""),50.0)</f>
        <v>50</v>
      </c>
      <c r="K1746" s="1">
        <f>IFERROR(__xludf.DUMMYFUNCTION("""COMPUTED_VALUE"""),90.0)</f>
        <v>90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 t="str">
        <f>IFERROR(__xludf.DUMMYFUNCTION("""COMPUTED_VALUE"""),"D")</f>
        <v>D</v>
      </c>
      <c r="E1747" s="1" t="str">
        <f>IFERROR(__xludf.DUMMYFUNCTION("""COMPUTED_VALUE"""),"Male")</f>
        <v>Male</v>
      </c>
      <c r="F1747" s="1">
        <f>IFERROR(__xludf.DUMMYFUNCTION("""COMPUTED_VALUE"""),19.0)</f>
        <v>19</v>
      </c>
      <c r="G1747" s="1">
        <f>IFERROR(__xludf.DUMMYFUNCTION("""COMPUTED_VALUE"""),62.0)</f>
        <v>62</v>
      </c>
      <c r="H1747" s="1">
        <f>IFERROR(__xludf.DUMMYFUNCTION("""COMPUTED_VALUE"""),22.0)</f>
        <v>22</v>
      </c>
      <c r="I1747" s="1">
        <f>IFERROR(__xludf.DUMMYFUNCTION("""COMPUTED_VALUE"""),59.0)</f>
        <v>59</v>
      </c>
      <c r="J1747" s="1">
        <f>IFERROR(__xludf.DUMMYFUNCTION("""COMPUTED_VALUE"""),75.0)</f>
        <v>75</v>
      </c>
      <c r="K1747" s="1">
        <f>IFERROR(__xludf.DUMMYFUNCTION("""COMPUTED_VALUE"""),20.0)</f>
        <v>20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 t="str">
        <f>IFERROR(__xludf.DUMMYFUNCTION("""COMPUTED_VALUE"""),"D")</f>
        <v>D</v>
      </c>
      <c r="E1748" s="1" t="str">
        <f>IFERROR(__xludf.DUMMYFUNCTION("""COMPUTED_VALUE"""),"Female")</f>
        <v>Female</v>
      </c>
      <c r="F1748" s="1">
        <f>IFERROR(__xludf.DUMMYFUNCTION("""COMPUTED_VALUE"""),100.0)</f>
        <v>100</v>
      </c>
      <c r="G1748" s="1">
        <f>IFERROR(__xludf.DUMMYFUNCTION("""COMPUTED_VALUE"""),88.0)</f>
        <v>88</v>
      </c>
      <c r="H1748" s="1">
        <f>IFERROR(__xludf.DUMMYFUNCTION("""COMPUTED_VALUE"""),54.0)</f>
        <v>54</v>
      </c>
      <c r="I1748" s="1">
        <f>IFERROR(__xludf.DUMMYFUNCTION("""COMPUTED_VALUE"""),62.0)</f>
        <v>62</v>
      </c>
      <c r="J1748" s="1">
        <f>IFERROR(__xludf.DUMMYFUNCTION("""COMPUTED_VALUE"""),22.0)</f>
        <v>22</v>
      </c>
      <c r="K1748" s="1">
        <f>IFERROR(__xludf.DUMMYFUNCTION("""COMPUTED_VALUE"""),68.0)</f>
        <v>68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 t="str">
        <f>IFERROR(__xludf.DUMMYFUNCTION("""COMPUTED_VALUE"""),"A")</f>
        <v>A</v>
      </c>
      <c r="E1749" s="1" t="str">
        <f>IFERROR(__xludf.DUMMYFUNCTION("""COMPUTED_VALUE"""),"Female")</f>
        <v>Female</v>
      </c>
      <c r="F1749" s="1">
        <f>IFERROR(__xludf.DUMMYFUNCTION("""COMPUTED_VALUE"""),64.0)</f>
        <v>64</v>
      </c>
      <c r="G1749" s="1">
        <f>IFERROR(__xludf.DUMMYFUNCTION("""COMPUTED_VALUE"""),83.0)</f>
        <v>83</v>
      </c>
      <c r="H1749" s="1">
        <f>IFERROR(__xludf.DUMMYFUNCTION("""COMPUTED_VALUE"""),97.0)</f>
        <v>97</v>
      </c>
      <c r="I1749" s="1">
        <f>IFERROR(__xludf.DUMMYFUNCTION("""COMPUTED_VALUE"""),66.0)</f>
        <v>66</v>
      </c>
      <c r="J1749" s="1">
        <f>IFERROR(__xludf.DUMMYFUNCTION("""COMPUTED_VALUE"""),79.0)</f>
        <v>79</v>
      </c>
      <c r="K1749" s="1">
        <f>IFERROR(__xludf.DUMMYFUNCTION("""COMPUTED_VALUE"""),70.0)</f>
        <v>70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 t="str">
        <f>IFERROR(__xludf.DUMMYFUNCTION("""COMPUTED_VALUE"""),"D")</f>
        <v>D</v>
      </c>
      <c r="E1750" s="1" t="str">
        <f>IFERROR(__xludf.DUMMYFUNCTION("""COMPUTED_VALUE"""),"Male")</f>
        <v>Male</v>
      </c>
      <c r="F1750" s="1">
        <f>IFERROR(__xludf.DUMMYFUNCTION("""COMPUTED_VALUE"""),92.0)</f>
        <v>92</v>
      </c>
      <c r="G1750" s="1">
        <f>IFERROR(__xludf.DUMMYFUNCTION("""COMPUTED_VALUE"""),54.0)</f>
        <v>54</v>
      </c>
      <c r="H1750" s="1">
        <f>IFERROR(__xludf.DUMMYFUNCTION("""COMPUTED_VALUE"""),46.0)</f>
        <v>46</v>
      </c>
      <c r="I1750" s="1">
        <f>IFERROR(__xludf.DUMMYFUNCTION("""COMPUTED_VALUE"""),47.0)</f>
        <v>47</v>
      </c>
      <c r="J1750" s="1">
        <f>IFERROR(__xludf.DUMMYFUNCTION("""COMPUTED_VALUE"""),68.0)</f>
        <v>68</v>
      </c>
      <c r="K1750" s="1">
        <f>IFERROR(__xludf.DUMMYFUNCTION("""COMPUTED_VALUE"""),95.0)</f>
        <v>95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 t="str">
        <f>IFERROR(__xludf.DUMMYFUNCTION("""COMPUTED_VALUE"""),"C")</f>
        <v>C</v>
      </c>
      <c r="E1751" s="1" t="str">
        <f>IFERROR(__xludf.DUMMYFUNCTION("""COMPUTED_VALUE"""),"Male")</f>
        <v>Male</v>
      </c>
      <c r="F1751" s="1">
        <f>IFERROR(__xludf.DUMMYFUNCTION("""COMPUTED_VALUE"""),18.0)</f>
        <v>18</v>
      </c>
      <c r="G1751" s="1">
        <f>IFERROR(__xludf.DUMMYFUNCTION("""COMPUTED_VALUE"""),47.0)</f>
        <v>47</v>
      </c>
      <c r="H1751" s="1">
        <f>IFERROR(__xludf.DUMMYFUNCTION("""COMPUTED_VALUE"""),44.0)</f>
        <v>44</v>
      </c>
      <c r="I1751" s="1">
        <f>IFERROR(__xludf.DUMMYFUNCTION("""COMPUTED_VALUE"""),32.0)</f>
        <v>32</v>
      </c>
      <c r="J1751" s="1">
        <f>IFERROR(__xludf.DUMMYFUNCTION("""COMPUTED_VALUE"""),59.0)</f>
        <v>59</v>
      </c>
      <c r="K1751" s="1">
        <f>IFERROR(__xludf.DUMMYFUNCTION("""COMPUTED_VALUE"""),78.0)</f>
        <v>78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 t="str">
        <f>IFERROR(__xludf.DUMMYFUNCTION("""COMPUTED_VALUE"""),"D")</f>
        <v>D</v>
      </c>
      <c r="E1752" s="1" t="str">
        <f>IFERROR(__xludf.DUMMYFUNCTION("""COMPUTED_VALUE"""),"Female")</f>
        <v>Female</v>
      </c>
      <c r="F1752" s="1">
        <f>IFERROR(__xludf.DUMMYFUNCTION("""COMPUTED_VALUE"""),74.0)</f>
        <v>74</v>
      </c>
      <c r="G1752" s="1">
        <f>IFERROR(__xludf.DUMMYFUNCTION("""COMPUTED_VALUE"""),29.0)</f>
        <v>29</v>
      </c>
      <c r="H1752" s="1">
        <f>IFERROR(__xludf.DUMMYFUNCTION("""COMPUTED_VALUE"""),37.0)</f>
        <v>37</v>
      </c>
      <c r="I1752" s="1">
        <f>IFERROR(__xludf.DUMMYFUNCTION("""COMPUTED_VALUE"""),85.0)</f>
        <v>85</v>
      </c>
      <c r="J1752" s="1">
        <f>IFERROR(__xludf.DUMMYFUNCTION("""COMPUTED_VALUE"""),52.0)</f>
        <v>52</v>
      </c>
      <c r="K1752" s="1">
        <f>IFERROR(__xludf.DUMMYFUNCTION("""COMPUTED_VALUE"""),69.0)</f>
        <v>69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 t="str">
        <f>IFERROR(__xludf.DUMMYFUNCTION("""COMPUTED_VALUE"""),"D")</f>
        <v>D</v>
      </c>
      <c r="E1753" s="1" t="str">
        <f>IFERROR(__xludf.DUMMYFUNCTION("""COMPUTED_VALUE"""),"Female")</f>
        <v>Female</v>
      </c>
      <c r="F1753" s="1">
        <f>IFERROR(__xludf.DUMMYFUNCTION("""COMPUTED_VALUE"""),30.0)</f>
        <v>30</v>
      </c>
      <c r="G1753" s="1">
        <f>IFERROR(__xludf.DUMMYFUNCTION("""COMPUTED_VALUE"""),21.0)</f>
        <v>21</v>
      </c>
      <c r="H1753" s="1">
        <f>IFERROR(__xludf.DUMMYFUNCTION("""COMPUTED_VALUE"""),99.0)</f>
        <v>99</v>
      </c>
      <c r="I1753" s="1">
        <f>IFERROR(__xludf.DUMMYFUNCTION("""COMPUTED_VALUE"""),23.0)</f>
        <v>23</v>
      </c>
      <c r="J1753" s="1">
        <f>IFERROR(__xludf.DUMMYFUNCTION("""COMPUTED_VALUE"""),45.0)</f>
        <v>45</v>
      </c>
      <c r="K1753" s="1">
        <f>IFERROR(__xludf.DUMMYFUNCTION("""COMPUTED_VALUE"""),74.0)</f>
        <v>74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 t="str">
        <f>IFERROR(__xludf.DUMMYFUNCTION("""COMPUTED_VALUE"""),"C")</f>
        <v>C</v>
      </c>
      <c r="E1754" s="1" t="str">
        <f>IFERROR(__xludf.DUMMYFUNCTION("""COMPUTED_VALUE"""),"Female")</f>
        <v>Female</v>
      </c>
      <c r="F1754" s="1">
        <f>IFERROR(__xludf.DUMMYFUNCTION("""COMPUTED_VALUE"""),57.0)</f>
        <v>57</v>
      </c>
      <c r="G1754" s="1">
        <f>IFERROR(__xludf.DUMMYFUNCTION("""COMPUTED_VALUE"""),98.0)</f>
        <v>98</v>
      </c>
      <c r="H1754" s="1">
        <f>IFERROR(__xludf.DUMMYFUNCTION("""COMPUTED_VALUE"""),62.0)</f>
        <v>62</v>
      </c>
      <c r="I1754" s="1">
        <f>IFERROR(__xludf.DUMMYFUNCTION("""COMPUTED_VALUE"""),77.0)</f>
        <v>77</v>
      </c>
      <c r="J1754" s="1">
        <f>IFERROR(__xludf.DUMMYFUNCTION("""COMPUTED_VALUE"""),70.0)</f>
        <v>70</v>
      </c>
      <c r="K1754" s="1">
        <f>IFERROR(__xludf.DUMMYFUNCTION("""COMPUTED_VALUE"""),70.0)</f>
        <v>70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 t="str">
        <f>IFERROR(__xludf.DUMMYFUNCTION("""COMPUTED_VALUE"""),"B")</f>
        <v>B</v>
      </c>
      <c r="E1755" s="1" t="str">
        <f>IFERROR(__xludf.DUMMYFUNCTION("""COMPUTED_VALUE"""),"Female")</f>
        <v>Female</v>
      </c>
      <c r="F1755" s="1">
        <f>IFERROR(__xludf.DUMMYFUNCTION("""COMPUTED_VALUE"""),54.0)</f>
        <v>54</v>
      </c>
      <c r="G1755" s="1">
        <f>IFERROR(__xludf.DUMMYFUNCTION("""COMPUTED_VALUE"""),59.0)</f>
        <v>59</v>
      </c>
      <c r="H1755" s="1">
        <f>IFERROR(__xludf.DUMMYFUNCTION("""COMPUTED_VALUE"""),84.0)</f>
        <v>84</v>
      </c>
      <c r="I1755" s="1">
        <f>IFERROR(__xludf.DUMMYFUNCTION("""COMPUTED_VALUE"""),57.0)</f>
        <v>57</v>
      </c>
      <c r="J1755" s="1">
        <f>IFERROR(__xludf.DUMMYFUNCTION("""COMPUTED_VALUE"""),80.0)</f>
        <v>80</v>
      </c>
      <c r="K1755" s="1">
        <f>IFERROR(__xludf.DUMMYFUNCTION("""COMPUTED_VALUE"""),21.0)</f>
        <v>21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 t="str">
        <f>IFERROR(__xludf.DUMMYFUNCTION("""COMPUTED_VALUE"""),"A")</f>
        <v>A</v>
      </c>
      <c r="E1756" s="1" t="str">
        <f>IFERROR(__xludf.DUMMYFUNCTION("""COMPUTED_VALUE"""),"Female")</f>
        <v>Female</v>
      </c>
      <c r="F1756" s="1">
        <f>IFERROR(__xludf.DUMMYFUNCTION("""COMPUTED_VALUE"""),73.0)</f>
        <v>73</v>
      </c>
      <c r="G1756" s="1">
        <f>IFERROR(__xludf.DUMMYFUNCTION("""COMPUTED_VALUE"""),40.0)</f>
        <v>40</v>
      </c>
      <c r="H1756" s="1">
        <f>IFERROR(__xludf.DUMMYFUNCTION("""COMPUTED_VALUE"""),27.0)</f>
        <v>27</v>
      </c>
      <c r="I1756" s="1">
        <f>IFERROR(__xludf.DUMMYFUNCTION("""COMPUTED_VALUE"""),24.0)</f>
        <v>24</v>
      </c>
      <c r="J1756" s="1">
        <f>IFERROR(__xludf.DUMMYFUNCTION("""COMPUTED_VALUE"""),73.0)</f>
        <v>73</v>
      </c>
      <c r="K1756" s="1">
        <f>IFERROR(__xludf.DUMMYFUNCTION("""COMPUTED_VALUE"""),25.0)</f>
        <v>25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 t="str">
        <f>IFERROR(__xludf.DUMMYFUNCTION("""COMPUTED_VALUE"""),"C")</f>
        <v>C</v>
      </c>
      <c r="E1757" s="1" t="str">
        <f>IFERROR(__xludf.DUMMYFUNCTION("""COMPUTED_VALUE"""),"Male")</f>
        <v>Male</v>
      </c>
      <c r="F1757" s="1">
        <f>IFERROR(__xludf.DUMMYFUNCTION("""COMPUTED_VALUE"""),40.0)</f>
        <v>40</v>
      </c>
      <c r="G1757" s="1">
        <f>IFERROR(__xludf.DUMMYFUNCTION("""COMPUTED_VALUE"""),46.0)</f>
        <v>46</v>
      </c>
      <c r="H1757" s="1">
        <f>IFERROR(__xludf.DUMMYFUNCTION("""COMPUTED_VALUE"""),59.0)</f>
        <v>59</v>
      </c>
      <c r="I1757" s="1">
        <f>IFERROR(__xludf.DUMMYFUNCTION("""COMPUTED_VALUE"""),98.0)</f>
        <v>98</v>
      </c>
      <c r="J1757" s="1">
        <f>IFERROR(__xludf.DUMMYFUNCTION("""COMPUTED_VALUE"""),50.0)</f>
        <v>50</v>
      </c>
      <c r="K1757" s="1">
        <f>IFERROR(__xludf.DUMMYFUNCTION("""COMPUTED_VALUE"""),61.0)</f>
        <v>61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 t="str">
        <f>IFERROR(__xludf.DUMMYFUNCTION("""COMPUTED_VALUE"""),"C")</f>
        <v>C</v>
      </c>
      <c r="E1758" s="1" t="str">
        <f>IFERROR(__xludf.DUMMYFUNCTION("""COMPUTED_VALUE"""),"Male")</f>
        <v>Male</v>
      </c>
      <c r="F1758" s="1">
        <f>IFERROR(__xludf.DUMMYFUNCTION("""COMPUTED_VALUE"""),84.0)</f>
        <v>84</v>
      </c>
      <c r="G1758" s="1">
        <f>IFERROR(__xludf.DUMMYFUNCTION("""COMPUTED_VALUE"""),58.0)</f>
        <v>58</v>
      </c>
      <c r="H1758" s="1">
        <f>IFERROR(__xludf.DUMMYFUNCTION("""COMPUTED_VALUE"""),94.0)</f>
        <v>94</v>
      </c>
      <c r="I1758" s="1">
        <f>IFERROR(__xludf.DUMMYFUNCTION("""COMPUTED_VALUE"""),39.0)</f>
        <v>39</v>
      </c>
      <c r="J1758" s="1">
        <f>IFERROR(__xludf.DUMMYFUNCTION("""COMPUTED_VALUE"""),58.0)</f>
        <v>58</v>
      </c>
      <c r="K1758" s="1">
        <f>IFERROR(__xludf.DUMMYFUNCTION("""COMPUTED_VALUE"""),44.0)</f>
        <v>44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 t="str">
        <f>IFERROR(__xludf.DUMMYFUNCTION("""COMPUTED_VALUE"""),"B")</f>
        <v>B</v>
      </c>
      <c r="E1759" s="1" t="str">
        <f>IFERROR(__xludf.DUMMYFUNCTION("""COMPUTED_VALUE"""),"Male")</f>
        <v>Male</v>
      </c>
      <c r="F1759" s="1">
        <f>IFERROR(__xludf.DUMMYFUNCTION("""COMPUTED_VALUE"""),33.0)</f>
        <v>33</v>
      </c>
      <c r="G1759" s="1">
        <f>IFERROR(__xludf.DUMMYFUNCTION("""COMPUTED_VALUE"""),84.0)</f>
        <v>84</v>
      </c>
      <c r="H1759" s="1">
        <f>IFERROR(__xludf.DUMMYFUNCTION("""COMPUTED_VALUE"""),45.0)</f>
        <v>45</v>
      </c>
      <c r="I1759" s="1">
        <f>IFERROR(__xludf.DUMMYFUNCTION("""COMPUTED_VALUE"""),39.0)</f>
        <v>39</v>
      </c>
      <c r="J1759" s="1">
        <f>IFERROR(__xludf.DUMMYFUNCTION("""COMPUTED_VALUE"""),29.0)</f>
        <v>29</v>
      </c>
      <c r="K1759" s="1">
        <f>IFERROR(__xludf.DUMMYFUNCTION("""COMPUTED_VALUE"""),84.0)</f>
        <v>84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 t="str">
        <f>IFERROR(__xludf.DUMMYFUNCTION("""COMPUTED_VALUE"""),"D")</f>
        <v>D</v>
      </c>
      <c r="E1760" s="1" t="str">
        <f>IFERROR(__xludf.DUMMYFUNCTION("""COMPUTED_VALUE"""),"Male")</f>
        <v>Male</v>
      </c>
      <c r="F1760" s="1">
        <f>IFERROR(__xludf.DUMMYFUNCTION("""COMPUTED_VALUE"""),41.0)</f>
        <v>41</v>
      </c>
      <c r="G1760" s="1">
        <f>IFERROR(__xludf.DUMMYFUNCTION("""COMPUTED_VALUE"""),34.0)</f>
        <v>34</v>
      </c>
      <c r="H1760" s="1">
        <f>IFERROR(__xludf.DUMMYFUNCTION("""COMPUTED_VALUE"""),61.0)</f>
        <v>61</v>
      </c>
      <c r="I1760" s="1">
        <f>IFERROR(__xludf.DUMMYFUNCTION("""COMPUTED_VALUE"""),56.0)</f>
        <v>56</v>
      </c>
      <c r="J1760" s="1">
        <f>IFERROR(__xludf.DUMMYFUNCTION("""COMPUTED_VALUE"""),65.0)</f>
        <v>65</v>
      </c>
      <c r="K1760" s="1">
        <f>IFERROR(__xludf.DUMMYFUNCTION("""COMPUTED_VALUE"""),37.0)</f>
        <v>37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 t="str">
        <f>IFERROR(__xludf.DUMMYFUNCTION("""COMPUTED_VALUE"""),"B")</f>
        <v>B</v>
      </c>
      <c r="E1761" s="1" t="str">
        <f>IFERROR(__xludf.DUMMYFUNCTION("""COMPUTED_VALUE"""),"Female")</f>
        <v>Female</v>
      </c>
      <c r="F1761" s="1">
        <f>IFERROR(__xludf.DUMMYFUNCTION("""COMPUTED_VALUE"""),58.0)</f>
        <v>58</v>
      </c>
      <c r="G1761" s="1">
        <f>IFERROR(__xludf.DUMMYFUNCTION("""COMPUTED_VALUE"""),67.0)</f>
        <v>67</v>
      </c>
      <c r="H1761" s="1">
        <f>IFERROR(__xludf.DUMMYFUNCTION("""COMPUTED_VALUE"""),86.0)</f>
        <v>86</v>
      </c>
      <c r="I1761" s="1">
        <f>IFERROR(__xludf.DUMMYFUNCTION("""COMPUTED_VALUE"""),38.0)</f>
        <v>38</v>
      </c>
      <c r="J1761" s="1">
        <f>IFERROR(__xludf.DUMMYFUNCTION("""COMPUTED_VALUE"""),33.0)</f>
        <v>33</v>
      </c>
      <c r="K1761" s="1">
        <f>IFERROR(__xludf.DUMMYFUNCTION("""COMPUTED_VALUE"""),62.0)</f>
        <v>62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 t="str">
        <f>IFERROR(__xludf.DUMMYFUNCTION("""COMPUTED_VALUE"""),"D")</f>
        <v>D</v>
      </c>
      <c r="E1762" s="1" t="str">
        <f>IFERROR(__xludf.DUMMYFUNCTION("""COMPUTED_VALUE"""),"Female")</f>
        <v>Female</v>
      </c>
      <c r="F1762" s="1">
        <f>IFERROR(__xludf.DUMMYFUNCTION("""COMPUTED_VALUE"""),16.0)</f>
        <v>16</v>
      </c>
      <c r="G1762" s="1">
        <f>IFERROR(__xludf.DUMMYFUNCTION("""COMPUTED_VALUE"""),99.0)</f>
        <v>99</v>
      </c>
      <c r="H1762" s="1">
        <f>IFERROR(__xludf.DUMMYFUNCTION("""COMPUTED_VALUE"""),96.0)</f>
        <v>96</v>
      </c>
      <c r="I1762" s="1">
        <f>IFERROR(__xludf.DUMMYFUNCTION("""COMPUTED_VALUE"""),80.0)</f>
        <v>80</v>
      </c>
      <c r="J1762" s="1">
        <f>IFERROR(__xludf.DUMMYFUNCTION("""COMPUTED_VALUE"""),51.0)</f>
        <v>51</v>
      </c>
      <c r="K1762" s="1">
        <f>IFERROR(__xludf.DUMMYFUNCTION("""COMPUTED_VALUE"""),97.0)</f>
        <v>97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 t="str">
        <f>IFERROR(__xludf.DUMMYFUNCTION("""COMPUTED_VALUE"""),"D")</f>
        <v>D</v>
      </c>
      <c r="E1763" s="1" t="str">
        <f>IFERROR(__xludf.DUMMYFUNCTION("""COMPUTED_VALUE"""),"Female")</f>
        <v>Female</v>
      </c>
      <c r="F1763" s="1">
        <f>IFERROR(__xludf.DUMMYFUNCTION("""COMPUTED_VALUE"""),61.0)</f>
        <v>61</v>
      </c>
      <c r="G1763" s="1">
        <f>IFERROR(__xludf.DUMMYFUNCTION("""COMPUTED_VALUE"""),22.0)</f>
        <v>22</v>
      </c>
      <c r="H1763" s="1">
        <f>IFERROR(__xludf.DUMMYFUNCTION("""COMPUTED_VALUE"""),27.0)</f>
        <v>27</v>
      </c>
      <c r="I1763" s="1">
        <f>IFERROR(__xludf.DUMMYFUNCTION("""COMPUTED_VALUE"""),89.0)</f>
        <v>89</v>
      </c>
      <c r="J1763" s="1">
        <f>IFERROR(__xludf.DUMMYFUNCTION("""COMPUTED_VALUE"""),32.0)</f>
        <v>32</v>
      </c>
      <c r="K1763" s="1">
        <f>IFERROR(__xludf.DUMMYFUNCTION("""COMPUTED_VALUE"""),70.0)</f>
        <v>70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 t="str">
        <f>IFERROR(__xludf.DUMMYFUNCTION("""COMPUTED_VALUE"""),"C")</f>
        <v>C</v>
      </c>
      <c r="E1764" s="1" t="str">
        <f>IFERROR(__xludf.DUMMYFUNCTION("""COMPUTED_VALUE"""),"Female")</f>
        <v>Female</v>
      </c>
      <c r="F1764" s="1">
        <f>IFERROR(__xludf.DUMMYFUNCTION("""COMPUTED_VALUE"""),24.0)</f>
        <v>24</v>
      </c>
      <c r="G1764" s="1">
        <f>IFERROR(__xludf.DUMMYFUNCTION("""COMPUTED_VALUE"""),94.0)</f>
        <v>94</v>
      </c>
      <c r="H1764" s="1">
        <f>IFERROR(__xludf.DUMMYFUNCTION("""COMPUTED_VALUE"""),84.0)</f>
        <v>84</v>
      </c>
      <c r="I1764" s="1">
        <f>IFERROR(__xludf.DUMMYFUNCTION("""COMPUTED_VALUE"""),32.0)</f>
        <v>32</v>
      </c>
      <c r="J1764" s="1">
        <f>IFERROR(__xludf.DUMMYFUNCTION("""COMPUTED_VALUE"""),58.0)</f>
        <v>58</v>
      </c>
      <c r="K1764" s="1">
        <f>IFERROR(__xludf.DUMMYFUNCTION("""COMPUTED_VALUE"""),98.0)</f>
        <v>98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 t="str">
        <f>IFERROR(__xludf.DUMMYFUNCTION("""COMPUTED_VALUE"""),"C")</f>
        <v>C</v>
      </c>
      <c r="E1765" s="1" t="str">
        <f>IFERROR(__xludf.DUMMYFUNCTION("""COMPUTED_VALUE"""),"Female")</f>
        <v>Female</v>
      </c>
      <c r="F1765" s="1">
        <f>IFERROR(__xludf.DUMMYFUNCTION("""COMPUTED_VALUE"""),97.0)</f>
        <v>97</v>
      </c>
      <c r="G1765" s="1">
        <f>IFERROR(__xludf.DUMMYFUNCTION("""COMPUTED_VALUE"""),91.0)</f>
        <v>91</v>
      </c>
      <c r="H1765" s="1">
        <f>IFERROR(__xludf.DUMMYFUNCTION("""COMPUTED_VALUE"""),99.0)</f>
        <v>99</v>
      </c>
      <c r="I1765" s="1">
        <f>IFERROR(__xludf.DUMMYFUNCTION("""COMPUTED_VALUE"""),49.0)</f>
        <v>49</v>
      </c>
      <c r="J1765" s="1">
        <f>IFERROR(__xludf.DUMMYFUNCTION("""COMPUTED_VALUE"""),63.0)</f>
        <v>63</v>
      </c>
      <c r="K1765" s="1">
        <f>IFERROR(__xludf.DUMMYFUNCTION("""COMPUTED_VALUE"""),28.0)</f>
        <v>28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 t="str">
        <f>IFERROR(__xludf.DUMMYFUNCTION("""COMPUTED_VALUE"""),"D")</f>
        <v>D</v>
      </c>
      <c r="E1766" s="1" t="str">
        <f>IFERROR(__xludf.DUMMYFUNCTION("""COMPUTED_VALUE"""),"Male")</f>
        <v>Male</v>
      </c>
      <c r="F1766" s="1">
        <f>IFERROR(__xludf.DUMMYFUNCTION("""COMPUTED_VALUE"""),49.0)</f>
        <v>49</v>
      </c>
      <c r="G1766" s="1">
        <f>IFERROR(__xludf.DUMMYFUNCTION("""COMPUTED_VALUE"""),89.0)</f>
        <v>89</v>
      </c>
      <c r="H1766" s="1">
        <f>IFERROR(__xludf.DUMMYFUNCTION("""COMPUTED_VALUE"""),56.0)</f>
        <v>56</v>
      </c>
      <c r="I1766" s="1">
        <f>IFERROR(__xludf.DUMMYFUNCTION("""COMPUTED_VALUE"""),68.0)</f>
        <v>68</v>
      </c>
      <c r="J1766" s="1">
        <f>IFERROR(__xludf.DUMMYFUNCTION("""COMPUTED_VALUE"""),82.0)</f>
        <v>82</v>
      </c>
      <c r="K1766" s="1">
        <f>IFERROR(__xludf.DUMMYFUNCTION("""COMPUTED_VALUE"""),80.0)</f>
        <v>80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 t="str">
        <f>IFERROR(__xludf.DUMMYFUNCTION("""COMPUTED_VALUE"""),"A")</f>
        <v>A</v>
      </c>
      <c r="E1767" s="1" t="str">
        <f>IFERROR(__xludf.DUMMYFUNCTION("""COMPUTED_VALUE"""),"Male")</f>
        <v>Male</v>
      </c>
      <c r="F1767" s="1">
        <f>IFERROR(__xludf.DUMMYFUNCTION("""COMPUTED_VALUE"""),87.0)</f>
        <v>87</v>
      </c>
      <c r="G1767" s="1">
        <f>IFERROR(__xludf.DUMMYFUNCTION("""COMPUTED_VALUE"""),55.0)</f>
        <v>55</v>
      </c>
      <c r="H1767" s="1">
        <f>IFERROR(__xludf.DUMMYFUNCTION("""COMPUTED_VALUE"""),97.0)</f>
        <v>97</v>
      </c>
      <c r="I1767" s="1">
        <f>IFERROR(__xludf.DUMMYFUNCTION("""COMPUTED_VALUE"""),20.0)</f>
        <v>20</v>
      </c>
      <c r="J1767" s="1">
        <f>IFERROR(__xludf.DUMMYFUNCTION("""COMPUTED_VALUE"""),43.0)</f>
        <v>43</v>
      </c>
      <c r="K1767" s="1">
        <f>IFERROR(__xludf.DUMMYFUNCTION("""COMPUTED_VALUE"""),52.0)</f>
        <v>52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 t="str">
        <f>IFERROR(__xludf.DUMMYFUNCTION("""COMPUTED_VALUE"""),"D")</f>
        <v>D</v>
      </c>
      <c r="E1768" s="1" t="str">
        <f>IFERROR(__xludf.DUMMYFUNCTION("""COMPUTED_VALUE"""),"Male")</f>
        <v>Male</v>
      </c>
      <c r="F1768" s="1">
        <f>IFERROR(__xludf.DUMMYFUNCTION("""COMPUTED_VALUE"""),91.0)</f>
        <v>91</v>
      </c>
      <c r="G1768" s="1">
        <f>IFERROR(__xludf.DUMMYFUNCTION("""COMPUTED_VALUE"""),44.0)</f>
        <v>44</v>
      </c>
      <c r="H1768" s="1">
        <f>IFERROR(__xludf.DUMMYFUNCTION("""COMPUTED_VALUE"""),21.0)</f>
        <v>21</v>
      </c>
      <c r="I1768" s="1">
        <f>IFERROR(__xludf.DUMMYFUNCTION("""COMPUTED_VALUE"""),58.0)</f>
        <v>58</v>
      </c>
      <c r="J1768" s="1">
        <f>IFERROR(__xludf.DUMMYFUNCTION("""COMPUTED_VALUE"""),97.0)</f>
        <v>97</v>
      </c>
      <c r="K1768" s="1">
        <f>IFERROR(__xludf.DUMMYFUNCTION("""COMPUTED_VALUE"""),73.0)</f>
        <v>73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 t="str">
        <f>IFERROR(__xludf.DUMMYFUNCTION("""COMPUTED_VALUE"""),"A")</f>
        <v>A</v>
      </c>
      <c r="E1769" s="1" t="str">
        <f>IFERROR(__xludf.DUMMYFUNCTION("""COMPUTED_VALUE"""),"Female")</f>
        <v>Female</v>
      </c>
      <c r="F1769" s="1">
        <f>IFERROR(__xludf.DUMMYFUNCTION("""COMPUTED_VALUE"""),35.0)</f>
        <v>35</v>
      </c>
      <c r="G1769" s="1">
        <f>IFERROR(__xludf.DUMMYFUNCTION("""COMPUTED_VALUE"""),83.0)</f>
        <v>83</v>
      </c>
      <c r="H1769" s="1">
        <f>IFERROR(__xludf.DUMMYFUNCTION("""COMPUTED_VALUE"""),45.0)</f>
        <v>45</v>
      </c>
      <c r="I1769" s="1">
        <f>IFERROR(__xludf.DUMMYFUNCTION("""COMPUTED_VALUE"""),54.0)</f>
        <v>54</v>
      </c>
      <c r="J1769" s="1">
        <f>IFERROR(__xludf.DUMMYFUNCTION("""COMPUTED_VALUE"""),29.0)</f>
        <v>29</v>
      </c>
      <c r="K1769" s="1">
        <f>IFERROR(__xludf.DUMMYFUNCTION("""COMPUTED_VALUE"""),26.0)</f>
        <v>26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 t="str">
        <f>IFERROR(__xludf.DUMMYFUNCTION("""COMPUTED_VALUE"""),"C")</f>
        <v>C</v>
      </c>
      <c r="E1770" s="1" t="str">
        <f>IFERROR(__xludf.DUMMYFUNCTION("""COMPUTED_VALUE"""),"Male")</f>
        <v>Male</v>
      </c>
      <c r="F1770" s="1">
        <f>IFERROR(__xludf.DUMMYFUNCTION("""COMPUTED_VALUE"""),26.0)</f>
        <v>26</v>
      </c>
      <c r="G1770" s="1">
        <f>IFERROR(__xludf.DUMMYFUNCTION("""COMPUTED_VALUE"""),92.0)</f>
        <v>92</v>
      </c>
      <c r="H1770" s="1">
        <f>IFERROR(__xludf.DUMMYFUNCTION("""COMPUTED_VALUE"""),35.0)</f>
        <v>35</v>
      </c>
      <c r="I1770" s="1">
        <f>IFERROR(__xludf.DUMMYFUNCTION("""COMPUTED_VALUE"""),21.0)</f>
        <v>21</v>
      </c>
      <c r="J1770" s="1">
        <f>IFERROR(__xludf.DUMMYFUNCTION("""COMPUTED_VALUE"""),30.0)</f>
        <v>30</v>
      </c>
      <c r="K1770" s="1">
        <f>IFERROR(__xludf.DUMMYFUNCTION("""COMPUTED_VALUE"""),73.0)</f>
        <v>73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 t="str">
        <f>IFERROR(__xludf.DUMMYFUNCTION("""COMPUTED_VALUE"""),"C")</f>
        <v>C</v>
      </c>
      <c r="E1771" s="1" t="str">
        <f>IFERROR(__xludf.DUMMYFUNCTION("""COMPUTED_VALUE"""),"Female")</f>
        <v>Female</v>
      </c>
      <c r="F1771" s="1">
        <f>IFERROR(__xludf.DUMMYFUNCTION("""COMPUTED_VALUE"""),20.0)</f>
        <v>20</v>
      </c>
      <c r="G1771" s="1">
        <f>IFERROR(__xludf.DUMMYFUNCTION("""COMPUTED_VALUE"""),28.0)</f>
        <v>28</v>
      </c>
      <c r="H1771" s="1">
        <f>IFERROR(__xludf.DUMMYFUNCTION("""COMPUTED_VALUE"""),38.0)</f>
        <v>38</v>
      </c>
      <c r="I1771" s="1">
        <f>IFERROR(__xludf.DUMMYFUNCTION("""COMPUTED_VALUE"""),48.0)</f>
        <v>48</v>
      </c>
      <c r="J1771" s="1">
        <f>IFERROR(__xludf.DUMMYFUNCTION("""COMPUTED_VALUE"""),36.0)</f>
        <v>36</v>
      </c>
      <c r="K1771" s="1">
        <f>IFERROR(__xludf.DUMMYFUNCTION("""COMPUTED_VALUE"""),83.0)</f>
        <v>83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 t="str">
        <f>IFERROR(__xludf.DUMMYFUNCTION("""COMPUTED_VALUE"""),"B")</f>
        <v>B</v>
      </c>
      <c r="E1772" s="1" t="str">
        <f>IFERROR(__xludf.DUMMYFUNCTION("""COMPUTED_VALUE"""),"Male")</f>
        <v>Male</v>
      </c>
      <c r="F1772" s="1">
        <f>IFERROR(__xludf.DUMMYFUNCTION("""COMPUTED_VALUE"""),32.0)</f>
        <v>32</v>
      </c>
      <c r="G1772" s="1">
        <f>IFERROR(__xludf.DUMMYFUNCTION("""COMPUTED_VALUE"""),70.0)</f>
        <v>70</v>
      </c>
      <c r="H1772" s="1">
        <f>IFERROR(__xludf.DUMMYFUNCTION("""COMPUTED_VALUE"""),43.0)</f>
        <v>43</v>
      </c>
      <c r="I1772" s="1">
        <f>IFERROR(__xludf.DUMMYFUNCTION("""COMPUTED_VALUE"""),39.0)</f>
        <v>39</v>
      </c>
      <c r="J1772" s="1">
        <f>IFERROR(__xludf.DUMMYFUNCTION("""COMPUTED_VALUE"""),43.0)</f>
        <v>43</v>
      </c>
      <c r="K1772" s="1">
        <f>IFERROR(__xludf.DUMMYFUNCTION("""COMPUTED_VALUE"""),61.0)</f>
        <v>61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 t="str">
        <f>IFERROR(__xludf.DUMMYFUNCTION("""COMPUTED_VALUE"""),"C")</f>
        <v>C</v>
      </c>
      <c r="E1773" s="1" t="str">
        <f>IFERROR(__xludf.DUMMYFUNCTION("""COMPUTED_VALUE"""),"Female")</f>
        <v>Female</v>
      </c>
      <c r="F1773" s="1">
        <f>IFERROR(__xludf.DUMMYFUNCTION("""COMPUTED_VALUE"""),80.0)</f>
        <v>80</v>
      </c>
      <c r="G1773" s="1">
        <f>IFERROR(__xludf.DUMMYFUNCTION("""COMPUTED_VALUE"""),31.0)</f>
        <v>31</v>
      </c>
      <c r="H1773" s="1">
        <f>IFERROR(__xludf.DUMMYFUNCTION("""COMPUTED_VALUE"""),74.0)</f>
        <v>74</v>
      </c>
      <c r="I1773" s="1">
        <f>IFERROR(__xludf.DUMMYFUNCTION("""COMPUTED_VALUE"""),77.0)</f>
        <v>77</v>
      </c>
      <c r="J1773" s="1">
        <f>IFERROR(__xludf.DUMMYFUNCTION("""COMPUTED_VALUE"""),92.0)</f>
        <v>92</v>
      </c>
      <c r="K1773" s="1">
        <f>IFERROR(__xludf.DUMMYFUNCTION("""COMPUTED_VALUE"""),43.0)</f>
        <v>43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 t="str">
        <f>IFERROR(__xludf.DUMMYFUNCTION("""COMPUTED_VALUE"""),"C")</f>
        <v>C</v>
      </c>
      <c r="E1774" s="1" t="str">
        <f>IFERROR(__xludf.DUMMYFUNCTION("""COMPUTED_VALUE"""),"Female")</f>
        <v>Female</v>
      </c>
      <c r="F1774" s="1">
        <f>IFERROR(__xludf.DUMMYFUNCTION("""COMPUTED_VALUE"""),25.0)</f>
        <v>25</v>
      </c>
      <c r="G1774" s="1">
        <f>IFERROR(__xludf.DUMMYFUNCTION("""COMPUTED_VALUE"""),70.0)</f>
        <v>70</v>
      </c>
      <c r="H1774" s="1">
        <f>IFERROR(__xludf.DUMMYFUNCTION("""COMPUTED_VALUE"""),44.0)</f>
        <v>44</v>
      </c>
      <c r="I1774" s="1">
        <f>IFERROR(__xludf.DUMMYFUNCTION("""COMPUTED_VALUE"""),78.0)</f>
        <v>78</v>
      </c>
      <c r="J1774" s="1">
        <f>IFERROR(__xludf.DUMMYFUNCTION("""COMPUTED_VALUE"""),60.0)</f>
        <v>60</v>
      </c>
      <c r="K1774" s="1">
        <f>IFERROR(__xludf.DUMMYFUNCTION("""COMPUTED_VALUE"""),47.0)</f>
        <v>47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 t="str">
        <f>IFERROR(__xludf.DUMMYFUNCTION("""COMPUTED_VALUE"""),"D")</f>
        <v>D</v>
      </c>
      <c r="E1775" s="1" t="str">
        <f>IFERROR(__xludf.DUMMYFUNCTION("""COMPUTED_VALUE"""),"Female")</f>
        <v>Female</v>
      </c>
      <c r="F1775" s="1">
        <f>IFERROR(__xludf.DUMMYFUNCTION("""COMPUTED_VALUE"""),59.0)</f>
        <v>59</v>
      </c>
      <c r="G1775" s="1">
        <f>IFERROR(__xludf.DUMMYFUNCTION("""COMPUTED_VALUE"""),35.0)</f>
        <v>35</v>
      </c>
      <c r="H1775" s="1">
        <f>IFERROR(__xludf.DUMMYFUNCTION("""COMPUTED_VALUE"""),52.0)</f>
        <v>52</v>
      </c>
      <c r="I1775" s="1">
        <f>IFERROR(__xludf.DUMMYFUNCTION("""COMPUTED_VALUE"""),37.0)</f>
        <v>37</v>
      </c>
      <c r="J1775" s="1">
        <f>IFERROR(__xludf.DUMMYFUNCTION("""COMPUTED_VALUE"""),61.0)</f>
        <v>61</v>
      </c>
      <c r="K1775" s="1">
        <f>IFERROR(__xludf.DUMMYFUNCTION("""COMPUTED_VALUE"""),71.0)</f>
        <v>71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 t="str">
        <f>IFERROR(__xludf.DUMMYFUNCTION("""COMPUTED_VALUE"""),"C")</f>
        <v>C</v>
      </c>
      <c r="E1776" s="1" t="str">
        <f>IFERROR(__xludf.DUMMYFUNCTION("""COMPUTED_VALUE"""),"Male")</f>
        <v>Male</v>
      </c>
      <c r="F1776" s="1">
        <f>IFERROR(__xludf.DUMMYFUNCTION("""COMPUTED_VALUE"""),26.0)</f>
        <v>26</v>
      </c>
      <c r="G1776" s="1">
        <f>IFERROR(__xludf.DUMMYFUNCTION("""COMPUTED_VALUE"""),35.0)</f>
        <v>35</v>
      </c>
      <c r="H1776" s="1">
        <f>IFERROR(__xludf.DUMMYFUNCTION("""COMPUTED_VALUE"""),44.0)</f>
        <v>44</v>
      </c>
      <c r="I1776" s="1">
        <f>IFERROR(__xludf.DUMMYFUNCTION("""COMPUTED_VALUE"""),43.0)</f>
        <v>43</v>
      </c>
      <c r="J1776" s="1">
        <f>IFERROR(__xludf.DUMMYFUNCTION("""COMPUTED_VALUE"""),73.0)</f>
        <v>73</v>
      </c>
      <c r="K1776" s="1">
        <f>IFERROR(__xludf.DUMMYFUNCTION("""COMPUTED_VALUE"""),21.0)</f>
        <v>21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 t="str">
        <f>IFERROR(__xludf.DUMMYFUNCTION("""COMPUTED_VALUE"""),"A")</f>
        <v>A</v>
      </c>
      <c r="E1777" s="1" t="str">
        <f>IFERROR(__xludf.DUMMYFUNCTION("""COMPUTED_VALUE"""),"Female")</f>
        <v>Female</v>
      </c>
      <c r="F1777" s="1">
        <f>IFERROR(__xludf.DUMMYFUNCTION("""COMPUTED_VALUE"""),83.0)</f>
        <v>83</v>
      </c>
      <c r="G1777" s="1">
        <f>IFERROR(__xludf.DUMMYFUNCTION("""COMPUTED_VALUE"""),23.0)</f>
        <v>23</v>
      </c>
      <c r="H1777" s="1">
        <f>IFERROR(__xludf.DUMMYFUNCTION("""COMPUTED_VALUE"""),47.0)</f>
        <v>47</v>
      </c>
      <c r="I1777" s="1">
        <f>IFERROR(__xludf.DUMMYFUNCTION("""COMPUTED_VALUE"""),26.0)</f>
        <v>26</v>
      </c>
      <c r="J1777" s="1">
        <f>IFERROR(__xludf.DUMMYFUNCTION("""COMPUTED_VALUE"""),98.0)</f>
        <v>98</v>
      </c>
      <c r="K1777" s="1">
        <f>IFERROR(__xludf.DUMMYFUNCTION("""COMPUTED_VALUE"""),20.0)</f>
        <v>20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 t="str">
        <f>IFERROR(__xludf.DUMMYFUNCTION("""COMPUTED_VALUE"""),"D")</f>
        <v>D</v>
      </c>
      <c r="E1778" s="1" t="str">
        <f>IFERROR(__xludf.DUMMYFUNCTION("""COMPUTED_VALUE"""),"Male")</f>
        <v>Male</v>
      </c>
      <c r="F1778" s="1">
        <f>IFERROR(__xludf.DUMMYFUNCTION("""COMPUTED_VALUE"""),26.0)</f>
        <v>26</v>
      </c>
      <c r="G1778" s="1">
        <f>IFERROR(__xludf.DUMMYFUNCTION("""COMPUTED_VALUE"""),34.0)</f>
        <v>34</v>
      </c>
      <c r="H1778" s="1">
        <f>IFERROR(__xludf.DUMMYFUNCTION("""COMPUTED_VALUE"""),24.0)</f>
        <v>24</v>
      </c>
      <c r="I1778" s="1">
        <f>IFERROR(__xludf.DUMMYFUNCTION("""COMPUTED_VALUE"""),67.0)</f>
        <v>67</v>
      </c>
      <c r="J1778" s="1">
        <f>IFERROR(__xludf.DUMMYFUNCTION("""COMPUTED_VALUE"""),76.0)</f>
        <v>76</v>
      </c>
      <c r="K1778" s="1">
        <f>IFERROR(__xludf.DUMMYFUNCTION("""COMPUTED_VALUE"""),47.0)</f>
        <v>47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 t="str">
        <f>IFERROR(__xludf.DUMMYFUNCTION("""COMPUTED_VALUE"""),"C")</f>
        <v>C</v>
      </c>
      <c r="E1779" s="1" t="str">
        <f>IFERROR(__xludf.DUMMYFUNCTION("""COMPUTED_VALUE"""),"Male")</f>
        <v>Male</v>
      </c>
      <c r="F1779" s="1">
        <f>IFERROR(__xludf.DUMMYFUNCTION("""COMPUTED_VALUE"""),35.0)</f>
        <v>35</v>
      </c>
      <c r="G1779" s="1">
        <f>IFERROR(__xludf.DUMMYFUNCTION("""COMPUTED_VALUE"""),55.0)</f>
        <v>55</v>
      </c>
      <c r="H1779" s="1">
        <f>IFERROR(__xludf.DUMMYFUNCTION("""COMPUTED_VALUE"""),59.0)</f>
        <v>59</v>
      </c>
      <c r="I1779" s="1">
        <f>IFERROR(__xludf.DUMMYFUNCTION("""COMPUTED_VALUE"""),71.0)</f>
        <v>71</v>
      </c>
      <c r="J1779" s="1">
        <f>IFERROR(__xludf.DUMMYFUNCTION("""COMPUTED_VALUE"""),43.0)</f>
        <v>43</v>
      </c>
      <c r="K1779" s="1">
        <f>IFERROR(__xludf.DUMMYFUNCTION("""COMPUTED_VALUE"""),48.0)</f>
        <v>48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 t="str">
        <f>IFERROR(__xludf.DUMMYFUNCTION("""COMPUTED_VALUE"""),"B")</f>
        <v>B</v>
      </c>
      <c r="E1780" s="1" t="str">
        <f>IFERROR(__xludf.DUMMYFUNCTION("""COMPUTED_VALUE"""),"Male")</f>
        <v>Male</v>
      </c>
      <c r="F1780" s="1">
        <f>IFERROR(__xludf.DUMMYFUNCTION("""COMPUTED_VALUE"""),87.0)</f>
        <v>87</v>
      </c>
      <c r="G1780" s="1">
        <f>IFERROR(__xludf.DUMMYFUNCTION("""COMPUTED_VALUE"""),23.0)</f>
        <v>23</v>
      </c>
      <c r="H1780" s="1">
        <f>IFERROR(__xludf.DUMMYFUNCTION("""COMPUTED_VALUE"""),70.0)</f>
        <v>70</v>
      </c>
      <c r="I1780" s="1">
        <f>IFERROR(__xludf.DUMMYFUNCTION("""COMPUTED_VALUE"""),48.0)</f>
        <v>48</v>
      </c>
      <c r="J1780" s="1">
        <f>IFERROR(__xludf.DUMMYFUNCTION("""COMPUTED_VALUE"""),83.0)</f>
        <v>83</v>
      </c>
      <c r="K1780" s="1">
        <f>IFERROR(__xludf.DUMMYFUNCTION("""COMPUTED_VALUE"""),95.0)</f>
        <v>95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 t="str">
        <f>IFERROR(__xludf.DUMMYFUNCTION("""COMPUTED_VALUE"""),"A")</f>
        <v>A</v>
      </c>
      <c r="E1781" s="1" t="str">
        <f>IFERROR(__xludf.DUMMYFUNCTION("""COMPUTED_VALUE"""),"Male")</f>
        <v>Male</v>
      </c>
      <c r="F1781" s="1">
        <f>IFERROR(__xludf.DUMMYFUNCTION("""COMPUTED_VALUE"""),40.0)</f>
        <v>40</v>
      </c>
      <c r="G1781" s="1">
        <f>IFERROR(__xludf.DUMMYFUNCTION("""COMPUTED_VALUE"""),40.0)</f>
        <v>40</v>
      </c>
      <c r="H1781" s="1">
        <f>IFERROR(__xludf.DUMMYFUNCTION("""COMPUTED_VALUE"""),71.0)</f>
        <v>71</v>
      </c>
      <c r="I1781" s="1">
        <f>IFERROR(__xludf.DUMMYFUNCTION("""COMPUTED_VALUE"""),89.0)</f>
        <v>89</v>
      </c>
      <c r="J1781" s="1">
        <f>IFERROR(__xludf.DUMMYFUNCTION("""COMPUTED_VALUE"""),78.0)</f>
        <v>78</v>
      </c>
      <c r="K1781" s="1">
        <f>IFERROR(__xludf.DUMMYFUNCTION("""COMPUTED_VALUE"""),57.0)</f>
        <v>57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 t="str">
        <f>IFERROR(__xludf.DUMMYFUNCTION("""COMPUTED_VALUE"""),"D")</f>
        <v>D</v>
      </c>
      <c r="E1782" s="1" t="str">
        <f>IFERROR(__xludf.DUMMYFUNCTION("""COMPUTED_VALUE"""),"Female")</f>
        <v>Female</v>
      </c>
      <c r="F1782" s="1">
        <f>IFERROR(__xludf.DUMMYFUNCTION("""COMPUTED_VALUE"""),30.0)</f>
        <v>30</v>
      </c>
      <c r="G1782" s="1">
        <f>IFERROR(__xludf.DUMMYFUNCTION("""COMPUTED_VALUE"""),96.0)</f>
        <v>96</v>
      </c>
      <c r="H1782" s="1">
        <f>IFERROR(__xludf.DUMMYFUNCTION("""COMPUTED_VALUE"""),56.0)</f>
        <v>56</v>
      </c>
      <c r="I1782" s="1">
        <f>IFERROR(__xludf.DUMMYFUNCTION("""COMPUTED_VALUE"""),55.0)</f>
        <v>55</v>
      </c>
      <c r="J1782" s="1">
        <f>IFERROR(__xludf.DUMMYFUNCTION("""COMPUTED_VALUE"""),88.0)</f>
        <v>88</v>
      </c>
      <c r="K1782" s="1">
        <f>IFERROR(__xludf.DUMMYFUNCTION("""COMPUTED_VALUE"""),31.0)</f>
        <v>31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 t="str">
        <f>IFERROR(__xludf.DUMMYFUNCTION("""COMPUTED_VALUE"""),"D")</f>
        <v>D</v>
      </c>
      <c r="E1783" s="1" t="str">
        <f>IFERROR(__xludf.DUMMYFUNCTION("""COMPUTED_VALUE"""),"Female")</f>
        <v>Female</v>
      </c>
      <c r="F1783" s="1">
        <f>IFERROR(__xludf.DUMMYFUNCTION("""COMPUTED_VALUE"""),47.0)</f>
        <v>47</v>
      </c>
      <c r="G1783" s="1">
        <f>IFERROR(__xludf.DUMMYFUNCTION("""COMPUTED_VALUE"""),27.0)</f>
        <v>27</v>
      </c>
      <c r="H1783" s="1">
        <f>IFERROR(__xludf.DUMMYFUNCTION("""COMPUTED_VALUE"""),32.0)</f>
        <v>32</v>
      </c>
      <c r="I1783" s="1">
        <f>IFERROR(__xludf.DUMMYFUNCTION("""COMPUTED_VALUE"""),88.0)</f>
        <v>88</v>
      </c>
      <c r="J1783" s="1">
        <f>IFERROR(__xludf.DUMMYFUNCTION("""COMPUTED_VALUE"""),97.0)</f>
        <v>97</v>
      </c>
      <c r="K1783" s="1">
        <f>IFERROR(__xludf.DUMMYFUNCTION("""COMPUTED_VALUE"""),99.0)</f>
        <v>99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 t="str">
        <f>IFERROR(__xludf.DUMMYFUNCTION("""COMPUTED_VALUE"""),"A")</f>
        <v>A</v>
      </c>
      <c r="E1784" s="1" t="str">
        <f>IFERROR(__xludf.DUMMYFUNCTION("""COMPUTED_VALUE"""),"Male")</f>
        <v>Male</v>
      </c>
      <c r="F1784" s="1">
        <f>IFERROR(__xludf.DUMMYFUNCTION("""COMPUTED_VALUE"""),14.0)</f>
        <v>14</v>
      </c>
      <c r="G1784" s="1">
        <f>IFERROR(__xludf.DUMMYFUNCTION("""COMPUTED_VALUE"""),72.0)</f>
        <v>72</v>
      </c>
      <c r="H1784" s="1">
        <f>IFERROR(__xludf.DUMMYFUNCTION("""COMPUTED_VALUE"""),40.0)</f>
        <v>40</v>
      </c>
      <c r="I1784" s="1">
        <f>IFERROR(__xludf.DUMMYFUNCTION("""COMPUTED_VALUE"""),32.0)</f>
        <v>32</v>
      </c>
      <c r="J1784" s="1">
        <f>IFERROR(__xludf.DUMMYFUNCTION("""COMPUTED_VALUE"""),68.0)</f>
        <v>68</v>
      </c>
      <c r="K1784" s="1">
        <f>IFERROR(__xludf.DUMMYFUNCTION("""COMPUTED_VALUE"""),61.0)</f>
        <v>61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 t="str">
        <f>IFERROR(__xludf.DUMMYFUNCTION("""COMPUTED_VALUE"""),"A")</f>
        <v>A</v>
      </c>
      <c r="E1785" s="1" t="str">
        <f>IFERROR(__xludf.DUMMYFUNCTION("""COMPUTED_VALUE"""),"Female")</f>
        <v>Female</v>
      </c>
      <c r="F1785" s="1">
        <f>IFERROR(__xludf.DUMMYFUNCTION("""COMPUTED_VALUE"""),51.0)</f>
        <v>51</v>
      </c>
      <c r="G1785" s="1">
        <f>IFERROR(__xludf.DUMMYFUNCTION("""COMPUTED_VALUE"""),41.0)</f>
        <v>41</v>
      </c>
      <c r="H1785" s="1">
        <f>IFERROR(__xludf.DUMMYFUNCTION("""COMPUTED_VALUE"""),21.0)</f>
        <v>21</v>
      </c>
      <c r="I1785" s="1">
        <f>IFERROR(__xludf.DUMMYFUNCTION("""COMPUTED_VALUE"""),77.0)</f>
        <v>77</v>
      </c>
      <c r="J1785" s="1">
        <f>IFERROR(__xludf.DUMMYFUNCTION("""COMPUTED_VALUE"""),40.0)</f>
        <v>40</v>
      </c>
      <c r="K1785" s="1">
        <f>IFERROR(__xludf.DUMMYFUNCTION("""COMPUTED_VALUE"""),50.0)</f>
        <v>50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 t="str">
        <f>IFERROR(__xludf.DUMMYFUNCTION("""COMPUTED_VALUE"""),"A")</f>
        <v>A</v>
      </c>
      <c r="E1786" s="1" t="str">
        <f>IFERROR(__xludf.DUMMYFUNCTION("""COMPUTED_VALUE"""),"Female")</f>
        <v>Female</v>
      </c>
      <c r="F1786" s="1">
        <f>IFERROR(__xludf.DUMMYFUNCTION("""COMPUTED_VALUE"""),12.0)</f>
        <v>12</v>
      </c>
      <c r="G1786" s="1">
        <f>IFERROR(__xludf.DUMMYFUNCTION("""COMPUTED_VALUE"""),91.0)</f>
        <v>91</v>
      </c>
      <c r="H1786" s="1">
        <f>IFERROR(__xludf.DUMMYFUNCTION("""COMPUTED_VALUE"""),84.0)</f>
        <v>84</v>
      </c>
      <c r="I1786" s="1">
        <f>IFERROR(__xludf.DUMMYFUNCTION("""COMPUTED_VALUE"""),76.0)</f>
        <v>76</v>
      </c>
      <c r="J1786" s="1">
        <f>IFERROR(__xludf.DUMMYFUNCTION("""COMPUTED_VALUE"""),55.0)</f>
        <v>55</v>
      </c>
      <c r="K1786" s="1">
        <f>IFERROR(__xludf.DUMMYFUNCTION("""COMPUTED_VALUE"""),58.0)</f>
        <v>58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 t="str">
        <f>IFERROR(__xludf.DUMMYFUNCTION("""COMPUTED_VALUE"""),"A")</f>
        <v>A</v>
      </c>
      <c r="E1787" s="1" t="str">
        <f>IFERROR(__xludf.DUMMYFUNCTION("""COMPUTED_VALUE"""),"Female")</f>
        <v>Female</v>
      </c>
      <c r="F1787" s="1">
        <f>IFERROR(__xludf.DUMMYFUNCTION("""COMPUTED_VALUE"""),73.0)</f>
        <v>73</v>
      </c>
      <c r="G1787" s="1">
        <f>IFERROR(__xludf.DUMMYFUNCTION("""COMPUTED_VALUE"""),61.0)</f>
        <v>61</v>
      </c>
      <c r="H1787" s="1">
        <f>IFERROR(__xludf.DUMMYFUNCTION("""COMPUTED_VALUE"""),54.0)</f>
        <v>54</v>
      </c>
      <c r="I1787" s="1">
        <f>IFERROR(__xludf.DUMMYFUNCTION("""COMPUTED_VALUE"""),78.0)</f>
        <v>78</v>
      </c>
      <c r="J1787" s="1">
        <f>IFERROR(__xludf.DUMMYFUNCTION("""COMPUTED_VALUE"""),35.0)</f>
        <v>35</v>
      </c>
      <c r="K1787" s="1">
        <f>IFERROR(__xludf.DUMMYFUNCTION("""COMPUTED_VALUE"""),74.0)</f>
        <v>74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 t="str">
        <f>IFERROR(__xludf.DUMMYFUNCTION("""COMPUTED_VALUE"""),"D")</f>
        <v>D</v>
      </c>
      <c r="E1788" s="1" t="str">
        <f>IFERROR(__xludf.DUMMYFUNCTION("""COMPUTED_VALUE"""),"Female")</f>
        <v>Female</v>
      </c>
      <c r="F1788" s="1">
        <f>IFERROR(__xludf.DUMMYFUNCTION("""COMPUTED_VALUE"""),83.0)</f>
        <v>83</v>
      </c>
      <c r="G1788" s="1">
        <f>IFERROR(__xludf.DUMMYFUNCTION("""COMPUTED_VALUE"""),43.0)</f>
        <v>43</v>
      </c>
      <c r="H1788" s="1">
        <f>IFERROR(__xludf.DUMMYFUNCTION("""COMPUTED_VALUE"""),80.0)</f>
        <v>80</v>
      </c>
      <c r="I1788" s="1">
        <f>IFERROR(__xludf.DUMMYFUNCTION("""COMPUTED_VALUE"""),95.0)</f>
        <v>95</v>
      </c>
      <c r="J1788" s="1">
        <f>IFERROR(__xludf.DUMMYFUNCTION("""COMPUTED_VALUE"""),96.0)</f>
        <v>96</v>
      </c>
      <c r="K1788" s="1">
        <f>IFERROR(__xludf.DUMMYFUNCTION("""COMPUTED_VALUE"""),30.0)</f>
        <v>30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 t="str">
        <f>IFERROR(__xludf.DUMMYFUNCTION("""COMPUTED_VALUE"""),"B")</f>
        <v>B</v>
      </c>
      <c r="E1789" s="1" t="str">
        <f>IFERROR(__xludf.DUMMYFUNCTION("""COMPUTED_VALUE"""),"Male")</f>
        <v>Male</v>
      </c>
      <c r="F1789" s="1">
        <f>IFERROR(__xludf.DUMMYFUNCTION("""COMPUTED_VALUE"""),83.0)</f>
        <v>83</v>
      </c>
      <c r="G1789" s="1">
        <f>IFERROR(__xludf.DUMMYFUNCTION("""COMPUTED_VALUE"""),28.0)</f>
        <v>28</v>
      </c>
      <c r="H1789" s="1">
        <f>IFERROR(__xludf.DUMMYFUNCTION("""COMPUTED_VALUE"""),43.0)</f>
        <v>43</v>
      </c>
      <c r="I1789" s="1">
        <f>IFERROR(__xludf.DUMMYFUNCTION("""COMPUTED_VALUE"""),81.0)</f>
        <v>81</v>
      </c>
      <c r="J1789" s="1">
        <f>IFERROR(__xludf.DUMMYFUNCTION("""COMPUTED_VALUE"""),87.0)</f>
        <v>87</v>
      </c>
      <c r="K1789" s="1">
        <f>IFERROR(__xludf.DUMMYFUNCTION("""COMPUTED_VALUE"""),96.0)</f>
        <v>96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 t="str">
        <f>IFERROR(__xludf.DUMMYFUNCTION("""COMPUTED_VALUE"""),"D")</f>
        <v>D</v>
      </c>
      <c r="E1790" s="1" t="str">
        <f>IFERROR(__xludf.DUMMYFUNCTION("""COMPUTED_VALUE"""),"Male")</f>
        <v>Male</v>
      </c>
      <c r="F1790" s="1">
        <f>IFERROR(__xludf.DUMMYFUNCTION("""COMPUTED_VALUE"""),25.0)</f>
        <v>25</v>
      </c>
      <c r="G1790" s="1">
        <f>IFERROR(__xludf.DUMMYFUNCTION("""COMPUTED_VALUE"""),48.0)</f>
        <v>48</v>
      </c>
      <c r="H1790" s="1">
        <f>IFERROR(__xludf.DUMMYFUNCTION("""COMPUTED_VALUE"""),82.0)</f>
        <v>82</v>
      </c>
      <c r="I1790" s="1">
        <f>IFERROR(__xludf.DUMMYFUNCTION("""COMPUTED_VALUE"""),90.0)</f>
        <v>90</v>
      </c>
      <c r="J1790" s="1">
        <f>IFERROR(__xludf.DUMMYFUNCTION("""COMPUTED_VALUE"""),78.0)</f>
        <v>78</v>
      </c>
      <c r="K1790" s="1">
        <f>IFERROR(__xludf.DUMMYFUNCTION("""COMPUTED_VALUE"""),66.0)</f>
        <v>66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 t="str">
        <f>IFERROR(__xludf.DUMMYFUNCTION("""COMPUTED_VALUE"""),"C")</f>
        <v>C</v>
      </c>
      <c r="E1791" s="1" t="str">
        <f>IFERROR(__xludf.DUMMYFUNCTION("""COMPUTED_VALUE"""),"Male")</f>
        <v>Male</v>
      </c>
      <c r="F1791" s="1">
        <f>IFERROR(__xludf.DUMMYFUNCTION("""COMPUTED_VALUE"""),63.0)</f>
        <v>63</v>
      </c>
      <c r="G1791" s="1">
        <f>IFERROR(__xludf.DUMMYFUNCTION("""COMPUTED_VALUE"""),47.0)</f>
        <v>47</v>
      </c>
      <c r="H1791" s="1">
        <f>IFERROR(__xludf.DUMMYFUNCTION("""COMPUTED_VALUE"""),27.0)</f>
        <v>27</v>
      </c>
      <c r="I1791" s="1">
        <f>IFERROR(__xludf.DUMMYFUNCTION("""COMPUTED_VALUE"""),44.0)</f>
        <v>44</v>
      </c>
      <c r="J1791" s="1">
        <f>IFERROR(__xludf.DUMMYFUNCTION("""COMPUTED_VALUE"""),63.0)</f>
        <v>63</v>
      </c>
      <c r="K1791" s="1">
        <f>IFERROR(__xludf.DUMMYFUNCTION("""COMPUTED_VALUE"""),59.0)</f>
        <v>59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 t="str">
        <f>IFERROR(__xludf.DUMMYFUNCTION("""COMPUTED_VALUE"""),"A")</f>
        <v>A</v>
      </c>
      <c r="E1792" s="1" t="str">
        <f>IFERROR(__xludf.DUMMYFUNCTION("""COMPUTED_VALUE"""),"Female")</f>
        <v>Female</v>
      </c>
      <c r="F1792" s="1">
        <f>IFERROR(__xludf.DUMMYFUNCTION("""COMPUTED_VALUE"""),16.0)</f>
        <v>16</v>
      </c>
      <c r="G1792" s="1">
        <f>IFERROR(__xludf.DUMMYFUNCTION("""COMPUTED_VALUE"""),55.0)</f>
        <v>55</v>
      </c>
      <c r="H1792" s="1">
        <f>IFERROR(__xludf.DUMMYFUNCTION("""COMPUTED_VALUE"""),91.0)</f>
        <v>91</v>
      </c>
      <c r="I1792" s="1">
        <f>IFERROR(__xludf.DUMMYFUNCTION("""COMPUTED_VALUE"""),84.0)</f>
        <v>84</v>
      </c>
      <c r="J1792" s="1">
        <f>IFERROR(__xludf.DUMMYFUNCTION("""COMPUTED_VALUE"""),54.0)</f>
        <v>54</v>
      </c>
      <c r="K1792" s="1">
        <f>IFERROR(__xludf.DUMMYFUNCTION("""COMPUTED_VALUE"""),46.0)</f>
        <v>46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 t="str">
        <f>IFERROR(__xludf.DUMMYFUNCTION("""COMPUTED_VALUE"""),"B")</f>
        <v>B</v>
      </c>
      <c r="E1793" s="1" t="str">
        <f>IFERROR(__xludf.DUMMYFUNCTION("""COMPUTED_VALUE"""),"Male")</f>
        <v>Male</v>
      </c>
      <c r="F1793" s="1">
        <f>IFERROR(__xludf.DUMMYFUNCTION("""COMPUTED_VALUE"""),69.0)</f>
        <v>69</v>
      </c>
      <c r="G1793" s="1">
        <f>IFERROR(__xludf.DUMMYFUNCTION("""COMPUTED_VALUE"""),57.0)</f>
        <v>57</v>
      </c>
      <c r="H1793" s="1">
        <f>IFERROR(__xludf.DUMMYFUNCTION("""COMPUTED_VALUE"""),40.0)</f>
        <v>40</v>
      </c>
      <c r="I1793" s="1">
        <f>IFERROR(__xludf.DUMMYFUNCTION("""COMPUTED_VALUE"""),55.0)</f>
        <v>55</v>
      </c>
      <c r="J1793" s="1">
        <f>IFERROR(__xludf.DUMMYFUNCTION("""COMPUTED_VALUE"""),32.0)</f>
        <v>32</v>
      </c>
      <c r="K1793" s="1">
        <f>IFERROR(__xludf.DUMMYFUNCTION("""COMPUTED_VALUE"""),78.0)</f>
        <v>78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 t="str">
        <f>IFERROR(__xludf.DUMMYFUNCTION("""COMPUTED_VALUE"""),"B")</f>
        <v>B</v>
      </c>
      <c r="E1794" s="1" t="str">
        <f>IFERROR(__xludf.DUMMYFUNCTION("""COMPUTED_VALUE"""),"Female")</f>
        <v>Female</v>
      </c>
      <c r="F1794" s="1">
        <f>IFERROR(__xludf.DUMMYFUNCTION("""COMPUTED_VALUE"""),11.0)</f>
        <v>11</v>
      </c>
      <c r="G1794" s="1">
        <f>IFERROR(__xludf.DUMMYFUNCTION("""COMPUTED_VALUE"""),37.0)</f>
        <v>37</v>
      </c>
      <c r="H1794" s="1">
        <f>IFERROR(__xludf.DUMMYFUNCTION("""COMPUTED_VALUE"""),60.0)</f>
        <v>60</v>
      </c>
      <c r="I1794" s="1">
        <f>IFERROR(__xludf.DUMMYFUNCTION("""COMPUTED_VALUE"""),63.0)</f>
        <v>63</v>
      </c>
      <c r="J1794" s="1">
        <f>IFERROR(__xludf.DUMMYFUNCTION("""COMPUTED_VALUE"""),77.0)</f>
        <v>77</v>
      </c>
      <c r="K1794" s="1">
        <f>IFERROR(__xludf.DUMMYFUNCTION("""COMPUTED_VALUE"""),36.0)</f>
        <v>36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 t="str">
        <f>IFERROR(__xludf.DUMMYFUNCTION("""COMPUTED_VALUE"""),"D")</f>
        <v>D</v>
      </c>
      <c r="E1795" s="1" t="str">
        <f>IFERROR(__xludf.DUMMYFUNCTION("""COMPUTED_VALUE"""),"Female")</f>
        <v>Female</v>
      </c>
      <c r="F1795" s="1">
        <f>IFERROR(__xludf.DUMMYFUNCTION("""COMPUTED_VALUE"""),76.0)</f>
        <v>76</v>
      </c>
      <c r="G1795" s="1">
        <f>IFERROR(__xludf.DUMMYFUNCTION("""COMPUTED_VALUE"""),61.0)</f>
        <v>61</v>
      </c>
      <c r="H1795" s="1">
        <f>IFERROR(__xludf.DUMMYFUNCTION("""COMPUTED_VALUE"""),28.0)</f>
        <v>28</v>
      </c>
      <c r="I1795" s="1">
        <f>IFERROR(__xludf.DUMMYFUNCTION("""COMPUTED_VALUE"""),94.0)</f>
        <v>94</v>
      </c>
      <c r="J1795" s="1">
        <f>IFERROR(__xludf.DUMMYFUNCTION("""COMPUTED_VALUE"""),36.0)</f>
        <v>36</v>
      </c>
      <c r="K1795" s="1">
        <f>IFERROR(__xludf.DUMMYFUNCTION("""COMPUTED_VALUE"""),56.0)</f>
        <v>56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 t="str">
        <f>IFERROR(__xludf.DUMMYFUNCTION("""COMPUTED_VALUE"""),"B")</f>
        <v>B</v>
      </c>
      <c r="E1796" s="1" t="str">
        <f>IFERROR(__xludf.DUMMYFUNCTION("""COMPUTED_VALUE"""),"Female")</f>
        <v>Female</v>
      </c>
      <c r="F1796" s="1">
        <f>IFERROR(__xludf.DUMMYFUNCTION("""COMPUTED_VALUE"""),81.0)</f>
        <v>81</v>
      </c>
      <c r="G1796" s="1">
        <f>IFERROR(__xludf.DUMMYFUNCTION("""COMPUTED_VALUE"""),72.0)</f>
        <v>72</v>
      </c>
      <c r="H1796" s="1">
        <f>IFERROR(__xludf.DUMMYFUNCTION("""COMPUTED_VALUE"""),59.0)</f>
        <v>59</v>
      </c>
      <c r="I1796" s="1">
        <f>IFERROR(__xludf.DUMMYFUNCTION("""COMPUTED_VALUE"""),52.0)</f>
        <v>52</v>
      </c>
      <c r="J1796" s="1">
        <f>IFERROR(__xludf.DUMMYFUNCTION("""COMPUTED_VALUE"""),81.0)</f>
        <v>81</v>
      </c>
      <c r="K1796" s="1">
        <f>IFERROR(__xludf.DUMMYFUNCTION("""COMPUTED_VALUE"""),86.0)</f>
        <v>86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 t="str">
        <f>IFERROR(__xludf.DUMMYFUNCTION("""COMPUTED_VALUE"""),"C")</f>
        <v>C</v>
      </c>
      <c r="E1797" s="1" t="str">
        <f>IFERROR(__xludf.DUMMYFUNCTION("""COMPUTED_VALUE"""),"Male")</f>
        <v>Male</v>
      </c>
      <c r="F1797" s="1">
        <f>IFERROR(__xludf.DUMMYFUNCTION("""COMPUTED_VALUE"""),65.0)</f>
        <v>65</v>
      </c>
      <c r="G1797" s="1">
        <f>IFERROR(__xludf.DUMMYFUNCTION("""COMPUTED_VALUE"""),76.0)</f>
        <v>76</v>
      </c>
      <c r="H1797" s="1">
        <f>IFERROR(__xludf.DUMMYFUNCTION("""COMPUTED_VALUE"""),55.0)</f>
        <v>55</v>
      </c>
      <c r="I1797" s="1">
        <f>IFERROR(__xludf.DUMMYFUNCTION("""COMPUTED_VALUE"""),69.0)</f>
        <v>69</v>
      </c>
      <c r="J1797" s="1">
        <f>IFERROR(__xludf.DUMMYFUNCTION("""COMPUTED_VALUE"""),95.0)</f>
        <v>95</v>
      </c>
      <c r="K1797" s="1">
        <f>IFERROR(__xludf.DUMMYFUNCTION("""COMPUTED_VALUE"""),63.0)</f>
        <v>63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 t="str">
        <f>IFERROR(__xludf.DUMMYFUNCTION("""COMPUTED_VALUE"""),"B")</f>
        <v>B</v>
      </c>
      <c r="E1798" s="1" t="str">
        <f>IFERROR(__xludf.DUMMYFUNCTION("""COMPUTED_VALUE"""),"Male")</f>
        <v>Male</v>
      </c>
      <c r="F1798" s="1">
        <f>IFERROR(__xludf.DUMMYFUNCTION("""COMPUTED_VALUE"""),46.0)</f>
        <v>46</v>
      </c>
      <c r="G1798" s="1">
        <f>IFERROR(__xludf.DUMMYFUNCTION("""COMPUTED_VALUE"""),94.0)</f>
        <v>94</v>
      </c>
      <c r="H1798" s="1">
        <f>IFERROR(__xludf.DUMMYFUNCTION("""COMPUTED_VALUE"""),66.0)</f>
        <v>66</v>
      </c>
      <c r="I1798" s="1">
        <f>IFERROR(__xludf.DUMMYFUNCTION("""COMPUTED_VALUE"""),51.0)</f>
        <v>51</v>
      </c>
      <c r="J1798" s="1">
        <f>IFERROR(__xludf.DUMMYFUNCTION("""COMPUTED_VALUE"""),34.0)</f>
        <v>34</v>
      </c>
      <c r="K1798" s="1">
        <f>IFERROR(__xludf.DUMMYFUNCTION("""COMPUTED_VALUE"""),29.0)</f>
        <v>29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 t="str">
        <f>IFERROR(__xludf.DUMMYFUNCTION("""COMPUTED_VALUE"""),"D")</f>
        <v>D</v>
      </c>
      <c r="E1799" s="1" t="str">
        <f>IFERROR(__xludf.DUMMYFUNCTION("""COMPUTED_VALUE"""),"Female")</f>
        <v>Female</v>
      </c>
      <c r="F1799" s="1">
        <f>IFERROR(__xludf.DUMMYFUNCTION("""COMPUTED_VALUE"""),57.0)</f>
        <v>57</v>
      </c>
      <c r="G1799" s="1">
        <f>IFERROR(__xludf.DUMMYFUNCTION("""COMPUTED_VALUE"""),73.0)</f>
        <v>73</v>
      </c>
      <c r="H1799" s="1">
        <f>IFERROR(__xludf.DUMMYFUNCTION("""COMPUTED_VALUE"""),52.0)</f>
        <v>52</v>
      </c>
      <c r="I1799" s="1">
        <f>IFERROR(__xludf.DUMMYFUNCTION("""COMPUTED_VALUE"""),96.0)</f>
        <v>96</v>
      </c>
      <c r="J1799" s="1">
        <f>IFERROR(__xludf.DUMMYFUNCTION("""COMPUTED_VALUE"""),77.0)</f>
        <v>77</v>
      </c>
      <c r="K1799" s="1">
        <f>IFERROR(__xludf.DUMMYFUNCTION("""COMPUTED_VALUE"""),22.0)</f>
        <v>22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 t="str">
        <f>IFERROR(__xludf.DUMMYFUNCTION("""COMPUTED_VALUE"""),"C")</f>
        <v>C</v>
      </c>
      <c r="E1800" s="1" t="str">
        <f>IFERROR(__xludf.DUMMYFUNCTION("""COMPUTED_VALUE"""),"Female")</f>
        <v>Female</v>
      </c>
      <c r="F1800" s="1">
        <f>IFERROR(__xludf.DUMMYFUNCTION("""COMPUTED_VALUE"""),61.0)</f>
        <v>61</v>
      </c>
      <c r="G1800" s="1">
        <f>IFERROR(__xludf.DUMMYFUNCTION("""COMPUTED_VALUE"""),31.0)</f>
        <v>31</v>
      </c>
      <c r="H1800" s="1">
        <f>IFERROR(__xludf.DUMMYFUNCTION("""COMPUTED_VALUE"""),60.0)</f>
        <v>60</v>
      </c>
      <c r="I1800" s="1">
        <f>IFERROR(__xludf.DUMMYFUNCTION("""COMPUTED_VALUE"""),62.0)</f>
        <v>62</v>
      </c>
      <c r="J1800" s="1">
        <f>IFERROR(__xludf.DUMMYFUNCTION("""COMPUTED_VALUE"""),30.0)</f>
        <v>30</v>
      </c>
      <c r="K1800" s="1">
        <f>IFERROR(__xludf.DUMMYFUNCTION("""COMPUTED_VALUE"""),28.0)</f>
        <v>28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 t="str">
        <f>IFERROR(__xludf.DUMMYFUNCTION("""COMPUTED_VALUE"""),"C")</f>
        <v>C</v>
      </c>
      <c r="E1801" s="1" t="str">
        <f>IFERROR(__xludf.DUMMYFUNCTION("""COMPUTED_VALUE"""),"Male")</f>
        <v>Male</v>
      </c>
      <c r="F1801" s="1">
        <f>IFERROR(__xludf.DUMMYFUNCTION("""COMPUTED_VALUE"""),29.0)</f>
        <v>29</v>
      </c>
      <c r="G1801" s="1">
        <f>IFERROR(__xludf.DUMMYFUNCTION("""COMPUTED_VALUE"""),90.0)</f>
        <v>90</v>
      </c>
      <c r="H1801" s="1">
        <f>IFERROR(__xludf.DUMMYFUNCTION("""COMPUTED_VALUE"""),60.0)</f>
        <v>60</v>
      </c>
      <c r="I1801" s="1">
        <f>IFERROR(__xludf.DUMMYFUNCTION("""COMPUTED_VALUE"""),64.0)</f>
        <v>64</v>
      </c>
      <c r="J1801" s="1">
        <f>IFERROR(__xludf.DUMMYFUNCTION("""COMPUTED_VALUE"""),35.0)</f>
        <v>35</v>
      </c>
      <c r="K1801" s="1">
        <f>IFERROR(__xludf.DUMMYFUNCTION("""COMPUTED_VALUE"""),97.0)</f>
        <v>97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 t="str">
        <f>IFERROR(__xludf.DUMMYFUNCTION("""COMPUTED_VALUE"""),"C")</f>
        <v>C</v>
      </c>
      <c r="E1802" s="1" t="str">
        <f>IFERROR(__xludf.DUMMYFUNCTION("""COMPUTED_VALUE"""),"Female")</f>
        <v>Female</v>
      </c>
      <c r="F1802" s="1">
        <f>IFERROR(__xludf.DUMMYFUNCTION("""COMPUTED_VALUE"""),43.0)</f>
        <v>43</v>
      </c>
      <c r="G1802" s="1">
        <f>IFERROR(__xludf.DUMMYFUNCTION("""COMPUTED_VALUE"""),32.0)</f>
        <v>32</v>
      </c>
      <c r="H1802" s="1">
        <f>IFERROR(__xludf.DUMMYFUNCTION("""COMPUTED_VALUE"""),62.0)</f>
        <v>62</v>
      </c>
      <c r="I1802" s="1">
        <f>IFERROR(__xludf.DUMMYFUNCTION("""COMPUTED_VALUE"""),60.0)</f>
        <v>60</v>
      </c>
      <c r="J1802" s="1">
        <f>IFERROR(__xludf.DUMMYFUNCTION("""COMPUTED_VALUE"""),77.0)</f>
        <v>77</v>
      </c>
      <c r="K1802" s="1">
        <f>IFERROR(__xludf.DUMMYFUNCTION("""COMPUTED_VALUE"""),50.0)</f>
        <v>50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 t="str">
        <f>IFERROR(__xludf.DUMMYFUNCTION("""COMPUTED_VALUE"""),"D")</f>
        <v>D</v>
      </c>
      <c r="E1803" s="1" t="str">
        <f>IFERROR(__xludf.DUMMYFUNCTION("""COMPUTED_VALUE"""),"Male")</f>
        <v>Male</v>
      </c>
      <c r="F1803" s="1">
        <f>IFERROR(__xludf.DUMMYFUNCTION("""COMPUTED_VALUE"""),83.0)</f>
        <v>83</v>
      </c>
      <c r="G1803" s="1">
        <f>IFERROR(__xludf.DUMMYFUNCTION("""COMPUTED_VALUE"""),44.0)</f>
        <v>44</v>
      </c>
      <c r="H1803" s="1">
        <f>IFERROR(__xludf.DUMMYFUNCTION("""COMPUTED_VALUE"""),34.0)</f>
        <v>34</v>
      </c>
      <c r="I1803" s="1">
        <f>IFERROR(__xludf.DUMMYFUNCTION("""COMPUTED_VALUE"""),91.0)</f>
        <v>91</v>
      </c>
      <c r="J1803" s="1">
        <f>IFERROR(__xludf.DUMMYFUNCTION("""COMPUTED_VALUE"""),83.0)</f>
        <v>83</v>
      </c>
      <c r="K1803" s="1">
        <f>IFERROR(__xludf.DUMMYFUNCTION("""COMPUTED_VALUE"""),94.0)</f>
        <v>94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 t="str">
        <f>IFERROR(__xludf.DUMMYFUNCTION("""COMPUTED_VALUE"""),"A")</f>
        <v>A</v>
      </c>
      <c r="E1804" s="1" t="str">
        <f>IFERROR(__xludf.DUMMYFUNCTION("""COMPUTED_VALUE"""),"Female")</f>
        <v>Female</v>
      </c>
      <c r="F1804" s="1">
        <f>IFERROR(__xludf.DUMMYFUNCTION("""COMPUTED_VALUE"""),35.0)</f>
        <v>35</v>
      </c>
      <c r="G1804" s="1">
        <f>IFERROR(__xludf.DUMMYFUNCTION("""COMPUTED_VALUE"""),90.0)</f>
        <v>90</v>
      </c>
      <c r="H1804" s="1">
        <f>IFERROR(__xludf.DUMMYFUNCTION("""COMPUTED_VALUE"""),32.0)</f>
        <v>32</v>
      </c>
      <c r="I1804" s="1">
        <f>IFERROR(__xludf.DUMMYFUNCTION("""COMPUTED_VALUE"""),34.0)</f>
        <v>34</v>
      </c>
      <c r="J1804" s="1">
        <f>IFERROR(__xludf.DUMMYFUNCTION("""COMPUTED_VALUE"""),32.0)</f>
        <v>32</v>
      </c>
      <c r="K1804" s="1">
        <f>IFERROR(__xludf.DUMMYFUNCTION("""COMPUTED_VALUE"""),95.0)</f>
        <v>95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 t="str">
        <f>IFERROR(__xludf.DUMMYFUNCTION("""COMPUTED_VALUE"""),"B")</f>
        <v>B</v>
      </c>
      <c r="E1805" s="1" t="str">
        <f>IFERROR(__xludf.DUMMYFUNCTION("""COMPUTED_VALUE"""),"Male")</f>
        <v>Male</v>
      </c>
      <c r="F1805" s="1">
        <f>IFERROR(__xludf.DUMMYFUNCTION("""COMPUTED_VALUE"""),55.0)</f>
        <v>55</v>
      </c>
      <c r="G1805" s="1">
        <f>IFERROR(__xludf.DUMMYFUNCTION("""COMPUTED_VALUE"""),40.0)</f>
        <v>40</v>
      </c>
      <c r="H1805" s="1">
        <f>IFERROR(__xludf.DUMMYFUNCTION("""COMPUTED_VALUE"""),58.0)</f>
        <v>58</v>
      </c>
      <c r="I1805" s="1">
        <f>IFERROR(__xludf.DUMMYFUNCTION("""COMPUTED_VALUE"""),39.0)</f>
        <v>39</v>
      </c>
      <c r="J1805" s="1">
        <f>IFERROR(__xludf.DUMMYFUNCTION("""COMPUTED_VALUE"""),26.0)</f>
        <v>26</v>
      </c>
      <c r="K1805" s="1">
        <f>IFERROR(__xludf.DUMMYFUNCTION("""COMPUTED_VALUE"""),96.0)</f>
        <v>96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 t="str">
        <f>IFERROR(__xludf.DUMMYFUNCTION("""COMPUTED_VALUE"""),"A")</f>
        <v>A</v>
      </c>
      <c r="E1806" s="1" t="str">
        <f>IFERROR(__xludf.DUMMYFUNCTION("""COMPUTED_VALUE"""),"Female")</f>
        <v>Female</v>
      </c>
      <c r="F1806" s="1">
        <f>IFERROR(__xludf.DUMMYFUNCTION("""COMPUTED_VALUE"""),16.0)</f>
        <v>16</v>
      </c>
      <c r="G1806" s="1">
        <f>IFERROR(__xludf.DUMMYFUNCTION("""COMPUTED_VALUE"""),49.0)</f>
        <v>49</v>
      </c>
      <c r="H1806" s="1">
        <f>IFERROR(__xludf.DUMMYFUNCTION("""COMPUTED_VALUE"""),24.0)</f>
        <v>24</v>
      </c>
      <c r="I1806" s="1">
        <f>IFERROR(__xludf.DUMMYFUNCTION("""COMPUTED_VALUE"""),23.0)</f>
        <v>23</v>
      </c>
      <c r="J1806" s="1">
        <f>IFERROR(__xludf.DUMMYFUNCTION("""COMPUTED_VALUE"""),47.0)</f>
        <v>47</v>
      </c>
      <c r="K1806" s="1">
        <f>IFERROR(__xludf.DUMMYFUNCTION("""COMPUTED_VALUE"""),44.0)</f>
        <v>44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 t="str">
        <f>IFERROR(__xludf.DUMMYFUNCTION("""COMPUTED_VALUE"""),"B")</f>
        <v>B</v>
      </c>
      <c r="E1807" s="1" t="str">
        <f>IFERROR(__xludf.DUMMYFUNCTION("""COMPUTED_VALUE"""),"Male")</f>
        <v>Male</v>
      </c>
      <c r="F1807" s="1">
        <f>IFERROR(__xludf.DUMMYFUNCTION("""COMPUTED_VALUE"""),47.0)</f>
        <v>47</v>
      </c>
      <c r="G1807" s="1">
        <f>IFERROR(__xludf.DUMMYFUNCTION("""COMPUTED_VALUE"""),51.0)</f>
        <v>51</v>
      </c>
      <c r="H1807" s="1">
        <f>IFERROR(__xludf.DUMMYFUNCTION("""COMPUTED_VALUE"""),97.0)</f>
        <v>97</v>
      </c>
      <c r="I1807" s="1">
        <f>IFERROR(__xludf.DUMMYFUNCTION("""COMPUTED_VALUE"""),48.0)</f>
        <v>48</v>
      </c>
      <c r="J1807" s="1">
        <f>IFERROR(__xludf.DUMMYFUNCTION("""COMPUTED_VALUE"""),75.0)</f>
        <v>75</v>
      </c>
      <c r="K1807" s="1">
        <f>IFERROR(__xludf.DUMMYFUNCTION("""COMPUTED_VALUE"""),89.0)</f>
        <v>89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 t="str">
        <f>IFERROR(__xludf.DUMMYFUNCTION("""COMPUTED_VALUE"""),"B")</f>
        <v>B</v>
      </c>
      <c r="E1808" s="1" t="str">
        <f>IFERROR(__xludf.DUMMYFUNCTION("""COMPUTED_VALUE"""),"Male")</f>
        <v>Male</v>
      </c>
      <c r="F1808" s="1">
        <f>IFERROR(__xludf.DUMMYFUNCTION("""COMPUTED_VALUE"""),60.0)</f>
        <v>60</v>
      </c>
      <c r="G1808" s="1">
        <f>IFERROR(__xludf.DUMMYFUNCTION("""COMPUTED_VALUE"""),76.0)</f>
        <v>76</v>
      </c>
      <c r="H1808" s="1">
        <f>IFERROR(__xludf.DUMMYFUNCTION("""COMPUTED_VALUE"""),40.0)</f>
        <v>40</v>
      </c>
      <c r="I1808" s="1">
        <f>IFERROR(__xludf.DUMMYFUNCTION("""COMPUTED_VALUE"""),65.0)</f>
        <v>65</v>
      </c>
      <c r="J1808" s="1">
        <f>IFERROR(__xludf.DUMMYFUNCTION("""COMPUTED_VALUE"""),24.0)</f>
        <v>24</v>
      </c>
      <c r="K1808" s="1">
        <f>IFERROR(__xludf.DUMMYFUNCTION("""COMPUTED_VALUE"""),21.0)</f>
        <v>21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 t="str">
        <f>IFERROR(__xludf.DUMMYFUNCTION("""COMPUTED_VALUE"""),"C")</f>
        <v>C</v>
      </c>
      <c r="E1809" s="1" t="str">
        <f>IFERROR(__xludf.DUMMYFUNCTION("""COMPUTED_VALUE"""),"Male")</f>
        <v>Male</v>
      </c>
      <c r="F1809" s="1">
        <f>IFERROR(__xludf.DUMMYFUNCTION("""COMPUTED_VALUE"""),17.0)</f>
        <v>17</v>
      </c>
      <c r="G1809" s="1">
        <f>IFERROR(__xludf.DUMMYFUNCTION("""COMPUTED_VALUE"""),73.0)</f>
        <v>73</v>
      </c>
      <c r="H1809" s="1">
        <f>IFERROR(__xludf.DUMMYFUNCTION("""COMPUTED_VALUE"""),23.0)</f>
        <v>23</v>
      </c>
      <c r="I1809" s="1">
        <f>IFERROR(__xludf.DUMMYFUNCTION("""COMPUTED_VALUE"""),90.0)</f>
        <v>90</v>
      </c>
      <c r="J1809" s="1">
        <f>IFERROR(__xludf.DUMMYFUNCTION("""COMPUTED_VALUE"""),65.0)</f>
        <v>65</v>
      </c>
      <c r="K1809" s="1">
        <f>IFERROR(__xludf.DUMMYFUNCTION("""COMPUTED_VALUE"""),95.0)</f>
        <v>95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 t="str">
        <f>IFERROR(__xludf.DUMMYFUNCTION("""COMPUTED_VALUE"""),"B")</f>
        <v>B</v>
      </c>
      <c r="E1810" s="1" t="str">
        <f>IFERROR(__xludf.DUMMYFUNCTION("""COMPUTED_VALUE"""),"Female")</f>
        <v>Female</v>
      </c>
      <c r="F1810" s="1">
        <f>IFERROR(__xludf.DUMMYFUNCTION("""COMPUTED_VALUE"""),98.0)</f>
        <v>98</v>
      </c>
      <c r="G1810" s="1">
        <f>IFERROR(__xludf.DUMMYFUNCTION("""COMPUTED_VALUE"""),97.0)</f>
        <v>97</v>
      </c>
      <c r="H1810" s="1">
        <f>IFERROR(__xludf.DUMMYFUNCTION("""COMPUTED_VALUE"""),24.0)</f>
        <v>24</v>
      </c>
      <c r="I1810" s="1">
        <f>IFERROR(__xludf.DUMMYFUNCTION("""COMPUTED_VALUE"""),67.0)</f>
        <v>67</v>
      </c>
      <c r="J1810" s="1">
        <f>IFERROR(__xludf.DUMMYFUNCTION("""COMPUTED_VALUE"""),99.0)</f>
        <v>99</v>
      </c>
      <c r="K1810" s="1">
        <f>IFERROR(__xludf.DUMMYFUNCTION("""COMPUTED_VALUE"""),34.0)</f>
        <v>34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 t="str">
        <f>IFERROR(__xludf.DUMMYFUNCTION("""COMPUTED_VALUE"""),"A")</f>
        <v>A</v>
      </c>
      <c r="E1811" s="1" t="str">
        <f>IFERROR(__xludf.DUMMYFUNCTION("""COMPUTED_VALUE"""),"Female")</f>
        <v>Female</v>
      </c>
      <c r="F1811" s="1">
        <f>IFERROR(__xludf.DUMMYFUNCTION("""COMPUTED_VALUE"""),67.0)</f>
        <v>67</v>
      </c>
      <c r="G1811" s="1">
        <f>IFERROR(__xludf.DUMMYFUNCTION("""COMPUTED_VALUE"""),99.0)</f>
        <v>99</v>
      </c>
      <c r="H1811" s="1">
        <f>IFERROR(__xludf.DUMMYFUNCTION("""COMPUTED_VALUE"""),66.0)</f>
        <v>66</v>
      </c>
      <c r="I1811" s="1">
        <f>IFERROR(__xludf.DUMMYFUNCTION("""COMPUTED_VALUE"""),85.0)</f>
        <v>85</v>
      </c>
      <c r="J1811" s="1">
        <f>IFERROR(__xludf.DUMMYFUNCTION("""COMPUTED_VALUE"""),64.0)</f>
        <v>64</v>
      </c>
      <c r="K1811" s="1">
        <f>IFERROR(__xludf.DUMMYFUNCTION("""COMPUTED_VALUE"""),54.0)</f>
        <v>54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 t="str">
        <f>IFERROR(__xludf.DUMMYFUNCTION("""COMPUTED_VALUE"""),"D")</f>
        <v>D</v>
      </c>
      <c r="E1812" s="1" t="str">
        <f>IFERROR(__xludf.DUMMYFUNCTION("""COMPUTED_VALUE"""),"Female")</f>
        <v>Female</v>
      </c>
      <c r="F1812" s="1">
        <f>IFERROR(__xludf.DUMMYFUNCTION("""COMPUTED_VALUE"""),39.0)</f>
        <v>39</v>
      </c>
      <c r="G1812" s="1">
        <f>IFERROR(__xludf.DUMMYFUNCTION("""COMPUTED_VALUE"""),61.0)</f>
        <v>61</v>
      </c>
      <c r="H1812" s="1">
        <f>IFERROR(__xludf.DUMMYFUNCTION("""COMPUTED_VALUE"""),81.0)</f>
        <v>81</v>
      </c>
      <c r="I1812" s="1">
        <f>IFERROR(__xludf.DUMMYFUNCTION("""COMPUTED_VALUE"""),73.0)</f>
        <v>73</v>
      </c>
      <c r="J1812" s="1">
        <f>IFERROR(__xludf.DUMMYFUNCTION("""COMPUTED_VALUE"""),83.0)</f>
        <v>83</v>
      </c>
      <c r="K1812" s="1">
        <f>IFERROR(__xludf.DUMMYFUNCTION("""COMPUTED_VALUE"""),35.0)</f>
        <v>35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 t="str">
        <f>IFERROR(__xludf.DUMMYFUNCTION("""COMPUTED_VALUE"""),"D")</f>
        <v>D</v>
      </c>
      <c r="E1813" s="1" t="str">
        <f>IFERROR(__xludf.DUMMYFUNCTION("""COMPUTED_VALUE"""),"Female")</f>
        <v>Female</v>
      </c>
      <c r="F1813" s="1">
        <f>IFERROR(__xludf.DUMMYFUNCTION("""COMPUTED_VALUE"""),35.0)</f>
        <v>35</v>
      </c>
      <c r="G1813" s="1">
        <f>IFERROR(__xludf.DUMMYFUNCTION("""COMPUTED_VALUE"""),38.0)</f>
        <v>38</v>
      </c>
      <c r="H1813" s="1">
        <f>IFERROR(__xludf.DUMMYFUNCTION("""COMPUTED_VALUE"""),23.0)</f>
        <v>23</v>
      </c>
      <c r="I1813" s="1">
        <f>IFERROR(__xludf.DUMMYFUNCTION("""COMPUTED_VALUE"""),29.0)</f>
        <v>29</v>
      </c>
      <c r="J1813" s="1">
        <f>IFERROR(__xludf.DUMMYFUNCTION("""COMPUTED_VALUE"""),61.0)</f>
        <v>61</v>
      </c>
      <c r="K1813" s="1">
        <f>IFERROR(__xludf.DUMMYFUNCTION("""COMPUTED_VALUE"""),68.0)</f>
        <v>68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 t="str">
        <f>IFERROR(__xludf.DUMMYFUNCTION("""COMPUTED_VALUE"""),"A")</f>
        <v>A</v>
      </c>
      <c r="E1814" s="1" t="str">
        <f>IFERROR(__xludf.DUMMYFUNCTION("""COMPUTED_VALUE"""),"Female")</f>
        <v>Female</v>
      </c>
      <c r="F1814" s="1">
        <f>IFERROR(__xludf.DUMMYFUNCTION("""COMPUTED_VALUE"""),11.0)</f>
        <v>11</v>
      </c>
      <c r="G1814" s="1">
        <f>IFERROR(__xludf.DUMMYFUNCTION("""COMPUTED_VALUE"""),57.0)</f>
        <v>57</v>
      </c>
      <c r="H1814" s="1">
        <f>IFERROR(__xludf.DUMMYFUNCTION("""COMPUTED_VALUE"""),30.0)</f>
        <v>30</v>
      </c>
      <c r="I1814" s="1">
        <f>IFERROR(__xludf.DUMMYFUNCTION("""COMPUTED_VALUE"""),50.0)</f>
        <v>50</v>
      </c>
      <c r="J1814" s="1">
        <f>IFERROR(__xludf.DUMMYFUNCTION("""COMPUTED_VALUE"""),87.0)</f>
        <v>87</v>
      </c>
      <c r="K1814" s="1">
        <f>IFERROR(__xludf.DUMMYFUNCTION("""COMPUTED_VALUE"""),97.0)</f>
        <v>97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 t="str">
        <f>IFERROR(__xludf.DUMMYFUNCTION("""COMPUTED_VALUE"""),"D")</f>
        <v>D</v>
      </c>
      <c r="E1815" s="1" t="str">
        <f>IFERROR(__xludf.DUMMYFUNCTION("""COMPUTED_VALUE"""),"Female")</f>
        <v>Female</v>
      </c>
      <c r="F1815" s="1">
        <f>IFERROR(__xludf.DUMMYFUNCTION("""COMPUTED_VALUE"""),67.0)</f>
        <v>67</v>
      </c>
      <c r="G1815" s="1">
        <f>IFERROR(__xludf.DUMMYFUNCTION("""COMPUTED_VALUE"""),70.0)</f>
        <v>70</v>
      </c>
      <c r="H1815" s="1">
        <f>IFERROR(__xludf.DUMMYFUNCTION("""COMPUTED_VALUE"""),54.0)</f>
        <v>54</v>
      </c>
      <c r="I1815" s="1">
        <f>IFERROR(__xludf.DUMMYFUNCTION("""COMPUTED_VALUE"""),28.0)</f>
        <v>28</v>
      </c>
      <c r="J1815" s="1">
        <f>IFERROR(__xludf.DUMMYFUNCTION("""COMPUTED_VALUE"""),85.0)</f>
        <v>85</v>
      </c>
      <c r="K1815" s="1">
        <f>IFERROR(__xludf.DUMMYFUNCTION("""COMPUTED_VALUE"""),70.0)</f>
        <v>70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 t="str">
        <f>IFERROR(__xludf.DUMMYFUNCTION("""COMPUTED_VALUE"""),"A")</f>
        <v>A</v>
      </c>
      <c r="E1816" s="1" t="str">
        <f>IFERROR(__xludf.DUMMYFUNCTION("""COMPUTED_VALUE"""),"Male")</f>
        <v>Male</v>
      </c>
      <c r="F1816" s="1">
        <f>IFERROR(__xludf.DUMMYFUNCTION("""COMPUTED_VALUE"""),58.0)</f>
        <v>58</v>
      </c>
      <c r="G1816" s="1">
        <f>IFERROR(__xludf.DUMMYFUNCTION("""COMPUTED_VALUE"""),61.0)</f>
        <v>61</v>
      </c>
      <c r="H1816" s="1">
        <f>IFERROR(__xludf.DUMMYFUNCTION("""COMPUTED_VALUE"""),63.0)</f>
        <v>63</v>
      </c>
      <c r="I1816" s="1">
        <f>IFERROR(__xludf.DUMMYFUNCTION("""COMPUTED_VALUE"""),57.0)</f>
        <v>57</v>
      </c>
      <c r="J1816" s="1">
        <f>IFERROR(__xludf.DUMMYFUNCTION("""COMPUTED_VALUE"""),44.0)</f>
        <v>44</v>
      </c>
      <c r="K1816" s="1">
        <f>IFERROR(__xludf.DUMMYFUNCTION("""COMPUTED_VALUE"""),62.0)</f>
        <v>62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 t="str">
        <f>IFERROR(__xludf.DUMMYFUNCTION("""COMPUTED_VALUE"""),"A")</f>
        <v>A</v>
      </c>
      <c r="E1817" s="1" t="str">
        <f>IFERROR(__xludf.DUMMYFUNCTION("""COMPUTED_VALUE"""),"Female")</f>
        <v>Female</v>
      </c>
      <c r="F1817" s="1">
        <f>IFERROR(__xludf.DUMMYFUNCTION("""COMPUTED_VALUE"""),10.0)</f>
        <v>10</v>
      </c>
      <c r="G1817" s="1">
        <f>IFERROR(__xludf.DUMMYFUNCTION("""COMPUTED_VALUE"""),64.0)</f>
        <v>64</v>
      </c>
      <c r="H1817" s="1">
        <f>IFERROR(__xludf.DUMMYFUNCTION("""COMPUTED_VALUE"""),77.0)</f>
        <v>77</v>
      </c>
      <c r="I1817" s="1">
        <f>IFERROR(__xludf.DUMMYFUNCTION("""COMPUTED_VALUE"""),88.0)</f>
        <v>88</v>
      </c>
      <c r="J1817" s="1">
        <f>IFERROR(__xludf.DUMMYFUNCTION("""COMPUTED_VALUE"""),50.0)</f>
        <v>50</v>
      </c>
      <c r="K1817" s="1">
        <f>IFERROR(__xludf.DUMMYFUNCTION("""COMPUTED_VALUE"""),35.0)</f>
        <v>35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 t="str">
        <f>IFERROR(__xludf.DUMMYFUNCTION("""COMPUTED_VALUE"""),"B")</f>
        <v>B</v>
      </c>
      <c r="E1818" s="1" t="str">
        <f>IFERROR(__xludf.DUMMYFUNCTION("""COMPUTED_VALUE"""),"Male")</f>
        <v>Male</v>
      </c>
      <c r="F1818" s="1">
        <f>IFERROR(__xludf.DUMMYFUNCTION("""COMPUTED_VALUE"""),78.0)</f>
        <v>78</v>
      </c>
      <c r="G1818" s="1">
        <f>IFERROR(__xludf.DUMMYFUNCTION("""COMPUTED_VALUE"""),70.0)</f>
        <v>70</v>
      </c>
      <c r="H1818" s="1">
        <f>IFERROR(__xludf.DUMMYFUNCTION("""COMPUTED_VALUE"""),92.0)</f>
        <v>92</v>
      </c>
      <c r="I1818" s="1">
        <f>IFERROR(__xludf.DUMMYFUNCTION("""COMPUTED_VALUE"""),84.0)</f>
        <v>84</v>
      </c>
      <c r="J1818" s="1">
        <f>IFERROR(__xludf.DUMMYFUNCTION("""COMPUTED_VALUE"""),62.0)</f>
        <v>62</v>
      </c>
      <c r="K1818" s="1">
        <f>IFERROR(__xludf.DUMMYFUNCTION("""COMPUTED_VALUE"""),27.0)</f>
        <v>27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 t="str">
        <f>IFERROR(__xludf.DUMMYFUNCTION("""COMPUTED_VALUE"""),"C")</f>
        <v>C</v>
      </c>
      <c r="E1819" s="1" t="str">
        <f>IFERROR(__xludf.DUMMYFUNCTION("""COMPUTED_VALUE"""),"Male")</f>
        <v>Male</v>
      </c>
      <c r="F1819" s="1">
        <f>IFERROR(__xludf.DUMMYFUNCTION("""COMPUTED_VALUE"""),45.0)</f>
        <v>45</v>
      </c>
      <c r="G1819" s="1">
        <f>IFERROR(__xludf.DUMMYFUNCTION("""COMPUTED_VALUE"""),38.0)</f>
        <v>38</v>
      </c>
      <c r="H1819" s="1">
        <f>IFERROR(__xludf.DUMMYFUNCTION("""COMPUTED_VALUE"""),72.0)</f>
        <v>72</v>
      </c>
      <c r="I1819" s="1">
        <f>IFERROR(__xludf.DUMMYFUNCTION("""COMPUTED_VALUE"""),64.0)</f>
        <v>64</v>
      </c>
      <c r="J1819" s="1">
        <f>IFERROR(__xludf.DUMMYFUNCTION("""COMPUTED_VALUE"""),74.0)</f>
        <v>74</v>
      </c>
      <c r="K1819" s="1">
        <f>IFERROR(__xludf.DUMMYFUNCTION("""COMPUTED_VALUE"""),31.0)</f>
        <v>31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 t="str">
        <f>IFERROR(__xludf.DUMMYFUNCTION("""COMPUTED_VALUE"""),"D")</f>
        <v>D</v>
      </c>
      <c r="E1820" s="1" t="str">
        <f>IFERROR(__xludf.DUMMYFUNCTION("""COMPUTED_VALUE"""),"Male")</f>
        <v>Male</v>
      </c>
      <c r="F1820" s="1">
        <f>IFERROR(__xludf.DUMMYFUNCTION("""COMPUTED_VALUE"""),58.0)</f>
        <v>58</v>
      </c>
      <c r="G1820" s="1">
        <f>IFERROR(__xludf.DUMMYFUNCTION("""COMPUTED_VALUE"""),32.0)</f>
        <v>32</v>
      </c>
      <c r="H1820" s="1">
        <f>IFERROR(__xludf.DUMMYFUNCTION("""COMPUTED_VALUE"""),22.0)</f>
        <v>22</v>
      </c>
      <c r="I1820" s="1">
        <f>IFERROR(__xludf.DUMMYFUNCTION("""COMPUTED_VALUE"""),39.0)</f>
        <v>39</v>
      </c>
      <c r="J1820" s="1">
        <f>IFERROR(__xludf.DUMMYFUNCTION("""COMPUTED_VALUE"""),43.0)</f>
        <v>43</v>
      </c>
      <c r="K1820" s="1">
        <f>IFERROR(__xludf.DUMMYFUNCTION("""COMPUTED_VALUE"""),55.0)</f>
        <v>55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 t="str">
        <f>IFERROR(__xludf.DUMMYFUNCTION("""COMPUTED_VALUE"""),"C")</f>
        <v>C</v>
      </c>
      <c r="E1821" s="1" t="str">
        <f>IFERROR(__xludf.DUMMYFUNCTION("""COMPUTED_VALUE"""),"Male")</f>
        <v>Male</v>
      </c>
      <c r="F1821" s="1">
        <f>IFERROR(__xludf.DUMMYFUNCTION("""COMPUTED_VALUE"""),62.0)</f>
        <v>62</v>
      </c>
      <c r="G1821" s="1">
        <f>IFERROR(__xludf.DUMMYFUNCTION("""COMPUTED_VALUE"""),66.0)</f>
        <v>66</v>
      </c>
      <c r="H1821" s="1">
        <f>IFERROR(__xludf.DUMMYFUNCTION("""COMPUTED_VALUE"""),89.0)</f>
        <v>89</v>
      </c>
      <c r="I1821" s="1">
        <f>IFERROR(__xludf.DUMMYFUNCTION("""COMPUTED_VALUE"""),91.0)</f>
        <v>91</v>
      </c>
      <c r="J1821" s="1">
        <f>IFERROR(__xludf.DUMMYFUNCTION("""COMPUTED_VALUE"""),59.0)</f>
        <v>59</v>
      </c>
      <c r="K1821" s="1">
        <f>IFERROR(__xludf.DUMMYFUNCTION("""COMPUTED_VALUE"""),79.0)</f>
        <v>79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 t="str">
        <f>IFERROR(__xludf.DUMMYFUNCTION("""COMPUTED_VALUE"""),"D")</f>
        <v>D</v>
      </c>
      <c r="E1822" s="1" t="str">
        <f>IFERROR(__xludf.DUMMYFUNCTION("""COMPUTED_VALUE"""),"Female")</f>
        <v>Female</v>
      </c>
      <c r="F1822" s="1">
        <f>IFERROR(__xludf.DUMMYFUNCTION("""COMPUTED_VALUE"""),57.0)</f>
        <v>57</v>
      </c>
      <c r="G1822" s="1">
        <f>IFERROR(__xludf.DUMMYFUNCTION("""COMPUTED_VALUE"""),82.0)</f>
        <v>82</v>
      </c>
      <c r="H1822" s="1">
        <f>IFERROR(__xludf.DUMMYFUNCTION("""COMPUTED_VALUE"""),58.0)</f>
        <v>58</v>
      </c>
      <c r="I1822" s="1">
        <f>IFERROR(__xludf.DUMMYFUNCTION("""COMPUTED_VALUE"""),84.0)</f>
        <v>84</v>
      </c>
      <c r="J1822" s="1">
        <f>IFERROR(__xludf.DUMMYFUNCTION("""COMPUTED_VALUE"""),29.0)</f>
        <v>29</v>
      </c>
      <c r="K1822" s="1">
        <f>IFERROR(__xludf.DUMMYFUNCTION("""COMPUTED_VALUE"""),79.0)</f>
        <v>79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 t="str">
        <f>IFERROR(__xludf.DUMMYFUNCTION("""COMPUTED_VALUE"""),"B")</f>
        <v>B</v>
      </c>
      <c r="E1823" s="1" t="str">
        <f>IFERROR(__xludf.DUMMYFUNCTION("""COMPUTED_VALUE"""),"Male")</f>
        <v>Male</v>
      </c>
      <c r="F1823" s="1">
        <f>IFERROR(__xludf.DUMMYFUNCTION("""COMPUTED_VALUE"""),97.0)</f>
        <v>97</v>
      </c>
      <c r="G1823" s="1">
        <f>IFERROR(__xludf.DUMMYFUNCTION("""COMPUTED_VALUE"""),37.0)</f>
        <v>37</v>
      </c>
      <c r="H1823" s="1">
        <f>IFERROR(__xludf.DUMMYFUNCTION("""COMPUTED_VALUE"""),67.0)</f>
        <v>67</v>
      </c>
      <c r="I1823" s="1">
        <f>IFERROR(__xludf.DUMMYFUNCTION("""COMPUTED_VALUE"""),98.0)</f>
        <v>98</v>
      </c>
      <c r="J1823" s="1">
        <f>IFERROR(__xludf.DUMMYFUNCTION("""COMPUTED_VALUE"""),60.0)</f>
        <v>60</v>
      </c>
      <c r="K1823" s="1">
        <f>IFERROR(__xludf.DUMMYFUNCTION("""COMPUTED_VALUE"""),86.0)</f>
        <v>86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 t="str">
        <f>IFERROR(__xludf.DUMMYFUNCTION("""COMPUTED_VALUE"""),"D")</f>
        <v>D</v>
      </c>
      <c r="E1824" s="1" t="str">
        <f>IFERROR(__xludf.DUMMYFUNCTION("""COMPUTED_VALUE"""),"Female")</f>
        <v>Female</v>
      </c>
      <c r="F1824" s="1">
        <f>IFERROR(__xludf.DUMMYFUNCTION("""COMPUTED_VALUE"""),38.0)</f>
        <v>38</v>
      </c>
      <c r="G1824" s="1">
        <f>IFERROR(__xludf.DUMMYFUNCTION("""COMPUTED_VALUE"""),41.0)</f>
        <v>41</v>
      </c>
      <c r="H1824" s="1">
        <f>IFERROR(__xludf.DUMMYFUNCTION("""COMPUTED_VALUE"""),51.0)</f>
        <v>51</v>
      </c>
      <c r="I1824" s="1">
        <f>IFERROR(__xludf.DUMMYFUNCTION("""COMPUTED_VALUE"""),25.0)</f>
        <v>25</v>
      </c>
      <c r="J1824" s="1">
        <f>IFERROR(__xludf.DUMMYFUNCTION("""COMPUTED_VALUE"""),92.0)</f>
        <v>92</v>
      </c>
      <c r="K1824" s="1">
        <f>IFERROR(__xludf.DUMMYFUNCTION("""COMPUTED_VALUE"""),75.0)</f>
        <v>75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 t="str">
        <f>IFERROR(__xludf.DUMMYFUNCTION("""COMPUTED_VALUE"""),"D")</f>
        <v>D</v>
      </c>
      <c r="E1825" s="1" t="str">
        <f>IFERROR(__xludf.DUMMYFUNCTION("""COMPUTED_VALUE"""),"Female")</f>
        <v>Female</v>
      </c>
      <c r="F1825" s="1">
        <f>IFERROR(__xludf.DUMMYFUNCTION("""COMPUTED_VALUE"""),70.0)</f>
        <v>70</v>
      </c>
      <c r="G1825" s="1">
        <f>IFERROR(__xludf.DUMMYFUNCTION("""COMPUTED_VALUE"""),32.0)</f>
        <v>32</v>
      </c>
      <c r="H1825" s="1">
        <f>IFERROR(__xludf.DUMMYFUNCTION("""COMPUTED_VALUE"""),56.0)</f>
        <v>56</v>
      </c>
      <c r="I1825" s="1">
        <f>IFERROR(__xludf.DUMMYFUNCTION("""COMPUTED_VALUE"""),40.0)</f>
        <v>40</v>
      </c>
      <c r="J1825" s="1">
        <f>IFERROR(__xludf.DUMMYFUNCTION("""COMPUTED_VALUE"""),24.0)</f>
        <v>24</v>
      </c>
      <c r="K1825" s="1">
        <f>IFERROR(__xludf.DUMMYFUNCTION("""COMPUTED_VALUE"""),63.0)</f>
        <v>63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 t="str">
        <f>IFERROR(__xludf.DUMMYFUNCTION("""COMPUTED_VALUE"""),"D")</f>
        <v>D</v>
      </c>
      <c r="E1826" s="1" t="str">
        <f>IFERROR(__xludf.DUMMYFUNCTION("""COMPUTED_VALUE"""),"Male")</f>
        <v>Male</v>
      </c>
      <c r="F1826" s="1">
        <f>IFERROR(__xludf.DUMMYFUNCTION("""COMPUTED_VALUE"""),41.0)</f>
        <v>41</v>
      </c>
      <c r="G1826" s="1">
        <f>IFERROR(__xludf.DUMMYFUNCTION("""COMPUTED_VALUE"""),91.0)</f>
        <v>91</v>
      </c>
      <c r="H1826" s="1">
        <f>IFERROR(__xludf.DUMMYFUNCTION("""COMPUTED_VALUE"""),82.0)</f>
        <v>82</v>
      </c>
      <c r="I1826" s="1">
        <f>IFERROR(__xludf.DUMMYFUNCTION("""COMPUTED_VALUE"""),21.0)</f>
        <v>21</v>
      </c>
      <c r="J1826" s="1">
        <f>IFERROR(__xludf.DUMMYFUNCTION("""COMPUTED_VALUE"""),90.0)</f>
        <v>90</v>
      </c>
      <c r="K1826" s="1">
        <f>IFERROR(__xludf.DUMMYFUNCTION("""COMPUTED_VALUE"""),54.0)</f>
        <v>54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 t="str">
        <f>IFERROR(__xludf.DUMMYFUNCTION("""COMPUTED_VALUE"""),"D")</f>
        <v>D</v>
      </c>
      <c r="E1827" s="1" t="str">
        <f>IFERROR(__xludf.DUMMYFUNCTION("""COMPUTED_VALUE"""),"Male")</f>
        <v>Male</v>
      </c>
      <c r="F1827" s="1">
        <f>IFERROR(__xludf.DUMMYFUNCTION("""COMPUTED_VALUE"""),73.0)</f>
        <v>73</v>
      </c>
      <c r="G1827" s="1">
        <f>IFERROR(__xludf.DUMMYFUNCTION("""COMPUTED_VALUE"""),72.0)</f>
        <v>72</v>
      </c>
      <c r="H1827" s="1">
        <f>IFERROR(__xludf.DUMMYFUNCTION("""COMPUTED_VALUE"""),68.0)</f>
        <v>68</v>
      </c>
      <c r="I1827" s="1">
        <f>IFERROR(__xludf.DUMMYFUNCTION("""COMPUTED_VALUE"""),96.0)</f>
        <v>96</v>
      </c>
      <c r="J1827" s="1">
        <f>IFERROR(__xludf.DUMMYFUNCTION("""COMPUTED_VALUE"""),97.0)</f>
        <v>97</v>
      </c>
      <c r="K1827" s="1">
        <f>IFERROR(__xludf.DUMMYFUNCTION("""COMPUTED_VALUE"""),36.0)</f>
        <v>36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 t="str">
        <f>IFERROR(__xludf.DUMMYFUNCTION("""COMPUTED_VALUE"""),"C")</f>
        <v>C</v>
      </c>
      <c r="E1828" s="1" t="str">
        <f>IFERROR(__xludf.DUMMYFUNCTION("""COMPUTED_VALUE"""),"Male")</f>
        <v>Male</v>
      </c>
      <c r="F1828" s="1">
        <f>IFERROR(__xludf.DUMMYFUNCTION("""COMPUTED_VALUE"""),24.0)</f>
        <v>24</v>
      </c>
      <c r="G1828" s="1">
        <f>IFERROR(__xludf.DUMMYFUNCTION("""COMPUTED_VALUE"""),54.0)</f>
        <v>54</v>
      </c>
      <c r="H1828" s="1">
        <f>IFERROR(__xludf.DUMMYFUNCTION("""COMPUTED_VALUE"""),71.0)</f>
        <v>71</v>
      </c>
      <c r="I1828" s="1">
        <f>IFERROR(__xludf.DUMMYFUNCTION("""COMPUTED_VALUE"""),52.0)</f>
        <v>52</v>
      </c>
      <c r="J1828" s="1">
        <f>IFERROR(__xludf.DUMMYFUNCTION("""COMPUTED_VALUE"""),92.0)</f>
        <v>92</v>
      </c>
      <c r="K1828" s="1">
        <f>IFERROR(__xludf.DUMMYFUNCTION("""COMPUTED_VALUE"""),46.0)</f>
        <v>46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 t="str">
        <f>IFERROR(__xludf.DUMMYFUNCTION("""COMPUTED_VALUE"""),"D")</f>
        <v>D</v>
      </c>
      <c r="E1829" s="1" t="str">
        <f>IFERROR(__xludf.DUMMYFUNCTION("""COMPUTED_VALUE"""),"Female")</f>
        <v>Female</v>
      </c>
      <c r="F1829" s="1">
        <f>IFERROR(__xludf.DUMMYFUNCTION("""COMPUTED_VALUE"""),63.0)</f>
        <v>63</v>
      </c>
      <c r="G1829" s="1">
        <f>IFERROR(__xludf.DUMMYFUNCTION("""COMPUTED_VALUE"""),38.0)</f>
        <v>38</v>
      </c>
      <c r="H1829" s="1">
        <f>IFERROR(__xludf.DUMMYFUNCTION("""COMPUTED_VALUE"""),63.0)</f>
        <v>63</v>
      </c>
      <c r="I1829" s="1">
        <f>IFERROR(__xludf.DUMMYFUNCTION("""COMPUTED_VALUE"""),86.0)</f>
        <v>86</v>
      </c>
      <c r="J1829" s="1">
        <f>IFERROR(__xludf.DUMMYFUNCTION("""COMPUTED_VALUE"""),37.0)</f>
        <v>37</v>
      </c>
      <c r="K1829" s="1">
        <f>IFERROR(__xludf.DUMMYFUNCTION("""COMPUTED_VALUE"""),73.0)</f>
        <v>73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 t="str">
        <f>IFERROR(__xludf.DUMMYFUNCTION("""COMPUTED_VALUE"""),"A")</f>
        <v>A</v>
      </c>
      <c r="E1830" s="1" t="str">
        <f>IFERROR(__xludf.DUMMYFUNCTION("""COMPUTED_VALUE"""),"Female")</f>
        <v>Female</v>
      </c>
      <c r="F1830" s="1">
        <f>IFERROR(__xludf.DUMMYFUNCTION("""COMPUTED_VALUE"""),56.0)</f>
        <v>56</v>
      </c>
      <c r="G1830" s="1">
        <f>IFERROR(__xludf.DUMMYFUNCTION("""COMPUTED_VALUE"""),53.0)</f>
        <v>53</v>
      </c>
      <c r="H1830" s="1">
        <f>IFERROR(__xludf.DUMMYFUNCTION("""COMPUTED_VALUE"""),39.0)</f>
        <v>39</v>
      </c>
      <c r="I1830" s="1">
        <f>IFERROR(__xludf.DUMMYFUNCTION("""COMPUTED_VALUE"""),63.0)</f>
        <v>63</v>
      </c>
      <c r="J1830" s="1">
        <f>IFERROR(__xludf.DUMMYFUNCTION("""COMPUTED_VALUE"""),80.0)</f>
        <v>80</v>
      </c>
      <c r="K1830" s="1">
        <f>IFERROR(__xludf.DUMMYFUNCTION("""COMPUTED_VALUE"""),49.0)</f>
        <v>49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 t="str">
        <f>IFERROR(__xludf.DUMMYFUNCTION("""COMPUTED_VALUE"""),"A")</f>
        <v>A</v>
      </c>
      <c r="E1831" s="1" t="str">
        <f>IFERROR(__xludf.DUMMYFUNCTION("""COMPUTED_VALUE"""),"Female")</f>
        <v>Female</v>
      </c>
      <c r="F1831" s="1">
        <f>IFERROR(__xludf.DUMMYFUNCTION("""COMPUTED_VALUE"""),52.0)</f>
        <v>52</v>
      </c>
      <c r="G1831" s="1">
        <f>IFERROR(__xludf.DUMMYFUNCTION("""COMPUTED_VALUE"""),85.0)</f>
        <v>85</v>
      </c>
      <c r="H1831" s="1">
        <f>IFERROR(__xludf.DUMMYFUNCTION("""COMPUTED_VALUE"""),94.0)</f>
        <v>94</v>
      </c>
      <c r="I1831" s="1">
        <f>IFERROR(__xludf.DUMMYFUNCTION("""COMPUTED_VALUE"""),32.0)</f>
        <v>32</v>
      </c>
      <c r="J1831" s="1">
        <f>IFERROR(__xludf.DUMMYFUNCTION("""COMPUTED_VALUE"""),23.0)</f>
        <v>23</v>
      </c>
      <c r="K1831" s="1">
        <f>IFERROR(__xludf.DUMMYFUNCTION("""COMPUTED_VALUE"""),56.0)</f>
        <v>56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 t="str">
        <f>IFERROR(__xludf.DUMMYFUNCTION("""COMPUTED_VALUE"""),"C")</f>
        <v>C</v>
      </c>
      <c r="E1832" s="1" t="str">
        <f>IFERROR(__xludf.DUMMYFUNCTION("""COMPUTED_VALUE"""),"Male")</f>
        <v>Male</v>
      </c>
      <c r="F1832" s="1">
        <f>IFERROR(__xludf.DUMMYFUNCTION("""COMPUTED_VALUE"""),71.0)</f>
        <v>71</v>
      </c>
      <c r="G1832" s="1">
        <f>IFERROR(__xludf.DUMMYFUNCTION("""COMPUTED_VALUE"""),90.0)</f>
        <v>90</v>
      </c>
      <c r="H1832" s="1">
        <f>IFERROR(__xludf.DUMMYFUNCTION("""COMPUTED_VALUE"""),32.0)</f>
        <v>32</v>
      </c>
      <c r="I1832" s="1">
        <f>IFERROR(__xludf.DUMMYFUNCTION("""COMPUTED_VALUE"""),57.0)</f>
        <v>57</v>
      </c>
      <c r="J1832" s="1">
        <f>IFERROR(__xludf.DUMMYFUNCTION("""COMPUTED_VALUE"""),71.0)</f>
        <v>71</v>
      </c>
      <c r="K1832" s="1">
        <f>IFERROR(__xludf.DUMMYFUNCTION("""COMPUTED_VALUE"""),81.0)</f>
        <v>81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 t="str">
        <f>IFERROR(__xludf.DUMMYFUNCTION("""COMPUTED_VALUE"""),"A")</f>
        <v>A</v>
      </c>
      <c r="E1833" s="1" t="str">
        <f>IFERROR(__xludf.DUMMYFUNCTION("""COMPUTED_VALUE"""),"Male")</f>
        <v>Male</v>
      </c>
      <c r="F1833" s="1">
        <f>IFERROR(__xludf.DUMMYFUNCTION("""COMPUTED_VALUE"""),40.0)</f>
        <v>40</v>
      </c>
      <c r="G1833" s="1">
        <f>IFERROR(__xludf.DUMMYFUNCTION("""COMPUTED_VALUE"""),99.0)</f>
        <v>99</v>
      </c>
      <c r="H1833" s="1">
        <f>IFERROR(__xludf.DUMMYFUNCTION("""COMPUTED_VALUE"""),71.0)</f>
        <v>71</v>
      </c>
      <c r="I1833" s="1">
        <f>IFERROR(__xludf.DUMMYFUNCTION("""COMPUTED_VALUE"""),68.0)</f>
        <v>68</v>
      </c>
      <c r="J1833" s="1">
        <f>IFERROR(__xludf.DUMMYFUNCTION("""COMPUTED_VALUE"""),47.0)</f>
        <v>47</v>
      </c>
      <c r="K1833" s="1">
        <f>IFERROR(__xludf.DUMMYFUNCTION("""COMPUTED_VALUE"""),42.0)</f>
        <v>42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 t="str">
        <f>IFERROR(__xludf.DUMMYFUNCTION("""COMPUTED_VALUE"""),"D")</f>
        <v>D</v>
      </c>
      <c r="E1834" s="1" t="str">
        <f>IFERROR(__xludf.DUMMYFUNCTION("""COMPUTED_VALUE"""),"Female")</f>
        <v>Female</v>
      </c>
      <c r="F1834" s="1">
        <f>IFERROR(__xludf.DUMMYFUNCTION("""COMPUTED_VALUE"""),22.0)</f>
        <v>22</v>
      </c>
      <c r="G1834" s="1">
        <f>IFERROR(__xludf.DUMMYFUNCTION("""COMPUTED_VALUE"""),79.0)</f>
        <v>79</v>
      </c>
      <c r="H1834" s="1">
        <f>IFERROR(__xludf.DUMMYFUNCTION("""COMPUTED_VALUE"""),43.0)</f>
        <v>43</v>
      </c>
      <c r="I1834" s="1">
        <f>IFERROR(__xludf.DUMMYFUNCTION("""COMPUTED_VALUE"""),50.0)</f>
        <v>50</v>
      </c>
      <c r="J1834" s="1">
        <f>IFERROR(__xludf.DUMMYFUNCTION("""COMPUTED_VALUE"""),90.0)</f>
        <v>90</v>
      </c>
      <c r="K1834" s="1">
        <f>IFERROR(__xludf.DUMMYFUNCTION("""COMPUTED_VALUE"""),67.0)</f>
        <v>67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 t="str">
        <f>IFERROR(__xludf.DUMMYFUNCTION("""COMPUTED_VALUE"""),"C")</f>
        <v>C</v>
      </c>
      <c r="E1835" s="1" t="str">
        <f>IFERROR(__xludf.DUMMYFUNCTION("""COMPUTED_VALUE"""),"Female")</f>
        <v>Female</v>
      </c>
      <c r="F1835" s="1">
        <f>IFERROR(__xludf.DUMMYFUNCTION("""COMPUTED_VALUE"""),59.0)</f>
        <v>59</v>
      </c>
      <c r="G1835" s="1">
        <f>IFERROR(__xludf.DUMMYFUNCTION("""COMPUTED_VALUE"""),79.0)</f>
        <v>79</v>
      </c>
      <c r="H1835" s="1">
        <f>IFERROR(__xludf.DUMMYFUNCTION("""COMPUTED_VALUE"""),91.0)</f>
        <v>91</v>
      </c>
      <c r="I1835" s="1">
        <f>IFERROR(__xludf.DUMMYFUNCTION("""COMPUTED_VALUE"""),70.0)</f>
        <v>70</v>
      </c>
      <c r="J1835" s="1">
        <f>IFERROR(__xludf.DUMMYFUNCTION("""COMPUTED_VALUE"""),25.0)</f>
        <v>25</v>
      </c>
      <c r="K1835" s="1">
        <f>IFERROR(__xludf.DUMMYFUNCTION("""COMPUTED_VALUE"""),68.0)</f>
        <v>68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 t="str">
        <f>IFERROR(__xludf.DUMMYFUNCTION("""COMPUTED_VALUE"""),"C")</f>
        <v>C</v>
      </c>
      <c r="E1836" s="1" t="str">
        <f>IFERROR(__xludf.DUMMYFUNCTION("""COMPUTED_VALUE"""),"Male")</f>
        <v>Male</v>
      </c>
      <c r="F1836" s="1">
        <f>IFERROR(__xludf.DUMMYFUNCTION("""COMPUTED_VALUE"""),19.0)</f>
        <v>19</v>
      </c>
      <c r="G1836" s="1">
        <f>IFERROR(__xludf.DUMMYFUNCTION("""COMPUTED_VALUE"""),22.0)</f>
        <v>22</v>
      </c>
      <c r="H1836" s="1">
        <f>IFERROR(__xludf.DUMMYFUNCTION("""COMPUTED_VALUE"""),85.0)</f>
        <v>85</v>
      </c>
      <c r="I1836" s="1">
        <f>IFERROR(__xludf.DUMMYFUNCTION("""COMPUTED_VALUE"""),87.0)</f>
        <v>87</v>
      </c>
      <c r="J1836" s="1">
        <f>IFERROR(__xludf.DUMMYFUNCTION("""COMPUTED_VALUE"""),23.0)</f>
        <v>23</v>
      </c>
      <c r="K1836" s="1">
        <f>IFERROR(__xludf.DUMMYFUNCTION("""COMPUTED_VALUE"""),28.0)</f>
        <v>28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 t="str">
        <f>IFERROR(__xludf.DUMMYFUNCTION("""COMPUTED_VALUE"""),"A")</f>
        <v>A</v>
      </c>
      <c r="E1837" s="1" t="str">
        <f>IFERROR(__xludf.DUMMYFUNCTION("""COMPUTED_VALUE"""),"Male")</f>
        <v>Male</v>
      </c>
      <c r="F1837" s="1">
        <f>IFERROR(__xludf.DUMMYFUNCTION("""COMPUTED_VALUE"""),96.0)</f>
        <v>96</v>
      </c>
      <c r="G1837" s="1">
        <f>IFERROR(__xludf.DUMMYFUNCTION("""COMPUTED_VALUE"""),22.0)</f>
        <v>22</v>
      </c>
      <c r="H1837" s="1">
        <f>IFERROR(__xludf.DUMMYFUNCTION("""COMPUTED_VALUE"""),48.0)</f>
        <v>48</v>
      </c>
      <c r="I1837" s="1">
        <f>IFERROR(__xludf.DUMMYFUNCTION("""COMPUTED_VALUE"""),30.0)</f>
        <v>30</v>
      </c>
      <c r="J1837" s="1">
        <f>IFERROR(__xludf.DUMMYFUNCTION("""COMPUTED_VALUE"""),51.0)</f>
        <v>51</v>
      </c>
      <c r="K1837" s="1">
        <f>IFERROR(__xludf.DUMMYFUNCTION("""COMPUTED_VALUE"""),26.0)</f>
        <v>26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 t="str">
        <f>IFERROR(__xludf.DUMMYFUNCTION("""COMPUTED_VALUE"""),"A")</f>
        <v>A</v>
      </c>
      <c r="E1838" s="1" t="str">
        <f>IFERROR(__xludf.DUMMYFUNCTION("""COMPUTED_VALUE"""),"Female")</f>
        <v>Female</v>
      </c>
      <c r="F1838" s="1">
        <f>IFERROR(__xludf.DUMMYFUNCTION("""COMPUTED_VALUE"""),60.0)</f>
        <v>60</v>
      </c>
      <c r="G1838" s="1">
        <f>IFERROR(__xludf.DUMMYFUNCTION("""COMPUTED_VALUE"""),77.0)</f>
        <v>77</v>
      </c>
      <c r="H1838" s="1">
        <f>IFERROR(__xludf.DUMMYFUNCTION("""COMPUTED_VALUE"""),48.0)</f>
        <v>48</v>
      </c>
      <c r="I1838" s="1">
        <f>IFERROR(__xludf.DUMMYFUNCTION("""COMPUTED_VALUE"""),39.0)</f>
        <v>39</v>
      </c>
      <c r="J1838" s="1">
        <f>IFERROR(__xludf.DUMMYFUNCTION("""COMPUTED_VALUE"""),54.0)</f>
        <v>54</v>
      </c>
      <c r="K1838" s="1">
        <f>IFERROR(__xludf.DUMMYFUNCTION("""COMPUTED_VALUE"""),31.0)</f>
        <v>31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 t="str">
        <f>IFERROR(__xludf.DUMMYFUNCTION("""COMPUTED_VALUE"""),"C")</f>
        <v>C</v>
      </c>
      <c r="E1839" s="1" t="str">
        <f>IFERROR(__xludf.DUMMYFUNCTION("""COMPUTED_VALUE"""),"Female")</f>
        <v>Female</v>
      </c>
      <c r="F1839" s="1">
        <f>IFERROR(__xludf.DUMMYFUNCTION("""COMPUTED_VALUE"""),28.0)</f>
        <v>28</v>
      </c>
      <c r="G1839" s="1">
        <f>IFERROR(__xludf.DUMMYFUNCTION("""COMPUTED_VALUE"""),77.0)</f>
        <v>77</v>
      </c>
      <c r="H1839" s="1">
        <f>IFERROR(__xludf.DUMMYFUNCTION("""COMPUTED_VALUE"""),27.0)</f>
        <v>27</v>
      </c>
      <c r="I1839" s="1">
        <f>IFERROR(__xludf.DUMMYFUNCTION("""COMPUTED_VALUE"""),59.0)</f>
        <v>59</v>
      </c>
      <c r="J1839" s="1">
        <f>IFERROR(__xludf.DUMMYFUNCTION("""COMPUTED_VALUE"""),83.0)</f>
        <v>83</v>
      </c>
      <c r="K1839" s="1">
        <f>IFERROR(__xludf.DUMMYFUNCTION("""COMPUTED_VALUE"""),34.0)</f>
        <v>34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 t="str">
        <f>IFERROR(__xludf.DUMMYFUNCTION("""COMPUTED_VALUE"""),"A")</f>
        <v>A</v>
      </c>
      <c r="E1840" s="1" t="str">
        <f>IFERROR(__xludf.DUMMYFUNCTION("""COMPUTED_VALUE"""),"Female")</f>
        <v>Female</v>
      </c>
      <c r="F1840" s="1">
        <f>IFERROR(__xludf.DUMMYFUNCTION("""COMPUTED_VALUE"""),49.0)</f>
        <v>49</v>
      </c>
      <c r="G1840" s="1">
        <f>IFERROR(__xludf.DUMMYFUNCTION("""COMPUTED_VALUE"""),94.0)</f>
        <v>94</v>
      </c>
      <c r="H1840" s="1">
        <f>IFERROR(__xludf.DUMMYFUNCTION("""COMPUTED_VALUE"""),79.0)</f>
        <v>79</v>
      </c>
      <c r="I1840" s="1">
        <f>IFERROR(__xludf.DUMMYFUNCTION("""COMPUTED_VALUE"""),83.0)</f>
        <v>83</v>
      </c>
      <c r="J1840" s="1">
        <f>IFERROR(__xludf.DUMMYFUNCTION("""COMPUTED_VALUE"""),79.0)</f>
        <v>79</v>
      </c>
      <c r="K1840" s="1">
        <f>IFERROR(__xludf.DUMMYFUNCTION("""COMPUTED_VALUE"""),49.0)</f>
        <v>49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 t="str">
        <f>IFERROR(__xludf.DUMMYFUNCTION("""COMPUTED_VALUE"""),"A")</f>
        <v>A</v>
      </c>
      <c r="E1841" s="1" t="str">
        <f>IFERROR(__xludf.DUMMYFUNCTION("""COMPUTED_VALUE"""),"Male")</f>
        <v>Male</v>
      </c>
      <c r="F1841" s="1">
        <f>IFERROR(__xludf.DUMMYFUNCTION("""COMPUTED_VALUE"""),46.0)</f>
        <v>46</v>
      </c>
      <c r="G1841" s="1">
        <f>IFERROR(__xludf.DUMMYFUNCTION("""COMPUTED_VALUE"""),66.0)</f>
        <v>66</v>
      </c>
      <c r="H1841" s="1">
        <f>IFERROR(__xludf.DUMMYFUNCTION("""COMPUTED_VALUE"""),92.0)</f>
        <v>92</v>
      </c>
      <c r="I1841" s="1">
        <f>IFERROR(__xludf.DUMMYFUNCTION("""COMPUTED_VALUE"""),87.0)</f>
        <v>87</v>
      </c>
      <c r="J1841" s="1">
        <f>IFERROR(__xludf.DUMMYFUNCTION("""COMPUTED_VALUE"""),36.0)</f>
        <v>36</v>
      </c>
      <c r="K1841" s="1">
        <f>IFERROR(__xludf.DUMMYFUNCTION("""COMPUTED_VALUE"""),46.0)</f>
        <v>46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 t="str">
        <f>IFERROR(__xludf.DUMMYFUNCTION("""COMPUTED_VALUE"""),"A")</f>
        <v>A</v>
      </c>
      <c r="E1842" s="1" t="str">
        <f>IFERROR(__xludf.DUMMYFUNCTION("""COMPUTED_VALUE"""),"Male")</f>
        <v>Male</v>
      </c>
      <c r="F1842" s="1">
        <f>IFERROR(__xludf.DUMMYFUNCTION("""COMPUTED_VALUE"""),77.0)</f>
        <v>77</v>
      </c>
      <c r="G1842" s="1">
        <f>IFERROR(__xludf.DUMMYFUNCTION("""COMPUTED_VALUE"""),98.0)</f>
        <v>98</v>
      </c>
      <c r="H1842" s="1">
        <f>IFERROR(__xludf.DUMMYFUNCTION("""COMPUTED_VALUE"""),87.0)</f>
        <v>87</v>
      </c>
      <c r="I1842" s="1">
        <f>IFERROR(__xludf.DUMMYFUNCTION("""COMPUTED_VALUE"""),68.0)</f>
        <v>68</v>
      </c>
      <c r="J1842" s="1">
        <f>IFERROR(__xludf.DUMMYFUNCTION("""COMPUTED_VALUE"""),58.0)</f>
        <v>58</v>
      </c>
      <c r="K1842" s="1">
        <f>IFERROR(__xludf.DUMMYFUNCTION("""COMPUTED_VALUE"""),20.0)</f>
        <v>20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 t="str">
        <f>IFERROR(__xludf.DUMMYFUNCTION("""COMPUTED_VALUE"""),"C")</f>
        <v>C</v>
      </c>
      <c r="E1843" s="1" t="str">
        <f>IFERROR(__xludf.DUMMYFUNCTION("""COMPUTED_VALUE"""),"Male")</f>
        <v>Male</v>
      </c>
      <c r="F1843" s="1">
        <f>IFERROR(__xludf.DUMMYFUNCTION("""COMPUTED_VALUE"""),17.0)</f>
        <v>17</v>
      </c>
      <c r="G1843" s="1">
        <f>IFERROR(__xludf.DUMMYFUNCTION("""COMPUTED_VALUE"""),38.0)</f>
        <v>38</v>
      </c>
      <c r="H1843" s="1">
        <f>IFERROR(__xludf.DUMMYFUNCTION("""COMPUTED_VALUE"""),72.0)</f>
        <v>72</v>
      </c>
      <c r="I1843" s="1">
        <f>IFERROR(__xludf.DUMMYFUNCTION("""COMPUTED_VALUE"""),34.0)</f>
        <v>34</v>
      </c>
      <c r="J1843" s="1">
        <f>IFERROR(__xludf.DUMMYFUNCTION("""COMPUTED_VALUE"""),96.0)</f>
        <v>96</v>
      </c>
      <c r="K1843" s="1">
        <f>IFERROR(__xludf.DUMMYFUNCTION("""COMPUTED_VALUE"""),87.0)</f>
        <v>87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 t="str">
        <f>IFERROR(__xludf.DUMMYFUNCTION("""COMPUTED_VALUE"""),"D")</f>
        <v>D</v>
      </c>
      <c r="E1844" s="1" t="str">
        <f>IFERROR(__xludf.DUMMYFUNCTION("""COMPUTED_VALUE"""),"Female")</f>
        <v>Female</v>
      </c>
      <c r="F1844" s="1">
        <f>IFERROR(__xludf.DUMMYFUNCTION("""COMPUTED_VALUE"""),71.0)</f>
        <v>71</v>
      </c>
      <c r="G1844" s="1">
        <f>IFERROR(__xludf.DUMMYFUNCTION("""COMPUTED_VALUE"""),21.0)</f>
        <v>21</v>
      </c>
      <c r="H1844" s="1">
        <f>IFERROR(__xludf.DUMMYFUNCTION("""COMPUTED_VALUE"""),58.0)</f>
        <v>58</v>
      </c>
      <c r="I1844" s="1">
        <f>IFERROR(__xludf.DUMMYFUNCTION("""COMPUTED_VALUE"""),64.0)</f>
        <v>64</v>
      </c>
      <c r="J1844" s="1">
        <f>IFERROR(__xludf.DUMMYFUNCTION("""COMPUTED_VALUE"""),31.0)</f>
        <v>31</v>
      </c>
      <c r="K1844" s="1">
        <f>IFERROR(__xludf.DUMMYFUNCTION("""COMPUTED_VALUE"""),56.0)</f>
        <v>56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 t="str">
        <f>IFERROR(__xludf.DUMMYFUNCTION("""COMPUTED_VALUE"""),"B")</f>
        <v>B</v>
      </c>
      <c r="E1845" s="1" t="str">
        <f>IFERROR(__xludf.DUMMYFUNCTION("""COMPUTED_VALUE"""),"Female")</f>
        <v>Female</v>
      </c>
      <c r="F1845" s="1">
        <f>IFERROR(__xludf.DUMMYFUNCTION("""COMPUTED_VALUE"""),48.0)</f>
        <v>48</v>
      </c>
      <c r="G1845" s="1">
        <f>IFERROR(__xludf.DUMMYFUNCTION("""COMPUTED_VALUE"""),57.0)</f>
        <v>57</v>
      </c>
      <c r="H1845" s="1">
        <f>IFERROR(__xludf.DUMMYFUNCTION("""COMPUTED_VALUE"""),45.0)</f>
        <v>45</v>
      </c>
      <c r="I1845" s="1">
        <f>IFERROR(__xludf.DUMMYFUNCTION("""COMPUTED_VALUE"""),61.0)</f>
        <v>61</v>
      </c>
      <c r="J1845" s="1">
        <f>IFERROR(__xludf.DUMMYFUNCTION("""COMPUTED_VALUE"""),43.0)</f>
        <v>43</v>
      </c>
      <c r="K1845" s="1">
        <f>IFERROR(__xludf.DUMMYFUNCTION("""COMPUTED_VALUE"""),79.0)</f>
        <v>79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 t="str">
        <f>IFERROR(__xludf.DUMMYFUNCTION("""COMPUTED_VALUE"""),"B")</f>
        <v>B</v>
      </c>
      <c r="E1846" s="1" t="str">
        <f>IFERROR(__xludf.DUMMYFUNCTION("""COMPUTED_VALUE"""),"Female")</f>
        <v>Female</v>
      </c>
      <c r="F1846" s="1">
        <f>IFERROR(__xludf.DUMMYFUNCTION("""COMPUTED_VALUE"""),53.0)</f>
        <v>53</v>
      </c>
      <c r="G1846" s="1">
        <f>IFERROR(__xludf.DUMMYFUNCTION("""COMPUTED_VALUE"""),92.0)</f>
        <v>92</v>
      </c>
      <c r="H1846" s="1">
        <f>IFERROR(__xludf.DUMMYFUNCTION("""COMPUTED_VALUE"""),51.0)</f>
        <v>51</v>
      </c>
      <c r="I1846" s="1">
        <f>IFERROR(__xludf.DUMMYFUNCTION("""COMPUTED_VALUE"""),70.0)</f>
        <v>70</v>
      </c>
      <c r="J1846" s="1">
        <f>IFERROR(__xludf.DUMMYFUNCTION("""COMPUTED_VALUE"""),95.0)</f>
        <v>95</v>
      </c>
      <c r="K1846" s="1">
        <f>IFERROR(__xludf.DUMMYFUNCTION("""COMPUTED_VALUE"""),20.0)</f>
        <v>20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 t="str">
        <f>IFERROR(__xludf.DUMMYFUNCTION("""COMPUTED_VALUE"""),"B")</f>
        <v>B</v>
      </c>
      <c r="E1847" s="1" t="str">
        <f>IFERROR(__xludf.DUMMYFUNCTION("""COMPUTED_VALUE"""),"Female")</f>
        <v>Female</v>
      </c>
      <c r="F1847" s="1">
        <f>IFERROR(__xludf.DUMMYFUNCTION("""COMPUTED_VALUE"""),47.0)</f>
        <v>47</v>
      </c>
      <c r="G1847" s="1">
        <f>IFERROR(__xludf.DUMMYFUNCTION("""COMPUTED_VALUE"""),92.0)</f>
        <v>92</v>
      </c>
      <c r="H1847" s="1">
        <f>IFERROR(__xludf.DUMMYFUNCTION("""COMPUTED_VALUE"""),28.0)</f>
        <v>28</v>
      </c>
      <c r="I1847" s="1">
        <f>IFERROR(__xludf.DUMMYFUNCTION("""COMPUTED_VALUE"""),35.0)</f>
        <v>35</v>
      </c>
      <c r="J1847" s="1">
        <f>IFERROR(__xludf.DUMMYFUNCTION("""COMPUTED_VALUE"""),91.0)</f>
        <v>91</v>
      </c>
      <c r="K1847" s="1">
        <f>IFERROR(__xludf.DUMMYFUNCTION("""COMPUTED_VALUE"""),26.0)</f>
        <v>26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 t="str">
        <f>IFERROR(__xludf.DUMMYFUNCTION("""COMPUTED_VALUE"""),"A")</f>
        <v>A</v>
      </c>
      <c r="E1848" s="1" t="str">
        <f>IFERROR(__xludf.DUMMYFUNCTION("""COMPUTED_VALUE"""),"Male")</f>
        <v>Male</v>
      </c>
      <c r="F1848" s="1">
        <f>IFERROR(__xludf.DUMMYFUNCTION("""COMPUTED_VALUE"""),84.0)</f>
        <v>84</v>
      </c>
      <c r="G1848" s="1">
        <f>IFERROR(__xludf.DUMMYFUNCTION("""COMPUTED_VALUE"""),29.0)</f>
        <v>29</v>
      </c>
      <c r="H1848" s="1">
        <f>IFERROR(__xludf.DUMMYFUNCTION("""COMPUTED_VALUE"""),39.0)</f>
        <v>39</v>
      </c>
      <c r="I1848" s="1">
        <f>IFERROR(__xludf.DUMMYFUNCTION("""COMPUTED_VALUE"""),46.0)</f>
        <v>46</v>
      </c>
      <c r="J1848" s="1">
        <f>IFERROR(__xludf.DUMMYFUNCTION("""COMPUTED_VALUE"""),33.0)</f>
        <v>33</v>
      </c>
      <c r="K1848" s="1">
        <f>IFERROR(__xludf.DUMMYFUNCTION("""COMPUTED_VALUE"""),67.0)</f>
        <v>67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 t="str">
        <f>IFERROR(__xludf.DUMMYFUNCTION("""COMPUTED_VALUE"""),"D")</f>
        <v>D</v>
      </c>
      <c r="E1849" s="1" t="str">
        <f>IFERROR(__xludf.DUMMYFUNCTION("""COMPUTED_VALUE"""),"Male")</f>
        <v>Male</v>
      </c>
      <c r="F1849" s="1">
        <f>IFERROR(__xludf.DUMMYFUNCTION("""COMPUTED_VALUE"""),48.0)</f>
        <v>48</v>
      </c>
      <c r="G1849" s="1">
        <f>IFERROR(__xludf.DUMMYFUNCTION("""COMPUTED_VALUE"""),88.0)</f>
        <v>88</v>
      </c>
      <c r="H1849" s="1">
        <f>IFERROR(__xludf.DUMMYFUNCTION("""COMPUTED_VALUE"""),82.0)</f>
        <v>82</v>
      </c>
      <c r="I1849" s="1">
        <f>IFERROR(__xludf.DUMMYFUNCTION("""COMPUTED_VALUE"""),48.0)</f>
        <v>48</v>
      </c>
      <c r="J1849" s="1">
        <f>IFERROR(__xludf.DUMMYFUNCTION("""COMPUTED_VALUE"""),61.0)</f>
        <v>61</v>
      </c>
      <c r="K1849" s="1">
        <f>IFERROR(__xludf.DUMMYFUNCTION("""COMPUTED_VALUE"""),51.0)</f>
        <v>51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 t="str">
        <f>IFERROR(__xludf.DUMMYFUNCTION("""COMPUTED_VALUE"""),"D")</f>
        <v>D</v>
      </c>
      <c r="E1850" s="1" t="str">
        <f>IFERROR(__xludf.DUMMYFUNCTION("""COMPUTED_VALUE"""),"Female")</f>
        <v>Female</v>
      </c>
      <c r="F1850" s="1">
        <f>IFERROR(__xludf.DUMMYFUNCTION("""COMPUTED_VALUE"""),63.0)</f>
        <v>63</v>
      </c>
      <c r="G1850" s="1">
        <f>IFERROR(__xludf.DUMMYFUNCTION("""COMPUTED_VALUE"""),40.0)</f>
        <v>40</v>
      </c>
      <c r="H1850" s="1">
        <f>IFERROR(__xludf.DUMMYFUNCTION("""COMPUTED_VALUE"""),89.0)</f>
        <v>89</v>
      </c>
      <c r="I1850" s="1">
        <f>IFERROR(__xludf.DUMMYFUNCTION("""COMPUTED_VALUE"""),22.0)</f>
        <v>22</v>
      </c>
      <c r="J1850" s="1">
        <f>IFERROR(__xludf.DUMMYFUNCTION("""COMPUTED_VALUE"""),95.0)</f>
        <v>95</v>
      </c>
      <c r="K1850" s="1">
        <f>IFERROR(__xludf.DUMMYFUNCTION("""COMPUTED_VALUE"""),79.0)</f>
        <v>79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 t="str">
        <f>IFERROR(__xludf.DUMMYFUNCTION("""COMPUTED_VALUE"""),"A")</f>
        <v>A</v>
      </c>
      <c r="E1851" s="1" t="str">
        <f>IFERROR(__xludf.DUMMYFUNCTION("""COMPUTED_VALUE"""),"Female")</f>
        <v>Female</v>
      </c>
      <c r="F1851" s="1">
        <f>IFERROR(__xludf.DUMMYFUNCTION("""COMPUTED_VALUE"""),76.0)</f>
        <v>76</v>
      </c>
      <c r="G1851" s="1">
        <f>IFERROR(__xludf.DUMMYFUNCTION("""COMPUTED_VALUE"""),97.0)</f>
        <v>97</v>
      </c>
      <c r="H1851" s="1">
        <f>IFERROR(__xludf.DUMMYFUNCTION("""COMPUTED_VALUE"""),42.0)</f>
        <v>42</v>
      </c>
      <c r="I1851" s="1">
        <f>IFERROR(__xludf.DUMMYFUNCTION("""COMPUTED_VALUE"""),48.0)</f>
        <v>48</v>
      </c>
      <c r="J1851" s="1">
        <f>IFERROR(__xludf.DUMMYFUNCTION("""COMPUTED_VALUE"""),49.0)</f>
        <v>49</v>
      </c>
      <c r="K1851" s="1">
        <f>IFERROR(__xludf.DUMMYFUNCTION("""COMPUTED_VALUE"""),70.0)</f>
        <v>70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 t="str">
        <f>IFERROR(__xludf.DUMMYFUNCTION("""COMPUTED_VALUE"""),"D")</f>
        <v>D</v>
      </c>
      <c r="E1852" s="1" t="str">
        <f>IFERROR(__xludf.DUMMYFUNCTION("""COMPUTED_VALUE"""),"Male")</f>
        <v>Male</v>
      </c>
      <c r="F1852" s="1">
        <f>IFERROR(__xludf.DUMMYFUNCTION("""COMPUTED_VALUE"""),33.0)</f>
        <v>33</v>
      </c>
      <c r="G1852" s="1">
        <f>IFERROR(__xludf.DUMMYFUNCTION("""COMPUTED_VALUE"""),61.0)</f>
        <v>61</v>
      </c>
      <c r="H1852" s="1">
        <f>IFERROR(__xludf.DUMMYFUNCTION("""COMPUTED_VALUE"""),81.0)</f>
        <v>81</v>
      </c>
      <c r="I1852" s="1">
        <f>IFERROR(__xludf.DUMMYFUNCTION("""COMPUTED_VALUE"""),67.0)</f>
        <v>67</v>
      </c>
      <c r="J1852" s="1">
        <f>IFERROR(__xludf.DUMMYFUNCTION("""COMPUTED_VALUE"""),84.0)</f>
        <v>84</v>
      </c>
      <c r="K1852" s="1">
        <f>IFERROR(__xludf.DUMMYFUNCTION("""COMPUTED_VALUE"""),27.0)</f>
        <v>27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 t="str">
        <f>IFERROR(__xludf.DUMMYFUNCTION("""COMPUTED_VALUE"""),"B")</f>
        <v>B</v>
      </c>
      <c r="E1853" s="1" t="str">
        <f>IFERROR(__xludf.DUMMYFUNCTION("""COMPUTED_VALUE"""),"Female")</f>
        <v>Female</v>
      </c>
      <c r="F1853" s="1">
        <f>IFERROR(__xludf.DUMMYFUNCTION("""COMPUTED_VALUE"""),62.0)</f>
        <v>62</v>
      </c>
      <c r="G1853" s="1">
        <f>IFERROR(__xludf.DUMMYFUNCTION("""COMPUTED_VALUE"""),42.0)</f>
        <v>42</v>
      </c>
      <c r="H1853" s="1">
        <f>IFERROR(__xludf.DUMMYFUNCTION("""COMPUTED_VALUE"""),98.0)</f>
        <v>98</v>
      </c>
      <c r="I1853" s="1">
        <f>IFERROR(__xludf.DUMMYFUNCTION("""COMPUTED_VALUE"""),44.0)</f>
        <v>44</v>
      </c>
      <c r="J1853" s="1">
        <f>IFERROR(__xludf.DUMMYFUNCTION("""COMPUTED_VALUE"""),89.0)</f>
        <v>89</v>
      </c>
      <c r="K1853" s="1">
        <f>IFERROR(__xludf.DUMMYFUNCTION("""COMPUTED_VALUE"""),97.0)</f>
        <v>97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 t="str">
        <f>IFERROR(__xludf.DUMMYFUNCTION("""COMPUTED_VALUE"""),"B")</f>
        <v>B</v>
      </c>
      <c r="E1854" s="1" t="str">
        <f>IFERROR(__xludf.DUMMYFUNCTION("""COMPUTED_VALUE"""),"Female")</f>
        <v>Female</v>
      </c>
      <c r="F1854" s="1">
        <f>IFERROR(__xludf.DUMMYFUNCTION("""COMPUTED_VALUE"""),79.0)</f>
        <v>79</v>
      </c>
      <c r="G1854" s="1">
        <f>IFERROR(__xludf.DUMMYFUNCTION("""COMPUTED_VALUE"""),95.0)</f>
        <v>95</v>
      </c>
      <c r="H1854" s="1">
        <f>IFERROR(__xludf.DUMMYFUNCTION("""COMPUTED_VALUE"""),87.0)</f>
        <v>87</v>
      </c>
      <c r="I1854" s="1">
        <f>IFERROR(__xludf.DUMMYFUNCTION("""COMPUTED_VALUE"""),86.0)</f>
        <v>86</v>
      </c>
      <c r="J1854" s="1">
        <f>IFERROR(__xludf.DUMMYFUNCTION("""COMPUTED_VALUE"""),47.0)</f>
        <v>47</v>
      </c>
      <c r="K1854" s="1">
        <f>IFERROR(__xludf.DUMMYFUNCTION("""COMPUTED_VALUE"""),37.0)</f>
        <v>37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 t="str">
        <f>IFERROR(__xludf.DUMMYFUNCTION("""COMPUTED_VALUE"""),"B")</f>
        <v>B</v>
      </c>
      <c r="E1855" s="1" t="str">
        <f>IFERROR(__xludf.DUMMYFUNCTION("""COMPUTED_VALUE"""),"Female")</f>
        <v>Female</v>
      </c>
      <c r="F1855" s="1">
        <f>IFERROR(__xludf.DUMMYFUNCTION("""COMPUTED_VALUE"""),72.0)</f>
        <v>72</v>
      </c>
      <c r="G1855" s="1">
        <f>IFERROR(__xludf.DUMMYFUNCTION("""COMPUTED_VALUE"""),97.0)</f>
        <v>97</v>
      </c>
      <c r="H1855" s="1">
        <f>IFERROR(__xludf.DUMMYFUNCTION("""COMPUTED_VALUE"""),39.0)</f>
        <v>39</v>
      </c>
      <c r="I1855" s="1">
        <f>IFERROR(__xludf.DUMMYFUNCTION("""COMPUTED_VALUE"""),79.0)</f>
        <v>79</v>
      </c>
      <c r="J1855" s="1">
        <f>IFERROR(__xludf.DUMMYFUNCTION("""COMPUTED_VALUE"""),37.0)</f>
        <v>37</v>
      </c>
      <c r="K1855" s="1">
        <f>IFERROR(__xludf.DUMMYFUNCTION("""COMPUTED_VALUE"""),94.0)</f>
        <v>94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 t="str">
        <f>IFERROR(__xludf.DUMMYFUNCTION("""COMPUTED_VALUE"""),"B")</f>
        <v>B</v>
      </c>
      <c r="E1856" s="1" t="str">
        <f>IFERROR(__xludf.DUMMYFUNCTION("""COMPUTED_VALUE"""),"Female")</f>
        <v>Female</v>
      </c>
      <c r="F1856" s="1">
        <f>IFERROR(__xludf.DUMMYFUNCTION("""COMPUTED_VALUE"""),81.0)</f>
        <v>81</v>
      </c>
      <c r="G1856" s="1">
        <f>IFERROR(__xludf.DUMMYFUNCTION("""COMPUTED_VALUE"""),66.0)</f>
        <v>66</v>
      </c>
      <c r="H1856" s="1">
        <f>IFERROR(__xludf.DUMMYFUNCTION("""COMPUTED_VALUE"""),47.0)</f>
        <v>47</v>
      </c>
      <c r="I1856" s="1">
        <f>IFERROR(__xludf.DUMMYFUNCTION("""COMPUTED_VALUE"""),89.0)</f>
        <v>89</v>
      </c>
      <c r="J1856" s="1">
        <f>IFERROR(__xludf.DUMMYFUNCTION("""COMPUTED_VALUE"""),82.0)</f>
        <v>82</v>
      </c>
      <c r="K1856" s="1">
        <f>IFERROR(__xludf.DUMMYFUNCTION("""COMPUTED_VALUE"""),40.0)</f>
        <v>40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 t="str">
        <f>IFERROR(__xludf.DUMMYFUNCTION("""COMPUTED_VALUE"""),"A")</f>
        <v>A</v>
      </c>
      <c r="E1857" s="1" t="str">
        <f>IFERROR(__xludf.DUMMYFUNCTION("""COMPUTED_VALUE"""),"Male")</f>
        <v>Male</v>
      </c>
      <c r="F1857" s="1">
        <f>IFERROR(__xludf.DUMMYFUNCTION("""COMPUTED_VALUE"""),55.0)</f>
        <v>55</v>
      </c>
      <c r="G1857" s="1">
        <f>IFERROR(__xludf.DUMMYFUNCTION("""COMPUTED_VALUE"""),52.0)</f>
        <v>52</v>
      </c>
      <c r="H1857" s="1">
        <f>IFERROR(__xludf.DUMMYFUNCTION("""COMPUTED_VALUE"""),62.0)</f>
        <v>62</v>
      </c>
      <c r="I1857" s="1">
        <f>IFERROR(__xludf.DUMMYFUNCTION("""COMPUTED_VALUE"""),27.0)</f>
        <v>27</v>
      </c>
      <c r="J1857" s="1">
        <f>IFERROR(__xludf.DUMMYFUNCTION("""COMPUTED_VALUE"""),77.0)</f>
        <v>77</v>
      </c>
      <c r="K1857" s="1">
        <f>IFERROR(__xludf.DUMMYFUNCTION("""COMPUTED_VALUE"""),75.0)</f>
        <v>75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 t="str">
        <f>IFERROR(__xludf.DUMMYFUNCTION("""COMPUTED_VALUE"""),"A")</f>
        <v>A</v>
      </c>
      <c r="E1858" s="1" t="str">
        <f>IFERROR(__xludf.DUMMYFUNCTION("""COMPUTED_VALUE"""),"Male")</f>
        <v>Male</v>
      </c>
      <c r="F1858" s="1">
        <f>IFERROR(__xludf.DUMMYFUNCTION("""COMPUTED_VALUE"""),29.0)</f>
        <v>29</v>
      </c>
      <c r="G1858" s="1">
        <f>IFERROR(__xludf.DUMMYFUNCTION("""COMPUTED_VALUE"""),70.0)</f>
        <v>70</v>
      </c>
      <c r="H1858" s="1">
        <f>IFERROR(__xludf.DUMMYFUNCTION("""COMPUTED_VALUE"""),60.0)</f>
        <v>60</v>
      </c>
      <c r="I1858" s="1">
        <f>IFERROR(__xludf.DUMMYFUNCTION("""COMPUTED_VALUE"""),84.0)</f>
        <v>84</v>
      </c>
      <c r="J1858" s="1">
        <f>IFERROR(__xludf.DUMMYFUNCTION("""COMPUTED_VALUE"""),92.0)</f>
        <v>92</v>
      </c>
      <c r="K1858" s="1">
        <f>IFERROR(__xludf.DUMMYFUNCTION("""COMPUTED_VALUE"""),54.0)</f>
        <v>54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 t="str">
        <f>IFERROR(__xludf.DUMMYFUNCTION("""COMPUTED_VALUE"""),"A")</f>
        <v>A</v>
      </c>
      <c r="E1859" s="1" t="str">
        <f>IFERROR(__xludf.DUMMYFUNCTION("""COMPUTED_VALUE"""),"Male")</f>
        <v>Male</v>
      </c>
      <c r="F1859" s="1">
        <f>IFERROR(__xludf.DUMMYFUNCTION("""COMPUTED_VALUE"""),40.0)</f>
        <v>40</v>
      </c>
      <c r="G1859" s="1">
        <f>IFERROR(__xludf.DUMMYFUNCTION("""COMPUTED_VALUE"""),69.0)</f>
        <v>69</v>
      </c>
      <c r="H1859" s="1">
        <f>IFERROR(__xludf.DUMMYFUNCTION("""COMPUTED_VALUE"""),99.0)</f>
        <v>99</v>
      </c>
      <c r="I1859" s="1">
        <f>IFERROR(__xludf.DUMMYFUNCTION("""COMPUTED_VALUE"""),62.0)</f>
        <v>62</v>
      </c>
      <c r="J1859" s="1">
        <f>IFERROR(__xludf.DUMMYFUNCTION("""COMPUTED_VALUE"""),61.0)</f>
        <v>61</v>
      </c>
      <c r="K1859" s="1">
        <f>IFERROR(__xludf.DUMMYFUNCTION("""COMPUTED_VALUE"""),66.0)</f>
        <v>66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 t="str">
        <f>IFERROR(__xludf.DUMMYFUNCTION("""COMPUTED_VALUE"""),"B")</f>
        <v>B</v>
      </c>
      <c r="E1860" s="1" t="str">
        <f>IFERROR(__xludf.DUMMYFUNCTION("""COMPUTED_VALUE"""),"Male")</f>
        <v>Male</v>
      </c>
      <c r="F1860" s="1">
        <f>IFERROR(__xludf.DUMMYFUNCTION("""COMPUTED_VALUE"""),40.0)</f>
        <v>40</v>
      </c>
      <c r="G1860" s="1">
        <f>IFERROR(__xludf.DUMMYFUNCTION("""COMPUTED_VALUE"""),55.0)</f>
        <v>55</v>
      </c>
      <c r="H1860" s="1">
        <f>IFERROR(__xludf.DUMMYFUNCTION("""COMPUTED_VALUE"""),51.0)</f>
        <v>51</v>
      </c>
      <c r="I1860" s="1">
        <f>IFERROR(__xludf.DUMMYFUNCTION("""COMPUTED_VALUE"""),37.0)</f>
        <v>37</v>
      </c>
      <c r="J1860" s="1">
        <f>IFERROR(__xludf.DUMMYFUNCTION("""COMPUTED_VALUE"""),37.0)</f>
        <v>37</v>
      </c>
      <c r="K1860" s="1">
        <f>IFERROR(__xludf.DUMMYFUNCTION("""COMPUTED_VALUE"""),84.0)</f>
        <v>84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 t="str">
        <f>IFERROR(__xludf.DUMMYFUNCTION("""COMPUTED_VALUE"""),"D")</f>
        <v>D</v>
      </c>
      <c r="E1861" s="1" t="str">
        <f>IFERROR(__xludf.DUMMYFUNCTION("""COMPUTED_VALUE"""),"Male")</f>
        <v>Male</v>
      </c>
      <c r="F1861" s="1">
        <f>IFERROR(__xludf.DUMMYFUNCTION("""COMPUTED_VALUE"""),90.0)</f>
        <v>90</v>
      </c>
      <c r="G1861" s="1">
        <f>IFERROR(__xludf.DUMMYFUNCTION("""COMPUTED_VALUE"""),24.0)</f>
        <v>24</v>
      </c>
      <c r="H1861" s="1">
        <f>IFERROR(__xludf.DUMMYFUNCTION("""COMPUTED_VALUE"""),41.0)</f>
        <v>41</v>
      </c>
      <c r="I1861" s="1">
        <f>IFERROR(__xludf.DUMMYFUNCTION("""COMPUTED_VALUE"""),52.0)</f>
        <v>52</v>
      </c>
      <c r="J1861" s="1">
        <f>IFERROR(__xludf.DUMMYFUNCTION("""COMPUTED_VALUE"""),38.0)</f>
        <v>38</v>
      </c>
      <c r="K1861" s="1">
        <f>IFERROR(__xludf.DUMMYFUNCTION("""COMPUTED_VALUE"""),86.0)</f>
        <v>86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 t="str">
        <f>IFERROR(__xludf.DUMMYFUNCTION("""COMPUTED_VALUE"""),"B")</f>
        <v>B</v>
      </c>
      <c r="E1862" s="1" t="str">
        <f>IFERROR(__xludf.DUMMYFUNCTION("""COMPUTED_VALUE"""),"Male")</f>
        <v>Male</v>
      </c>
      <c r="F1862" s="1">
        <f>IFERROR(__xludf.DUMMYFUNCTION("""COMPUTED_VALUE"""),23.0)</f>
        <v>23</v>
      </c>
      <c r="G1862" s="1">
        <f>IFERROR(__xludf.DUMMYFUNCTION("""COMPUTED_VALUE"""),98.0)</f>
        <v>98</v>
      </c>
      <c r="H1862" s="1">
        <f>IFERROR(__xludf.DUMMYFUNCTION("""COMPUTED_VALUE"""),68.0)</f>
        <v>68</v>
      </c>
      <c r="I1862" s="1">
        <f>IFERROR(__xludf.DUMMYFUNCTION("""COMPUTED_VALUE"""),63.0)</f>
        <v>63</v>
      </c>
      <c r="J1862" s="1">
        <f>IFERROR(__xludf.DUMMYFUNCTION("""COMPUTED_VALUE"""),71.0)</f>
        <v>71</v>
      </c>
      <c r="K1862" s="1">
        <f>IFERROR(__xludf.DUMMYFUNCTION("""COMPUTED_VALUE"""),84.0)</f>
        <v>84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 t="str">
        <f>IFERROR(__xludf.DUMMYFUNCTION("""COMPUTED_VALUE"""),"D")</f>
        <v>D</v>
      </c>
      <c r="E1863" s="1" t="str">
        <f>IFERROR(__xludf.DUMMYFUNCTION("""COMPUTED_VALUE"""),"Male")</f>
        <v>Male</v>
      </c>
      <c r="F1863" s="1">
        <f>IFERROR(__xludf.DUMMYFUNCTION("""COMPUTED_VALUE"""),14.0)</f>
        <v>14</v>
      </c>
      <c r="G1863" s="1">
        <f>IFERROR(__xludf.DUMMYFUNCTION("""COMPUTED_VALUE"""),88.0)</f>
        <v>88</v>
      </c>
      <c r="H1863" s="1">
        <f>IFERROR(__xludf.DUMMYFUNCTION("""COMPUTED_VALUE"""),69.0)</f>
        <v>69</v>
      </c>
      <c r="I1863" s="1">
        <f>IFERROR(__xludf.DUMMYFUNCTION("""COMPUTED_VALUE"""),93.0)</f>
        <v>93</v>
      </c>
      <c r="J1863" s="1">
        <f>IFERROR(__xludf.DUMMYFUNCTION("""COMPUTED_VALUE"""),65.0)</f>
        <v>65</v>
      </c>
      <c r="K1863" s="1">
        <f>IFERROR(__xludf.DUMMYFUNCTION("""COMPUTED_VALUE"""),41.0)</f>
        <v>41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 t="str">
        <f>IFERROR(__xludf.DUMMYFUNCTION("""COMPUTED_VALUE"""),"B")</f>
        <v>B</v>
      </c>
      <c r="E1864" s="1" t="str">
        <f>IFERROR(__xludf.DUMMYFUNCTION("""COMPUTED_VALUE"""),"Female")</f>
        <v>Female</v>
      </c>
      <c r="F1864" s="1">
        <f>IFERROR(__xludf.DUMMYFUNCTION("""COMPUTED_VALUE"""),73.0)</f>
        <v>73</v>
      </c>
      <c r="G1864" s="1">
        <f>IFERROR(__xludf.DUMMYFUNCTION("""COMPUTED_VALUE"""),32.0)</f>
        <v>32</v>
      </c>
      <c r="H1864" s="1">
        <f>IFERROR(__xludf.DUMMYFUNCTION("""COMPUTED_VALUE"""),48.0)</f>
        <v>48</v>
      </c>
      <c r="I1864" s="1">
        <f>IFERROR(__xludf.DUMMYFUNCTION("""COMPUTED_VALUE"""),39.0)</f>
        <v>39</v>
      </c>
      <c r="J1864" s="1">
        <f>IFERROR(__xludf.DUMMYFUNCTION("""COMPUTED_VALUE"""),80.0)</f>
        <v>80</v>
      </c>
      <c r="K1864" s="1">
        <f>IFERROR(__xludf.DUMMYFUNCTION("""COMPUTED_VALUE"""),41.0)</f>
        <v>41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 t="str">
        <f>IFERROR(__xludf.DUMMYFUNCTION("""COMPUTED_VALUE"""),"C")</f>
        <v>C</v>
      </c>
      <c r="E1865" s="1" t="str">
        <f>IFERROR(__xludf.DUMMYFUNCTION("""COMPUTED_VALUE"""),"Female")</f>
        <v>Female</v>
      </c>
      <c r="F1865" s="1">
        <f>IFERROR(__xludf.DUMMYFUNCTION("""COMPUTED_VALUE"""),12.0)</f>
        <v>12</v>
      </c>
      <c r="G1865" s="1">
        <f>IFERROR(__xludf.DUMMYFUNCTION("""COMPUTED_VALUE"""),43.0)</f>
        <v>43</v>
      </c>
      <c r="H1865" s="1">
        <f>IFERROR(__xludf.DUMMYFUNCTION("""COMPUTED_VALUE"""),58.0)</f>
        <v>58</v>
      </c>
      <c r="I1865" s="1">
        <f>IFERROR(__xludf.DUMMYFUNCTION("""COMPUTED_VALUE"""),40.0)</f>
        <v>40</v>
      </c>
      <c r="J1865" s="1">
        <f>IFERROR(__xludf.DUMMYFUNCTION("""COMPUTED_VALUE"""),53.0)</f>
        <v>53</v>
      </c>
      <c r="K1865" s="1">
        <f>IFERROR(__xludf.DUMMYFUNCTION("""COMPUTED_VALUE"""),79.0)</f>
        <v>79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 t="str">
        <f>IFERROR(__xludf.DUMMYFUNCTION("""COMPUTED_VALUE"""),"C")</f>
        <v>C</v>
      </c>
      <c r="E1866" s="1" t="str">
        <f>IFERROR(__xludf.DUMMYFUNCTION("""COMPUTED_VALUE"""),"Male")</f>
        <v>Male</v>
      </c>
      <c r="F1866" s="1">
        <f>IFERROR(__xludf.DUMMYFUNCTION("""COMPUTED_VALUE"""),40.0)</f>
        <v>40</v>
      </c>
      <c r="G1866" s="1">
        <f>IFERROR(__xludf.DUMMYFUNCTION("""COMPUTED_VALUE"""),78.0)</f>
        <v>78</v>
      </c>
      <c r="H1866" s="1">
        <f>IFERROR(__xludf.DUMMYFUNCTION("""COMPUTED_VALUE"""),84.0)</f>
        <v>84</v>
      </c>
      <c r="I1866" s="1">
        <f>IFERROR(__xludf.DUMMYFUNCTION("""COMPUTED_VALUE"""),47.0)</f>
        <v>47</v>
      </c>
      <c r="J1866" s="1">
        <f>IFERROR(__xludf.DUMMYFUNCTION("""COMPUTED_VALUE"""),87.0)</f>
        <v>87</v>
      </c>
      <c r="K1866" s="1">
        <f>IFERROR(__xludf.DUMMYFUNCTION("""COMPUTED_VALUE"""),33.0)</f>
        <v>33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 t="str">
        <f>IFERROR(__xludf.DUMMYFUNCTION("""COMPUTED_VALUE"""),"D")</f>
        <v>D</v>
      </c>
      <c r="E1867" s="1" t="str">
        <f>IFERROR(__xludf.DUMMYFUNCTION("""COMPUTED_VALUE"""),"Female")</f>
        <v>Female</v>
      </c>
      <c r="F1867" s="1">
        <f>IFERROR(__xludf.DUMMYFUNCTION("""COMPUTED_VALUE"""),56.0)</f>
        <v>56</v>
      </c>
      <c r="G1867" s="1">
        <f>IFERROR(__xludf.DUMMYFUNCTION("""COMPUTED_VALUE"""),33.0)</f>
        <v>33</v>
      </c>
      <c r="H1867" s="1">
        <f>IFERROR(__xludf.DUMMYFUNCTION("""COMPUTED_VALUE"""),96.0)</f>
        <v>96</v>
      </c>
      <c r="I1867" s="1">
        <f>IFERROR(__xludf.DUMMYFUNCTION("""COMPUTED_VALUE"""),88.0)</f>
        <v>88</v>
      </c>
      <c r="J1867" s="1">
        <f>IFERROR(__xludf.DUMMYFUNCTION("""COMPUTED_VALUE"""),98.0)</f>
        <v>98</v>
      </c>
      <c r="K1867" s="1">
        <f>IFERROR(__xludf.DUMMYFUNCTION("""COMPUTED_VALUE"""),48.0)</f>
        <v>48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 t="str">
        <f>IFERROR(__xludf.DUMMYFUNCTION("""COMPUTED_VALUE"""),"C")</f>
        <v>C</v>
      </c>
      <c r="E1868" s="1" t="str">
        <f>IFERROR(__xludf.DUMMYFUNCTION("""COMPUTED_VALUE"""),"Male")</f>
        <v>Male</v>
      </c>
      <c r="F1868" s="1">
        <f>IFERROR(__xludf.DUMMYFUNCTION("""COMPUTED_VALUE"""),19.0)</f>
        <v>19</v>
      </c>
      <c r="G1868" s="1">
        <f>IFERROR(__xludf.DUMMYFUNCTION("""COMPUTED_VALUE"""),86.0)</f>
        <v>86</v>
      </c>
      <c r="H1868" s="1">
        <f>IFERROR(__xludf.DUMMYFUNCTION("""COMPUTED_VALUE"""),35.0)</f>
        <v>35</v>
      </c>
      <c r="I1868" s="1">
        <f>IFERROR(__xludf.DUMMYFUNCTION("""COMPUTED_VALUE"""),30.0)</f>
        <v>30</v>
      </c>
      <c r="J1868" s="1">
        <f>IFERROR(__xludf.DUMMYFUNCTION("""COMPUTED_VALUE"""),88.0)</f>
        <v>88</v>
      </c>
      <c r="K1868" s="1">
        <f>IFERROR(__xludf.DUMMYFUNCTION("""COMPUTED_VALUE"""),27.0)</f>
        <v>27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 t="str">
        <f>IFERROR(__xludf.DUMMYFUNCTION("""COMPUTED_VALUE"""),"B")</f>
        <v>B</v>
      </c>
      <c r="E1869" s="1" t="str">
        <f>IFERROR(__xludf.DUMMYFUNCTION("""COMPUTED_VALUE"""),"Male")</f>
        <v>Male</v>
      </c>
      <c r="F1869" s="1">
        <f>IFERROR(__xludf.DUMMYFUNCTION("""COMPUTED_VALUE"""),40.0)</f>
        <v>40</v>
      </c>
      <c r="G1869" s="1">
        <f>IFERROR(__xludf.DUMMYFUNCTION("""COMPUTED_VALUE"""),40.0)</f>
        <v>40</v>
      </c>
      <c r="H1869" s="1">
        <f>IFERROR(__xludf.DUMMYFUNCTION("""COMPUTED_VALUE"""),86.0)</f>
        <v>86</v>
      </c>
      <c r="I1869" s="1">
        <f>IFERROR(__xludf.DUMMYFUNCTION("""COMPUTED_VALUE"""),75.0)</f>
        <v>75</v>
      </c>
      <c r="J1869" s="1">
        <f>IFERROR(__xludf.DUMMYFUNCTION("""COMPUTED_VALUE"""),81.0)</f>
        <v>81</v>
      </c>
      <c r="K1869" s="1">
        <f>IFERROR(__xludf.DUMMYFUNCTION("""COMPUTED_VALUE"""),43.0)</f>
        <v>43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 t="str">
        <f>IFERROR(__xludf.DUMMYFUNCTION("""COMPUTED_VALUE"""),"C")</f>
        <v>C</v>
      </c>
      <c r="E1870" s="1" t="str">
        <f>IFERROR(__xludf.DUMMYFUNCTION("""COMPUTED_VALUE"""),"Female")</f>
        <v>Female</v>
      </c>
      <c r="F1870" s="1">
        <f>IFERROR(__xludf.DUMMYFUNCTION("""COMPUTED_VALUE"""),76.0)</f>
        <v>76</v>
      </c>
      <c r="G1870" s="1">
        <f>IFERROR(__xludf.DUMMYFUNCTION("""COMPUTED_VALUE"""),62.0)</f>
        <v>62</v>
      </c>
      <c r="H1870" s="1">
        <f>IFERROR(__xludf.DUMMYFUNCTION("""COMPUTED_VALUE"""),74.0)</f>
        <v>74</v>
      </c>
      <c r="I1870" s="1">
        <f>IFERROR(__xludf.DUMMYFUNCTION("""COMPUTED_VALUE"""),40.0)</f>
        <v>40</v>
      </c>
      <c r="J1870" s="1">
        <f>IFERROR(__xludf.DUMMYFUNCTION("""COMPUTED_VALUE"""),99.0)</f>
        <v>99</v>
      </c>
      <c r="K1870" s="1">
        <f>IFERROR(__xludf.DUMMYFUNCTION("""COMPUTED_VALUE"""),47.0)</f>
        <v>47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 t="str">
        <f>IFERROR(__xludf.DUMMYFUNCTION("""COMPUTED_VALUE"""),"C")</f>
        <v>C</v>
      </c>
      <c r="E1871" s="1" t="str">
        <f>IFERROR(__xludf.DUMMYFUNCTION("""COMPUTED_VALUE"""),"Female")</f>
        <v>Female</v>
      </c>
      <c r="F1871" s="1">
        <f>IFERROR(__xludf.DUMMYFUNCTION("""COMPUTED_VALUE"""),73.0)</f>
        <v>73</v>
      </c>
      <c r="G1871" s="1">
        <f>IFERROR(__xludf.DUMMYFUNCTION("""COMPUTED_VALUE"""),67.0)</f>
        <v>67</v>
      </c>
      <c r="H1871" s="1">
        <f>IFERROR(__xludf.DUMMYFUNCTION("""COMPUTED_VALUE"""),69.0)</f>
        <v>69</v>
      </c>
      <c r="I1871" s="1">
        <f>IFERROR(__xludf.DUMMYFUNCTION("""COMPUTED_VALUE"""),36.0)</f>
        <v>36</v>
      </c>
      <c r="J1871" s="1">
        <f>IFERROR(__xludf.DUMMYFUNCTION("""COMPUTED_VALUE"""),80.0)</f>
        <v>80</v>
      </c>
      <c r="K1871" s="1">
        <f>IFERROR(__xludf.DUMMYFUNCTION("""COMPUTED_VALUE"""),42.0)</f>
        <v>42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 t="str">
        <f>IFERROR(__xludf.DUMMYFUNCTION("""COMPUTED_VALUE"""),"D")</f>
        <v>D</v>
      </c>
      <c r="E1872" s="1" t="str">
        <f>IFERROR(__xludf.DUMMYFUNCTION("""COMPUTED_VALUE"""),"Male")</f>
        <v>Male</v>
      </c>
      <c r="F1872" s="1">
        <f>IFERROR(__xludf.DUMMYFUNCTION("""COMPUTED_VALUE"""),83.0)</f>
        <v>83</v>
      </c>
      <c r="G1872" s="1">
        <f>IFERROR(__xludf.DUMMYFUNCTION("""COMPUTED_VALUE"""),20.0)</f>
        <v>20</v>
      </c>
      <c r="H1872" s="1">
        <f>IFERROR(__xludf.DUMMYFUNCTION("""COMPUTED_VALUE"""),29.0)</f>
        <v>29</v>
      </c>
      <c r="I1872" s="1">
        <f>IFERROR(__xludf.DUMMYFUNCTION("""COMPUTED_VALUE"""),35.0)</f>
        <v>35</v>
      </c>
      <c r="J1872" s="1">
        <f>IFERROR(__xludf.DUMMYFUNCTION("""COMPUTED_VALUE"""),25.0)</f>
        <v>25</v>
      </c>
      <c r="K1872" s="1">
        <f>IFERROR(__xludf.DUMMYFUNCTION("""COMPUTED_VALUE"""),53.0)</f>
        <v>53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 t="str">
        <f>IFERROR(__xludf.DUMMYFUNCTION("""COMPUTED_VALUE"""),"B")</f>
        <v>B</v>
      </c>
      <c r="E1873" s="1" t="str">
        <f>IFERROR(__xludf.DUMMYFUNCTION("""COMPUTED_VALUE"""),"Female")</f>
        <v>Female</v>
      </c>
      <c r="F1873" s="1">
        <f>IFERROR(__xludf.DUMMYFUNCTION("""COMPUTED_VALUE"""),76.0)</f>
        <v>76</v>
      </c>
      <c r="G1873" s="1">
        <f>IFERROR(__xludf.DUMMYFUNCTION("""COMPUTED_VALUE"""),33.0)</f>
        <v>33</v>
      </c>
      <c r="H1873" s="1">
        <f>IFERROR(__xludf.DUMMYFUNCTION("""COMPUTED_VALUE"""),86.0)</f>
        <v>86</v>
      </c>
      <c r="I1873" s="1">
        <f>IFERROR(__xludf.DUMMYFUNCTION("""COMPUTED_VALUE"""),78.0)</f>
        <v>78</v>
      </c>
      <c r="J1873" s="1">
        <f>IFERROR(__xludf.DUMMYFUNCTION("""COMPUTED_VALUE"""),22.0)</f>
        <v>22</v>
      </c>
      <c r="K1873" s="1">
        <f>IFERROR(__xludf.DUMMYFUNCTION("""COMPUTED_VALUE"""),53.0)</f>
        <v>53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 t="str">
        <f>IFERROR(__xludf.DUMMYFUNCTION("""COMPUTED_VALUE"""),"D")</f>
        <v>D</v>
      </c>
      <c r="E1874" s="1" t="str">
        <f>IFERROR(__xludf.DUMMYFUNCTION("""COMPUTED_VALUE"""),"Male")</f>
        <v>Male</v>
      </c>
      <c r="F1874" s="1">
        <f>IFERROR(__xludf.DUMMYFUNCTION("""COMPUTED_VALUE"""),25.0)</f>
        <v>25</v>
      </c>
      <c r="G1874" s="1">
        <f>IFERROR(__xludf.DUMMYFUNCTION("""COMPUTED_VALUE"""),43.0)</f>
        <v>43</v>
      </c>
      <c r="H1874" s="1">
        <f>IFERROR(__xludf.DUMMYFUNCTION("""COMPUTED_VALUE"""),25.0)</f>
        <v>25</v>
      </c>
      <c r="I1874" s="1">
        <f>IFERROR(__xludf.DUMMYFUNCTION("""COMPUTED_VALUE"""),23.0)</f>
        <v>23</v>
      </c>
      <c r="J1874" s="1">
        <f>IFERROR(__xludf.DUMMYFUNCTION("""COMPUTED_VALUE"""),88.0)</f>
        <v>88</v>
      </c>
      <c r="K1874" s="1">
        <f>IFERROR(__xludf.DUMMYFUNCTION("""COMPUTED_VALUE"""),36.0)</f>
        <v>36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 t="str">
        <f>IFERROR(__xludf.DUMMYFUNCTION("""COMPUTED_VALUE"""),"D")</f>
        <v>D</v>
      </c>
      <c r="E1875" s="1" t="str">
        <f>IFERROR(__xludf.DUMMYFUNCTION("""COMPUTED_VALUE"""),"Female")</f>
        <v>Female</v>
      </c>
      <c r="F1875" s="1">
        <f>IFERROR(__xludf.DUMMYFUNCTION("""COMPUTED_VALUE"""),48.0)</f>
        <v>48</v>
      </c>
      <c r="G1875" s="1">
        <f>IFERROR(__xludf.DUMMYFUNCTION("""COMPUTED_VALUE"""),27.0)</f>
        <v>27</v>
      </c>
      <c r="H1875" s="1">
        <f>IFERROR(__xludf.DUMMYFUNCTION("""COMPUTED_VALUE"""),65.0)</f>
        <v>65</v>
      </c>
      <c r="I1875" s="1">
        <f>IFERROR(__xludf.DUMMYFUNCTION("""COMPUTED_VALUE"""),90.0)</f>
        <v>90</v>
      </c>
      <c r="J1875" s="1">
        <f>IFERROR(__xludf.DUMMYFUNCTION("""COMPUTED_VALUE"""),88.0)</f>
        <v>88</v>
      </c>
      <c r="K1875" s="1">
        <f>IFERROR(__xludf.DUMMYFUNCTION("""COMPUTED_VALUE"""),72.0)</f>
        <v>72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 t="str">
        <f>IFERROR(__xludf.DUMMYFUNCTION("""COMPUTED_VALUE"""),"C")</f>
        <v>C</v>
      </c>
      <c r="E1876" s="1" t="str">
        <f>IFERROR(__xludf.DUMMYFUNCTION("""COMPUTED_VALUE"""),"Male")</f>
        <v>Male</v>
      </c>
      <c r="F1876" s="1">
        <f>IFERROR(__xludf.DUMMYFUNCTION("""COMPUTED_VALUE"""),93.0)</f>
        <v>93</v>
      </c>
      <c r="G1876" s="1">
        <f>IFERROR(__xludf.DUMMYFUNCTION("""COMPUTED_VALUE"""),77.0)</f>
        <v>77</v>
      </c>
      <c r="H1876" s="1">
        <f>IFERROR(__xludf.DUMMYFUNCTION("""COMPUTED_VALUE"""),86.0)</f>
        <v>86</v>
      </c>
      <c r="I1876" s="1">
        <f>IFERROR(__xludf.DUMMYFUNCTION("""COMPUTED_VALUE"""),69.0)</f>
        <v>69</v>
      </c>
      <c r="J1876" s="1">
        <f>IFERROR(__xludf.DUMMYFUNCTION("""COMPUTED_VALUE"""),51.0)</f>
        <v>51</v>
      </c>
      <c r="K1876" s="1">
        <f>IFERROR(__xludf.DUMMYFUNCTION("""COMPUTED_VALUE"""),48.0)</f>
        <v>48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 t="str">
        <f>IFERROR(__xludf.DUMMYFUNCTION("""COMPUTED_VALUE"""),"D")</f>
        <v>D</v>
      </c>
      <c r="E1877" s="1" t="str">
        <f>IFERROR(__xludf.DUMMYFUNCTION("""COMPUTED_VALUE"""),"Female")</f>
        <v>Female</v>
      </c>
      <c r="F1877" s="1">
        <f>IFERROR(__xludf.DUMMYFUNCTION("""COMPUTED_VALUE"""),33.0)</f>
        <v>33</v>
      </c>
      <c r="G1877" s="1">
        <f>IFERROR(__xludf.DUMMYFUNCTION("""COMPUTED_VALUE"""),75.0)</f>
        <v>75</v>
      </c>
      <c r="H1877" s="1">
        <f>IFERROR(__xludf.DUMMYFUNCTION("""COMPUTED_VALUE"""),86.0)</f>
        <v>86</v>
      </c>
      <c r="I1877" s="1">
        <f>IFERROR(__xludf.DUMMYFUNCTION("""COMPUTED_VALUE"""),71.0)</f>
        <v>71</v>
      </c>
      <c r="J1877" s="1">
        <f>IFERROR(__xludf.DUMMYFUNCTION("""COMPUTED_VALUE"""),70.0)</f>
        <v>70</v>
      </c>
      <c r="K1877" s="1">
        <f>IFERROR(__xludf.DUMMYFUNCTION("""COMPUTED_VALUE"""),43.0)</f>
        <v>43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 t="str">
        <f>IFERROR(__xludf.DUMMYFUNCTION("""COMPUTED_VALUE"""),"B")</f>
        <v>B</v>
      </c>
      <c r="E1878" s="1" t="str">
        <f>IFERROR(__xludf.DUMMYFUNCTION("""COMPUTED_VALUE"""),"Male")</f>
        <v>Male</v>
      </c>
      <c r="F1878" s="1">
        <f>IFERROR(__xludf.DUMMYFUNCTION("""COMPUTED_VALUE"""),35.0)</f>
        <v>35</v>
      </c>
      <c r="G1878" s="1">
        <f>IFERROR(__xludf.DUMMYFUNCTION("""COMPUTED_VALUE"""),68.0)</f>
        <v>68</v>
      </c>
      <c r="H1878" s="1">
        <f>IFERROR(__xludf.DUMMYFUNCTION("""COMPUTED_VALUE"""),92.0)</f>
        <v>92</v>
      </c>
      <c r="I1878" s="1">
        <f>IFERROR(__xludf.DUMMYFUNCTION("""COMPUTED_VALUE"""),36.0)</f>
        <v>36</v>
      </c>
      <c r="J1878" s="1">
        <f>IFERROR(__xludf.DUMMYFUNCTION("""COMPUTED_VALUE"""),61.0)</f>
        <v>61</v>
      </c>
      <c r="K1878" s="1">
        <f>IFERROR(__xludf.DUMMYFUNCTION("""COMPUTED_VALUE"""),23.0)</f>
        <v>23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 t="str">
        <f>IFERROR(__xludf.DUMMYFUNCTION("""COMPUTED_VALUE"""),"D")</f>
        <v>D</v>
      </c>
      <c r="E1879" s="1" t="str">
        <f>IFERROR(__xludf.DUMMYFUNCTION("""COMPUTED_VALUE"""),"Female")</f>
        <v>Female</v>
      </c>
      <c r="F1879" s="1">
        <f>IFERROR(__xludf.DUMMYFUNCTION("""COMPUTED_VALUE"""),55.0)</f>
        <v>55</v>
      </c>
      <c r="G1879" s="1">
        <f>IFERROR(__xludf.DUMMYFUNCTION("""COMPUTED_VALUE"""),72.0)</f>
        <v>72</v>
      </c>
      <c r="H1879" s="1">
        <f>IFERROR(__xludf.DUMMYFUNCTION("""COMPUTED_VALUE"""),35.0)</f>
        <v>35</v>
      </c>
      <c r="I1879" s="1">
        <f>IFERROR(__xludf.DUMMYFUNCTION("""COMPUTED_VALUE"""),46.0)</f>
        <v>46</v>
      </c>
      <c r="J1879" s="1">
        <f>IFERROR(__xludf.DUMMYFUNCTION("""COMPUTED_VALUE"""),25.0)</f>
        <v>25</v>
      </c>
      <c r="K1879" s="1">
        <f>IFERROR(__xludf.DUMMYFUNCTION("""COMPUTED_VALUE"""),34.0)</f>
        <v>34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 t="str">
        <f>IFERROR(__xludf.DUMMYFUNCTION("""COMPUTED_VALUE"""),"A")</f>
        <v>A</v>
      </c>
      <c r="E1880" s="1" t="str">
        <f>IFERROR(__xludf.DUMMYFUNCTION("""COMPUTED_VALUE"""),"Female")</f>
        <v>Female</v>
      </c>
      <c r="F1880" s="1">
        <f>IFERROR(__xludf.DUMMYFUNCTION("""COMPUTED_VALUE"""),83.0)</f>
        <v>83</v>
      </c>
      <c r="G1880" s="1">
        <f>IFERROR(__xludf.DUMMYFUNCTION("""COMPUTED_VALUE"""),74.0)</f>
        <v>74</v>
      </c>
      <c r="H1880" s="1">
        <f>IFERROR(__xludf.DUMMYFUNCTION("""COMPUTED_VALUE"""),42.0)</f>
        <v>42</v>
      </c>
      <c r="I1880" s="1">
        <f>IFERROR(__xludf.DUMMYFUNCTION("""COMPUTED_VALUE"""),59.0)</f>
        <v>59</v>
      </c>
      <c r="J1880" s="1">
        <f>IFERROR(__xludf.DUMMYFUNCTION("""COMPUTED_VALUE"""),24.0)</f>
        <v>24</v>
      </c>
      <c r="K1880" s="1">
        <f>IFERROR(__xludf.DUMMYFUNCTION("""COMPUTED_VALUE"""),27.0)</f>
        <v>27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 t="str">
        <f>IFERROR(__xludf.DUMMYFUNCTION("""COMPUTED_VALUE"""),"A")</f>
        <v>A</v>
      </c>
      <c r="E1881" s="1" t="str">
        <f>IFERROR(__xludf.DUMMYFUNCTION("""COMPUTED_VALUE"""),"Male")</f>
        <v>Male</v>
      </c>
      <c r="F1881" s="1">
        <f>IFERROR(__xludf.DUMMYFUNCTION("""COMPUTED_VALUE"""),77.0)</f>
        <v>77</v>
      </c>
      <c r="G1881" s="1">
        <f>IFERROR(__xludf.DUMMYFUNCTION("""COMPUTED_VALUE"""),63.0)</f>
        <v>63</v>
      </c>
      <c r="H1881" s="1">
        <f>IFERROR(__xludf.DUMMYFUNCTION("""COMPUTED_VALUE"""),52.0)</f>
        <v>52</v>
      </c>
      <c r="I1881" s="1">
        <f>IFERROR(__xludf.DUMMYFUNCTION("""COMPUTED_VALUE"""),51.0)</f>
        <v>51</v>
      </c>
      <c r="J1881" s="1">
        <f>IFERROR(__xludf.DUMMYFUNCTION("""COMPUTED_VALUE"""),25.0)</f>
        <v>25</v>
      </c>
      <c r="K1881" s="1">
        <f>IFERROR(__xludf.DUMMYFUNCTION("""COMPUTED_VALUE"""),78.0)</f>
        <v>78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 t="str">
        <f>IFERROR(__xludf.DUMMYFUNCTION("""COMPUTED_VALUE"""),"C")</f>
        <v>C</v>
      </c>
      <c r="E1882" s="1" t="str">
        <f>IFERROR(__xludf.DUMMYFUNCTION("""COMPUTED_VALUE"""),"Male")</f>
        <v>Male</v>
      </c>
      <c r="F1882" s="1">
        <f>IFERROR(__xludf.DUMMYFUNCTION("""COMPUTED_VALUE"""),10.0)</f>
        <v>10</v>
      </c>
      <c r="G1882" s="1">
        <f>IFERROR(__xludf.DUMMYFUNCTION("""COMPUTED_VALUE"""),32.0)</f>
        <v>32</v>
      </c>
      <c r="H1882" s="1">
        <f>IFERROR(__xludf.DUMMYFUNCTION("""COMPUTED_VALUE"""),69.0)</f>
        <v>69</v>
      </c>
      <c r="I1882" s="1">
        <f>IFERROR(__xludf.DUMMYFUNCTION("""COMPUTED_VALUE"""),33.0)</f>
        <v>33</v>
      </c>
      <c r="J1882" s="1">
        <f>IFERROR(__xludf.DUMMYFUNCTION("""COMPUTED_VALUE"""),86.0)</f>
        <v>86</v>
      </c>
      <c r="K1882" s="1">
        <f>IFERROR(__xludf.DUMMYFUNCTION("""COMPUTED_VALUE"""),66.0)</f>
        <v>66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 t="str">
        <f>IFERROR(__xludf.DUMMYFUNCTION("""COMPUTED_VALUE"""),"B")</f>
        <v>B</v>
      </c>
      <c r="E1883" s="1" t="str">
        <f>IFERROR(__xludf.DUMMYFUNCTION("""COMPUTED_VALUE"""),"Female")</f>
        <v>Female</v>
      </c>
      <c r="F1883" s="1">
        <f>IFERROR(__xludf.DUMMYFUNCTION("""COMPUTED_VALUE"""),52.0)</f>
        <v>52</v>
      </c>
      <c r="G1883" s="1">
        <f>IFERROR(__xludf.DUMMYFUNCTION("""COMPUTED_VALUE"""),20.0)</f>
        <v>20</v>
      </c>
      <c r="H1883" s="1">
        <f>IFERROR(__xludf.DUMMYFUNCTION("""COMPUTED_VALUE"""),83.0)</f>
        <v>83</v>
      </c>
      <c r="I1883" s="1">
        <f>IFERROR(__xludf.DUMMYFUNCTION("""COMPUTED_VALUE"""),69.0)</f>
        <v>69</v>
      </c>
      <c r="J1883" s="1">
        <f>IFERROR(__xludf.DUMMYFUNCTION("""COMPUTED_VALUE"""),22.0)</f>
        <v>22</v>
      </c>
      <c r="K1883" s="1">
        <f>IFERROR(__xludf.DUMMYFUNCTION("""COMPUTED_VALUE"""),50.0)</f>
        <v>50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 t="str">
        <f>IFERROR(__xludf.DUMMYFUNCTION("""COMPUTED_VALUE"""),"A")</f>
        <v>A</v>
      </c>
      <c r="E1884" s="1" t="str">
        <f>IFERROR(__xludf.DUMMYFUNCTION("""COMPUTED_VALUE"""),"Male")</f>
        <v>Male</v>
      </c>
      <c r="F1884" s="1">
        <f>IFERROR(__xludf.DUMMYFUNCTION("""COMPUTED_VALUE"""),99.0)</f>
        <v>99</v>
      </c>
      <c r="G1884" s="1">
        <f>IFERROR(__xludf.DUMMYFUNCTION("""COMPUTED_VALUE"""),23.0)</f>
        <v>23</v>
      </c>
      <c r="H1884" s="1">
        <f>IFERROR(__xludf.DUMMYFUNCTION("""COMPUTED_VALUE"""),82.0)</f>
        <v>82</v>
      </c>
      <c r="I1884" s="1">
        <f>IFERROR(__xludf.DUMMYFUNCTION("""COMPUTED_VALUE"""),83.0)</f>
        <v>83</v>
      </c>
      <c r="J1884" s="1">
        <f>IFERROR(__xludf.DUMMYFUNCTION("""COMPUTED_VALUE"""),46.0)</f>
        <v>46</v>
      </c>
      <c r="K1884" s="1">
        <f>IFERROR(__xludf.DUMMYFUNCTION("""COMPUTED_VALUE"""),79.0)</f>
        <v>79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 t="str">
        <f>IFERROR(__xludf.DUMMYFUNCTION("""COMPUTED_VALUE"""),"C")</f>
        <v>C</v>
      </c>
      <c r="E1885" s="1" t="str">
        <f>IFERROR(__xludf.DUMMYFUNCTION("""COMPUTED_VALUE"""),"Female")</f>
        <v>Female</v>
      </c>
      <c r="F1885" s="1">
        <f>IFERROR(__xludf.DUMMYFUNCTION("""COMPUTED_VALUE"""),72.0)</f>
        <v>72</v>
      </c>
      <c r="G1885" s="1">
        <f>IFERROR(__xludf.DUMMYFUNCTION("""COMPUTED_VALUE"""),98.0)</f>
        <v>98</v>
      </c>
      <c r="H1885" s="1">
        <f>IFERROR(__xludf.DUMMYFUNCTION("""COMPUTED_VALUE"""),84.0)</f>
        <v>84</v>
      </c>
      <c r="I1885" s="1">
        <f>IFERROR(__xludf.DUMMYFUNCTION("""COMPUTED_VALUE"""),89.0)</f>
        <v>89</v>
      </c>
      <c r="J1885" s="1">
        <f>IFERROR(__xludf.DUMMYFUNCTION("""COMPUTED_VALUE"""),49.0)</f>
        <v>49</v>
      </c>
      <c r="K1885" s="1">
        <f>IFERROR(__xludf.DUMMYFUNCTION("""COMPUTED_VALUE"""),26.0)</f>
        <v>26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 t="str">
        <f>IFERROR(__xludf.DUMMYFUNCTION("""COMPUTED_VALUE"""),"A")</f>
        <v>A</v>
      </c>
      <c r="E1886" s="1" t="str">
        <f>IFERROR(__xludf.DUMMYFUNCTION("""COMPUTED_VALUE"""),"Female")</f>
        <v>Female</v>
      </c>
      <c r="F1886" s="1">
        <f>IFERROR(__xludf.DUMMYFUNCTION("""COMPUTED_VALUE"""),24.0)</f>
        <v>24</v>
      </c>
      <c r="G1886" s="1">
        <f>IFERROR(__xludf.DUMMYFUNCTION("""COMPUTED_VALUE"""),94.0)</f>
        <v>94</v>
      </c>
      <c r="H1886" s="1">
        <f>IFERROR(__xludf.DUMMYFUNCTION("""COMPUTED_VALUE"""),25.0)</f>
        <v>25</v>
      </c>
      <c r="I1886" s="1">
        <f>IFERROR(__xludf.DUMMYFUNCTION("""COMPUTED_VALUE"""),32.0)</f>
        <v>32</v>
      </c>
      <c r="J1886" s="1">
        <f>IFERROR(__xludf.DUMMYFUNCTION("""COMPUTED_VALUE"""),22.0)</f>
        <v>22</v>
      </c>
      <c r="K1886" s="1">
        <f>IFERROR(__xludf.DUMMYFUNCTION("""COMPUTED_VALUE"""),56.0)</f>
        <v>56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 t="str">
        <f>IFERROR(__xludf.DUMMYFUNCTION("""COMPUTED_VALUE"""),"C")</f>
        <v>C</v>
      </c>
      <c r="E1887" s="1" t="str">
        <f>IFERROR(__xludf.DUMMYFUNCTION("""COMPUTED_VALUE"""),"Male")</f>
        <v>Male</v>
      </c>
      <c r="F1887" s="1">
        <f>IFERROR(__xludf.DUMMYFUNCTION("""COMPUTED_VALUE"""),69.0)</f>
        <v>69</v>
      </c>
      <c r="G1887" s="1">
        <f>IFERROR(__xludf.DUMMYFUNCTION("""COMPUTED_VALUE"""),38.0)</f>
        <v>38</v>
      </c>
      <c r="H1887" s="1">
        <f>IFERROR(__xludf.DUMMYFUNCTION("""COMPUTED_VALUE"""),42.0)</f>
        <v>42</v>
      </c>
      <c r="I1887" s="1">
        <f>IFERROR(__xludf.DUMMYFUNCTION("""COMPUTED_VALUE"""),30.0)</f>
        <v>30</v>
      </c>
      <c r="J1887" s="1">
        <f>IFERROR(__xludf.DUMMYFUNCTION("""COMPUTED_VALUE"""),47.0)</f>
        <v>47</v>
      </c>
      <c r="K1887" s="1">
        <f>IFERROR(__xludf.DUMMYFUNCTION("""COMPUTED_VALUE"""),86.0)</f>
        <v>86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 t="str">
        <f>IFERROR(__xludf.DUMMYFUNCTION("""COMPUTED_VALUE"""),"A")</f>
        <v>A</v>
      </c>
      <c r="E1888" s="1" t="str">
        <f>IFERROR(__xludf.DUMMYFUNCTION("""COMPUTED_VALUE"""),"Male")</f>
        <v>Male</v>
      </c>
      <c r="F1888" s="1">
        <f>IFERROR(__xludf.DUMMYFUNCTION("""COMPUTED_VALUE"""),56.0)</f>
        <v>56</v>
      </c>
      <c r="G1888" s="1">
        <f>IFERROR(__xludf.DUMMYFUNCTION("""COMPUTED_VALUE"""),22.0)</f>
        <v>22</v>
      </c>
      <c r="H1888" s="1">
        <f>IFERROR(__xludf.DUMMYFUNCTION("""COMPUTED_VALUE"""),56.0)</f>
        <v>56</v>
      </c>
      <c r="I1888" s="1">
        <f>IFERROR(__xludf.DUMMYFUNCTION("""COMPUTED_VALUE"""),36.0)</f>
        <v>36</v>
      </c>
      <c r="J1888" s="1">
        <f>IFERROR(__xludf.DUMMYFUNCTION("""COMPUTED_VALUE"""),56.0)</f>
        <v>56</v>
      </c>
      <c r="K1888" s="1">
        <f>IFERROR(__xludf.DUMMYFUNCTION("""COMPUTED_VALUE"""),85.0)</f>
        <v>85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 t="str">
        <f>IFERROR(__xludf.DUMMYFUNCTION("""COMPUTED_VALUE"""),"D")</f>
        <v>D</v>
      </c>
      <c r="E1889" s="1" t="str">
        <f>IFERROR(__xludf.DUMMYFUNCTION("""COMPUTED_VALUE"""),"Male")</f>
        <v>Male</v>
      </c>
      <c r="F1889" s="1">
        <f>IFERROR(__xludf.DUMMYFUNCTION("""COMPUTED_VALUE"""),62.0)</f>
        <v>62</v>
      </c>
      <c r="G1889" s="1">
        <f>IFERROR(__xludf.DUMMYFUNCTION("""COMPUTED_VALUE"""),90.0)</f>
        <v>90</v>
      </c>
      <c r="H1889" s="1">
        <f>IFERROR(__xludf.DUMMYFUNCTION("""COMPUTED_VALUE"""),81.0)</f>
        <v>81</v>
      </c>
      <c r="I1889" s="1">
        <f>IFERROR(__xludf.DUMMYFUNCTION("""COMPUTED_VALUE"""),38.0)</f>
        <v>38</v>
      </c>
      <c r="J1889" s="1">
        <f>IFERROR(__xludf.DUMMYFUNCTION("""COMPUTED_VALUE"""),55.0)</f>
        <v>55</v>
      </c>
      <c r="K1889" s="1">
        <f>IFERROR(__xludf.DUMMYFUNCTION("""COMPUTED_VALUE"""),24.0)</f>
        <v>24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 t="str">
        <f>IFERROR(__xludf.DUMMYFUNCTION("""COMPUTED_VALUE"""),"D")</f>
        <v>D</v>
      </c>
      <c r="E1890" s="1" t="str">
        <f>IFERROR(__xludf.DUMMYFUNCTION("""COMPUTED_VALUE"""),"Male")</f>
        <v>Male</v>
      </c>
      <c r="F1890" s="1">
        <f>IFERROR(__xludf.DUMMYFUNCTION("""COMPUTED_VALUE"""),23.0)</f>
        <v>23</v>
      </c>
      <c r="G1890" s="1">
        <f>IFERROR(__xludf.DUMMYFUNCTION("""COMPUTED_VALUE"""),21.0)</f>
        <v>21</v>
      </c>
      <c r="H1890" s="1">
        <f>IFERROR(__xludf.DUMMYFUNCTION("""COMPUTED_VALUE"""),67.0)</f>
        <v>67</v>
      </c>
      <c r="I1890" s="1">
        <f>IFERROR(__xludf.DUMMYFUNCTION("""COMPUTED_VALUE"""),60.0)</f>
        <v>60</v>
      </c>
      <c r="J1890" s="1">
        <f>IFERROR(__xludf.DUMMYFUNCTION("""COMPUTED_VALUE"""),50.0)</f>
        <v>50</v>
      </c>
      <c r="K1890" s="1">
        <f>IFERROR(__xludf.DUMMYFUNCTION("""COMPUTED_VALUE"""),63.0)</f>
        <v>63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 t="str">
        <f>IFERROR(__xludf.DUMMYFUNCTION("""COMPUTED_VALUE"""),"B")</f>
        <v>B</v>
      </c>
      <c r="E1891" s="1" t="str">
        <f>IFERROR(__xludf.DUMMYFUNCTION("""COMPUTED_VALUE"""),"Male")</f>
        <v>Male</v>
      </c>
      <c r="F1891" s="1">
        <f>IFERROR(__xludf.DUMMYFUNCTION("""COMPUTED_VALUE"""),94.0)</f>
        <v>94</v>
      </c>
      <c r="G1891" s="1">
        <f>IFERROR(__xludf.DUMMYFUNCTION("""COMPUTED_VALUE"""),95.0)</f>
        <v>95</v>
      </c>
      <c r="H1891" s="1">
        <f>IFERROR(__xludf.DUMMYFUNCTION("""COMPUTED_VALUE"""),21.0)</f>
        <v>21</v>
      </c>
      <c r="I1891" s="1">
        <f>IFERROR(__xludf.DUMMYFUNCTION("""COMPUTED_VALUE"""),71.0)</f>
        <v>71</v>
      </c>
      <c r="J1891" s="1">
        <f>IFERROR(__xludf.DUMMYFUNCTION("""COMPUTED_VALUE"""),60.0)</f>
        <v>60</v>
      </c>
      <c r="K1891" s="1">
        <f>IFERROR(__xludf.DUMMYFUNCTION("""COMPUTED_VALUE"""),27.0)</f>
        <v>27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 t="str">
        <f>IFERROR(__xludf.DUMMYFUNCTION("""COMPUTED_VALUE"""),"D")</f>
        <v>D</v>
      </c>
      <c r="E1892" s="1" t="str">
        <f>IFERROR(__xludf.DUMMYFUNCTION("""COMPUTED_VALUE"""),"Male")</f>
        <v>Male</v>
      </c>
      <c r="F1892" s="1">
        <f>IFERROR(__xludf.DUMMYFUNCTION("""COMPUTED_VALUE"""),10.0)</f>
        <v>10</v>
      </c>
      <c r="G1892" s="1">
        <f>IFERROR(__xludf.DUMMYFUNCTION("""COMPUTED_VALUE"""),81.0)</f>
        <v>81</v>
      </c>
      <c r="H1892" s="1">
        <f>IFERROR(__xludf.DUMMYFUNCTION("""COMPUTED_VALUE"""),20.0)</f>
        <v>20</v>
      </c>
      <c r="I1892" s="1">
        <f>IFERROR(__xludf.DUMMYFUNCTION("""COMPUTED_VALUE"""),80.0)</f>
        <v>80</v>
      </c>
      <c r="J1892" s="1">
        <f>IFERROR(__xludf.DUMMYFUNCTION("""COMPUTED_VALUE"""),69.0)</f>
        <v>69</v>
      </c>
      <c r="K1892" s="1">
        <f>IFERROR(__xludf.DUMMYFUNCTION("""COMPUTED_VALUE"""),49.0)</f>
        <v>49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 t="str">
        <f>IFERROR(__xludf.DUMMYFUNCTION("""COMPUTED_VALUE"""),"C")</f>
        <v>C</v>
      </c>
      <c r="E1893" s="1" t="str">
        <f>IFERROR(__xludf.DUMMYFUNCTION("""COMPUTED_VALUE"""),"Female")</f>
        <v>Female</v>
      </c>
      <c r="F1893" s="1">
        <f>IFERROR(__xludf.DUMMYFUNCTION("""COMPUTED_VALUE"""),35.0)</f>
        <v>35</v>
      </c>
      <c r="G1893" s="1">
        <f>IFERROR(__xludf.DUMMYFUNCTION("""COMPUTED_VALUE"""),64.0)</f>
        <v>64</v>
      </c>
      <c r="H1893" s="1">
        <f>IFERROR(__xludf.DUMMYFUNCTION("""COMPUTED_VALUE"""),21.0)</f>
        <v>21</v>
      </c>
      <c r="I1893" s="1">
        <f>IFERROR(__xludf.DUMMYFUNCTION("""COMPUTED_VALUE"""),98.0)</f>
        <v>98</v>
      </c>
      <c r="J1893" s="1">
        <f>IFERROR(__xludf.DUMMYFUNCTION("""COMPUTED_VALUE"""),24.0)</f>
        <v>24</v>
      </c>
      <c r="K1893" s="1">
        <f>IFERROR(__xludf.DUMMYFUNCTION("""COMPUTED_VALUE"""),39.0)</f>
        <v>39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 t="str">
        <f>IFERROR(__xludf.DUMMYFUNCTION("""COMPUTED_VALUE"""),"A")</f>
        <v>A</v>
      </c>
      <c r="E1894" s="1" t="str">
        <f>IFERROR(__xludf.DUMMYFUNCTION("""COMPUTED_VALUE"""),"Male")</f>
        <v>Male</v>
      </c>
      <c r="F1894" s="1">
        <f>IFERROR(__xludf.DUMMYFUNCTION("""COMPUTED_VALUE"""),10.0)</f>
        <v>10</v>
      </c>
      <c r="G1894" s="1">
        <f>IFERROR(__xludf.DUMMYFUNCTION("""COMPUTED_VALUE"""),60.0)</f>
        <v>60</v>
      </c>
      <c r="H1894" s="1">
        <f>IFERROR(__xludf.DUMMYFUNCTION("""COMPUTED_VALUE"""),59.0)</f>
        <v>59</v>
      </c>
      <c r="I1894" s="1">
        <f>IFERROR(__xludf.DUMMYFUNCTION("""COMPUTED_VALUE"""),63.0)</f>
        <v>63</v>
      </c>
      <c r="J1894" s="1">
        <f>IFERROR(__xludf.DUMMYFUNCTION("""COMPUTED_VALUE"""),67.0)</f>
        <v>67</v>
      </c>
      <c r="K1894" s="1">
        <f>IFERROR(__xludf.DUMMYFUNCTION("""COMPUTED_VALUE"""),21.0)</f>
        <v>21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 t="str">
        <f>IFERROR(__xludf.DUMMYFUNCTION("""COMPUTED_VALUE"""),"C")</f>
        <v>C</v>
      </c>
      <c r="E1895" s="1" t="str">
        <f>IFERROR(__xludf.DUMMYFUNCTION("""COMPUTED_VALUE"""),"Female")</f>
        <v>Female</v>
      </c>
      <c r="F1895" s="1">
        <f>IFERROR(__xludf.DUMMYFUNCTION("""COMPUTED_VALUE"""),99.0)</f>
        <v>99</v>
      </c>
      <c r="G1895" s="1">
        <f>IFERROR(__xludf.DUMMYFUNCTION("""COMPUTED_VALUE"""),50.0)</f>
        <v>50</v>
      </c>
      <c r="H1895" s="1">
        <f>IFERROR(__xludf.DUMMYFUNCTION("""COMPUTED_VALUE"""),43.0)</f>
        <v>43</v>
      </c>
      <c r="I1895" s="1">
        <f>IFERROR(__xludf.DUMMYFUNCTION("""COMPUTED_VALUE"""),39.0)</f>
        <v>39</v>
      </c>
      <c r="J1895" s="1">
        <f>IFERROR(__xludf.DUMMYFUNCTION("""COMPUTED_VALUE"""),83.0)</f>
        <v>83</v>
      </c>
      <c r="K1895" s="1">
        <f>IFERROR(__xludf.DUMMYFUNCTION("""COMPUTED_VALUE"""),83.0)</f>
        <v>83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 t="str">
        <f>IFERROR(__xludf.DUMMYFUNCTION("""COMPUTED_VALUE"""),"B")</f>
        <v>B</v>
      </c>
      <c r="E1896" s="1" t="str">
        <f>IFERROR(__xludf.DUMMYFUNCTION("""COMPUTED_VALUE"""),"Male")</f>
        <v>Male</v>
      </c>
      <c r="F1896" s="1">
        <f>IFERROR(__xludf.DUMMYFUNCTION("""COMPUTED_VALUE"""),95.0)</f>
        <v>95</v>
      </c>
      <c r="G1896" s="1">
        <f>IFERROR(__xludf.DUMMYFUNCTION("""COMPUTED_VALUE"""),53.0)</f>
        <v>53</v>
      </c>
      <c r="H1896" s="1">
        <f>IFERROR(__xludf.DUMMYFUNCTION("""COMPUTED_VALUE"""),96.0)</f>
        <v>96</v>
      </c>
      <c r="I1896" s="1">
        <f>IFERROR(__xludf.DUMMYFUNCTION("""COMPUTED_VALUE"""),31.0)</f>
        <v>31</v>
      </c>
      <c r="J1896" s="1">
        <f>IFERROR(__xludf.DUMMYFUNCTION("""COMPUTED_VALUE"""),51.0)</f>
        <v>51</v>
      </c>
      <c r="K1896" s="1">
        <f>IFERROR(__xludf.DUMMYFUNCTION("""COMPUTED_VALUE"""),98.0)</f>
        <v>98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 t="str">
        <f>IFERROR(__xludf.DUMMYFUNCTION("""COMPUTED_VALUE"""),"A")</f>
        <v>A</v>
      </c>
      <c r="E1897" s="1" t="str">
        <f>IFERROR(__xludf.DUMMYFUNCTION("""COMPUTED_VALUE"""),"Female")</f>
        <v>Female</v>
      </c>
      <c r="F1897" s="1">
        <f>IFERROR(__xludf.DUMMYFUNCTION("""COMPUTED_VALUE"""),94.0)</f>
        <v>94</v>
      </c>
      <c r="G1897" s="1">
        <f>IFERROR(__xludf.DUMMYFUNCTION("""COMPUTED_VALUE"""),24.0)</f>
        <v>24</v>
      </c>
      <c r="H1897" s="1">
        <f>IFERROR(__xludf.DUMMYFUNCTION("""COMPUTED_VALUE"""),92.0)</f>
        <v>92</v>
      </c>
      <c r="I1897" s="1">
        <f>IFERROR(__xludf.DUMMYFUNCTION("""COMPUTED_VALUE"""),57.0)</f>
        <v>57</v>
      </c>
      <c r="J1897" s="1">
        <f>IFERROR(__xludf.DUMMYFUNCTION("""COMPUTED_VALUE"""),90.0)</f>
        <v>90</v>
      </c>
      <c r="K1897" s="1">
        <f>IFERROR(__xludf.DUMMYFUNCTION("""COMPUTED_VALUE"""),96.0)</f>
        <v>96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 t="str">
        <f>IFERROR(__xludf.DUMMYFUNCTION("""COMPUTED_VALUE"""),"A")</f>
        <v>A</v>
      </c>
      <c r="E1898" s="1" t="str">
        <f>IFERROR(__xludf.DUMMYFUNCTION("""COMPUTED_VALUE"""),"Male")</f>
        <v>Male</v>
      </c>
      <c r="F1898" s="1">
        <f>IFERROR(__xludf.DUMMYFUNCTION("""COMPUTED_VALUE"""),66.0)</f>
        <v>66</v>
      </c>
      <c r="G1898" s="1">
        <f>IFERROR(__xludf.DUMMYFUNCTION("""COMPUTED_VALUE"""),46.0)</f>
        <v>46</v>
      </c>
      <c r="H1898" s="1">
        <f>IFERROR(__xludf.DUMMYFUNCTION("""COMPUTED_VALUE"""),90.0)</f>
        <v>90</v>
      </c>
      <c r="I1898" s="1">
        <f>IFERROR(__xludf.DUMMYFUNCTION("""COMPUTED_VALUE"""),41.0)</f>
        <v>41</v>
      </c>
      <c r="J1898" s="1">
        <f>IFERROR(__xludf.DUMMYFUNCTION("""COMPUTED_VALUE"""),88.0)</f>
        <v>88</v>
      </c>
      <c r="K1898" s="1">
        <f>IFERROR(__xludf.DUMMYFUNCTION("""COMPUTED_VALUE"""),85.0)</f>
        <v>85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 t="str">
        <f>IFERROR(__xludf.DUMMYFUNCTION("""COMPUTED_VALUE"""),"A")</f>
        <v>A</v>
      </c>
      <c r="E1899" s="1" t="str">
        <f>IFERROR(__xludf.DUMMYFUNCTION("""COMPUTED_VALUE"""),"Female")</f>
        <v>Female</v>
      </c>
      <c r="F1899" s="1">
        <f>IFERROR(__xludf.DUMMYFUNCTION("""COMPUTED_VALUE"""),52.0)</f>
        <v>52</v>
      </c>
      <c r="G1899" s="1">
        <f>IFERROR(__xludf.DUMMYFUNCTION("""COMPUTED_VALUE"""),72.0)</f>
        <v>72</v>
      </c>
      <c r="H1899" s="1">
        <f>IFERROR(__xludf.DUMMYFUNCTION("""COMPUTED_VALUE"""),97.0)</f>
        <v>97</v>
      </c>
      <c r="I1899" s="1">
        <f>IFERROR(__xludf.DUMMYFUNCTION("""COMPUTED_VALUE"""),35.0)</f>
        <v>35</v>
      </c>
      <c r="J1899" s="1">
        <f>IFERROR(__xludf.DUMMYFUNCTION("""COMPUTED_VALUE"""),57.0)</f>
        <v>57</v>
      </c>
      <c r="K1899" s="1">
        <f>IFERROR(__xludf.DUMMYFUNCTION("""COMPUTED_VALUE"""),61.0)</f>
        <v>61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 t="str">
        <f>IFERROR(__xludf.DUMMYFUNCTION("""COMPUTED_VALUE"""),"D")</f>
        <v>D</v>
      </c>
      <c r="E1900" s="1" t="str">
        <f>IFERROR(__xludf.DUMMYFUNCTION("""COMPUTED_VALUE"""),"Female")</f>
        <v>Female</v>
      </c>
      <c r="F1900" s="1">
        <f>IFERROR(__xludf.DUMMYFUNCTION("""COMPUTED_VALUE"""),42.0)</f>
        <v>42</v>
      </c>
      <c r="G1900" s="1">
        <f>IFERROR(__xludf.DUMMYFUNCTION("""COMPUTED_VALUE"""),30.0)</f>
        <v>30</v>
      </c>
      <c r="H1900" s="1">
        <f>IFERROR(__xludf.DUMMYFUNCTION("""COMPUTED_VALUE"""),24.0)</f>
        <v>24</v>
      </c>
      <c r="I1900" s="1">
        <f>IFERROR(__xludf.DUMMYFUNCTION("""COMPUTED_VALUE"""),40.0)</f>
        <v>40</v>
      </c>
      <c r="J1900" s="1">
        <f>IFERROR(__xludf.DUMMYFUNCTION("""COMPUTED_VALUE"""),77.0)</f>
        <v>77</v>
      </c>
      <c r="K1900" s="1">
        <f>IFERROR(__xludf.DUMMYFUNCTION("""COMPUTED_VALUE"""),32.0)</f>
        <v>32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 t="str">
        <f>IFERROR(__xludf.DUMMYFUNCTION("""COMPUTED_VALUE"""),"C")</f>
        <v>C</v>
      </c>
      <c r="E1901" s="1" t="str">
        <f>IFERROR(__xludf.DUMMYFUNCTION("""COMPUTED_VALUE"""),"Female")</f>
        <v>Female</v>
      </c>
      <c r="F1901" s="1">
        <f>IFERROR(__xludf.DUMMYFUNCTION("""COMPUTED_VALUE"""),79.0)</f>
        <v>79</v>
      </c>
      <c r="G1901" s="1">
        <f>IFERROR(__xludf.DUMMYFUNCTION("""COMPUTED_VALUE"""),95.0)</f>
        <v>95</v>
      </c>
      <c r="H1901" s="1">
        <f>IFERROR(__xludf.DUMMYFUNCTION("""COMPUTED_VALUE"""),62.0)</f>
        <v>62</v>
      </c>
      <c r="I1901" s="1">
        <f>IFERROR(__xludf.DUMMYFUNCTION("""COMPUTED_VALUE"""),39.0)</f>
        <v>39</v>
      </c>
      <c r="J1901" s="1">
        <f>IFERROR(__xludf.DUMMYFUNCTION("""COMPUTED_VALUE"""),86.0)</f>
        <v>86</v>
      </c>
      <c r="K1901" s="1">
        <f>IFERROR(__xludf.DUMMYFUNCTION("""COMPUTED_VALUE"""),91.0)</f>
        <v>91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 t="str">
        <f>IFERROR(__xludf.DUMMYFUNCTION("""COMPUTED_VALUE"""),"A")</f>
        <v>A</v>
      </c>
      <c r="E1902" s="1" t="str">
        <f>IFERROR(__xludf.DUMMYFUNCTION("""COMPUTED_VALUE"""),"Female")</f>
        <v>Female</v>
      </c>
      <c r="F1902" s="1">
        <f>IFERROR(__xludf.DUMMYFUNCTION("""COMPUTED_VALUE"""),36.0)</f>
        <v>36</v>
      </c>
      <c r="G1902" s="1">
        <f>IFERROR(__xludf.DUMMYFUNCTION("""COMPUTED_VALUE"""),45.0)</f>
        <v>45</v>
      </c>
      <c r="H1902" s="1">
        <f>IFERROR(__xludf.DUMMYFUNCTION("""COMPUTED_VALUE"""),62.0)</f>
        <v>62</v>
      </c>
      <c r="I1902" s="1">
        <f>IFERROR(__xludf.DUMMYFUNCTION("""COMPUTED_VALUE"""),98.0)</f>
        <v>98</v>
      </c>
      <c r="J1902" s="1">
        <f>IFERROR(__xludf.DUMMYFUNCTION("""COMPUTED_VALUE"""),27.0)</f>
        <v>27</v>
      </c>
      <c r="K1902" s="1">
        <f>IFERROR(__xludf.DUMMYFUNCTION("""COMPUTED_VALUE"""),64.0)</f>
        <v>64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 t="str">
        <f>IFERROR(__xludf.DUMMYFUNCTION("""COMPUTED_VALUE"""),"C")</f>
        <v>C</v>
      </c>
      <c r="E1903" s="1" t="str">
        <f>IFERROR(__xludf.DUMMYFUNCTION("""COMPUTED_VALUE"""),"Male")</f>
        <v>Male</v>
      </c>
      <c r="F1903" s="1">
        <f>IFERROR(__xludf.DUMMYFUNCTION("""COMPUTED_VALUE"""),13.0)</f>
        <v>13</v>
      </c>
      <c r="G1903" s="1">
        <f>IFERROR(__xludf.DUMMYFUNCTION("""COMPUTED_VALUE"""),39.0)</f>
        <v>39</v>
      </c>
      <c r="H1903" s="1">
        <f>IFERROR(__xludf.DUMMYFUNCTION("""COMPUTED_VALUE"""),72.0)</f>
        <v>72</v>
      </c>
      <c r="I1903" s="1">
        <f>IFERROR(__xludf.DUMMYFUNCTION("""COMPUTED_VALUE"""),42.0)</f>
        <v>42</v>
      </c>
      <c r="J1903" s="1">
        <f>IFERROR(__xludf.DUMMYFUNCTION("""COMPUTED_VALUE"""),65.0)</f>
        <v>65</v>
      </c>
      <c r="K1903" s="1">
        <f>IFERROR(__xludf.DUMMYFUNCTION("""COMPUTED_VALUE"""),57.0)</f>
        <v>57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 t="str">
        <f>IFERROR(__xludf.DUMMYFUNCTION("""COMPUTED_VALUE"""),"A")</f>
        <v>A</v>
      </c>
      <c r="E1904" s="1" t="str">
        <f>IFERROR(__xludf.DUMMYFUNCTION("""COMPUTED_VALUE"""),"Male")</f>
        <v>Male</v>
      </c>
      <c r="F1904" s="1">
        <f>IFERROR(__xludf.DUMMYFUNCTION("""COMPUTED_VALUE"""),47.0)</f>
        <v>47</v>
      </c>
      <c r="G1904" s="1">
        <f>IFERROR(__xludf.DUMMYFUNCTION("""COMPUTED_VALUE"""),48.0)</f>
        <v>48</v>
      </c>
      <c r="H1904" s="1">
        <f>IFERROR(__xludf.DUMMYFUNCTION("""COMPUTED_VALUE"""),62.0)</f>
        <v>62</v>
      </c>
      <c r="I1904" s="1">
        <f>IFERROR(__xludf.DUMMYFUNCTION("""COMPUTED_VALUE"""),59.0)</f>
        <v>59</v>
      </c>
      <c r="J1904" s="1">
        <f>IFERROR(__xludf.DUMMYFUNCTION("""COMPUTED_VALUE"""),70.0)</f>
        <v>70</v>
      </c>
      <c r="K1904" s="1">
        <f>IFERROR(__xludf.DUMMYFUNCTION("""COMPUTED_VALUE"""),43.0)</f>
        <v>43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 t="str">
        <f>IFERROR(__xludf.DUMMYFUNCTION("""COMPUTED_VALUE"""),"A")</f>
        <v>A</v>
      </c>
      <c r="E1905" s="1" t="str">
        <f>IFERROR(__xludf.DUMMYFUNCTION("""COMPUTED_VALUE"""),"Male")</f>
        <v>Male</v>
      </c>
      <c r="F1905" s="1">
        <f>IFERROR(__xludf.DUMMYFUNCTION("""COMPUTED_VALUE"""),60.0)</f>
        <v>60</v>
      </c>
      <c r="G1905" s="1">
        <f>IFERROR(__xludf.DUMMYFUNCTION("""COMPUTED_VALUE"""),22.0)</f>
        <v>22</v>
      </c>
      <c r="H1905" s="1">
        <f>IFERROR(__xludf.DUMMYFUNCTION("""COMPUTED_VALUE"""),37.0)</f>
        <v>37</v>
      </c>
      <c r="I1905" s="1">
        <f>IFERROR(__xludf.DUMMYFUNCTION("""COMPUTED_VALUE"""),56.0)</f>
        <v>56</v>
      </c>
      <c r="J1905" s="1">
        <f>IFERROR(__xludf.DUMMYFUNCTION("""COMPUTED_VALUE"""),26.0)</f>
        <v>26</v>
      </c>
      <c r="K1905" s="1">
        <f>IFERROR(__xludf.DUMMYFUNCTION("""COMPUTED_VALUE"""),76.0)</f>
        <v>76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 t="str">
        <f>IFERROR(__xludf.DUMMYFUNCTION("""COMPUTED_VALUE"""),"A")</f>
        <v>A</v>
      </c>
      <c r="E1906" s="1" t="str">
        <f>IFERROR(__xludf.DUMMYFUNCTION("""COMPUTED_VALUE"""),"Female")</f>
        <v>Female</v>
      </c>
      <c r="F1906" s="1">
        <f>IFERROR(__xludf.DUMMYFUNCTION("""COMPUTED_VALUE"""),75.0)</f>
        <v>75</v>
      </c>
      <c r="G1906" s="1">
        <f>IFERROR(__xludf.DUMMYFUNCTION("""COMPUTED_VALUE"""),84.0)</f>
        <v>84</v>
      </c>
      <c r="H1906" s="1">
        <f>IFERROR(__xludf.DUMMYFUNCTION("""COMPUTED_VALUE"""),90.0)</f>
        <v>90</v>
      </c>
      <c r="I1906" s="1">
        <f>IFERROR(__xludf.DUMMYFUNCTION("""COMPUTED_VALUE"""),71.0)</f>
        <v>71</v>
      </c>
      <c r="J1906" s="1">
        <f>IFERROR(__xludf.DUMMYFUNCTION("""COMPUTED_VALUE"""),51.0)</f>
        <v>51</v>
      </c>
      <c r="K1906" s="1">
        <f>IFERROR(__xludf.DUMMYFUNCTION("""COMPUTED_VALUE"""),80.0)</f>
        <v>80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 t="str">
        <f>IFERROR(__xludf.DUMMYFUNCTION("""COMPUTED_VALUE"""),"B")</f>
        <v>B</v>
      </c>
      <c r="E1907" s="1" t="str">
        <f>IFERROR(__xludf.DUMMYFUNCTION("""COMPUTED_VALUE"""),"Female")</f>
        <v>Female</v>
      </c>
      <c r="F1907" s="1">
        <f>IFERROR(__xludf.DUMMYFUNCTION("""COMPUTED_VALUE"""),26.0)</f>
        <v>26</v>
      </c>
      <c r="G1907" s="1">
        <f>IFERROR(__xludf.DUMMYFUNCTION("""COMPUTED_VALUE"""),75.0)</f>
        <v>75</v>
      </c>
      <c r="H1907" s="1">
        <f>IFERROR(__xludf.DUMMYFUNCTION("""COMPUTED_VALUE"""),20.0)</f>
        <v>20</v>
      </c>
      <c r="I1907" s="1">
        <f>IFERROR(__xludf.DUMMYFUNCTION("""COMPUTED_VALUE"""),46.0)</f>
        <v>46</v>
      </c>
      <c r="J1907" s="1">
        <f>IFERROR(__xludf.DUMMYFUNCTION("""COMPUTED_VALUE"""),37.0)</f>
        <v>37</v>
      </c>
      <c r="K1907" s="1">
        <f>IFERROR(__xludf.DUMMYFUNCTION("""COMPUTED_VALUE"""),86.0)</f>
        <v>86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 t="str">
        <f>IFERROR(__xludf.DUMMYFUNCTION("""COMPUTED_VALUE"""),"C")</f>
        <v>C</v>
      </c>
      <c r="E1908" s="1" t="str">
        <f>IFERROR(__xludf.DUMMYFUNCTION("""COMPUTED_VALUE"""),"Male")</f>
        <v>Male</v>
      </c>
      <c r="F1908" s="1">
        <f>IFERROR(__xludf.DUMMYFUNCTION("""COMPUTED_VALUE"""),85.0)</f>
        <v>85</v>
      </c>
      <c r="G1908" s="1">
        <f>IFERROR(__xludf.DUMMYFUNCTION("""COMPUTED_VALUE"""),94.0)</f>
        <v>94</v>
      </c>
      <c r="H1908" s="1">
        <f>IFERROR(__xludf.DUMMYFUNCTION("""COMPUTED_VALUE"""),77.0)</f>
        <v>77</v>
      </c>
      <c r="I1908" s="1">
        <f>IFERROR(__xludf.DUMMYFUNCTION("""COMPUTED_VALUE"""),53.0)</f>
        <v>53</v>
      </c>
      <c r="J1908" s="1">
        <f>IFERROR(__xludf.DUMMYFUNCTION("""COMPUTED_VALUE"""),67.0)</f>
        <v>67</v>
      </c>
      <c r="K1908" s="1">
        <f>IFERROR(__xludf.DUMMYFUNCTION("""COMPUTED_VALUE"""),28.0)</f>
        <v>28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 t="str">
        <f>IFERROR(__xludf.DUMMYFUNCTION("""COMPUTED_VALUE"""),"A")</f>
        <v>A</v>
      </c>
      <c r="E1909" s="1" t="str">
        <f>IFERROR(__xludf.DUMMYFUNCTION("""COMPUTED_VALUE"""),"Female")</f>
        <v>Female</v>
      </c>
      <c r="F1909" s="1">
        <f>IFERROR(__xludf.DUMMYFUNCTION("""COMPUTED_VALUE"""),71.0)</f>
        <v>71</v>
      </c>
      <c r="G1909" s="1">
        <f>IFERROR(__xludf.DUMMYFUNCTION("""COMPUTED_VALUE"""),44.0)</f>
        <v>44</v>
      </c>
      <c r="H1909" s="1">
        <f>IFERROR(__xludf.DUMMYFUNCTION("""COMPUTED_VALUE"""),44.0)</f>
        <v>44</v>
      </c>
      <c r="I1909" s="1">
        <f>IFERROR(__xludf.DUMMYFUNCTION("""COMPUTED_VALUE"""),78.0)</f>
        <v>78</v>
      </c>
      <c r="J1909" s="1">
        <f>IFERROR(__xludf.DUMMYFUNCTION("""COMPUTED_VALUE"""),84.0)</f>
        <v>84</v>
      </c>
      <c r="K1909" s="1">
        <f>IFERROR(__xludf.DUMMYFUNCTION("""COMPUTED_VALUE"""),40.0)</f>
        <v>40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 t="str">
        <f>IFERROR(__xludf.DUMMYFUNCTION("""COMPUTED_VALUE"""),"D")</f>
        <v>D</v>
      </c>
      <c r="E1910" s="1" t="str">
        <f>IFERROR(__xludf.DUMMYFUNCTION("""COMPUTED_VALUE"""),"Male")</f>
        <v>Male</v>
      </c>
      <c r="F1910" s="1">
        <f>IFERROR(__xludf.DUMMYFUNCTION("""COMPUTED_VALUE"""),37.0)</f>
        <v>37</v>
      </c>
      <c r="G1910" s="1">
        <f>IFERROR(__xludf.DUMMYFUNCTION("""COMPUTED_VALUE"""),37.0)</f>
        <v>37</v>
      </c>
      <c r="H1910" s="1">
        <f>IFERROR(__xludf.DUMMYFUNCTION("""COMPUTED_VALUE"""),71.0)</f>
        <v>71</v>
      </c>
      <c r="I1910" s="1">
        <f>IFERROR(__xludf.DUMMYFUNCTION("""COMPUTED_VALUE"""),78.0)</f>
        <v>78</v>
      </c>
      <c r="J1910" s="1">
        <f>IFERROR(__xludf.DUMMYFUNCTION("""COMPUTED_VALUE"""),47.0)</f>
        <v>47</v>
      </c>
      <c r="K1910" s="1">
        <f>IFERROR(__xludf.DUMMYFUNCTION("""COMPUTED_VALUE"""),26.0)</f>
        <v>26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 t="str">
        <f>IFERROR(__xludf.DUMMYFUNCTION("""COMPUTED_VALUE"""),"B")</f>
        <v>B</v>
      </c>
      <c r="E1911" s="1" t="str">
        <f>IFERROR(__xludf.DUMMYFUNCTION("""COMPUTED_VALUE"""),"Female")</f>
        <v>Female</v>
      </c>
      <c r="F1911" s="1">
        <f>IFERROR(__xludf.DUMMYFUNCTION("""COMPUTED_VALUE"""),71.0)</f>
        <v>71</v>
      </c>
      <c r="G1911" s="1">
        <f>IFERROR(__xludf.DUMMYFUNCTION("""COMPUTED_VALUE"""),81.0)</f>
        <v>81</v>
      </c>
      <c r="H1911" s="1">
        <f>IFERROR(__xludf.DUMMYFUNCTION("""COMPUTED_VALUE"""),73.0)</f>
        <v>73</v>
      </c>
      <c r="I1911" s="1">
        <f>IFERROR(__xludf.DUMMYFUNCTION("""COMPUTED_VALUE"""),61.0)</f>
        <v>61</v>
      </c>
      <c r="J1911" s="1">
        <f>IFERROR(__xludf.DUMMYFUNCTION("""COMPUTED_VALUE"""),73.0)</f>
        <v>73</v>
      </c>
      <c r="K1911" s="1">
        <f>IFERROR(__xludf.DUMMYFUNCTION("""COMPUTED_VALUE"""),25.0)</f>
        <v>25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 t="str">
        <f>IFERROR(__xludf.DUMMYFUNCTION("""COMPUTED_VALUE"""),"B")</f>
        <v>B</v>
      </c>
      <c r="E1912" s="1" t="str">
        <f>IFERROR(__xludf.DUMMYFUNCTION("""COMPUTED_VALUE"""),"Male")</f>
        <v>Male</v>
      </c>
      <c r="F1912" s="1">
        <f>IFERROR(__xludf.DUMMYFUNCTION("""COMPUTED_VALUE"""),50.0)</f>
        <v>50</v>
      </c>
      <c r="G1912" s="1">
        <f>IFERROR(__xludf.DUMMYFUNCTION("""COMPUTED_VALUE"""),62.0)</f>
        <v>62</v>
      </c>
      <c r="H1912" s="1">
        <f>IFERROR(__xludf.DUMMYFUNCTION("""COMPUTED_VALUE"""),34.0)</f>
        <v>34</v>
      </c>
      <c r="I1912" s="1">
        <f>IFERROR(__xludf.DUMMYFUNCTION("""COMPUTED_VALUE"""),27.0)</f>
        <v>27</v>
      </c>
      <c r="J1912" s="1">
        <f>IFERROR(__xludf.DUMMYFUNCTION("""COMPUTED_VALUE"""),22.0)</f>
        <v>22</v>
      </c>
      <c r="K1912" s="1">
        <f>IFERROR(__xludf.DUMMYFUNCTION("""COMPUTED_VALUE"""),86.0)</f>
        <v>86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 t="str">
        <f>IFERROR(__xludf.DUMMYFUNCTION("""COMPUTED_VALUE"""),"C")</f>
        <v>C</v>
      </c>
      <c r="E1913" s="1" t="str">
        <f>IFERROR(__xludf.DUMMYFUNCTION("""COMPUTED_VALUE"""),"Male")</f>
        <v>Male</v>
      </c>
      <c r="F1913" s="1">
        <f>IFERROR(__xludf.DUMMYFUNCTION("""COMPUTED_VALUE"""),30.0)</f>
        <v>30</v>
      </c>
      <c r="G1913" s="1">
        <f>IFERROR(__xludf.DUMMYFUNCTION("""COMPUTED_VALUE"""),34.0)</f>
        <v>34</v>
      </c>
      <c r="H1913" s="1">
        <f>IFERROR(__xludf.DUMMYFUNCTION("""COMPUTED_VALUE"""),34.0)</f>
        <v>34</v>
      </c>
      <c r="I1913" s="1">
        <f>IFERROR(__xludf.DUMMYFUNCTION("""COMPUTED_VALUE"""),85.0)</f>
        <v>85</v>
      </c>
      <c r="J1913" s="1">
        <f>IFERROR(__xludf.DUMMYFUNCTION("""COMPUTED_VALUE"""),24.0)</f>
        <v>24</v>
      </c>
      <c r="K1913" s="1">
        <f>IFERROR(__xludf.DUMMYFUNCTION("""COMPUTED_VALUE"""),57.0)</f>
        <v>57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 t="str">
        <f>IFERROR(__xludf.DUMMYFUNCTION("""COMPUTED_VALUE"""),"C")</f>
        <v>C</v>
      </c>
      <c r="E1914" s="1" t="str">
        <f>IFERROR(__xludf.DUMMYFUNCTION("""COMPUTED_VALUE"""),"Male")</f>
        <v>Male</v>
      </c>
      <c r="F1914" s="1">
        <f>IFERROR(__xludf.DUMMYFUNCTION("""COMPUTED_VALUE"""),53.0)</f>
        <v>53</v>
      </c>
      <c r="G1914" s="1">
        <f>IFERROR(__xludf.DUMMYFUNCTION("""COMPUTED_VALUE"""),94.0)</f>
        <v>94</v>
      </c>
      <c r="H1914" s="1">
        <f>IFERROR(__xludf.DUMMYFUNCTION("""COMPUTED_VALUE"""),26.0)</f>
        <v>26</v>
      </c>
      <c r="I1914" s="1">
        <f>IFERROR(__xludf.DUMMYFUNCTION("""COMPUTED_VALUE"""),90.0)</f>
        <v>90</v>
      </c>
      <c r="J1914" s="1">
        <f>IFERROR(__xludf.DUMMYFUNCTION("""COMPUTED_VALUE"""),33.0)</f>
        <v>33</v>
      </c>
      <c r="K1914" s="1">
        <f>IFERROR(__xludf.DUMMYFUNCTION("""COMPUTED_VALUE"""),41.0)</f>
        <v>41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 t="str">
        <f>IFERROR(__xludf.DUMMYFUNCTION("""COMPUTED_VALUE"""),"C")</f>
        <v>C</v>
      </c>
      <c r="E1915" s="1" t="str">
        <f>IFERROR(__xludf.DUMMYFUNCTION("""COMPUTED_VALUE"""),"Male")</f>
        <v>Male</v>
      </c>
      <c r="F1915" s="1">
        <f>IFERROR(__xludf.DUMMYFUNCTION("""COMPUTED_VALUE"""),18.0)</f>
        <v>18</v>
      </c>
      <c r="G1915" s="1">
        <f>IFERROR(__xludf.DUMMYFUNCTION("""COMPUTED_VALUE"""),91.0)</f>
        <v>91</v>
      </c>
      <c r="H1915" s="1">
        <f>IFERROR(__xludf.DUMMYFUNCTION("""COMPUTED_VALUE"""),84.0)</f>
        <v>84</v>
      </c>
      <c r="I1915" s="1">
        <f>IFERROR(__xludf.DUMMYFUNCTION("""COMPUTED_VALUE"""),87.0)</f>
        <v>87</v>
      </c>
      <c r="J1915" s="1">
        <f>IFERROR(__xludf.DUMMYFUNCTION("""COMPUTED_VALUE"""),42.0)</f>
        <v>42</v>
      </c>
      <c r="K1915" s="1">
        <f>IFERROR(__xludf.DUMMYFUNCTION("""COMPUTED_VALUE"""),39.0)</f>
        <v>39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 t="str">
        <f>IFERROR(__xludf.DUMMYFUNCTION("""COMPUTED_VALUE"""),"B")</f>
        <v>B</v>
      </c>
      <c r="E1916" s="1" t="str">
        <f>IFERROR(__xludf.DUMMYFUNCTION("""COMPUTED_VALUE"""),"Male")</f>
        <v>Male</v>
      </c>
      <c r="F1916" s="1">
        <f>IFERROR(__xludf.DUMMYFUNCTION("""COMPUTED_VALUE"""),52.0)</f>
        <v>52</v>
      </c>
      <c r="G1916" s="1">
        <f>IFERROR(__xludf.DUMMYFUNCTION("""COMPUTED_VALUE"""),65.0)</f>
        <v>65</v>
      </c>
      <c r="H1916" s="1">
        <f>IFERROR(__xludf.DUMMYFUNCTION("""COMPUTED_VALUE"""),27.0)</f>
        <v>27</v>
      </c>
      <c r="I1916" s="1">
        <f>IFERROR(__xludf.DUMMYFUNCTION("""COMPUTED_VALUE"""),66.0)</f>
        <v>66</v>
      </c>
      <c r="J1916" s="1">
        <f>IFERROR(__xludf.DUMMYFUNCTION("""COMPUTED_VALUE"""),70.0)</f>
        <v>70</v>
      </c>
      <c r="K1916" s="1">
        <f>IFERROR(__xludf.DUMMYFUNCTION("""COMPUTED_VALUE"""),51.0)</f>
        <v>51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 t="str">
        <f>IFERROR(__xludf.DUMMYFUNCTION("""COMPUTED_VALUE"""),"C")</f>
        <v>C</v>
      </c>
      <c r="E1917" s="1" t="str">
        <f>IFERROR(__xludf.DUMMYFUNCTION("""COMPUTED_VALUE"""),"Male")</f>
        <v>Male</v>
      </c>
      <c r="F1917" s="1">
        <f>IFERROR(__xludf.DUMMYFUNCTION("""COMPUTED_VALUE"""),37.0)</f>
        <v>37</v>
      </c>
      <c r="G1917" s="1">
        <f>IFERROR(__xludf.DUMMYFUNCTION("""COMPUTED_VALUE"""),51.0)</f>
        <v>51</v>
      </c>
      <c r="H1917" s="1">
        <f>IFERROR(__xludf.DUMMYFUNCTION("""COMPUTED_VALUE"""),82.0)</f>
        <v>82</v>
      </c>
      <c r="I1917" s="1">
        <f>IFERROR(__xludf.DUMMYFUNCTION("""COMPUTED_VALUE"""),63.0)</f>
        <v>63</v>
      </c>
      <c r="J1917" s="1">
        <f>IFERROR(__xludf.DUMMYFUNCTION("""COMPUTED_VALUE"""),58.0)</f>
        <v>58</v>
      </c>
      <c r="K1917" s="1">
        <f>IFERROR(__xludf.DUMMYFUNCTION("""COMPUTED_VALUE"""),84.0)</f>
        <v>84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 t="str">
        <f>IFERROR(__xludf.DUMMYFUNCTION("""COMPUTED_VALUE"""),"A")</f>
        <v>A</v>
      </c>
      <c r="E1918" s="1" t="str">
        <f>IFERROR(__xludf.DUMMYFUNCTION("""COMPUTED_VALUE"""),"Male")</f>
        <v>Male</v>
      </c>
      <c r="F1918" s="1">
        <f>IFERROR(__xludf.DUMMYFUNCTION("""COMPUTED_VALUE"""),90.0)</f>
        <v>90</v>
      </c>
      <c r="G1918" s="1">
        <f>IFERROR(__xludf.DUMMYFUNCTION("""COMPUTED_VALUE"""),40.0)</f>
        <v>40</v>
      </c>
      <c r="H1918" s="1">
        <f>IFERROR(__xludf.DUMMYFUNCTION("""COMPUTED_VALUE"""),73.0)</f>
        <v>73</v>
      </c>
      <c r="I1918" s="1">
        <f>IFERROR(__xludf.DUMMYFUNCTION("""COMPUTED_VALUE"""),85.0)</f>
        <v>85</v>
      </c>
      <c r="J1918" s="1">
        <f>IFERROR(__xludf.DUMMYFUNCTION("""COMPUTED_VALUE"""),46.0)</f>
        <v>46</v>
      </c>
      <c r="K1918" s="1">
        <f>IFERROR(__xludf.DUMMYFUNCTION("""COMPUTED_VALUE"""),34.0)</f>
        <v>34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 t="str">
        <f>IFERROR(__xludf.DUMMYFUNCTION("""COMPUTED_VALUE"""),"A")</f>
        <v>A</v>
      </c>
      <c r="E1919" s="1" t="str">
        <f>IFERROR(__xludf.DUMMYFUNCTION("""COMPUTED_VALUE"""),"Female")</f>
        <v>Female</v>
      </c>
      <c r="F1919" s="1">
        <f>IFERROR(__xludf.DUMMYFUNCTION("""COMPUTED_VALUE"""),15.0)</f>
        <v>15</v>
      </c>
      <c r="G1919" s="1">
        <f>IFERROR(__xludf.DUMMYFUNCTION("""COMPUTED_VALUE"""),33.0)</f>
        <v>33</v>
      </c>
      <c r="H1919" s="1">
        <f>IFERROR(__xludf.DUMMYFUNCTION("""COMPUTED_VALUE"""),53.0)</f>
        <v>53</v>
      </c>
      <c r="I1919" s="1">
        <f>IFERROR(__xludf.DUMMYFUNCTION("""COMPUTED_VALUE"""),40.0)</f>
        <v>40</v>
      </c>
      <c r="J1919" s="1">
        <f>IFERROR(__xludf.DUMMYFUNCTION("""COMPUTED_VALUE"""),88.0)</f>
        <v>88</v>
      </c>
      <c r="K1919" s="1">
        <f>IFERROR(__xludf.DUMMYFUNCTION("""COMPUTED_VALUE"""),57.0)</f>
        <v>57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 t="str">
        <f>IFERROR(__xludf.DUMMYFUNCTION("""COMPUTED_VALUE"""),"D")</f>
        <v>D</v>
      </c>
      <c r="E1920" s="1" t="str">
        <f>IFERROR(__xludf.DUMMYFUNCTION("""COMPUTED_VALUE"""),"Female")</f>
        <v>Female</v>
      </c>
      <c r="F1920" s="1">
        <f>IFERROR(__xludf.DUMMYFUNCTION("""COMPUTED_VALUE"""),33.0)</f>
        <v>33</v>
      </c>
      <c r="G1920" s="1">
        <f>IFERROR(__xludf.DUMMYFUNCTION("""COMPUTED_VALUE"""),25.0)</f>
        <v>25</v>
      </c>
      <c r="H1920" s="1">
        <f>IFERROR(__xludf.DUMMYFUNCTION("""COMPUTED_VALUE"""),30.0)</f>
        <v>30</v>
      </c>
      <c r="I1920" s="1">
        <f>IFERROR(__xludf.DUMMYFUNCTION("""COMPUTED_VALUE"""),60.0)</f>
        <v>60</v>
      </c>
      <c r="J1920" s="1">
        <f>IFERROR(__xludf.DUMMYFUNCTION("""COMPUTED_VALUE"""),87.0)</f>
        <v>87</v>
      </c>
      <c r="K1920" s="1">
        <f>IFERROR(__xludf.DUMMYFUNCTION("""COMPUTED_VALUE"""),80.0)</f>
        <v>80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 t="str">
        <f>IFERROR(__xludf.DUMMYFUNCTION("""COMPUTED_VALUE"""),"D")</f>
        <v>D</v>
      </c>
      <c r="E1921" s="1" t="str">
        <f>IFERROR(__xludf.DUMMYFUNCTION("""COMPUTED_VALUE"""),"Female")</f>
        <v>Female</v>
      </c>
      <c r="F1921" s="1">
        <f>IFERROR(__xludf.DUMMYFUNCTION("""COMPUTED_VALUE"""),61.0)</f>
        <v>61</v>
      </c>
      <c r="G1921" s="1">
        <f>IFERROR(__xludf.DUMMYFUNCTION("""COMPUTED_VALUE"""),37.0)</f>
        <v>37</v>
      </c>
      <c r="H1921" s="1">
        <f>IFERROR(__xludf.DUMMYFUNCTION("""COMPUTED_VALUE"""),74.0)</f>
        <v>74</v>
      </c>
      <c r="I1921" s="1">
        <f>IFERROR(__xludf.DUMMYFUNCTION("""COMPUTED_VALUE"""),74.0)</f>
        <v>74</v>
      </c>
      <c r="J1921" s="1">
        <f>IFERROR(__xludf.DUMMYFUNCTION("""COMPUTED_VALUE"""),55.0)</f>
        <v>55</v>
      </c>
      <c r="K1921" s="1">
        <f>IFERROR(__xludf.DUMMYFUNCTION("""COMPUTED_VALUE"""),96.0)</f>
        <v>96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 t="str">
        <f>IFERROR(__xludf.DUMMYFUNCTION("""COMPUTED_VALUE"""),"D")</f>
        <v>D</v>
      </c>
      <c r="E1922" s="1" t="str">
        <f>IFERROR(__xludf.DUMMYFUNCTION("""COMPUTED_VALUE"""),"Male")</f>
        <v>Male</v>
      </c>
      <c r="F1922" s="1">
        <f>IFERROR(__xludf.DUMMYFUNCTION("""COMPUTED_VALUE"""),43.0)</f>
        <v>43</v>
      </c>
      <c r="G1922" s="1">
        <f>IFERROR(__xludf.DUMMYFUNCTION("""COMPUTED_VALUE"""),38.0)</f>
        <v>38</v>
      </c>
      <c r="H1922" s="1">
        <f>IFERROR(__xludf.DUMMYFUNCTION("""COMPUTED_VALUE"""),46.0)</f>
        <v>46</v>
      </c>
      <c r="I1922" s="1">
        <f>IFERROR(__xludf.DUMMYFUNCTION("""COMPUTED_VALUE"""),48.0)</f>
        <v>48</v>
      </c>
      <c r="J1922" s="1">
        <f>IFERROR(__xludf.DUMMYFUNCTION("""COMPUTED_VALUE"""),99.0)</f>
        <v>99</v>
      </c>
      <c r="K1922" s="1">
        <f>IFERROR(__xludf.DUMMYFUNCTION("""COMPUTED_VALUE"""),35.0)</f>
        <v>35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 t="str">
        <f>IFERROR(__xludf.DUMMYFUNCTION("""COMPUTED_VALUE"""),"A")</f>
        <v>A</v>
      </c>
      <c r="E1923" s="1" t="str">
        <f>IFERROR(__xludf.DUMMYFUNCTION("""COMPUTED_VALUE"""),"Female")</f>
        <v>Female</v>
      </c>
      <c r="F1923" s="1">
        <f>IFERROR(__xludf.DUMMYFUNCTION("""COMPUTED_VALUE"""),10.0)</f>
        <v>10</v>
      </c>
      <c r="G1923" s="1">
        <f>IFERROR(__xludf.DUMMYFUNCTION("""COMPUTED_VALUE"""),60.0)</f>
        <v>60</v>
      </c>
      <c r="H1923" s="1">
        <f>IFERROR(__xludf.DUMMYFUNCTION("""COMPUTED_VALUE"""),82.0)</f>
        <v>82</v>
      </c>
      <c r="I1923" s="1">
        <f>IFERROR(__xludf.DUMMYFUNCTION("""COMPUTED_VALUE"""),40.0)</f>
        <v>40</v>
      </c>
      <c r="J1923" s="1">
        <f>IFERROR(__xludf.DUMMYFUNCTION("""COMPUTED_VALUE"""),66.0)</f>
        <v>66</v>
      </c>
      <c r="K1923" s="1">
        <f>IFERROR(__xludf.DUMMYFUNCTION("""COMPUTED_VALUE"""),77.0)</f>
        <v>77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 t="str">
        <f>IFERROR(__xludf.DUMMYFUNCTION("""COMPUTED_VALUE"""),"C")</f>
        <v>C</v>
      </c>
      <c r="E1924" s="1" t="str">
        <f>IFERROR(__xludf.DUMMYFUNCTION("""COMPUTED_VALUE"""),"Male")</f>
        <v>Male</v>
      </c>
      <c r="F1924" s="1">
        <f>IFERROR(__xludf.DUMMYFUNCTION("""COMPUTED_VALUE"""),80.0)</f>
        <v>80</v>
      </c>
      <c r="G1924" s="1">
        <f>IFERROR(__xludf.DUMMYFUNCTION("""COMPUTED_VALUE"""),90.0)</f>
        <v>90</v>
      </c>
      <c r="H1924" s="1">
        <f>IFERROR(__xludf.DUMMYFUNCTION("""COMPUTED_VALUE"""),22.0)</f>
        <v>22</v>
      </c>
      <c r="I1924" s="1">
        <f>IFERROR(__xludf.DUMMYFUNCTION("""COMPUTED_VALUE"""),51.0)</f>
        <v>51</v>
      </c>
      <c r="J1924" s="1">
        <f>IFERROR(__xludf.DUMMYFUNCTION("""COMPUTED_VALUE"""),42.0)</f>
        <v>42</v>
      </c>
      <c r="K1924" s="1">
        <f>IFERROR(__xludf.DUMMYFUNCTION("""COMPUTED_VALUE"""),65.0)</f>
        <v>65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 t="str">
        <f>IFERROR(__xludf.DUMMYFUNCTION("""COMPUTED_VALUE"""),"D")</f>
        <v>D</v>
      </c>
      <c r="E1925" s="1" t="str">
        <f>IFERROR(__xludf.DUMMYFUNCTION("""COMPUTED_VALUE"""),"Female")</f>
        <v>Female</v>
      </c>
      <c r="F1925" s="1">
        <f>IFERROR(__xludf.DUMMYFUNCTION("""COMPUTED_VALUE"""),14.0)</f>
        <v>14</v>
      </c>
      <c r="G1925" s="1">
        <f>IFERROR(__xludf.DUMMYFUNCTION("""COMPUTED_VALUE"""),48.0)</f>
        <v>48</v>
      </c>
      <c r="H1925" s="1">
        <f>IFERROR(__xludf.DUMMYFUNCTION("""COMPUTED_VALUE"""),57.0)</f>
        <v>57</v>
      </c>
      <c r="I1925" s="1">
        <f>IFERROR(__xludf.DUMMYFUNCTION("""COMPUTED_VALUE"""),84.0)</f>
        <v>84</v>
      </c>
      <c r="J1925" s="1">
        <f>IFERROR(__xludf.DUMMYFUNCTION("""COMPUTED_VALUE"""),85.0)</f>
        <v>85</v>
      </c>
      <c r="K1925" s="1">
        <f>IFERROR(__xludf.DUMMYFUNCTION("""COMPUTED_VALUE"""),69.0)</f>
        <v>69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 t="str">
        <f>IFERROR(__xludf.DUMMYFUNCTION("""COMPUTED_VALUE"""),"C")</f>
        <v>C</v>
      </c>
      <c r="E1926" s="1" t="str">
        <f>IFERROR(__xludf.DUMMYFUNCTION("""COMPUTED_VALUE"""),"Male")</f>
        <v>Male</v>
      </c>
      <c r="F1926" s="1">
        <f>IFERROR(__xludf.DUMMYFUNCTION("""COMPUTED_VALUE"""),15.0)</f>
        <v>15</v>
      </c>
      <c r="G1926" s="1">
        <f>IFERROR(__xludf.DUMMYFUNCTION("""COMPUTED_VALUE"""),83.0)</f>
        <v>83</v>
      </c>
      <c r="H1926" s="1">
        <f>IFERROR(__xludf.DUMMYFUNCTION("""COMPUTED_VALUE"""),54.0)</f>
        <v>54</v>
      </c>
      <c r="I1926" s="1">
        <f>IFERROR(__xludf.DUMMYFUNCTION("""COMPUTED_VALUE"""),94.0)</f>
        <v>94</v>
      </c>
      <c r="J1926" s="1">
        <f>IFERROR(__xludf.DUMMYFUNCTION("""COMPUTED_VALUE"""),35.0)</f>
        <v>35</v>
      </c>
      <c r="K1926" s="1">
        <f>IFERROR(__xludf.DUMMYFUNCTION("""COMPUTED_VALUE"""),73.0)</f>
        <v>73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 t="str">
        <f>IFERROR(__xludf.DUMMYFUNCTION("""COMPUTED_VALUE"""),"A")</f>
        <v>A</v>
      </c>
      <c r="E1927" s="1" t="str">
        <f>IFERROR(__xludf.DUMMYFUNCTION("""COMPUTED_VALUE"""),"Female")</f>
        <v>Female</v>
      </c>
      <c r="F1927" s="1">
        <f>IFERROR(__xludf.DUMMYFUNCTION("""COMPUTED_VALUE"""),16.0)</f>
        <v>16</v>
      </c>
      <c r="G1927" s="1">
        <f>IFERROR(__xludf.DUMMYFUNCTION("""COMPUTED_VALUE"""),28.0)</f>
        <v>28</v>
      </c>
      <c r="H1927" s="1">
        <f>IFERROR(__xludf.DUMMYFUNCTION("""COMPUTED_VALUE"""),94.0)</f>
        <v>94</v>
      </c>
      <c r="I1927" s="1">
        <f>IFERROR(__xludf.DUMMYFUNCTION("""COMPUTED_VALUE"""),94.0)</f>
        <v>94</v>
      </c>
      <c r="J1927" s="1">
        <f>IFERROR(__xludf.DUMMYFUNCTION("""COMPUTED_VALUE"""),71.0)</f>
        <v>71</v>
      </c>
      <c r="K1927" s="1">
        <f>IFERROR(__xludf.DUMMYFUNCTION("""COMPUTED_VALUE"""),30.0)</f>
        <v>30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 t="str">
        <f>IFERROR(__xludf.DUMMYFUNCTION("""COMPUTED_VALUE"""),"A")</f>
        <v>A</v>
      </c>
      <c r="E1928" s="1" t="str">
        <f>IFERROR(__xludf.DUMMYFUNCTION("""COMPUTED_VALUE"""),"Female")</f>
        <v>Female</v>
      </c>
      <c r="F1928" s="1">
        <f>IFERROR(__xludf.DUMMYFUNCTION("""COMPUTED_VALUE"""),41.0)</f>
        <v>41</v>
      </c>
      <c r="G1928" s="1">
        <f>IFERROR(__xludf.DUMMYFUNCTION("""COMPUTED_VALUE"""),42.0)</f>
        <v>42</v>
      </c>
      <c r="H1928" s="1">
        <f>IFERROR(__xludf.DUMMYFUNCTION("""COMPUTED_VALUE"""),40.0)</f>
        <v>40</v>
      </c>
      <c r="I1928" s="1">
        <f>IFERROR(__xludf.DUMMYFUNCTION("""COMPUTED_VALUE"""),67.0)</f>
        <v>67</v>
      </c>
      <c r="J1928" s="1">
        <f>IFERROR(__xludf.DUMMYFUNCTION("""COMPUTED_VALUE"""),91.0)</f>
        <v>91</v>
      </c>
      <c r="K1928" s="1">
        <f>IFERROR(__xludf.DUMMYFUNCTION("""COMPUTED_VALUE"""),89.0)</f>
        <v>89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 t="str">
        <f>IFERROR(__xludf.DUMMYFUNCTION("""COMPUTED_VALUE"""),"C")</f>
        <v>C</v>
      </c>
      <c r="E1929" s="1" t="str">
        <f>IFERROR(__xludf.DUMMYFUNCTION("""COMPUTED_VALUE"""),"Female")</f>
        <v>Female</v>
      </c>
      <c r="F1929" s="1">
        <f>IFERROR(__xludf.DUMMYFUNCTION("""COMPUTED_VALUE"""),67.0)</f>
        <v>67</v>
      </c>
      <c r="G1929" s="1">
        <f>IFERROR(__xludf.DUMMYFUNCTION("""COMPUTED_VALUE"""),26.0)</f>
        <v>26</v>
      </c>
      <c r="H1929" s="1">
        <f>IFERROR(__xludf.DUMMYFUNCTION("""COMPUTED_VALUE"""),42.0)</f>
        <v>42</v>
      </c>
      <c r="I1929" s="1">
        <f>IFERROR(__xludf.DUMMYFUNCTION("""COMPUTED_VALUE"""),85.0)</f>
        <v>85</v>
      </c>
      <c r="J1929" s="1">
        <f>IFERROR(__xludf.DUMMYFUNCTION("""COMPUTED_VALUE"""),96.0)</f>
        <v>96</v>
      </c>
      <c r="K1929" s="1">
        <f>IFERROR(__xludf.DUMMYFUNCTION("""COMPUTED_VALUE"""),98.0)</f>
        <v>98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 t="str">
        <f>IFERROR(__xludf.DUMMYFUNCTION("""COMPUTED_VALUE"""),"C")</f>
        <v>C</v>
      </c>
      <c r="E1930" s="1" t="str">
        <f>IFERROR(__xludf.DUMMYFUNCTION("""COMPUTED_VALUE"""),"Male")</f>
        <v>Male</v>
      </c>
      <c r="F1930" s="1">
        <f>IFERROR(__xludf.DUMMYFUNCTION("""COMPUTED_VALUE"""),32.0)</f>
        <v>32</v>
      </c>
      <c r="G1930" s="1">
        <f>IFERROR(__xludf.DUMMYFUNCTION("""COMPUTED_VALUE"""),51.0)</f>
        <v>51</v>
      </c>
      <c r="H1930" s="1">
        <f>IFERROR(__xludf.DUMMYFUNCTION("""COMPUTED_VALUE"""),23.0)</f>
        <v>23</v>
      </c>
      <c r="I1930" s="1">
        <f>IFERROR(__xludf.DUMMYFUNCTION("""COMPUTED_VALUE"""),39.0)</f>
        <v>39</v>
      </c>
      <c r="J1930" s="1">
        <f>IFERROR(__xludf.DUMMYFUNCTION("""COMPUTED_VALUE"""),24.0)</f>
        <v>24</v>
      </c>
      <c r="K1930" s="1">
        <f>IFERROR(__xludf.DUMMYFUNCTION("""COMPUTED_VALUE"""),56.0)</f>
        <v>56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 t="str">
        <f>IFERROR(__xludf.DUMMYFUNCTION("""COMPUTED_VALUE"""),"A")</f>
        <v>A</v>
      </c>
      <c r="E1931" s="1" t="str">
        <f>IFERROR(__xludf.DUMMYFUNCTION("""COMPUTED_VALUE"""),"Male")</f>
        <v>Male</v>
      </c>
      <c r="F1931" s="1">
        <f>IFERROR(__xludf.DUMMYFUNCTION("""COMPUTED_VALUE"""),43.0)</f>
        <v>43</v>
      </c>
      <c r="G1931" s="1">
        <f>IFERROR(__xludf.DUMMYFUNCTION("""COMPUTED_VALUE"""),47.0)</f>
        <v>47</v>
      </c>
      <c r="H1931" s="1">
        <f>IFERROR(__xludf.DUMMYFUNCTION("""COMPUTED_VALUE"""),73.0)</f>
        <v>73</v>
      </c>
      <c r="I1931" s="1">
        <f>IFERROR(__xludf.DUMMYFUNCTION("""COMPUTED_VALUE"""),96.0)</f>
        <v>96</v>
      </c>
      <c r="J1931" s="1">
        <f>IFERROR(__xludf.DUMMYFUNCTION("""COMPUTED_VALUE"""),64.0)</f>
        <v>64</v>
      </c>
      <c r="K1931" s="1">
        <f>IFERROR(__xludf.DUMMYFUNCTION("""COMPUTED_VALUE"""),54.0)</f>
        <v>54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 t="str">
        <f>IFERROR(__xludf.DUMMYFUNCTION("""COMPUTED_VALUE"""),"C")</f>
        <v>C</v>
      </c>
      <c r="E1932" s="1" t="str">
        <f>IFERROR(__xludf.DUMMYFUNCTION("""COMPUTED_VALUE"""),"Female")</f>
        <v>Female</v>
      </c>
      <c r="F1932" s="1">
        <f>IFERROR(__xludf.DUMMYFUNCTION("""COMPUTED_VALUE"""),60.0)</f>
        <v>60</v>
      </c>
      <c r="G1932" s="1">
        <f>IFERROR(__xludf.DUMMYFUNCTION("""COMPUTED_VALUE"""),59.0)</f>
        <v>59</v>
      </c>
      <c r="H1932" s="1">
        <f>IFERROR(__xludf.DUMMYFUNCTION("""COMPUTED_VALUE"""),28.0)</f>
        <v>28</v>
      </c>
      <c r="I1932" s="1">
        <f>IFERROR(__xludf.DUMMYFUNCTION("""COMPUTED_VALUE"""),91.0)</f>
        <v>91</v>
      </c>
      <c r="J1932" s="1">
        <f>IFERROR(__xludf.DUMMYFUNCTION("""COMPUTED_VALUE"""),25.0)</f>
        <v>25</v>
      </c>
      <c r="K1932" s="1">
        <f>IFERROR(__xludf.DUMMYFUNCTION("""COMPUTED_VALUE"""),30.0)</f>
        <v>30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 t="str">
        <f>IFERROR(__xludf.DUMMYFUNCTION("""COMPUTED_VALUE"""),"D")</f>
        <v>D</v>
      </c>
      <c r="E1933" s="1" t="str">
        <f>IFERROR(__xludf.DUMMYFUNCTION("""COMPUTED_VALUE"""),"Female")</f>
        <v>Female</v>
      </c>
      <c r="F1933" s="1">
        <f>IFERROR(__xludf.DUMMYFUNCTION("""COMPUTED_VALUE"""),17.0)</f>
        <v>17</v>
      </c>
      <c r="G1933" s="1">
        <f>IFERROR(__xludf.DUMMYFUNCTION("""COMPUTED_VALUE"""),81.0)</f>
        <v>81</v>
      </c>
      <c r="H1933" s="1">
        <f>IFERROR(__xludf.DUMMYFUNCTION("""COMPUTED_VALUE"""),25.0)</f>
        <v>25</v>
      </c>
      <c r="I1933" s="1">
        <f>IFERROR(__xludf.DUMMYFUNCTION("""COMPUTED_VALUE"""),93.0)</f>
        <v>93</v>
      </c>
      <c r="J1933" s="1">
        <f>IFERROR(__xludf.DUMMYFUNCTION("""COMPUTED_VALUE"""),97.0)</f>
        <v>97</v>
      </c>
      <c r="K1933" s="1">
        <f>IFERROR(__xludf.DUMMYFUNCTION("""COMPUTED_VALUE"""),65.0)</f>
        <v>65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 t="str">
        <f>IFERROR(__xludf.DUMMYFUNCTION("""COMPUTED_VALUE"""),"A")</f>
        <v>A</v>
      </c>
      <c r="E1934" s="1" t="str">
        <f>IFERROR(__xludf.DUMMYFUNCTION("""COMPUTED_VALUE"""),"Male")</f>
        <v>Male</v>
      </c>
      <c r="F1934" s="1">
        <f>IFERROR(__xludf.DUMMYFUNCTION("""COMPUTED_VALUE"""),74.0)</f>
        <v>74</v>
      </c>
      <c r="G1934" s="1">
        <f>IFERROR(__xludf.DUMMYFUNCTION("""COMPUTED_VALUE"""),92.0)</f>
        <v>92</v>
      </c>
      <c r="H1934" s="1">
        <f>IFERROR(__xludf.DUMMYFUNCTION("""COMPUTED_VALUE"""),82.0)</f>
        <v>82</v>
      </c>
      <c r="I1934" s="1">
        <f>IFERROR(__xludf.DUMMYFUNCTION("""COMPUTED_VALUE"""),26.0)</f>
        <v>26</v>
      </c>
      <c r="J1934" s="1">
        <f>IFERROR(__xludf.DUMMYFUNCTION("""COMPUTED_VALUE"""),23.0)</f>
        <v>23</v>
      </c>
      <c r="K1934" s="1">
        <f>IFERROR(__xludf.DUMMYFUNCTION("""COMPUTED_VALUE"""),87.0)</f>
        <v>87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 t="str">
        <f>IFERROR(__xludf.DUMMYFUNCTION("""COMPUTED_VALUE"""),"B")</f>
        <v>B</v>
      </c>
      <c r="E1935" s="1" t="str">
        <f>IFERROR(__xludf.DUMMYFUNCTION("""COMPUTED_VALUE"""),"Male")</f>
        <v>Male</v>
      </c>
      <c r="F1935" s="1">
        <f>IFERROR(__xludf.DUMMYFUNCTION("""COMPUTED_VALUE"""),98.0)</f>
        <v>98</v>
      </c>
      <c r="G1935" s="1">
        <f>IFERROR(__xludf.DUMMYFUNCTION("""COMPUTED_VALUE"""),64.0)</f>
        <v>64</v>
      </c>
      <c r="H1935" s="1">
        <f>IFERROR(__xludf.DUMMYFUNCTION("""COMPUTED_VALUE"""),58.0)</f>
        <v>58</v>
      </c>
      <c r="I1935" s="1">
        <f>IFERROR(__xludf.DUMMYFUNCTION("""COMPUTED_VALUE"""),78.0)</f>
        <v>78</v>
      </c>
      <c r="J1935" s="1">
        <f>IFERROR(__xludf.DUMMYFUNCTION("""COMPUTED_VALUE"""),39.0)</f>
        <v>39</v>
      </c>
      <c r="K1935" s="1">
        <f>IFERROR(__xludf.DUMMYFUNCTION("""COMPUTED_VALUE"""),52.0)</f>
        <v>52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 t="str">
        <f>IFERROR(__xludf.DUMMYFUNCTION("""COMPUTED_VALUE"""),"A")</f>
        <v>A</v>
      </c>
      <c r="E1936" s="1" t="str">
        <f>IFERROR(__xludf.DUMMYFUNCTION("""COMPUTED_VALUE"""),"Male")</f>
        <v>Male</v>
      </c>
      <c r="F1936" s="1">
        <f>IFERROR(__xludf.DUMMYFUNCTION("""COMPUTED_VALUE"""),87.0)</f>
        <v>87</v>
      </c>
      <c r="G1936" s="1">
        <f>IFERROR(__xludf.DUMMYFUNCTION("""COMPUTED_VALUE"""),40.0)</f>
        <v>40</v>
      </c>
      <c r="H1936" s="1">
        <f>IFERROR(__xludf.DUMMYFUNCTION("""COMPUTED_VALUE"""),68.0)</f>
        <v>68</v>
      </c>
      <c r="I1936" s="1">
        <f>IFERROR(__xludf.DUMMYFUNCTION("""COMPUTED_VALUE"""),87.0)</f>
        <v>87</v>
      </c>
      <c r="J1936" s="1">
        <f>IFERROR(__xludf.DUMMYFUNCTION("""COMPUTED_VALUE"""),76.0)</f>
        <v>76</v>
      </c>
      <c r="K1936" s="1">
        <f>IFERROR(__xludf.DUMMYFUNCTION("""COMPUTED_VALUE"""),57.0)</f>
        <v>57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 t="str">
        <f>IFERROR(__xludf.DUMMYFUNCTION("""COMPUTED_VALUE"""),"B")</f>
        <v>B</v>
      </c>
      <c r="E1937" s="1" t="str">
        <f>IFERROR(__xludf.DUMMYFUNCTION("""COMPUTED_VALUE"""),"Male")</f>
        <v>Male</v>
      </c>
      <c r="F1937" s="1">
        <f>IFERROR(__xludf.DUMMYFUNCTION("""COMPUTED_VALUE"""),29.0)</f>
        <v>29</v>
      </c>
      <c r="G1937" s="1">
        <f>IFERROR(__xludf.DUMMYFUNCTION("""COMPUTED_VALUE"""),40.0)</f>
        <v>40</v>
      </c>
      <c r="H1937" s="1">
        <f>IFERROR(__xludf.DUMMYFUNCTION("""COMPUTED_VALUE"""),84.0)</f>
        <v>84</v>
      </c>
      <c r="I1937" s="1">
        <f>IFERROR(__xludf.DUMMYFUNCTION("""COMPUTED_VALUE"""),32.0)</f>
        <v>32</v>
      </c>
      <c r="J1937" s="1">
        <f>IFERROR(__xludf.DUMMYFUNCTION("""COMPUTED_VALUE"""),78.0)</f>
        <v>78</v>
      </c>
      <c r="K1937" s="1">
        <f>IFERROR(__xludf.DUMMYFUNCTION("""COMPUTED_VALUE"""),94.0)</f>
        <v>94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 t="str">
        <f>IFERROR(__xludf.DUMMYFUNCTION("""COMPUTED_VALUE"""),"D")</f>
        <v>D</v>
      </c>
      <c r="E1938" s="1" t="str">
        <f>IFERROR(__xludf.DUMMYFUNCTION("""COMPUTED_VALUE"""),"Male")</f>
        <v>Male</v>
      </c>
      <c r="F1938" s="1">
        <f>IFERROR(__xludf.DUMMYFUNCTION("""COMPUTED_VALUE"""),72.0)</f>
        <v>72</v>
      </c>
      <c r="G1938" s="1">
        <f>IFERROR(__xludf.DUMMYFUNCTION("""COMPUTED_VALUE"""),32.0)</f>
        <v>32</v>
      </c>
      <c r="H1938" s="1">
        <f>IFERROR(__xludf.DUMMYFUNCTION("""COMPUTED_VALUE"""),82.0)</f>
        <v>82</v>
      </c>
      <c r="I1938" s="1">
        <f>IFERROR(__xludf.DUMMYFUNCTION("""COMPUTED_VALUE"""),49.0)</f>
        <v>49</v>
      </c>
      <c r="J1938" s="1">
        <f>IFERROR(__xludf.DUMMYFUNCTION("""COMPUTED_VALUE"""),94.0)</f>
        <v>94</v>
      </c>
      <c r="K1938" s="1">
        <f>IFERROR(__xludf.DUMMYFUNCTION("""COMPUTED_VALUE"""),54.0)</f>
        <v>54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 t="str">
        <f>IFERROR(__xludf.DUMMYFUNCTION("""COMPUTED_VALUE"""),"B")</f>
        <v>B</v>
      </c>
      <c r="E1939" s="1" t="str">
        <f>IFERROR(__xludf.DUMMYFUNCTION("""COMPUTED_VALUE"""),"Male")</f>
        <v>Male</v>
      </c>
      <c r="F1939" s="1">
        <f>IFERROR(__xludf.DUMMYFUNCTION("""COMPUTED_VALUE"""),48.0)</f>
        <v>48</v>
      </c>
      <c r="G1939" s="1">
        <f>IFERROR(__xludf.DUMMYFUNCTION("""COMPUTED_VALUE"""),86.0)</f>
        <v>86</v>
      </c>
      <c r="H1939" s="1">
        <f>IFERROR(__xludf.DUMMYFUNCTION("""COMPUTED_VALUE"""),93.0)</f>
        <v>93</v>
      </c>
      <c r="I1939" s="1">
        <f>IFERROR(__xludf.DUMMYFUNCTION("""COMPUTED_VALUE"""),82.0)</f>
        <v>82</v>
      </c>
      <c r="J1939" s="1">
        <f>IFERROR(__xludf.DUMMYFUNCTION("""COMPUTED_VALUE"""),93.0)</f>
        <v>93</v>
      </c>
      <c r="K1939" s="1">
        <f>IFERROR(__xludf.DUMMYFUNCTION("""COMPUTED_VALUE"""),60.0)</f>
        <v>60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 t="str">
        <f>IFERROR(__xludf.DUMMYFUNCTION("""COMPUTED_VALUE"""),"B")</f>
        <v>B</v>
      </c>
      <c r="E1940" s="1" t="str">
        <f>IFERROR(__xludf.DUMMYFUNCTION("""COMPUTED_VALUE"""),"Male")</f>
        <v>Male</v>
      </c>
      <c r="F1940" s="1">
        <f>IFERROR(__xludf.DUMMYFUNCTION("""COMPUTED_VALUE"""),82.0)</f>
        <v>82</v>
      </c>
      <c r="G1940" s="1">
        <f>IFERROR(__xludf.DUMMYFUNCTION("""COMPUTED_VALUE"""),86.0)</f>
        <v>86</v>
      </c>
      <c r="H1940" s="1">
        <f>IFERROR(__xludf.DUMMYFUNCTION("""COMPUTED_VALUE"""),38.0)</f>
        <v>38</v>
      </c>
      <c r="I1940" s="1">
        <f>IFERROR(__xludf.DUMMYFUNCTION("""COMPUTED_VALUE"""),59.0)</f>
        <v>59</v>
      </c>
      <c r="J1940" s="1">
        <f>IFERROR(__xludf.DUMMYFUNCTION("""COMPUTED_VALUE"""),56.0)</f>
        <v>56</v>
      </c>
      <c r="K1940" s="1">
        <f>IFERROR(__xludf.DUMMYFUNCTION("""COMPUTED_VALUE"""),51.0)</f>
        <v>51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 t="str">
        <f>IFERROR(__xludf.DUMMYFUNCTION("""COMPUTED_VALUE"""),"D")</f>
        <v>D</v>
      </c>
      <c r="E1941" s="1" t="str">
        <f>IFERROR(__xludf.DUMMYFUNCTION("""COMPUTED_VALUE"""),"Male")</f>
        <v>Male</v>
      </c>
      <c r="F1941" s="1">
        <f>IFERROR(__xludf.DUMMYFUNCTION("""COMPUTED_VALUE"""),10.0)</f>
        <v>10</v>
      </c>
      <c r="G1941" s="1">
        <f>IFERROR(__xludf.DUMMYFUNCTION("""COMPUTED_VALUE"""),29.0)</f>
        <v>29</v>
      </c>
      <c r="H1941" s="1">
        <f>IFERROR(__xludf.DUMMYFUNCTION("""COMPUTED_VALUE"""),35.0)</f>
        <v>35</v>
      </c>
      <c r="I1941" s="1">
        <f>IFERROR(__xludf.DUMMYFUNCTION("""COMPUTED_VALUE"""),72.0)</f>
        <v>72</v>
      </c>
      <c r="J1941" s="1">
        <f>IFERROR(__xludf.DUMMYFUNCTION("""COMPUTED_VALUE"""),93.0)</f>
        <v>93</v>
      </c>
      <c r="K1941" s="1">
        <f>IFERROR(__xludf.DUMMYFUNCTION("""COMPUTED_VALUE"""),69.0)</f>
        <v>69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 t="str">
        <f>IFERROR(__xludf.DUMMYFUNCTION("""COMPUTED_VALUE"""),"C")</f>
        <v>C</v>
      </c>
      <c r="E1942" s="1" t="str">
        <f>IFERROR(__xludf.DUMMYFUNCTION("""COMPUTED_VALUE"""),"Male")</f>
        <v>Male</v>
      </c>
      <c r="F1942" s="1">
        <f>IFERROR(__xludf.DUMMYFUNCTION("""COMPUTED_VALUE"""),83.0)</f>
        <v>83</v>
      </c>
      <c r="G1942" s="1">
        <f>IFERROR(__xludf.DUMMYFUNCTION("""COMPUTED_VALUE"""),81.0)</f>
        <v>81</v>
      </c>
      <c r="H1942" s="1">
        <f>IFERROR(__xludf.DUMMYFUNCTION("""COMPUTED_VALUE"""),59.0)</f>
        <v>59</v>
      </c>
      <c r="I1942" s="1">
        <f>IFERROR(__xludf.DUMMYFUNCTION("""COMPUTED_VALUE"""),96.0)</f>
        <v>96</v>
      </c>
      <c r="J1942" s="1">
        <f>IFERROR(__xludf.DUMMYFUNCTION("""COMPUTED_VALUE"""),43.0)</f>
        <v>43</v>
      </c>
      <c r="K1942" s="1">
        <f>IFERROR(__xludf.DUMMYFUNCTION("""COMPUTED_VALUE"""),98.0)</f>
        <v>98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 t="str">
        <f>IFERROR(__xludf.DUMMYFUNCTION("""COMPUTED_VALUE"""),"C")</f>
        <v>C</v>
      </c>
      <c r="E1943" s="1" t="str">
        <f>IFERROR(__xludf.DUMMYFUNCTION("""COMPUTED_VALUE"""),"Male")</f>
        <v>Male</v>
      </c>
      <c r="F1943" s="1">
        <f>IFERROR(__xludf.DUMMYFUNCTION("""COMPUTED_VALUE"""),12.0)</f>
        <v>12</v>
      </c>
      <c r="G1943" s="1">
        <f>IFERROR(__xludf.DUMMYFUNCTION("""COMPUTED_VALUE"""),59.0)</f>
        <v>59</v>
      </c>
      <c r="H1943" s="1">
        <f>IFERROR(__xludf.DUMMYFUNCTION("""COMPUTED_VALUE"""),63.0)</f>
        <v>63</v>
      </c>
      <c r="I1943" s="1">
        <f>IFERROR(__xludf.DUMMYFUNCTION("""COMPUTED_VALUE"""),49.0)</f>
        <v>49</v>
      </c>
      <c r="J1943" s="1">
        <f>IFERROR(__xludf.DUMMYFUNCTION("""COMPUTED_VALUE"""),78.0)</f>
        <v>78</v>
      </c>
      <c r="K1943" s="1">
        <f>IFERROR(__xludf.DUMMYFUNCTION("""COMPUTED_VALUE"""),56.0)</f>
        <v>56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 t="str">
        <f>IFERROR(__xludf.DUMMYFUNCTION("""COMPUTED_VALUE"""),"A")</f>
        <v>A</v>
      </c>
      <c r="E1944" s="1" t="str">
        <f>IFERROR(__xludf.DUMMYFUNCTION("""COMPUTED_VALUE"""),"Male")</f>
        <v>Male</v>
      </c>
      <c r="F1944" s="1">
        <f>IFERROR(__xludf.DUMMYFUNCTION("""COMPUTED_VALUE"""),20.0)</f>
        <v>20</v>
      </c>
      <c r="G1944" s="1">
        <f>IFERROR(__xludf.DUMMYFUNCTION("""COMPUTED_VALUE"""),49.0)</f>
        <v>49</v>
      </c>
      <c r="H1944" s="1">
        <f>IFERROR(__xludf.DUMMYFUNCTION("""COMPUTED_VALUE"""),27.0)</f>
        <v>27</v>
      </c>
      <c r="I1944" s="1">
        <f>IFERROR(__xludf.DUMMYFUNCTION("""COMPUTED_VALUE"""),43.0)</f>
        <v>43</v>
      </c>
      <c r="J1944" s="1">
        <f>IFERROR(__xludf.DUMMYFUNCTION("""COMPUTED_VALUE"""),75.0)</f>
        <v>75</v>
      </c>
      <c r="K1944" s="1">
        <f>IFERROR(__xludf.DUMMYFUNCTION("""COMPUTED_VALUE"""),41.0)</f>
        <v>41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 t="str">
        <f>IFERROR(__xludf.DUMMYFUNCTION("""COMPUTED_VALUE"""),"C")</f>
        <v>C</v>
      </c>
      <c r="E1945" s="1" t="str">
        <f>IFERROR(__xludf.DUMMYFUNCTION("""COMPUTED_VALUE"""),"Female")</f>
        <v>Female</v>
      </c>
      <c r="F1945" s="1">
        <f>IFERROR(__xludf.DUMMYFUNCTION("""COMPUTED_VALUE"""),62.0)</f>
        <v>62</v>
      </c>
      <c r="G1945" s="1">
        <f>IFERROR(__xludf.DUMMYFUNCTION("""COMPUTED_VALUE"""),79.0)</f>
        <v>79</v>
      </c>
      <c r="H1945" s="1">
        <f>IFERROR(__xludf.DUMMYFUNCTION("""COMPUTED_VALUE"""),58.0)</f>
        <v>58</v>
      </c>
      <c r="I1945" s="1">
        <f>IFERROR(__xludf.DUMMYFUNCTION("""COMPUTED_VALUE"""),58.0)</f>
        <v>58</v>
      </c>
      <c r="J1945" s="1">
        <f>IFERROR(__xludf.DUMMYFUNCTION("""COMPUTED_VALUE"""),44.0)</f>
        <v>44</v>
      </c>
      <c r="K1945" s="1">
        <f>IFERROR(__xludf.DUMMYFUNCTION("""COMPUTED_VALUE"""),68.0)</f>
        <v>68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 t="str">
        <f>IFERROR(__xludf.DUMMYFUNCTION("""COMPUTED_VALUE"""),"A")</f>
        <v>A</v>
      </c>
      <c r="E1946" s="1" t="str">
        <f>IFERROR(__xludf.DUMMYFUNCTION("""COMPUTED_VALUE"""),"Male")</f>
        <v>Male</v>
      </c>
      <c r="F1946" s="1">
        <f>IFERROR(__xludf.DUMMYFUNCTION("""COMPUTED_VALUE"""),54.0)</f>
        <v>54</v>
      </c>
      <c r="G1946" s="1">
        <f>IFERROR(__xludf.DUMMYFUNCTION("""COMPUTED_VALUE"""),23.0)</f>
        <v>23</v>
      </c>
      <c r="H1946" s="1">
        <f>IFERROR(__xludf.DUMMYFUNCTION("""COMPUTED_VALUE"""),25.0)</f>
        <v>25</v>
      </c>
      <c r="I1946" s="1">
        <f>IFERROR(__xludf.DUMMYFUNCTION("""COMPUTED_VALUE"""),55.0)</f>
        <v>55</v>
      </c>
      <c r="J1946" s="1">
        <f>IFERROR(__xludf.DUMMYFUNCTION("""COMPUTED_VALUE"""),66.0)</f>
        <v>66</v>
      </c>
      <c r="K1946" s="1">
        <f>IFERROR(__xludf.DUMMYFUNCTION("""COMPUTED_VALUE"""),20.0)</f>
        <v>20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 t="str">
        <f>IFERROR(__xludf.DUMMYFUNCTION("""COMPUTED_VALUE"""),"D")</f>
        <v>D</v>
      </c>
      <c r="E1947" s="1" t="str">
        <f>IFERROR(__xludf.DUMMYFUNCTION("""COMPUTED_VALUE"""),"Male")</f>
        <v>Male</v>
      </c>
      <c r="F1947" s="1">
        <f>IFERROR(__xludf.DUMMYFUNCTION("""COMPUTED_VALUE"""),59.0)</f>
        <v>59</v>
      </c>
      <c r="G1947" s="1">
        <f>IFERROR(__xludf.DUMMYFUNCTION("""COMPUTED_VALUE"""),48.0)</f>
        <v>48</v>
      </c>
      <c r="H1947" s="1">
        <f>IFERROR(__xludf.DUMMYFUNCTION("""COMPUTED_VALUE"""),74.0)</f>
        <v>74</v>
      </c>
      <c r="I1947" s="1">
        <f>IFERROR(__xludf.DUMMYFUNCTION("""COMPUTED_VALUE"""),27.0)</f>
        <v>27</v>
      </c>
      <c r="J1947" s="1">
        <f>IFERROR(__xludf.DUMMYFUNCTION("""COMPUTED_VALUE"""),69.0)</f>
        <v>69</v>
      </c>
      <c r="K1947" s="1">
        <f>IFERROR(__xludf.DUMMYFUNCTION("""COMPUTED_VALUE"""),48.0)</f>
        <v>48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 t="str">
        <f>IFERROR(__xludf.DUMMYFUNCTION("""COMPUTED_VALUE"""),"A")</f>
        <v>A</v>
      </c>
      <c r="E1948" s="1" t="str">
        <f>IFERROR(__xludf.DUMMYFUNCTION("""COMPUTED_VALUE"""),"Male")</f>
        <v>Male</v>
      </c>
      <c r="F1948" s="1">
        <f>IFERROR(__xludf.DUMMYFUNCTION("""COMPUTED_VALUE"""),13.0)</f>
        <v>13</v>
      </c>
      <c r="G1948" s="1">
        <f>IFERROR(__xludf.DUMMYFUNCTION("""COMPUTED_VALUE"""),53.0)</f>
        <v>53</v>
      </c>
      <c r="H1948" s="1">
        <f>IFERROR(__xludf.DUMMYFUNCTION("""COMPUTED_VALUE"""),55.0)</f>
        <v>55</v>
      </c>
      <c r="I1948" s="1">
        <f>IFERROR(__xludf.DUMMYFUNCTION("""COMPUTED_VALUE"""),53.0)</f>
        <v>53</v>
      </c>
      <c r="J1948" s="1">
        <f>IFERROR(__xludf.DUMMYFUNCTION("""COMPUTED_VALUE"""),58.0)</f>
        <v>58</v>
      </c>
      <c r="K1948" s="1">
        <f>IFERROR(__xludf.DUMMYFUNCTION("""COMPUTED_VALUE"""),61.0)</f>
        <v>61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 t="str">
        <f>IFERROR(__xludf.DUMMYFUNCTION("""COMPUTED_VALUE"""),"D")</f>
        <v>D</v>
      </c>
      <c r="E1949" s="1" t="str">
        <f>IFERROR(__xludf.DUMMYFUNCTION("""COMPUTED_VALUE"""),"Male")</f>
        <v>Male</v>
      </c>
      <c r="F1949" s="1">
        <f>IFERROR(__xludf.DUMMYFUNCTION("""COMPUTED_VALUE"""),79.0)</f>
        <v>79</v>
      </c>
      <c r="G1949" s="1">
        <f>IFERROR(__xludf.DUMMYFUNCTION("""COMPUTED_VALUE"""),59.0)</f>
        <v>59</v>
      </c>
      <c r="H1949" s="1">
        <f>IFERROR(__xludf.DUMMYFUNCTION("""COMPUTED_VALUE"""),56.0)</f>
        <v>56</v>
      </c>
      <c r="I1949" s="1">
        <f>IFERROR(__xludf.DUMMYFUNCTION("""COMPUTED_VALUE"""),85.0)</f>
        <v>85</v>
      </c>
      <c r="J1949" s="1">
        <f>IFERROR(__xludf.DUMMYFUNCTION("""COMPUTED_VALUE"""),77.0)</f>
        <v>77</v>
      </c>
      <c r="K1949" s="1">
        <f>IFERROR(__xludf.DUMMYFUNCTION("""COMPUTED_VALUE"""),63.0)</f>
        <v>63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 t="str">
        <f>IFERROR(__xludf.DUMMYFUNCTION("""COMPUTED_VALUE"""),"C")</f>
        <v>C</v>
      </c>
      <c r="E1950" s="1" t="str">
        <f>IFERROR(__xludf.DUMMYFUNCTION("""COMPUTED_VALUE"""),"Male")</f>
        <v>Male</v>
      </c>
      <c r="F1950" s="1">
        <f>IFERROR(__xludf.DUMMYFUNCTION("""COMPUTED_VALUE"""),62.0)</f>
        <v>62</v>
      </c>
      <c r="G1950" s="1">
        <f>IFERROR(__xludf.DUMMYFUNCTION("""COMPUTED_VALUE"""),95.0)</f>
        <v>95</v>
      </c>
      <c r="H1950" s="1">
        <f>IFERROR(__xludf.DUMMYFUNCTION("""COMPUTED_VALUE"""),72.0)</f>
        <v>72</v>
      </c>
      <c r="I1950" s="1">
        <f>IFERROR(__xludf.DUMMYFUNCTION("""COMPUTED_VALUE"""),77.0)</f>
        <v>77</v>
      </c>
      <c r="J1950" s="1">
        <f>IFERROR(__xludf.DUMMYFUNCTION("""COMPUTED_VALUE"""),53.0)</f>
        <v>53</v>
      </c>
      <c r="K1950" s="1">
        <f>IFERROR(__xludf.DUMMYFUNCTION("""COMPUTED_VALUE"""),90.0)</f>
        <v>90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 t="str">
        <f>IFERROR(__xludf.DUMMYFUNCTION("""COMPUTED_VALUE"""),"A")</f>
        <v>A</v>
      </c>
      <c r="E1951" s="1" t="str">
        <f>IFERROR(__xludf.DUMMYFUNCTION("""COMPUTED_VALUE"""),"Male")</f>
        <v>Male</v>
      </c>
      <c r="F1951" s="1">
        <f>IFERROR(__xludf.DUMMYFUNCTION("""COMPUTED_VALUE"""),41.0)</f>
        <v>41</v>
      </c>
      <c r="G1951" s="1">
        <f>IFERROR(__xludf.DUMMYFUNCTION("""COMPUTED_VALUE"""),43.0)</f>
        <v>43</v>
      </c>
      <c r="H1951" s="1">
        <f>IFERROR(__xludf.DUMMYFUNCTION("""COMPUTED_VALUE"""),84.0)</f>
        <v>84</v>
      </c>
      <c r="I1951" s="1">
        <f>IFERROR(__xludf.DUMMYFUNCTION("""COMPUTED_VALUE"""),25.0)</f>
        <v>25</v>
      </c>
      <c r="J1951" s="1">
        <f>IFERROR(__xludf.DUMMYFUNCTION("""COMPUTED_VALUE"""),49.0)</f>
        <v>49</v>
      </c>
      <c r="K1951" s="1">
        <f>IFERROR(__xludf.DUMMYFUNCTION("""COMPUTED_VALUE"""),24.0)</f>
        <v>24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 t="str">
        <f>IFERROR(__xludf.DUMMYFUNCTION("""COMPUTED_VALUE"""),"D")</f>
        <v>D</v>
      </c>
      <c r="E1952" s="1" t="str">
        <f>IFERROR(__xludf.DUMMYFUNCTION("""COMPUTED_VALUE"""),"Female")</f>
        <v>Female</v>
      </c>
      <c r="F1952" s="1">
        <f>IFERROR(__xludf.DUMMYFUNCTION("""COMPUTED_VALUE"""),88.0)</f>
        <v>88</v>
      </c>
      <c r="G1952" s="1">
        <f>IFERROR(__xludf.DUMMYFUNCTION("""COMPUTED_VALUE"""),36.0)</f>
        <v>36</v>
      </c>
      <c r="H1952" s="1">
        <f>IFERROR(__xludf.DUMMYFUNCTION("""COMPUTED_VALUE"""),78.0)</f>
        <v>78</v>
      </c>
      <c r="I1952" s="1">
        <f>IFERROR(__xludf.DUMMYFUNCTION("""COMPUTED_VALUE"""),54.0)</f>
        <v>54</v>
      </c>
      <c r="J1952" s="1">
        <f>IFERROR(__xludf.DUMMYFUNCTION("""COMPUTED_VALUE"""),68.0)</f>
        <v>68</v>
      </c>
      <c r="K1952" s="1">
        <f>IFERROR(__xludf.DUMMYFUNCTION("""COMPUTED_VALUE"""),60.0)</f>
        <v>60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 t="str">
        <f>IFERROR(__xludf.DUMMYFUNCTION("""COMPUTED_VALUE"""),"C")</f>
        <v>C</v>
      </c>
      <c r="E1953" s="1" t="str">
        <f>IFERROR(__xludf.DUMMYFUNCTION("""COMPUTED_VALUE"""),"Female")</f>
        <v>Female</v>
      </c>
      <c r="F1953" s="1">
        <f>IFERROR(__xludf.DUMMYFUNCTION("""COMPUTED_VALUE"""),93.0)</f>
        <v>93</v>
      </c>
      <c r="G1953" s="1">
        <f>IFERROR(__xludf.DUMMYFUNCTION("""COMPUTED_VALUE"""),67.0)</f>
        <v>67</v>
      </c>
      <c r="H1953" s="1">
        <f>IFERROR(__xludf.DUMMYFUNCTION("""COMPUTED_VALUE"""),35.0)</f>
        <v>35</v>
      </c>
      <c r="I1953" s="1">
        <f>IFERROR(__xludf.DUMMYFUNCTION("""COMPUTED_VALUE"""),42.0)</f>
        <v>42</v>
      </c>
      <c r="J1953" s="1">
        <f>IFERROR(__xludf.DUMMYFUNCTION("""COMPUTED_VALUE"""),52.0)</f>
        <v>52</v>
      </c>
      <c r="K1953" s="1">
        <f>IFERROR(__xludf.DUMMYFUNCTION("""COMPUTED_VALUE"""),89.0)</f>
        <v>89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 t="str">
        <f>IFERROR(__xludf.DUMMYFUNCTION("""COMPUTED_VALUE"""),"A")</f>
        <v>A</v>
      </c>
      <c r="E1954" s="1" t="str">
        <f>IFERROR(__xludf.DUMMYFUNCTION("""COMPUTED_VALUE"""),"Male")</f>
        <v>Male</v>
      </c>
      <c r="F1954" s="1">
        <f>IFERROR(__xludf.DUMMYFUNCTION("""COMPUTED_VALUE"""),62.0)</f>
        <v>62</v>
      </c>
      <c r="G1954" s="1">
        <f>IFERROR(__xludf.DUMMYFUNCTION("""COMPUTED_VALUE"""),46.0)</f>
        <v>46</v>
      </c>
      <c r="H1954" s="1">
        <f>IFERROR(__xludf.DUMMYFUNCTION("""COMPUTED_VALUE"""),63.0)</f>
        <v>63</v>
      </c>
      <c r="I1954" s="1">
        <f>IFERROR(__xludf.DUMMYFUNCTION("""COMPUTED_VALUE"""),60.0)</f>
        <v>60</v>
      </c>
      <c r="J1954" s="1">
        <f>IFERROR(__xludf.DUMMYFUNCTION("""COMPUTED_VALUE"""),95.0)</f>
        <v>95</v>
      </c>
      <c r="K1954" s="1">
        <f>IFERROR(__xludf.DUMMYFUNCTION("""COMPUTED_VALUE"""),64.0)</f>
        <v>64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 t="str">
        <f>IFERROR(__xludf.DUMMYFUNCTION("""COMPUTED_VALUE"""),"D")</f>
        <v>D</v>
      </c>
      <c r="E1955" s="1" t="str">
        <f>IFERROR(__xludf.DUMMYFUNCTION("""COMPUTED_VALUE"""),"Male")</f>
        <v>Male</v>
      </c>
      <c r="F1955" s="1">
        <f>IFERROR(__xludf.DUMMYFUNCTION("""COMPUTED_VALUE"""),17.0)</f>
        <v>17</v>
      </c>
      <c r="G1955" s="1">
        <f>IFERROR(__xludf.DUMMYFUNCTION("""COMPUTED_VALUE"""),41.0)</f>
        <v>41</v>
      </c>
      <c r="H1955" s="1">
        <f>IFERROR(__xludf.DUMMYFUNCTION("""COMPUTED_VALUE"""),87.0)</f>
        <v>87</v>
      </c>
      <c r="I1955" s="1">
        <f>IFERROR(__xludf.DUMMYFUNCTION("""COMPUTED_VALUE"""),91.0)</f>
        <v>91</v>
      </c>
      <c r="J1955" s="1">
        <f>IFERROR(__xludf.DUMMYFUNCTION("""COMPUTED_VALUE"""),87.0)</f>
        <v>87</v>
      </c>
      <c r="K1955" s="1">
        <f>IFERROR(__xludf.DUMMYFUNCTION("""COMPUTED_VALUE"""),65.0)</f>
        <v>65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 t="str">
        <f>IFERROR(__xludf.DUMMYFUNCTION("""COMPUTED_VALUE"""),"C")</f>
        <v>C</v>
      </c>
      <c r="E1956" s="1" t="str">
        <f>IFERROR(__xludf.DUMMYFUNCTION("""COMPUTED_VALUE"""),"Female")</f>
        <v>Female</v>
      </c>
      <c r="F1956" s="1">
        <f>IFERROR(__xludf.DUMMYFUNCTION("""COMPUTED_VALUE"""),82.0)</f>
        <v>82</v>
      </c>
      <c r="G1956" s="1">
        <f>IFERROR(__xludf.DUMMYFUNCTION("""COMPUTED_VALUE"""),40.0)</f>
        <v>40</v>
      </c>
      <c r="H1956" s="1">
        <f>IFERROR(__xludf.DUMMYFUNCTION("""COMPUTED_VALUE"""),22.0)</f>
        <v>22</v>
      </c>
      <c r="I1956" s="1">
        <f>IFERROR(__xludf.DUMMYFUNCTION("""COMPUTED_VALUE"""),70.0)</f>
        <v>70</v>
      </c>
      <c r="J1956" s="1">
        <f>IFERROR(__xludf.DUMMYFUNCTION("""COMPUTED_VALUE"""),28.0)</f>
        <v>28</v>
      </c>
      <c r="K1956" s="1">
        <f>IFERROR(__xludf.DUMMYFUNCTION("""COMPUTED_VALUE"""),87.0)</f>
        <v>87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 t="str">
        <f>IFERROR(__xludf.DUMMYFUNCTION("""COMPUTED_VALUE"""),"C")</f>
        <v>C</v>
      </c>
      <c r="E1957" s="1" t="str">
        <f>IFERROR(__xludf.DUMMYFUNCTION("""COMPUTED_VALUE"""),"Male")</f>
        <v>Male</v>
      </c>
      <c r="F1957" s="1">
        <f>IFERROR(__xludf.DUMMYFUNCTION("""COMPUTED_VALUE"""),80.0)</f>
        <v>80</v>
      </c>
      <c r="G1957" s="1">
        <f>IFERROR(__xludf.DUMMYFUNCTION("""COMPUTED_VALUE"""),25.0)</f>
        <v>25</v>
      </c>
      <c r="H1957" s="1">
        <f>IFERROR(__xludf.DUMMYFUNCTION("""COMPUTED_VALUE"""),92.0)</f>
        <v>92</v>
      </c>
      <c r="I1957" s="1">
        <f>IFERROR(__xludf.DUMMYFUNCTION("""COMPUTED_VALUE"""),53.0)</f>
        <v>53</v>
      </c>
      <c r="J1957" s="1">
        <f>IFERROR(__xludf.DUMMYFUNCTION("""COMPUTED_VALUE"""),56.0)</f>
        <v>56</v>
      </c>
      <c r="K1957" s="1">
        <f>IFERROR(__xludf.DUMMYFUNCTION("""COMPUTED_VALUE"""),33.0)</f>
        <v>33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 t="str">
        <f>IFERROR(__xludf.DUMMYFUNCTION("""COMPUTED_VALUE"""),"A")</f>
        <v>A</v>
      </c>
      <c r="E1958" s="1" t="str">
        <f>IFERROR(__xludf.DUMMYFUNCTION("""COMPUTED_VALUE"""),"Female")</f>
        <v>Female</v>
      </c>
      <c r="F1958" s="1">
        <f>IFERROR(__xludf.DUMMYFUNCTION("""COMPUTED_VALUE"""),79.0)</f>
        <v>79</v>
      </c>
      <c r="G1958" s="1">
        <f>IFERROR(__xludf.DUMMYFUNCTION("""COMPUTED_VALUE"""),53.0)</f>
        <v>53</v>
      </c>
      <c r="H1958" s="1">
        <f>IFERROR(__xludf.DUMMYFUNCTION("""COMPUTED_VALUE"""),83.0)</f>
        <v>83</v>
      </c>
      <c r="I1958" s="1">
        <f>IFERROR(__xludf.DUMMYFUNCTION("""COMPUTED_VALUE"""),32.0)</f>
        <v>32</v>
      </c>
      <c r="J1958" s="1">
        <f>IFERROR(__xludf.DUMMYFUNCTION("""COMPUTED_VALUE"""),93.0)</f>
        <v>93</v>
      </c>
      <c r="K1958" s="1">
        <f>IFERROR(__xludf.DUMMYFUNCTION("""COMPUTED_VALUE"""),51.0)</f>
        <v>51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 t="str">
        <f>IFERROR(__xludf.DUMMYFUNCTION("""COMPUTED_VALUE"""),"C")</f>
        <v>C</v>
      </c>
      <c r="E1959" s="1" t="str">
        <f>IFERROR(__xludf.DUMMYFUNCTION("""COMPUTED_VALUE"""),"Male")</f>
        <v>Male</v>
      </c>
      <c r="F1959" s="1">
        <f>IFERROR(__xludf.DUMMYFUNCTION("""COMPUTED_VALUE"""),18.0)</f>
        <v>18</v>
      </c>
      <c r="G1959" s="1">
        <f>IFERROR(__xludf.DUMMYFUNCTION("""COMPUTED_VALUE"""),21.0)</f>
        <v>21</v>
      </c>
      <c r="H1959" s="1">
        <f>IFERROR(__xludf.DUMMYFUNCTION("""COMPUTED_VALUE"""),48.0)</f>
        <v>48</v>
      </c>
      <c r="I1959" s="1">
        <f>IFERROR(__xludf.DUMMYFUNCTION("""COMPUTED_VALUE"""),51.0)</f>
        <v>51</v>
      </c>
      <c r="J1959" s="1">
        <f>IFERROR(__xludf.DUMMYFUNCTION("""COMPUTED_VALUE"""),51.0)</f>
        <v>51</v>
      </c>
      <c r="K1959" s="1">
        <f>IFERROR(__xludf.DUMMYFUNCTION("""COMPUTED_VALUE"""),44.0)</f>
        <v>44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 t="str">
        <f>IFERROR(__xludf.DUMMYFUNCTION("""COMPUTED_VALUE"""),"C")</f>
        <v>C</v>
      </c>
      <c r="E1960" s="1" t="str">
        <f>IFERROR(__xludf.DUMMYFUNCTION("""COMPUTED_VALUE"""),"Female")</f>
        <v>Female</v>
      </c>
      <c r="F1960" s="1">
        <f>IFERROR(__xludf.DUMMYFUNCTION("""COMPUTED_VALUE"""),76.0)</f>
        <v>76</v>
      </c>
      <c r="G1960" s="1">
        <f>IFERROR(__xludf.DUMMYFUNCTION("""COMPUTED_VALUE"""),24.0)</f>
        <v>24</v>
      </c>
      <c r="H1960" s="1">
        <f>IFERROR(__xludf.DUMMYFUNCTION("""COMPUTED_VALUE"""),93.0)</f>
        <v>93</v>
      </c>
      <c r="I1960" s="1">
        <f>IFERROR(__xludf.DUMMYFUNCTION("""COMPUTED_VALUE"""),24.0)</f>
        <v>24</v>
      </c>
      <c r="J1960" s="1">
        <f>IFERROR(__xludf.DUMMYFUNCTION("""COMPUTED_VALUE"""),39.0)</f>
        <v>39</v>
      </c>
      <c r="K1960" s="1">
        <f>IFERROR(__xludf.DUMMYFUNCTION("""COMPUTED_VALUE"""),41.0)</f>
        <v>41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 t="str">
        <f>IFERROR(__xludf.DUMMYFUNCTION("""COMPUTED_VALUE"""),"C")</f>
        <v>C</v>
      </c>
      <c r="E1961" s="1" t="str">
        <f>IFERROR(__xludf.DUMMYFUNCTION("""COMPUTED_VALUE"""),"Male")</f>
        <v>Male</v>
      </c>
      <c r="F1961" s="1">
        <f>IFERROR(__xludf.DUMMYFUNCTION("""COMPUTED_VALUE"""),85.0)</f>
        <v>85</v>
      </c>
      <c r="G1961" s="1">
        <f>IFERROR(__xludf.DUMMYFUNCTION("""COMPUTED_VALUE"""),75.0)</f>
        <v>75</v>
      </c>
      <c r="H1961" s="1">
        <f>IFERROR(__xludf.DUMMYFUNCTION("""COMPUTED_VALUE"""),79.0)</f>
        <v>79</v>
      </c>
      <c r="I1961" s="1">
        <f>IFERROR(__xludf.DUMMYFUNCTION("""COMPUTED_VALUE"""),80.0)</f>
        <v>80</v>
      </c>
      <c r="J1961" s="1">
        <f>IFERROR(__xludf.DUMMYFUNCTION("""COMPUTED_VALUE"""),69.0)</f>
        <v>69</v>
      </c>
      <c r="K1961" s="1">
        <f>IFERROR(__xludf.DUMMYFUNCTION("""COMPUTED_VALUE"""),41.0)</f>
        <v>41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 t="str">
        <f>IFERROR(__xludf.DUMMYFUNCTION("""COMPUTED_VALUE"""),"A")</f>
        <v>A</v>
      </c>
      <c r="E1962" s="1" t="str">
        <f>IFERROR(__xludf.DUMMYFUNCTION("""COMPUTED_VALUE"""),"Male")</f>
        <v>Male</v>
      </c>
      <c r="F1962" s="1">
        <f>IFERROR(__xludf.DUMMYFUNCTION("""COMPUTED_VALUE"""),70.0)</f>
        <v>70</v>
      </c>
      <c r="G1962" s="1">
        <f>IFERROR(__xludf.DUMMYFUNCTION("""COMPUTED_VALUE"""),53.0)</f>
        <v>53</v>
      </c>
      <c r="H1962" s="1">
        <f>IFERROR(__xludf.DUMMYFUNCTION("""COMPUTED_VALUE"""),66.0)</f>
        <v>66</v>
      </c>
      <c r="I1962" s="1">
        <f>IFERROR(__xludf.DUMMYFUNCTION("""COMPUTED_VALUE"""),50.0)</f>
        <v>50</v>
      </c>
      <c r="J1962" s="1">
        <f>IFERROR(__xludf.DUMMYFUNCTION("""COMPUTED_VALUE"""),72.0)</f>
        <v>72</v>
      </c>
      <c r="K1962" s="1">
        <f>IFERROR(__xludf.DUMMYFUNCTION("""COMPUTED_VALUE"""),24.0)</f>
        <v>24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 t="str">
        <f>IFERROR(__xludf.DUMMYFUNCTION("""COMPUTED_VALUE"""),"C")</f>
        <v>C</v>
      </c>
      <c r="E1963" s="1" t="str">
        <f>IFERROR(__xludf.DUMMYFUNCTION("""COMPUTED_VALUE"""),"Female")</f>
        <v>Female</v>
      </c>
      <c r="F1963" s="1">
        <f>IFERROR(__xludf.DUMMYFUNCTION("""COMPUTED_VALUE"""),52.0)</f>
        <v>52</v>
      </c>
      <c r="G1963" s="1">
        <f>IFERROR(__xludf.DUMMYFUNCTION("""COMPUTED_VALUE"""),59.0)</f>
        <v>59</v>
      </c>
      <c r="H1963" s="1">
        <f>IFERROR(__xludf.DUMMYFUNCTION("""COMPUTED_VALUE"""),79.0)</f>
        <v>79</v>
      </c>
      <c r="I1963" s="1">
        <f>IFERROR(__xludf.DUMMYFUNCTION("""COMPUTED_VALUE"""),66.0)</f>
        <v>66</v>
      </c>
      <c r="J1963" s="1">
        <f>IFERROR(__xludf.DUMMYFUNCTION("""COMPUTED_VALUE"""),86.0)</f>
        <v>86</v>
      </c>
      <c r="K1963" s="1">
        <f>IFERROR(__xludf.DUMMYFUNCTION("""COMPUTED_VALUE"""),88.0)</f>
        <v>88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 t="str">
        <f>IFERROR(__xludf.DUMMYFUNCTION("""COMPUTED_VALUE"""),"B")</f>
        <v>B</v>
      </c>
      <c r="E1964" s="1" t="str">
        <f>IFERROR(__xludf.DUMMYFUNCTION("""COMPUTED_VALUE"""),"Male")</f>
        <v>Male</v>
      </c>
      <c r="F1964" s="1">
        <f>IFERROR(__xludf.DUMMYFUNCTION("""COMPUTED_VALUE"""),54.0)</f>
        <v>54</v>
      </c>
      <c r="G1964" s="1">
        <f>IFERROR(__xludf.DUMMYFUNCTION("""COMPUTED_VALUE"""),76.0)</f>
        <v>76</v>
      </c>
      <c r="H1964" s="1">
        <f>IFERROR(__xludf.DUMMYFUNCTION("""COMPUTED_VALUE"""),65.0)</f>
        <v>65</v>
      </c>
      <c r="I1964" s="1">
        <f>IFERROR(__xludf.DUMMYFUNCTION("""COMPUTED_VALUE"""),50.0)</f>
        <v>50</v>
      </c>
      <c r="J1964" s="1">
        <f>IFERROR(__xludf.DUMMYFUNCTION("""COMPUTED_VALUE"""),65.0)</f>
        <v>65</v>
      </c>
      <c r="K1964" s="1">
        <f>IFERROR(__xludf.DUMMYFUNCTION("""COMPUTED_VALUE"""),44.0)</f>
        <v>44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 t="str">
        <f>IFERROR(__xludf.DUMMYFUNCTION("""COMPUTED_VALUE"""),"D")</f>
        <v>D</v>
      </c>
      <c r="E1965" s="1" t="str">
        <f>IFERROR(__xludf.DUMMYFUNCTION("""COMPUTED_VALUE"""),"Female")</f>
        <v>Female</v>
      </c>
      <c r="F1965" s="1">
        <f>IFERROR(__xludf.DUMMYFUNCTION("""COMPUTED_VALUE"""),48.0)</f>
        <v>48</v>
      </c>
      <c r="G1965" s="1">
        <f>IFERROR(__xludf.DUMMYFUNCTION("""COMPUTED_VALUE"""),78.0)</f>
        <v>78</v>
      </c>
      <c r="H1965" s="1">
        <f>IFERROR(__xludf.DUMMYFUNCTION("""COMPUTED_VALUE"""),31.0)</f>
        <v>31</v>
      </c>
      <c r="I1965" s="1">
        <f>IFERROR(__xludf.DUMMYFUNCTION("""COMPUTED_VALUE"""),85.0)</f>
        <v>85</v>
      </c>
      <c r="J1965" s="1">
        <f>IFERROR(__xludf.DUMMYFUNCTION("""COMPUTED_VALUE"""),29.0)</f>
        <v>29</v>
      </c>
      <c r="K1965" s="1">
        <f>IFERROR(__xludf.DUMMYFUNCTION("""COMPUTED_VALUE"""),74.0)</f>
        <v>74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 t="str">
        <f>IFERROR(__xludf.DUMMYFUNCTION("""COMPUTED_VALUE"""),"B")</f>
        <v>B</v>
      </c>
      <c r="E1966" s="1" t="str">
        <f>IFERROR(__xludf.DUMMYFUNCTION("""COMPUTED_VALUE"""),"Male")</f>
        <v>Male</v>
      </c>
      <c r="F1966" s="1">
        <f>IFERROR(__xludf.DUMMYFUNCTION("""COMPUTED_VALUE"""),53.0)</f>
        <v>53</v>
      </c>
      <c r="G1966" s="1">
        <f>IFERROR(__xludf.DUMMYFUNCTION("""COMPUTED_VALUE"""),63.0)</f>
        <v>63</v>
      </c>
      <c r="H1966" s="1">
        <f>IFERROR(__xludf.DUMMYFUNCTION("""COMPUTED_VALUE"""),51.0)</f>
        <v>51</v>
      </c>
      <c r="I1966" s="1">
        <f>IFERROR(__xludf.DUMMYFUNCTION("""COMPUTED_VALUE"""),79.0)</f>
        <v>79</v>
      </c>
      <c r="J1966" s="1">
        <f>IFERROR(__xludf.DUMMYFUNCTION("""COMPUTED_VALUE"""),70.0)</f>
        <v>70</v>
      </c>
      <c r="K1966" s="1">
        <f>IFERROR(__xludf.DUMMYFUNCTION("""COMPUTED_VALUE"""),51.0)</f>
        <v>51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 t="str">
        <f>IFERROR(__xludf.DUMMYFUNCTION("""COMPUTED_VALUE"""),"C")</f>
        <v>C</v>
      </c>
      <c r="E1967" s="1" t="str">
        <f>IFERROR(__xludf.DUMMYFUNCTION("""COMPUTED_VALUE"""),"Female")</f>
        <v>Female</v>
      </c>
      <c r="F1967" s="1">
        <f>IFERROR(__xludf.DUMMYFUNCTION("""COMPUTED_VALUE"""),12.0)</f>
        <v>12</v>
      </c>
      <c r="G1967" s="1">
        <f>IFERROR(__xludf.DUMMYFUNCTION("""COMPUTED_VALUE"""),60.0)</f>
        <v>60</v>
      </c>
      <c r="H1967" s="1">
        <f>IFERROR(__xludf.DUMMYFUNCTION("""COMPUTED_VALUE"""),32.0)</f>
        <v>32</v>
      </c>
      <c r="I1967" s="1">
        <f>IFERROR(__xludf.DUMMYFUNCTION("""COMPUTED_VALUE"""),66.0)</f>
        <v>66</v>
      </c>
      <c r="J1967" s="1">
        <f>IFERROR(__xludf.DUMMYFUNCTION("""COMPUTED_VALUE"""),64.0)</f>
        <v>64</v>
      </c>
      <c r="K1967" s="1">
        <f>IFERROR(__xludf.DUMMYFUNCTION("""COMPUTED_VALUE"""),34.0)</f>
        <v>34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 t="str">
        <f>IFERROR(__xludf.DUMMYFUNCTION("""COMPUTED_VALUE"""),"A")</f>
        <v>A</v>
      </c>
      <c r="E1968" s="1" t="str">
        <f>IFERROR(__xludf.DUMMYFUNCTION("""COMPUTED_VALUE"""),"Male")</f>
        <v>Male</v>
      </c>
      <c r="F1968" s="1">
        <f>IFERROR(__xludf.DUMMYFUNCTION("""COMPUTED_VALUE"""),29.0)</f>
        <v>29</v>
      </c>
      <c r="G1968" s="1">
        <f>IFERROR(__xludf.DUMMYFUNCTION("""COMPUTED_VALUE"""),43.0)</f>
        <v>43</v>
      </c>
      <c r="H1968" s="1">
        <f>IFERROR(__xludf.DUMMYFUNCTION("""COMPUTED_VALUE"""),84.0)</f>
        <v>84</v>
      </c>
      <c r="I1968" s="1">
        <f>IFERROR(__xludf.DUMMYFUNCTION("""COMPUTED_VALUE"""),55.0)</f>
        <v>55</v>
      </c>
      <c r="J1968" s="1">
        <f>IFERROR(__xludf.DUMMYFUNCTION("""COMPUTED_VALUE"""),40.0)</f>
        <v>40</v>
      </c>
      <c r="K1968" s="1">
        <f>IFERROR(__xludf.DUMMYFUNCTION("""COMPUTED_VALUE"""),52.0)</f>
        <v>52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 t="str">
        <f>IFERROR(__xludf.DUMMYFUNCTION("""COMPUTED_VALUE"""),"A")</f>
        <v>A</v>
      </c>
      <c r="E1969" s="1" t="str">
        <f>IFERROR(__xludf.DUMMYFUNCTION("""COMPUTED_VALUE"""),"Male")</f>
        <v>Male</v>
      </c>
      <c r="F1969" s="1">
        <f>IFERROR(__xludf.DUMMYFUNCTION("""COMPUTED_VALUE"""),38.0)</f>
        <v>38</v>
      </c>
      <c r="G1969" s="1">
        <f>IFERROR(__xludf.DUMMYFUNCTION("""COMPUTED_VALUE"""),59.0)</f>
        <v>59</v>
      </c>
      <c r="H1969" s="1">
        <f>IFERROR(__xludf.DUMMYFUNCTION("""COMPUTED_VALUE"""),34.0)</f>
        <v>34</v>
      </c>
      <c r="I1969" s="1">
        <f>IFERROR(__xludf.DUMMYFUNCTION("""COMPUTED_VALUE"""),86.0)</f>
        <v>86</v>
      </c>
      <c r="J1969" s="1">
        <f>IFERROR(__xludf.DUMMYFUNCTION("""COMPUTED_VALUE"""),31.0)</f>
        <v>31</v>
      </c>
      <c r="K1969" s="1">
        <f>IFERROR(__xludf.DUMMYFUNCTION("""COMPUTED_VALUE"""),41.0)</f>
        <v>41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 t="str">
        <f>IFERROR(__xludf.DUMMYFUNCTION("""COMPUTED_VALUE"""),"D")</f>
        <v>D</v>
      </c>
      <c r="E1970" s="1" t="str">
        <f>IFERROR(__xludf.DUMMYFUNCTION("""COMPUTED_VALUE"""),"Female")</f>
        <v>Female</v>
      </c>
      <c r="F1970" s="1">
        <f>IFERROR(__xludf.DUMMYFUNCTION("""COMPUTED_VALUE"""),99.0)</f>
        <v>99</v>
      </c>
      <c r="G1970" s="1">
        <f>IFERROR(__xludf.DUMMYFUNCTION("""COMPUTED_VALUE"""),35.0)</f>
        <v>35</v>
      </c>
      <c r="H1970" s="1">
        <f>IFERROR(__xludf.DUMMYFUNCTION("""COMPUTED_VALUE"""),44.0)</f>
        <v>44</v>
      </c>
      <c r="I1970" s="1">
        <f>IFERROR(__xludf.DUMMYFUNCTION("""COMPUTED_VALUE"""),59.0)</f>
        <v>59</v>
      </c>
      <c r="J1970" s="1">
        <f>IFERROR(__xludf.DUMMYFUNCTION("""COMPUTED_VALUE"""),82.0)</f>
        <v>82</v>
      </c>
      <c r="K1970" s="1">
        <f>IFERROR(__xludf.DUMMYFUNCTION("""COMPUTED_VALUE"""),81.0)</f>
        <v>81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 t="str">
        <f>IFERROR(__xludf.DUMMYFUNCTION("""COMPUTED_VALUE"""),"D")</f>
        <v>D</v>
      </c>
      <c r="E1971" s="1" t="str">
        <f>IFERROR(__xludf.DUMMYFUNCTION("""COMPUTED_VALUE"""),"Male")</f>
        <v>Male</v>
      </c>
      <c r="F1971" s="1">
        <f>IFERROR(__xludf.DUMMYFUNCTION("""COMPUTED_VALUE"""),50.0)</f>
        <v>50</v>
      </c>
      <c r="G1971" s="1">
        <f>IFERROR(__xludf.DUMMYFUNCTION("""COMPUTED_VALUE"""),75.0)</f>
        <v>75</v>
      </c>
      <c r="H1971" s="1">
        <f>IFERROR(__xludf.DUMMYFUNCTION("""COMPUTED_VALUE"""),67.0)</f>
        <v>67</v>
      </c>
      <c r="I1971" s="1">
        <f>IFERROR(__xludf.DUMMYFUNCTION("""COMPUTED_VALUE"""),85.0)</f>
        <v>85</v>
      </c>
      <c r="J1971" s="1">
        <f>IFERROR(__xludf.DUMMYFUNCTION("""COMPUTED_VALUE"""),53.0)</f>
        <v>53</v>
      </c>
      <c r="K1971" s="1">
        <f>IFERROR(__xludf.DUMMYFUNCTION("""COMPUTED_VALUE"""),29.0)</f>
        <v>29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 t="str">
        <f>IFERROR(__xludf.DUMMYFUNCTION("""COMPUTED_VALUE"""),"C")</f>
        <v>C</v>
      </c>
      <c r="E1972" s="1" t="str">
        <f>IFERROR(__xludf.DUMMYFUNCTION("""COMPUTED_VALUE"""),"Female")</f>
        <v>Female</v>
      </c>
      <c r="F1972" s="1">
        <f>IFERROR(__xludf.DUMMYFUNCTION("""COMPUTED_VALUE"""),78.0)</f>
        <v>78</v>
      </c>
      <c r="G1972" s="1">
        <f>IFERROR(__xludf.DUMMYFUNCTION("""COMPUTED_VALUE"""),56.0)</f>
        <v>56</v>
      </c>
      <c r="H1972" s="1">
        <f>IFERROR(__xludf.DUMMYFUNCTION("""COMPUTED_VALUE"""),58.0)</f>
        <v>58</v>
      </c>
      <c r="I1972" s="1">
        <f>IFERROR(__xludf.DUMMYFUNCTION("""COMPUTED_VALUE"""),46.0)</f>
        <v>46</v>
      </c>
      <c r="J1972" s="1">
        <f>IFERROR(__xludf.DUMMYFUNCTION("""COMPUTED_VALUE"""),47.0)</f>
        <v>47</v>
      </c>
      <c r="K1972" s="1">
        <f>IFERROR(__xludf.DUMMYFUNCTION("""COMPUTED_VALUE"""),87.0)</f>
        <v>87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 t="str">
        <f>IFERROR(__xludf.DUMMYFUNCTION("""COMPUTED_VALUE"""),"B")</f>
        <v>B</v>
      </c>
      <c r="E1973" s="1" t="str">
        <f>IFERROR(__xludf.DUMMYFUNCTION("""COMPUTED_VALUE"""),"Male")</f>
        <v>Male</v>
      </c>
      <c r="F1973" s="1">
        <f>IFERROR(__xludf.DUMMYFUNCTION("""COMPUTED_VALUE"""),68.0)</f>
        <v>68</v>
      </c>
      <c r="G1973" s="1">
        <f>IFERROR(__xludf.DUMMYFUNCTION("""COMPUTED_VALUE"""),22.0)</f>
        <v>22</v>
      </c>
      <c r="H1973" s="1">
        <f>IFERROR(__xludf.DUMMYFUNCTION("""COMPUTED_VALUE"""),71.0)</f>
        <v>71</v>
      </c>
      <c r="I1973" s="1">
        <f>IFERROR(__xludf.DUMMYFUNCTION("""COMPUTED_VALUE"""),76.0)</f>
        <v>76</v>
      </c>
      <c r="J1973" s="1">
        <f>IFERROR(__xludf.DUMMYFUNCTION("""COMPUTED_VALUE"""),94.0)</f>
        <v>94</v>
      </c>
      <c r="K1973" s="1">
        <f>IFERROR(__xludf.DUMMYFUNCTION("""COMPUTED_VALUE"""),41.0)</f>
        <v>41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 t="str">
        <f>IFERROR(__xludf.DUMMYFUNCTION("""COMPUTED_VALUE"""),"C")</f>
        <v>C</v>
      </c>
      <c r="E1974" s="1" t="str">
        <f>IFERROR(__xludf.DUMMYFUNCTION("""COMPUTED_VALUE"""),"Female")</f>
        <v>Female</v>
      </c>
      <c r="F1974" s="1">
        <f>IFERROR(__xludf.DUMMYFUNCTION("""COMPUTED_VALUE"""),88.0)</f>
        <v>88</v>
      </c>
      <c r="G1974" s="1">
        <f>IFERROR(__xludf.DUMMYFUNCTION("""COMPUTED_VALUE"""),84.0)</f>
        <v>84</v>
      </c>
      <c r="H1974" s="1">
        <f>IFERROR(__xludf.DUMMYFUNCTION("""COMPUTED_VALUE"""),87.0)</f>
        <v>87</v>
      </c>
      <c r="I1974" s="1">
        <f>IFERROR(__xludf.DUMMYFUNCTION("""COMPUTED_VALUE"""),98.0)</f>
        <v>98</v>
      </c>
      <c r="J1974" s="1">
        <f>IFERROR(__xludf.DUMMYFUNCTION("""COMPUTED_VALUE"""),87.0)</f>
        <v>87</v>
      </c>
      <c r="K1974" s="1">
        <f>IFERROR(__xludf.DUMMYFUNCTION("""COMPUTED_VALUE"""),41.0)</f>
        <v>41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 t="str">
        <f>IFERROR(__xludf.DUMMYFUNCTION("""COMPUTED_VALUE"""),"B")</f>
        <v>B</v>
      </c>
      <c r="E1975" s="1" t="str">
        <f>IFERROR(__xludf.DUMMYFUNCTION("""COMPUTED_VALUE"""),"Male")</f>
        <v>Male</v>
      </c>
      <c r="F1975" s="1">
        <f>IFERROR(__xludf.DUMMYFUNCTION("""COMPUTED_VALUE"""),63.0)</f>
        <v>63</v>
      </c>
      <c r="G1975" s="1">
        <f>IFERROR(__xludf.DUMMYFUNCTION("""COMPUTED_VALUE"""),98.0)</f>
        <v>98</v>
      </c>
      <c r="H1975" s="1">
        <f>IFERROR(__xludf.DUMMYFUNCTION("""COMPUTED_VALUE"""),25.0)</f>
        <v>25</v>
      </c>
      <c r="I1975" s="1">
        <f>IFERROR(__xludf.DUMMYFUNCTION("""COMPUTED_VALUE"""),59.0)</f>
        <v>59</v>
      </c>
      <c r="J1975" s="1">
        <f>IFERROR(__xludf.DUMMYFUNCTION("""COMPUTED_VALUE"""),37.0)</f>
        <v>37</v>
      </c>
      <c r="K1975" s="1">
        <f>IFERROR(__xludf.DUMMYFUNCTION("""COMPUTED_VALUE"""),31.0)</f>
        <v>31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 t="str">
        <f>IFERROR(__xludf.DUMMYFUNCTION("""COMPUTED_VALUE"""),"C")</f>
        <v>C</v>
      </c>
      <c r="E1976" s="1" t="str">
        <f>IFERROR(__xludf.DUMMYFUNCTION("""COMPUTED_VALUE"""),"Female")</f>
        <v>Female</v>
      </c>
      <c r="F1976" s="1">
        <f>IFERROR(__xludf.DUMMYFUNCTION("""COMPUTED_VALUE"""),13.0)</f>
        <v>13</v>
      </c>
      <c r="G1976" s="1">
        <f>IFERROR(__xludf.DUMMYFUNCTION("""COMPUTED_VALUE"""),48.0)</f>
        <v>48</v>
      </c>
      <c r="H1976" s="1">
        <f>IFERROR(__xludf.DUMMYFUNCTION("""COMPUTED_VALUE"""),26.0)</f>
        <v>26</v>
      </c>
      <c r="I1976" s="1">
        <f>IFERROR(__xludf.DUMMYFUNCTION("""COMPUTED_VALUE"""),54.0)</f>
        <v>54</v>
      </c>
      <c r="J1976" s="1">
        <f>IFERROR(__xludf.DUMMYFUNCTION("""COMPUTED_VALUE"""),91.0)</f>
        <v>91</v>
      </c>
      <c r="K1976" s="1">
        <f>IFERROR(__xludf.DUMMYFUNCTION("""COMPUTED_VALUE"""),33.0)</f>
        <v>33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 t="str">
        <f>IFERROR(__xludf.DUMMYFUNCTION("""COMPUTED_VALUE"""),"D")</f>
        <v>D</v>
      </c>
      <c r="E1977" s="1" t="str">
        <f>IFERROR(__xludf.DUMMYFUNCTION("""COMPUTED_VALUE"""),"Male")</f>
        <v>Male</v>
      </c>
      <c r="F1977" s="1">
        <f>IFERROR(__xludf.DUMMYFUNCTION("""COMPUTED_VALUE"""),18.0)</f>
        <v>18</v>
      </c>
      <c r="G1977" s="1">
        <f>IFERROR(__xludf.DUMMYFUNCTION("""COMPUTED_VALUE"""),52.0)</f>
        <v>52</v>
      </c>
      <c r="H1977" s="1">
        <f>IFERROR(__xludf.DUMMYFUNCTION("""COMPUTED_VALUE"""),47.0)</f>
        <v>47</v>
      </c>
      <c r="I1977" s="1">
        <f>IFERROR(__xludf.DUMMYFUNCTION("""COMPUTED_VALUE"""),45.0)</f>
        <v>45</v>
      </c>
      <c r="J1977" s="1">
        <f>IFERROR(__xludf.DUMMYFUNCTION("""COMPUTED_VALUE"""),53.0)</f>
        <v>53</v>
      </c>
      <c r="K1977" s="1">
        <f>IFERROR(__xludf.DUMMYFUNCTION("""COMPUTED_VALUE"""),53.0)</f>
        <v>53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 t="str">
        <f>IFERROR(__xludf.DUMMYFUNCTION("""COMPUTED_VALUE"""),"D")</f>
        <v>D</v>
      </c>
      <c r="E1978" s="1" t="str">
        <f>IFERROR(__xludf.DUMMYFUNCTION("""COMPUTED_VALUE"""),"Female")</f>
        <v>Female</v>
      </c>
      <c r="F1978" s="1">
        <f>IFERROR(__xludf.DUMMYFUNCTION("""COMPUTED_VALUE"""),94.0)</f>
        <v>94</v>
      </c>
      <c r="G1978" s="1">
        <f>IFERROR(__xludf.DUMMYFUNCTION("""COMPUTED_VALUE"""),21.0)</f>
        <v>21</v>
      </c>
      <c r="H1978" s="1">
        <f>IFERROR(__xludf.DUMMYFUNCTION("""COMPUTED_VALUE"""),68.0)</f>
        <v>68</v>
      </c>
      <c r="I1978" s="1">
        <f>IFERROR(__xludf.DUMMYFUNCTION("""COMPUTED_VALUE"""),93.0)</f>
        <v>93</v>
      </c>
      <c r="J1978" s="1">
        <f>IFERROR(__xludf.DUMMYFUNCTION("""COMPUTED_VALUE"""),44.0)</f>
        <v>44</v>
      </c>
      <c r="K1978" s="1">
        <f>IFERROR(__xludf.DUMMYFUNCTION("""COMPUTED_VALUE"""),79.0)</f>
        <v>79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 t="str">
        <f>IFERROR(__xludf.DUMMYFUNCTION("""COMPUTED_VALUE"""),"D")</f>
        <v>D</v>
      </c>
      <c r="E1979" s="1" t="str">
        <f>IFERROR(__xludf.DUMMYFUNCTION("""COMPUTED_VALUE"""),"Male")</f>
        <v>Male</v>
      </c>
      <c r="F1979" s="1">
        <f>IFERROR(__xludf.DUMMYFUNCTION("""COMPUTED_VALUE"""),19.0)</f>
        <v>19</v>
      </c>
      <c r="G1979" s="1">
        <f>IFERROR(__xludf.DUMMYFUNCTION("""COMPUTED_VALUE"""),71.0)</f>
        <v>71</v>
      </c>
      <c r="H1979" s="1">
        <f>IFERROR(__xludf.DUMMYFUNCTION("""COMPUTED_VALUE"""),37.0)</f>
        <v>37</v>
      </c>
      <c r="I1979" s="1">
        <f>IFERROR(__xludf.DUMMYFUNCTION("""COMPUTED_VALUE"""),90.0)</f>
        <v>90</v>
      </c>
      <c r="J1979" s="1">
        <f>IFERROR(__xludf.DUMMYFUNCTION("""COMPUTED_VALUE"""),84.0)</f>
        <v>84</v>
      </c>
      <c r="K1979" s="1">
        <f>IFERROR(__xludf.DUMMYFUNCTION("""COMPUTED_VALUE"""),24.0)</f>
        <v>24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 t="str">
        <f>IFERROR(__xludf.DUMMYFUNCTION("""COMPUTED_VALUE"""),"C")</f>
        <v>C</v>
      </c>
      <c r="E1980" s="1" t="str">
        <f>IFERROR(__xludf.DUMMYFUNCTION("""COMPUTED_VALUE"""),"Female")</f>
        <v>Female</v>
      </c>
      <c r="F1980" s="1">
        <f>IFERROR(__xludf.DUMMYFUNCTION("""COMPUTED_VALUE"""),23.0)</f>
        <v>23</v>
      </c>
      <c r="G1980" s="1">
        <f>IFERROR(__xludf.DUMMYFUNCTION("""COMPUTED_VALUE"""),86.0)</f>
        <v>86</v>
      </c>
      <c r="H1980" s="1">
        <f>IFERROR(__xludf.DUMMYFUNCTION("""COMPUTED_VALUE"""),22.0)</f>
        <v>22</v>
      </c>
      <c r="I1980" s="1">
        <f>IFERROR(__xludf.DUMMYFUNCTION("""COMPUTED_VALUE"""),80.0)</f>
        <v>80</v>
      </c>
      <c r="J1980" s="1">
        <f>IFERROR(__xludf.DUMMYFUNCTION("""COMPUTED_VALUE"""),57.0)</f>
        <v>57</v>
      </c>
      <c r="K1980" s="1">
        <f>IFERROR(__xludf.DUMMYFUNCTION("""COMPUTED_VALUE"""),93.0)</f>
        <v>93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 t="str">
        <f>IFERROR(__xludf.DUMMYFUNCTION("""COMPUTED_VALUE"""),"A")</f>
        <v>A</v>
      </c>
      <c r="E1981" s="1" t="str">
        <f>IFERROR(__xludf.DUMMYFUNCTION("""COMPUTED_VALUE"""),"Female")</f>
        <v>Female</v>
      </c>
      <c r="F1981" s="1">
        <f>IFERROR(__xludf.DUMMYFUNCTION("""COMPUTED_VALUE"""),60.0)</f>
        <v>60</v>
      </c>
      <c r="G1981" s="1">
        <f>IFERROR(__xludf.DUMMYFUNCTION("""COMPUTED_VALUE"""),97.0)</f>
        <v>97</v>
      </c>
      <c r="H1981" s="1">
        <f>IFERROR(__xludf.DUMMYFUNCTION("""COMPUTED_VALUE"""),74.0)</f>
        <v>74</v>
      </c>
      <c r="I1981" s="1">
        <f>IFERROR(__xludf.DUMMYFUNCTION("""COMPUTED_VALUE"""),75.0)</f>
        <v>75</v>
      </c>
      <c r="J1981" s="1">
        <f>IFERROR(__xludf.DUMMYFUNCTION("""COMPUTED_VALUE"""),25.0)</f>
        <v>25</v>
      </c>
      <c r="K1981" s="1">
        <f>IFERROR(__xludf.DUMMYFUNCTION("""COMPUTED_VALUE"""),44.0)</f>
        <v>44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 t="str">
        <f>IFERROR(__xludf.DUMMYFUNCTION("""COMPUTED_VALUE"""),"A")</f>
        <v>A</v>
      </c>
      <c r="E1982" s="1" t="str">
        <f>IFERROR(__xludf.DUMMYFUNCTION("""COMPUTED_VALUE"""),"Male")</f>
        <v>Male</v>
      </c>
      <c r="F1982" s="1">
        <f>IFERROR(__xludf.DUMMYFUNCTION("""COMPUTED_VALUE"""),41.0)</f>
        <v>41</v>
      </c>
      <c r="G1982" s="1">
        <f>IFERROR(__xludf.DUMMYFUNCTION("""COMPUTED_VALUE"""),79.0)</f>
        <v>79</v>
      </c>
      <c r="H1982" s="1">
        <f>IFERROR(__xludf.DUMMYFUNCTION("""COMPUTED_VALUE"""),27.0)</f>
        <v>27</v>
      </c>
      <c r="I1982" s="1">
        <f>IFERROR(__xludf.DUMMYFUNCTION("""COMPUTED_VALUE"""),93.0)</f>
        <v>93</v>
      </c>
      <c r="J1982" s="1">
        <f>IFERROR(__xludf.DUMMYFUNCTION("""COMPUTED_VALUE"""),77.0)</f>
        <v>77</v>
      </c>
      <c r="K1982" s="1">
        <f>IFERROR(__xludf.DUMMYFUNCTION("""COMPUTED_VALUE"""),21.0)</f>
        <v>21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 t="str">
        <f>IFERROR(__xludf.DUMMYFUNCTION("""COMPUTED_VALUE"""),"A")</f>
        <v>A</v>
      </c>
      <c r="E1983" s="1" t="str">
        <f>IFERROR(__xludf.DUMMYFUNCTION("""COMPUTED_VALUE"""),"Female")</f>
        <v>Female</v>
      </c>
      <c r="F1983" s="1">
        <f>IFERROR(__xludf.DUMMYFUNCTION("""COMPUTED_VALUE"""),48.0)</f>
        <v>48</v>
      </c>
      <c r="G1983" s="1">
        <f>IFERROR(__xludf.DUMMYFUNCTION("""COMPUTED_VALUE"""),43.0)</f>
        <v>43</v>
      </c>
      <c r="H1983" s="1">
        <f>IFERROR(__xludf.DUMMYFUNCTION("""COMPUTED_VALUE"""),93.0)</f>
        <v>93</v>
      </c>
      <c r="I1983" s="1">
        <f>IFERROR(__xludf.DUMMYFUNCTION("""COMPUTED_VALUE"""),36.0)</f>
        <v>36</v>
      </c>
      <c r="J1983" s="1">
        <f>IFERROR(__xludf.DUMMYFUNCTION("""COMPUTED_VALUE"""),57.0)</f>
        <v>57</v>
      </c>
      <c r="K1983" s="1">
        <f>IFERROR(__xludf.DUMMYFUNCTION("""COMPUTED_VALUE"""),36.0)</f>
        <v>36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 t="str">
        <f>IFERROR(__xludf.DUMMYFUNCTION("""COMPUTED_VALUE"""),"A")</f>
        <v>A</v>
      </c>
      <c r="E1984" s="1" t="str">
        <f>IFERROR(__xludf.DUMMYFUNCTION("""COMPUTED_VALUE"""),"Male")</f>
        <v>Male</v>
      </c>
      <c r="F1984" s="1">
        <f>IFERROR(__xludf.DUMMYFUNCTION("""COMPUTED_VALUE"""),94.0)</f>
        <v>94</v>
      </c>
      <c r="G1984" s="1">
        <f>IFERROR(__xludf.DUMMYFUNCTION("""COMPUTED_VALUE"""),84.0)</f>
        <v>84</v>
      </c>
      <c r="H1984" s="1">
        <f>IFERROR(__xludf.DUMMYFUNCTION("""COMPUTED_VALUE"""),74.0)</f>
        <v>74</v>
      </c>
      <c r="I1984" s="1">
        <f>IFERROR(__xludf.DUMMYFUNCTION("""COMPUTED_VALUE"""),20.0)</f>
        <v>20</v>
      </c>
      <c r="J1984" s="1">
        <f>IFERROR(__xludf.DUMMYFUNCTION("""COMPUTED_VALUE"""),37.0)</f>
        <v>37</v>
      </c>
      <c r="K1984" s="1">
        <f>IFERROR(__xludf.DUMMYFUNCTION("""COMPUTED_VALUE"""),97.0)</f>
        <v>97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 t="str">
        <f>IFERROR(__xludf.DUMMYFUNCTION("""COMPUTED_VALUE"""),"C")</f>
        <v>C</v>
      </c>
      <c r="E1985" s="1" t="str">
        <f>IFERROR(__xludf.DUMMYFUNCTION("""COMPUTED_VALUE"""),"Female")</f>
        <v>Female</v>
      </c>
      <c r="F1985" s="1">
        <f>IFERROR(__xludf.DUMMYFUNCTION("""COMPUTED_VALUE"""),64.0)</f>
        <v>64</v>
      </c>
      <c r="G1985" s="1">
        <f>IFERROR(__xludf.DUMMYFUNCTION("""COMPUTED_VALUE"""),72.0)</f>
        <v>72</v>
      </c>
      <c r="H1985" s="1">
        <f>IFERROR(__xludf.DUMMYFUNCTION("""COMPUTED_VALUE"""),69.0)</f>
        <v>69</v>
      </c>
      <c r="I1985" s="1">
        <f>IFERROR(__xludf.DUMMYFUNCTION("""COMPUTED_VALUE"""),37.0)</f>
        <v>37</v>
      </c>
      <c r="J1985" s="1">
        <f>IFERROR(__xludf.DUMMYFUNCTION("""COMPUTED_VALUE"""),89.0)</f>
        <v>89</v>
      </c>
      <c r="K1985" s="1">
        <f>IFERROR(__xludf.DUMMYFUNCTION("""COMPUTED_VALUE"""),82.0)</f>
        <v>82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 t="str">
        <f>IFERROR(__xludf.DUMMYFUNCTION("""COMPUTED_VALUE"""),"D")</f>
        <v>D</v>
      </c>
      <c r="E1986" s="1" t="str">
        <f>IFERROR(__xludf.DUMMYFUNCTION("""COMPUTED_VALUE"""),"Male")</f>
        <v>Male</v>
      </c>
      <c r="F1986" s="1">
        <f>IFERROR(__xludf.DUMMYFUNCTION("""COMPUTED_VALUE"""),65.0)</f>
        <v>65</v>
      </c>
      <c r="G1986" s="1">
        <f>IFERROR(__xludf.DUMMYFUNCTION("""COMPUTED_VALUE"""),46.0)</f>
        <v>46</v>
      </c>
      <c r="H1986" s="1">
        <f>IFERROR(__xludf.DUMMYFUNCTION("""COMPUTED_VALUE"""),58.0)</f>
        <v>58</v>
      </c>
      <c r="I1986" s="1">
        <f>IFERROR(__xludf.DUMMYFUNCTION("""COMPUTED_VALUE"""),34.0)</f>
        <v>34</v>
      </c>
      <c r="J1986" s="1">
        <f>IFERROR(__xludf.DUMMYFUNCTION("""COMPUTED_VALUE"""),88.0)</f>
        <v>88</v>
      </c>
      <c r="K1986" s="1">
        <f>IFERROR(__xludf.DUMMYFUNCTION("""COMPUTED_VALUE"""),59.0)</f>
        <v>59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 t="str">
        <f>IFERROR(__xludf.DUMMYFUNCTION("""COMPUTED_VALUE"""),"B")</f>
        <v>B</v>
      </c>
      <c r="E1987" s="1" t="str">
        <f>IFERROR(__xludf.DUMMYFUNCTION("""COMPUTED_VALUE"""),"Female")</f>
        <v>Female</v>
      </c>
      <c r="F1987" s="1">
        <f>IFERROR(__xludf.DUMMYFUNCTION("""COMPUTED_VALUE"""),10.0)</f>
        <v>10</v>
      </c>
      <c r="G1987" s="1">
        <f>IFERROR(__xludf.DUMMYFUNCTION("""COMPUTED_VALUE"""),40.0)</f>
        <v>40</v>
      </c>
      <c r="H1987" s="1">
        <f>IFERROR(__xludf.DUMMYFUNCTION("""COMPUTED_VALUE"""),54.0)</f>
        <v>54</v>
      </c>
      <c r="I1987" s="1">
        <f>IFERROR(__xludf.DUMMYFUNCTION("""COMPUTED_VALUE"""),35.0)</f>
        <v>35</v>
      </c>
      <c r="J1987" s="1">
        <f>IFERROR(__xludf.DUMMYFUNCTION("""COMPUTED_VALUE"""),85.0)</f>
        <v>85</v>
      </c>
      <c r="K1987" s="1">
        <f>IFERROR(__xludf.DUMMYFUNCTION("""COMPUTED_VALUE"""),79.0)</f>
        <v>79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 t="str">
        <f>IFERROR(__xludf.DUMMYFUNCTION("""COMPUTED_VALUE"""),"B")</f>
        <v>B</v>
      </c>
      <c r="E1988" s="1" t="str">
        <f>IFERROR(__xludf.DUMMYFUNCTION("""COMPUTED_VALUE"""),"Male")</f>
        <v>Male</v>
      </c>
      <c r="F1988" s="1">
        <f>IFERROR(__xludf.DUMMYFUNCTION("""COMPUTED_VALUE"""),10.0)</f>
        <v>10</v>
      </c>
      <c r="G1988" s="1">
        <f>IFERROR(__xludf.DUMMYFUNCTION("""COMPUTED_VALUE"""),81.0)</f>
        <v>81</v>
      </c>
      <c r="H1988" s="1">
        <f>IFERROR(__xludf.DUMMYFUNCTION("""COMPUTED_VALUE"""),75.0)</f>
        <v>75</v>
      </c>
      <c r="I1988" s="1">
        <f>IFERROR(__xludf.DUMMYFUNCTION("""COMPUTED_VALUE"""),40.0)</f>
        <v>40</v>
      </c>
      <c r="J1988" s="1">
        <f>IFERROR(__xludf.DUMMYFUNCTION("""COMPUTED_VALUE"""),61.0)</f>
        <v>61</v>
      </c>
      <c r="K1988" s="1">
        <f>IFERROR(__xludf.DUMMYFUNCTION("""COMPUTED_VALUE"""),55.0)</f>
        <v>55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 t="str">
        <f>IFERROR(__xludf.DUMMYFUNCTION("""COMPUTED_VALUE"""),"C")</f>
        <v>C</v>
      </c>
      <c r="E1989" s="1" t="str">
        <f>IFERROR(__xludf.DUMMYFUNCTION("""COMPUTED_VALUE"""),"Male")</f>
        <v>Male</v>
      </c>
      <c r="F1989" s="1">
        <f>IFERROR(__xludf.DUMMYFUNCTION("""COMPUTED_VALUE"""),28.0)</f>
        <v>28</v>
      </c>
      <c r="G1989" s="1">
        <f>IFERROR(__xludf.DUMMYFUNCTION("""COMPUTED_VALUE"""),76.0)</f>
        <v>76</v>
      </c>
      <c r="H1989" s="1">
        <f>IFERROR(__xludf.DUMMYFUNCTION("""COMPUTED_VALUE"""),59.0)</f>
        <v>59</v>
      </c>
      <c r="I1989" s="1">
        <f>IFERROR(__xludf.DUMMYFUNCTION("""COMPUTED_VALUE"""),47.0)</f>
        <v>47</v>
      </c>
      <c r="J1989" s="1">
        <f>IFERROR(__xludf.DUMMYFUNCTION("""COMPUTED_VALUE"""),72.0)</f>
        <v>72</v>
      </c>
      <c r="K1989" s="1">
        <f>IFERROR(__xludf.DUMMYFUNCTION("""COMPUTED_VALUE"""),82.0)</f>
        <v>82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 t="str">
        <f>IFERROR(__xludf.DUMMYFUNCTION("""COMPUTED_VALUE"""),"C")</f>
        <v>C</v>
      </c>
      <c r="E1990" s="1" t="str">
        <f>IFERROR(__xludf.DUMMYFUNCTION("""COMPUTED_VALUE"""),"Female")</f>
        <v>Female</v>
      </c>
      <c r="F1990" s="1">
        <f>IFERROR(__xludf.DUMMYFUNCTION("""COMPUTED_VALUE"""),91.0)</f>
        <v>91</v>
      </c>
      <c r="G1990" s="1">
        <f>IFERROR(__xludf.DUMMYFUNCTION("""COMPUTED_VALUE"""),31.0)</f>
        <v>31</v>
      </c>
      <c r="H1990" s="1">
        <f>IFERROR(__xludf.DUMMYFUNCTION("""COMPUTED_VALUE"""),75.0)</f>
        <v>75</v>
      </c>
      <c r="I1990" s="1">
        <f>IFERROR(__xludf.DUMMYFUNCTION("""COMPUTED_VALUE"""),92.0)</f>
        <v>92</v>
      </c>
      <c r="J1990" s="1">
        <f>IFERROR(__xludf.DUMMYFUNCTION("""COMPUTED_VALUE"""),35.0)</f>
        <v>35</v>
      </c>
      <c r="K1990" s="1">
        <f>IFERROR(__xludf.DUMMYFUNCTION("""COMPUTED_VALUE"""),93.0)</f>
        <v>93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 t="str">
        <f>IFERROR(__xludf.DUMMYFUNCTION("""COMPUTED_VALUE"""),"C")</f>
        <v>C</v>
      </c>
      <c r="E1991" s="1" t="str">
        <f>IFERROR(__xludf.DUMMYFUNCTION("""COMPUTED_VALUE"""),"Male")</f>
        <v>Male</v>
      </c>
      <c r="F1991" s="1">
        <f>IFERROR(__xludf.DUMMYFUNCTION("""COMPUTED_VALUE"""),16.0)</f>
        <v>16</v>
      </c>
      <c r="G1991" s="1">
        <f>IFERROR(__xludf.DUMMYFUNCTION("""COMPUTED_VALUE"""),67.0)</f>
        <v>67</v>
      </c>
      <c r="H1991" s="1">
        <f>IFERROR(__xludf.DUMMYFUNCTION("""COMPUTED_VALUE"""),35.0)</f>
        <v>35</v>
      </c>
      <c r="I1991" s="1">
        <f>IFERROR(__xludf.DUMMYFUNCTION("""COMPUTED_VALUE"""),43.0)</f>
        <v>43</v>
      </c>
      <c r="J1991" s="1">
        <f>IFERROR(__xludf.DUMMYFUNCTION("""COMPUTED_VALUE"""),85.0)</f>
        <v>85</v>
      </c>
      <c r="K1991" s="1">
        <f>IFERROR(__xludf.DUMMYFUNCTION("""COMPUTED_VALUE"""),90.0)</f>
        <v>90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 t="str">
        <f>IFERROR(__xludf.DUMMYFUNCTION("""COMPUTED_VALUE"""),"A")</f>
        <v>A</v>
      </c>
      <c r="E1992" s="1" t="str">
        <f>IFERROR(__xludf.DUMMYFUNCTION("""COMPUTED_VALUE"""),"Female")</f>
        <v>Female</v>
      </c>
      <c r="F1992" s="1">
        <f>IFERROR(__xludf.DUMMYFUNCTION("""COMPUTED_VALUE"""),56.0)</f>
        <v>56</v>
      </c>
      <c r="G1992" s="1">
        <f>IFERROR(__xludf.DUMMYFUNCTION("""COMPUTED_VALUE"""),71.0)</f>
        <v>71</v>
      </c>
      <c r="H1992" s="1">
        <f>IFERROR(__xludf.DUMMYFUNCTION("""COMPUTED_VALUE"""),72.0)</f>
        <v>72</v>
      </c>
      <c r="I1992" s="1">
        <f>IFERROR(__xludf.DUMMYFUNCTION("""COMPUTED_VALUE"""),42.0)</f>
        <v>42</v>
      </c>
      <c r="J1992" s="1">
        <f>IFERROR(__xludf.DUMMYFUNCTION("""COMPUTED_VALUE"""),50.0)</f>
        <v>50</v>
      </c>
      <c r="K1992" s="1">
        <f>IFERROR(__xludf.DUMMYFUNCTION("""COMPUTED_VALUE"""),96.0)</f>
        <v>96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 t="str">
        <f>IFERROR(__xludf.DUMMYFUNCTION("""COMPUTED_VALUE"""),"A")</f>
        <v>A</v>
      </c>
      <c r="E1993" s="1" t="str">
        <f>IFERROR(__xludf.DUMMYFUNCTION("""COMPUTED_VALUE"""),"Female")</f>
        <v>Female</v>
      </c>
      <c r="F1993" s="1">
        <f>IFERROR(__xludf.DUMMYFUNCTION("""COMPUTED_VALUE"""),90.0)</f>
        <v>90</v>
      </c>
      <c r="G1993" s="1">
        <f>IFERROR(__xludf.DUMMYFUNCTION("""COMPUTED_VALUE"""),62.0)</f>
        <v>62</v>
      </c>
      <c r="H1993" s="1">
        <f>IFERROR(__xludf.DUMMYFUNCTION("""COMPUTED_VALUE"""),59.0)</f>
        <v>59</v>
      </c>
      <c r="I1993" s="1">
        <f>IFERROR(__xludf.DUMMYFUNCTION("""COMPUTED_VALUE"""),80.0)</f>
        <v>80</v>
      </c>
      <c r="J1993" s="1">
        <f>IFERROR(__xludf.DUMMYFUNCTION("""COMPUTED_VALUE"""),57.0)</f>
        <v>57</v>
      </c>
      <c r="K1993" s="1">
        <f>IFERROR(__xludf.DUMMYFUNCTION("""COMPUTED_VALUE"""),59.0)</f>
        <v>59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 t="str">
        <f>IFERROR(__xludf.DUMMYFUNCTION("""COMPUTED_VALUE"""),"C")</f>
        <v>C</v>
      </c>
      <c r="E1994" s="1" t="str">
        <f>IFERROR(__xludf.DUMMYFUNCTION("""COMPUTED_VALUE"""),"Female")</f>
        <v>Female</v>
      </c>
      <c r="F1994" s="1">
        <f>IFERROR(__xludf.DUMMYFUNCTION("""COMPUTED_VALUE"""),47.0)</f>
        <v>47</v>
      </c>
      <c r="G1994" s="1">
        <f>IFERROR(__xludf.DUMMYFUNCTION("""COMPUTED_VALUE"""),41.0)</f>
        <v>41</v>
      </c>
      <c r="H1994" s="1">
        <f>IFERROR(__xludf.DUMMYFUNCTION("""COMPUTED_VALUE"""),96.0)</f>
        <v>96</v>
      </c>
      <c r="I1994" s="1">
        <f>IFERROR(__xludf.DUMMYFUNCTION("""COMPUTED_VALUE"""),96.0)</f>
        <v>96</v>
      </c>
      <c r="J1994" s="1">
        <f>IFERROR(__xludf.DUMMYFUNCTION("""COMPUTED_VALUE"""),27.0)</f>
        <v>27</v>
      </c>
      <c r="K1994" s="1">
        <f>IFERROR(__xludf.DUMMYFUNCTION("""COMPUTED_VALUE"""),70.0)</f>
        <v>70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 t="str">
        <f>IFERROR(__xludf.DUMMYFUNCTION("""COMPUTED_VALUE"""),"C")</f>
        <v>C</v>
      </c>
      <c r="E1995" s="1" t="str">
        <f>IFERROR(__xludf.DUMMYFUNCTION("""COMPUTED_VALUE"""),"Female")</f>
        <v>Female</v>
      </c>
      <c r="F1995" s="1">
        <f>IFERROR(__xludf.DUMMYFUNCTION("""COMPUTED_VALUE"""),90.0)</f>
        <v>90</v>
      </c>
      <c r="G1995" s="1">
        <f>IFERROR(__xludf.DUMMYFUNCTION("""COMPUTED_VALUE"""),57.0)</f>
        <v>57</v>
      </c>
      <c r="H1995" s="1">
        <f>IFERROR(__xludf.DUMMYFUNCTION("""COMPUTED_VALUE"""),37.0)</f>
        <v>37</v>
      </c>
      <c r="I1995" s="1">
        <f>IFERROR(__xludf.DUMMYFUNCTION("""COMPUTED_VALUE"""),62.0)</f>
        <v>62</v>
      </c>
      <c r="J1995" s="1">
        <f>IFERROR(__xludf.DUMMYFUNCTION("""COMPUTED_VALUE"""),54.0)</f>
        <v>54</v>
      </c>
      <c r="K1995" s="1">
        <f>IFERROR(__xludf.DUMMYFUNCTION("""COMPUTED_VALUE"""),52.0)</f>
        <v>52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 t="str">
        <f>IFERROR(__xludf.DUMMYFUNCTION("""COMPUTED_VALUE"""),"B")</f>
        <v>B</v>
      </c>
      <c r="E1996" s="1" t="str">
        <f>IFERROR(__xludf.DUMMYFUNCTION("""COMPUTED_VALUE"""),"Male")</f>
        <v>Male</v>
      </c>
      <c r="F1996" s="1">
        <f>IFERROR(__xludf.DUMMYFUNCTION("""COMPUTED_VALUE"""),67.0)</f>
        <v>67</v>
      </c>
      <c r="G1996" s="1">
        <f>IFERROR(__xludf.DUMMYFUNCTION("""COMPUTED_VALUE"""),32.0)</f>
        <v>32</v>
      </c>
      <c r="H1996" s="1">
        <f>IFERROR(__xludf.DUMMYFUNCTION("""COMPUTED_VALUE"""),73.0)</f>
        <v>73</v>
      </c>
      <c r="I1996" s="1">
        <f>IFERROR(__xludf.DUMMYFUNCTION("""COMPUTED_VALUE"""),36.0)</f>
        <v>36</v>
      </c>
      <c r="J1996" s="1">
        <f>IFERROR(__xludf.DUMMYFUNCTION("""COMPUTED_VALUE"""),52.0)</f>
        <v>52</v>
      </c>
      <c r="K1996" s="1">
        <f>IFERROR(__xludf.DUMMYFUNCTION("""COMPUTED_VALUE"""),96.0)</f>
        <v>96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 t="str">
        <f>IFERROR(__xludf.DUMMYFUNCTION("""COMPUTED_VALUE"""),"D")</f>
        <v>D</v>
      </c>
      <c r="E1997" s="1" t="str">
        <f>IFERROR(__xludf.DUMMYFUNCTION("""COMPUTED_VALUE"""),"Female")</f>
        <v>Female</v>
      </c>
      <c r="F1997" s="1">
        <f>IFERROR(__xludf.DUMMYFUNCTION("""COMPUTED_VALUE"""),67.0)</f>
        <v>67</v>
      </c>
      <c r="G1997" s="1">
        <f>IFERROR(__xludf.DUMMYFUNCTION("""COMPUTED_VALUE"""),53.0)</f>
        <v>53</v>
      </c>
      <c r="H1997" s="1">
        <f>IFERROR(__xludf.DUMMYFUNCTION("""COMPUTED_VALUE"""),91.0)</f>
        <v>91</v>
      </c>
      <c r="I1997" s="1">
        <f>IFERROR(__xludf.DUMMYFUNCTION("""COMPUTED_VALUE"""),46.0)</f>
        <v>46</v>
      </c>
      <c r="J1997" s="1">
        <f>IFERROR(__xludf.DUMMYFUNCTION("""COMPUTED_VALUE"""),52.0)</f>
        <v>52</v>
      </c>
      <c r="K1997" s="1">
        <f>IFERROR(__xludf.DUMMYFUNCTION("""COMPUTED_VALUE"""),24.0)</f>
        <v>24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 t="str">
        <f>IFERROR(__xludf.DUMMYFUNCTION("""COMPUTED_VALUE"""),"C")</f>
        <v>C</v>
      </c>
      <c r="E1998" s="1" t="str">
        <f>IFERROR(__xludf.DUMMYFUNCTION("""COMPUTED_VALUE"""),"Female")</f>
        <v>Female</v>
      </c>
      <c r="F1998" s="1">
        <f>IFERROR(__xludf.DUMMYFUNCTION("""COMPUTED_VALUE"""),27.0)</f>
        <v>27</v>
      </c>
      <c r="G1998" s="1">
        <f>IFERROR(__xludf.DUMMYFUNCTION("""COMPUTED_VALUE"""),24.0)</f>
        <v>24</v>
      </c>
      <c r="H1998" s="1">
        <f>IFERROR(__xludf.DUMMYFUNCTION("""COMPUTED_VALUE"""),57.0)</f>
        <v>57</v>
      </c>
      <c r="I1998" s="1">
        <f>IFERROR(__xludf.DUMMYFUNCTION("""COMPUTED_VALUE"""),33.0)</f>
        <v>33</v>
      </c>
      <c r="J1998" s="1">
        <f>IFERROR(__xludf.DUMMYFUNCTION("""COMPUTED_VALUE"""),33.0)</f>
        <v>33</v>
      </c>
      <c r="K1998" s="1">
        <f>IFERROR(__xludf.DUMMYFUNCTION("""COMPUTED_VALUE"""),67.0)</f>
        <v>67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 t="str">
        <f>IFERROR(__xludf.DUMMYFUNCTION("""COMPUTED_VALUE"""),"C")</f>
        <v>C</v>
      </c>
      <c r="E1999" s="1" t="str">
        <f>IFERROR(__xludf.DUMMYFUNCTION("""COMPUTED_VALUE"""),"Female")</f>
        <v>Female</v>
      </c>
      <c r="F1999" s="1">
        <f>IFERROR(__xludf.DUMMYFUNCTION("""COMPUTED_VALUE"""),80.0)</f>
        <v>80</v>
      </c>
      <c r="G1999" s="1">
        <f>IFERROR(__xludf.DUMMYFUNCTION("""COMPUTED_VALUE"""),49.0)</f>
        <v>49</v>
      </c>
      <c r="H1999" s="1">
        <f>IFERROR(__xludf.DUMMYFUNCTION("""COMPUTED_VALUE"""),53.0)</f>
        <v>53</v>
      </c>
      <c r="I1999" s="1">
        <f>IFERROR(__xludf.DUMMYFUNCTION("""COMPUTED_VALUE"""),43.0)</f>
        <v>43</v>
      </c>
      <c r="J1999" s="1">
        <f>IFERROR(__xludf.DUMMYFUNCTION("""COMPUTED_VALUE"""),40.0)</f>
        <v>40</v>
      </c>
      <c r="K1999" s="1">
        <f>IFERROR(__xludf.DUMMYFUNCTION("""COMPUTED_VALUE"""),84.0)</f>
        <v>84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 t="str">
        <f>IFERROR(__xludf.DUMMYFUNCTION("""COMPUTED_VALUE"""),"C")</f>
        <v>C</v>
      </c>
      <c r="E2000" s="1" t="str">
        <f>IFERROR(__xludf.DUMMYFUNCTION("""COMPUTED_VALUE"""),"Male")</f>
        <v>Male</v>
      </c>
      <c r="F2000" s="1">
        <f>IFERROR(__xludf.DUMMYFUNCTION("""COMPUTED_VALUE"""),36.0)</f>
        <v>36</v>
      </c>
      <c r="G2000" s="1">
        <f>IFERROR(__xludf.DUMMYFUNCTION("""COMPUTED_VALUE"""),81.0)</f>
        <v>81</v>
      </c>
      <c r="H2000" s="1">
        <f>IFERROR(__xludf.DUMMYFUNCTION("""COMPUTED_VALUE"""),95.0)</f>
        <v>95</v>
      </c>
      <c r="I2000" s="1">
        <f>IFERROR(__xludf.DUMMYFUNCTION("""COMPUTED_VALUE"""),88.0)</f>
        <v>88</v>
      </c>
      <c r="J2000" s="1">
        <f>IFERROR(__xludf.DUMMYFUNCTION("""COMPUTED_VALUE"""),43.0)</f>
        <v>43</v>
      </c>
      <c r="K2000" s="1">
        <f>IFERROR(__xludf.DUMMYFUNCTION("""COMPUTED_VALUE"""),51.0)</f>
        <v>51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 t="str">
        <f>IFERROR(__xludf.DUMMYFUNCTION("""COMPUTED_VALUE"""),"D")</f>
        <v>D</v>
      </c>
      <c r="E2001" s="1" t="str">
        <f>IFERROR(__xludf.DUMMYFUNCTION("""COMPUTED_VALUE"""),"Male")</f>
        <v>Male</v>
      </c>
      <c r="F2001" s="1">
        <f>IFERROR(__xludf.DUMMYFUNCTION("""COMPUTED_VALUE"""),52.0)</f>
        <v>52</v>
      </c>
      <c r="G2001" s="1">
        <f>IFERROR(__xludf.DUMMYFUNCTION("""COMPUTED_VALUE"""),42.0)</f>
        <v>42</v>
      </c>
      <c r="H2001" s="1">
        <f>IFERROR(__xludf.DUMMYFUNCTION("""COMPUTED_VALUE"""),60.0)</f>
        <v>60</v>
      </c>
      <c r="I2001" s="1">
        <f>IFERROR(__xludf.DUMMYFUNCTION("""COMPUTED_VALUE"""),59.0)</f>
        <v>59</v>
      </c>
      <c r="J2001" s="1">
        <f>IFERROR(__xludf.DUMMYFUNCTION("""COMPUTED_VALUE"""),79.0)</f>
        <v>79</v>
      </c>
      <c r="K2001" s="1">
        <f>IFERROR(__xludf.DUMMYFUNCTION("""COMPUTED_VALUE"""),88.0)</f>
        <v>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IFERROR(__xludf.DUMMYFUNCTION("query(importrange(""https://docs.google.com/spreadsheets/d/1M37DjHnPN95tzUOEE8wSni2R2lc875SF1Wepiuuu3lM/"",""'Students Data'!A1:K2001""),
""Select Col1,Col2,Col3,Col4,Col6,Col7,Col8,Col9,Col10,Col11"",1)"),"Student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IFERROR(__xludf.DUMMYFUNCTION("""COMPUTED_VALUE"""),"Section")</f>
        <v>Section</v>
      </c>
      <c r="E1" s="1" t="str">
        <f>IFERROR(__xludf.DUMMYFUNCTION("""COMPUTED_VALUE"""),"Attendance (%)")</f>
        <v>Attendance (%)</v>
      </c>
      <c r="F1" s="1" t="str">
        <f>IFERROR(__xludf.DUMMYFUNCTION("""COMPUTED_VALUE"""),"Hindi")</f>
        <v>Hindi</v>
      </c>
      <c r="G1" s="1" t="str">
        <f>IFERROR(__xludf.DUMMYFUNCTION("""COMPUTED_VALUE"""),"English")</f>
        <v>English</v>
      </c>
      <c r="H1" s="1" t="str">
        <f>IFERROR(__xludf.DUMMYFUNCTION("""COMPUTED_VALUE"""),"Science")</f>
        <v>Science</v>
      </c>
      <c r="I1" s="1" t="str">
        <f>IFERROR(__xludf.DUMMYFUNCTION("""COMPUTED_VALUE"""),"Maths")</f>
        <v>Maths</v>
      </c>
      <c r="J1" s="1" t="str">
        <f>IFERROR(__xludf.DUMMYFUNCTION("""COMPUTED_VALUE"""),"Computer")</f>
        <v>Computer</v>
      </c>
      <c r="K1" s="2"/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 t="str">
        <f>IFERROR(__xludf.DUMMYFUNCTION("""COMPUTED_VALUE"""),"A")</f>
        <v>A</v>
      </c>
      <c r="E2" s="1">
        <f>IFERROR(__xludf.DUMMYFUNCTION("""COMPUTED_VALUE"""),67.0)</f>
        <v>67</v>
      </c>
      <c r="F2" s="1">
        <f>IFERROR(__xludf.DUMMYFUNCTION("""COMPUTED_VALUE"""),90.0)</f>
        <v>90</v>
      </c>
      <c r="G2" s="1">
        <f>IFERROR(__xludf.DUMMYFUNCTION("""COMPUTED_VALUE"""),56.0)</f>
        <v>56</v>
      </c>
      <c r="H2" s="1">
        <f>IFERROR(__xludf.DUMMYFUNCTION("""COMPUTED_VALUE"""),78.0)</f>
        <v>78</v>
      </c>
      <c r="I2" s="1">
        <f>IFERROR(__xludf.DUMMYFUNCTION("""COMPUTED_VALUE"""),45.0)</f>
        <v>45</v>
      </c>
      <c r="J2" s="1">
        <f>IFERROR(__xludf.DUMMYFUNCTION("""COMPUTED_VALUE"""),67.0)</f>
        <v>67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 t="str">
        <f>IFERROR(__xludf.DUMMYFUNCTION("""COMPUTED_VALUE"""),"A")</f>
        <v>A</v>
      </c>
      <c r="E3" s="1">
        <f>IFERROR(__xludf.DUMMYFUNCTION("""COMPUTED_VALUE"""),87.0)</f>
        <v>87</v>
      </c>
      <c r="F3" s="1">
        <f>IFERROR(__xludf.DUMMYFUNCTION("""COMPUTED_VALUE"""),67.0)</f>
        <v>67</v>
      </c>
      <c r="G3" s="1">
        <f>IFERROR(__xludf.DUMMYFUNCTION("""COMPUTED_VALUE"""),45.0)</f>
        <v>45</v>
      </c>
      <c r="H3" s="1">
        <f>IFERROR(__xludf.DUMMYFUNCTION("""COMPUTED_VALUE"""),46.0)</f>
        <v>46</v>
      </c>
      <c r="I3" s="1">
        <f>IFERROR(__xludf.DUMMYFUNCTION("""COMPUTED_VALUE"""),53.0)</f>
        <v>53</v>
      </c>
      <c r="J3" s="1">
        <f>IFERROR(__xludf.DUMMYFUNCTION("""COMPUTED_VALUE"""),86.0)</f>
        <v>86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 t="str">
        <f>IFERROR(__xludf.DUMMYFUNCTION("""COMPUTED_VALUE"""),"C")</f>
        <v>C</v>
      </c>
      <c r="E4" s="1">
        <f>IFERROR(__xludf.DUMMYFUNCTION("""COMPUTED_VALUE"""),15.0)</f>
        <v>15</v>
      </c>
      <c r="F4" s="1">
        <f>IFERROR(__xludf.DUMMYFUNCTION("""COMPUTED_VALUE"""),68.0)</f>
        <v>68</v>
      </c>
      <c r="G4" s="1">
        <f>IFERROR(__xludf.DUMMYFUNCTION("""COMPUTED_VALUE"""),49.0)</f>
        <v>49</v>
      </c>
      <c r="H4" s="1">
        <f>IFERROR(__xludf.DUMMYFUNCTION("""COMPUTED_VALUE"""),59.0)</f>
        <v>59</v>
      </c>
      <c r="I4" s="1">
        <f>IFERROR(__xludf.DUMMYFUNCTION("""COMPUTED_VALUE"""),59.0)</f>
        <v>59</v>
      </c>
      <c r="J4" s="1">
        <f>IFERROR(__xludf.DUMMYFUNCTION("""COMPUTED_VALUE"""),48.0)</f>
        <v>48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 t="str">
        <f>IFERROR(__xludf.DUMMYFUNCTION("""COMPUTED_VALUE"""),"B")</f>
        <v>B</v>
      </c>
      <c r="E5" s="1">
        <f>IFERROR(__xludf.DUMMYFUNCTION("""COMPUTED_VALUE"""),85.0)</f>
        <v>85</v>
      </c>
      <c r="F5" s="1">
        <f>IFERROR(__xludf.DUMMYFUNCTION("""COMPUTED_VALUE"""),28.0)</f>
        <v>28</v>
      </c>
      <c r="G5" s="1">
        <f>IFERROR(__xludf.DUMMYFUNCTION("""COMPUTED_VALUE"""),28.0)</f>
        <v>28</v>
      </c>
      <c r="H5" s="1">
        <f>IFERROR(__xludf.DUMMYFUNCTION("""COMPUTED_VALUE"""),72.0)</f>
        <v>72</v>
      </c>
      <c r="I5" s="1">
        <f>IFERROR(__xludf.DUMMYFUNCTION("""COMPUTED_VALUE"""),25.0)</f>
        <v>25</v>
      </c>
      <c r="J5" s="1">
        <f>IFERROR(__xludf.DUMMYFUNCTION("""COMPUTED_VALUE"""),94.0)</f>
        <v>94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 t="str">
        <f>IFERROR(__xludf.DUMMYFUNCTION("""COMPUTED_VALUE"""),"D")</f>
        <v>D</v>
      </c>
      <c r="E6" s="1">
        <f>IFERROR(__xludf.DUMMYFUNCTION("""COMPUTED_VALUE"""),93.0)</f>
        <v>93</v>
      </c>
      <c r="F6" s="1">
        <f>IFERROR(__xludf.DUMMYFUNCTION("""COMPUTED_VALUE"""),97.0)</f>
        <v>97</v>
      </c>
      <c r="G6" s="1">
        <f>IFERROR(__xludf.DUMMYFUNCTION("""COMPUTED_VALUE"""),92.0)</f>
        <v>92</v>
      </c>
      <c r="H6" s="1">
        <f>IFERROR(__xludf.DUMMYFUNCTION("""COMPUTED_VALUE"""),49.0)</f>
        <v>49</v>
      </c>
      <c r="I6" s="1">
        <f>IFERROR(__xludf.DUMMYFUNCTION("""COMPUTED_VALUE"""),67.0)</f>
        <v>67</v>
      </c>
      <c r="J6" s="1">
        <f>IFERROR(__xludf.DUMMYFUNCTION("""COMPUTED_VALUE"""),30.0)</f>
        <v>30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 t="str">
        <f>IFERROR(__xludf.DUMMYFUNCTION("""COMPUTED_VALUE"""),"A")</f>
        <v>A</v>
      </c>
      <c r="E7" s="1">
        <f>IFERROR(__xludf.DUMMYFUNCTION("""COMPUTED_VALUE"""),100.0)</f>
        <v>100</v>
      </c>
      <c r="F7" s="1">
        <f>IFERROR(__xludf.DUMMYFUNCTION("""COMPUTED_VALUE"""),56.0)</f>
        <v>56</v>
      </c>
      <c r="G7" s="1">
        <f>IFERROR(__xludf.DUMMYFUNCTION("""COMPUTED_VALUE"""),78.0)</f>
        <v>78</v>
      </c>
      <c r="H7" s="1">
        <f>IFERROR(__xludf.DUMMYFUNCTION("""COMPUTED_VALUE"""),30.0)</f>
        <v>30</v>
      </c>
      <c r="I7" s="1">
        <f>IFERROR(__xludf.DUMMYFUNCTION("""COMPUTED_VALUE"""),37.0)</f>
        <v>37</v>
      </c>
      <c r="J7" s="1">
        <f>IFERROR(__xludf.DUMMYFUNCTION("""COMPUTED_VALUE"""),74.0)</f>
        <v>74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 t="str">
        <f>IFERROR(__xludf.DUMMYFUNCTION("""COMPUTED_VALUE"""),"D")</f>
        <v>D</v>
      </c>
      <c r="E8" s="1">
        <f>IFERROR(__xludf.DUMMYFUNCTION("""COMPUTED_VALUE"""),20.0)</f>
        <v>20</v>
      </c>
      <c r="F8" s="1">
        <f>IFERROR(__xludf.DUMMYFUNCTION("""COMPUTED_VALUE"""),21.0)</f>
        <v>21</v>
      </c>
      <c r="G8" s="1">
        <f>IFERROR(__xludf.DUMMYFUNCTION("""COMPUTED_VALUE"""),34.0)</f>
        <v>34</v>
      </c>
      <c r="H8" s="1">
        <f>IFERROR(__xludf.DUMMYFUNCTION("""COMPUTED_VALUE"""),95.0)</f>
        <v>95</v>
      </c>
      <c r="I8" s="1">
        <f>IFERROR(__xludf.DUMMYFUNCTION("""COMPUTED_VALUE"""),96.0)</f>
        <v>96</v>
      </c>
      <c r="J8" s="1">
        <f>IFERROR(__xludf.DUMMYFUNCTION("""COMPUTED_VALUE"""),78.0)</f>
        <v>78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 t="str">
        <f>IFERROR(__xludf.DUMMYFUNCTION("""COMPUTED_VALUE"""),"B")</f>
        <v>B</v>
      </c>
      <c r="E9" s="1">
        <f>IFERROR(__xludf.DUMMYFUNCTION("""COMPUTED_VALUE"""),57.0)</f>
        <v>57</v>
      </c>
      <c r="F9" s="1">
        <f>IFERROR(__xludf.DUMMYFUNCTION("""COMPUTED_VALUE"""),63.0)</f>
        <v>63</v>
      </c>
      <c r="G9" s="1">
        <f>IFERROR(__xludf.DUMMYFUNCTION("""COMPUTED_VALUE"""),41.0)</f>
        <v>41</v>
      </c>
      <c r="H9" s="1">
        <f>IFERROR(__xludf.DUMMYFUNCTION("""COMPUTED_VALUE"""),34.0)</f>
        <v>34</v>
      </c>
      <c r="I9" s="1">
        <f>IFERROR(__xludf.DUMMYFUNCTION("""COMPUTED_VALUE"""),66.0)</f>
        <v>66</v>
      </c>
      <c r="J9" s="1">
        <f>IFERROR(__xludf.DUMMYFUNCTION("""COMPUTED_VALUE"""),47.0)</f>
        <v>47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 t="str">
        <f>IFERROR(__xludf.DUMMYFUNCTION("""COMPUTED_VALUE"""),"C")</f>
        <v>C</v>
      </c>
      <c r="E10" s="1">
        <f>IFERROR(__xludf.DUMMYFUNCTION("""COMPUTED_VALUE"""),98.0)</f>
        <v>98</v>
      </c>
      <c r="F10" s="1">
        <f>IFERROR(__xludf.DUMMYFUNCTION("""COMPUTED_VALUE"""),97.0)</f>
        <v>97</v>
      </c>
      <c r="G10" s="1">
        <f>IFERROR(__xludf.DUMMYFUNCTION("""COMPUTED_VALUE"""),64.0)</f>
        <v>64</v>
      </c>
      <c r="H10" s="1">
        <f>IFERROR(__xludf.DUMMYFUNCTION("""COMPUTED_VALUE"""),75.0)</f>
        <v>75</v>
      </c>
      <c r="I10" s="1">
        <f>IFERROR(__xludf.DUMMYFUNCTION("""COMPUTED_VALUE"""),23.0)</f>
        <v>23</v>
      </c>
      <c r="J10" s="1">
        <f>IFERROR(__xludf.DUMMYFUNCTION("""COMPUTED_VALUE"""),78.0)</f>
        <v>78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 t="str">
        <f>IFERROR(__xludf.DUMMYFUNCTION("""COMPUTED_VALUE"""),"C")</f>
        <v>C</v>
      </c>
      <c r="E11" s="1">
        <f>IFERROR(__xludf.DUMMYFUNCTION("""COMPUTED_VALUE"""),37.0)</f>
        <v>37</v>
      </c>
      <c r="F11" s="1">
        <f>IFERROR(__xludf.DUMMYFUNCTION("""COMPUTED_VALUE"""),42.0)</f>
        <v>42</v>
      </c>
      <c r="G11" s="1">
        <f>IFERROR(__xludf.DUMMYFUNCTION("""COMPUTED_VALUE"""),93.0)</f>
        <v>93</v>
      </c>
      <c r="H11" s="1">
        <f>IFERROR(__xludf.DUMMYFUNCTION("""COMPUTED_VALUE"""),75.0)</f>
        <v>75</v>
      </c>
      <c r="I11" s="1">
        <f>IFERROR(__xludf.DUMMYFUNCTION("""COMPUTED_VALUE"""),84.0)</f>
        <v>84</v>
      </c>
      <c r="J11" s="1">
        <f>IFERROR(__xludf.DUMMYFUNCTION("""COMPUTED_VALUE"""),79.0)</f>
        <v>79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 t="str">
        <f>IFERROR(__xludf.DUMMYFUNCTION("""COMPUTED_VALUE"""),"D")</f>
        <v>D</v>
      </c>
      <c r="E12" s="1">
        <f>IFERROR(__xludf.DUMMYFUNCTION("""COMPUTED_VALUE"""),38.0)</f>
        <v>38</v>
      </c>
      <c r="F12" s="1">
        <f>IFERROR(__xludf.DUMMYFUNCTION("""COMPUTED_VALUE"""),21.0)</f>
        <v>21</v>
      </c>
      <c r="G12" s="1">
        <f>IFERROR(__xludf.DUMMYFUNCTION("""COMPUTED_VALUE"""),53.0)</f>
        <v>53</v>
      </c>
      <c r="H12" s="1">
        <f>IFERROR(__xludf.DUMMYFUNCTION("""COMPUTED_VALUE"""),32.0)</f>
        <v>32</v>
      </c>
      <c r="I12" s="1">
        <f>IFERROR(__xludf.DUMMYFUNCTION("""COMPUTED_VALUE"""),54.0)</f>
        <v>54</v>
      </c>
      <c r="J12" s="1">
        <f>IFERROR(__xludf.DUMMYFUNCTION("""COMPUTED_VALUE"""),41.0)</f>
        <v>41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 t="str">
        <f>IFERROR(__xludf.DUMMYFUNCTION("""COMPUTED_VALUE"""),"A")</f>
        <v>A</v>
      </c>
      <c r="E13" s="1">
        <f>IFERROR(__xludf.DUMMYFUNCTION("""COMPUTED_VALUE"""),90.0)</f>
        <v>90</v>
      </c>
      <c r="F13" s="1">
        <f>IFERROR(__xludf.DUMMYFUNCTION("""COMPUTED_VALUE"""),75.0)</f>
        <v>75</v>
      </c>
      <c r="G13" s="1">
        <f>IFERROR(__xludf.DUMMYFUNCTION("""COMPUTED_VALUE"""),74.0)</f>
        <v>74</v>
      </c>
      <c r="H13" s="1">
        <f>IFERROR(__xludf.DUMMYFUNCTION("""COMPUTED_VALUE"""),63.0)</f>
        <v>63</v>
      </c>
      <c r="I13" s="1">
        <f>IFERROR(__xludf.DUMMYFUNCTION("""COMPUTED_VALUE"""),91.0)</f>
        <v>91</v>
      </c>
      <c r="J13" s="1">
        <f>IFERROR(__xludf.DUMMYFUNCTION("""COMPUTED_VALUE"""),41.0)</f>
        <v>41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 t="str">
        <f>IFERROR(__xludf.DUMMYFUNCTION("""COMPUTED_VALUE"""),"B")</f>
        <v>B</v>
      </c>
      <c r="E14" s="1">
        <f>IFERROR(__xludf.DUMMYFUNCTION("""COMPUTED_VALUE"""),51.0)</f>
        <v>51</v>
      </c>
      <c r="F14" s="1">
        <f>IFERROR(__xludf.DUMMYFUNCTION("""COMPUTED_VALUE"""),50.0)</f>
        <v>50</v>
      </c>
      <c r="G14" s="1">
        <f>IFERROR(__xludf.DUMMYFUNCTION("""COMPUTED_VALUE"""),69.0)</f>
        <v>69</v>
      </c>
      <c r="H14" s="1">
        <f>IFERROR(__xludf.DUMMYFUNCTION("""COMPUTED_VALUE"""),64.0)</f>
        <v>64</v>
      </c>
      <c r="I14" s="1">
        <f>IFERROR(__xludf.DUMMYFUNCTION("""COMPUTED_VALUE"""),69.0)</f>
        <v>69</v>
      </c>
      <c r="J14" s="1">
        <f>IFERROR(__xludf.DUMMYFUNCTION("""COMPUTED_VALUE"""),86.0)</f>
        <v>86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 t="str">
        <f>IFERROR(__xludf.DUMMYFUNCTION("""COMPUTED_VALUE"""),"B")</f>
        <v>B</v>
      </c>
      <c r="E15" s="1">
        <f>IFERROR(__xludf.DUMMYFUNCTION("""COMPUTED_VALUE"""),21.0)</f>
        <v>21</v>
      </c>
      <c r="F15" s="1">
        <f>IFERROR(__xludf.DUMMYFUNCTION("""COMPUTED_VALUE"""),97.0)</f>
        <v>97</v>
      </c>
      <c r="G15" s="1">
        <f>IFERROR(__xludf.DUMMYFUNCTION("""COMPUTED_VALUE"""),77.0)</f>
        <v>77</v>
      </c>
      <c r="H15" s="1">
        <f>IFERROR(__xludf.DUMMYFUNCTION("""COMPUTED_VALUE"""),30.0)</f>
        <v>30</v>
      </c>
      <c r="I15" s="1">
        <f>IFERROR(__xludf.DUMMYFUNCTION("""COMPUTED_VALUE"""),52.0)</f>
        <v>52</v>
      </c>
      <c r="J15" s="1">
        <f>IFERROR(__xludf.DUMMYFUNCTION("""COMPUTED_VALUE"""),95.0)</f>
        <v>95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 t="str">
        <f>IFERROR(__xludf.DUMMYFUNCTION("""COMPUTED_VALUE"""),"C")</f>
        <v>C</v>
      </c>
      <c r="E16" s="1">
        <f>IFERROR(__xludf.DUMMYFUNCTION("""COMPUTED_VALUE"""),67.0)</f>
        <v>67</v>
      </c>
      <c r="F16" s="1">
        <f>IFERROR(__xludf.DUMMYFUNCTION("""COMPUTED_VALUE"""),60.0)</f>
        <v>60</v>
      </c>
      <c r="G16" s="1">
        <f>IFERROR(__xludf.DUMMYFUNCTION("""COMPUTED_VALUE"""),72.0)</f>
        <v>72</v>
      </c>
      <c r="H16" s="1">
        <f>IFERROR(__xludf.DUMMYFUNCTION("""COMPUTED_VALUE"""),76.0)</f>
        <v>76</v>
      </c>
      <c r="I16" s="1">
        <f>IFERROR(__xludf.DUMMYFUNCTION("""COMPUTED_VALUE"""),45.0)</f>
        <v>45</v>
      </c>
      <c r="J16" s="1">
        <f>IFERROR(__xludf.DUMMYFUNCTION("""COMPUTED_VALUE"""),76.0)</f>
        <v>76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 t="str">
        <f>IFERROR(__xludf.DUMMYFUNCTION("""COMPUTED_VALUE"""),"A")</f>
        <v>A</v>
      </c>
      <c r="E17" s="1">
        <f>IFERROR(__xludf.DUMMYFUNCTION("""COMPUTED_VALUE"""),60.0)</f>
        <v>60</v>
      </c>
      <c r="F17" s="1">
        <f>IFERROR(__xludf.DUMMYFUNCTION("""COMPUTED_VALUE"""),99.0)</f>
        <v>99</v>
      </c>
      <c r="G17" s="1">
        <f>IFERROR(__xludf.DUMMYFUNCTION("""COMPUTED_VALUE"""),21.0)</f>
        <v>21</v>
      </c>
      <c r="H17" s="1">
        <f>IFERROR(__xludf.DUMMYFUNCTION("""COMPUTED_VALUE"""),73.0)</f>
        <v>73</v>
      </c>
      <c r="I17" s="1">
        <f>IFERROR(__xludf.DUMMYFUNCTION("""COMPUTED_VALUE"""),73.0)</f>
        <v>73</v>
      </c>
      <c r="J17" s="1">
        <f>IFERROR(__xludf.DUMMYFUNCTION("""COMPUTED_VALUE"""),71.0)</f>
        <v>71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 t="str">
        <f>IFERROR(__xludf.DUMMYFUNCTION("""COMPUTED_VALUE"""),"A")</f>
        <v>A</v>
      </c>
      <c r="E18" s="1">
        <f>IFERROR(__xludf.DUMMYFUNCTION("""COMPUTED_VALUE"""),86.0)</f>
        <v>86</v>
      </c>
      <c r="F18" s="1">
        <f>IFERROR(__xludf.DUMMYFUNCTION("""COMPUTED_VALUE"""),20.0)</f>
        <v>20</v>
      </c>
      <c r="G18" s="1">
        <f>IFERROR(__xludf.DUMMYFUNCTION("""COMPUTED_VALUE"""),93.0)</f>
        <v>93</v>
      </c>
      <c r="H18" s="1">
        <f>IFERROR(__xludf.DUMMYFUNCTION("""COMPUTED_VALUE"""),75.0)</f>
        <v>75</v>
      </c>
      <c r="I18" s="1">
        <f>IFERROR(__xludf.DUMMYFUNCTION("""COMPUTED_VALUE"""),64.0)</f>
        <v>64</v>
      </c>
      <c r="J18" s="1">
        <f>IFERROR(__xludf.DUMMYFUNCTION("""COMPUTED_VALUE"""),21.0)</f>
        <v>21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 t="str">
        <f>IFERROR(__xludf.DUMMYFUNCTION("""COMPUTED_VALUE"""),"A")</f>
        <v>A</v>
      </c>
      <c r="E19" s="1">
        <f>IFERROR(__xludf.DUMMYFUNCTION("""COMPUTED_VALUE"""),75.0)</f>
        <v>75</v>
      </c>
      <c r="F19" s="1">
        <f>IFERROR(__xludf.DUMMYFUNCTION("""COMPUTED_VALUE"""),86.0)</f>
        <v>86</v>
      </c>
      <c r="G19" s="1">
        <f>IFERROR(__xludf.DUMMYFUNCTION("""COMPUTED_VALUE"""),60.0)</f>
        <v>60</v>
      </c>
      <c r="H19" s="1">
        <f>IFERROR(__xludf.DUMMYFUNCTION("""COMPUTED_VALUE"""),50.0)</f>
        <v>50</v>
      </c>
      <c r="I19" s="1">
        <f>IFERROR(__xludf.DUMMYFUNCTION("""COMPUTED_VALUE"""),60.0)</f>
        <v>60</v>
      </c>
      <c r="J19" s="1">
        <f>IFERROR(__xludf.DUMMYFUNCTION("""COMPUTED_VALUE"""),80.0)</f>
        <v>80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 t="str">
        <f>IFERROR(__xludf.DUMMYFUNCTION("""COMPUTED_VALUE"""),"A")</f>
        <v>A</v>
      </c>
      <c r="E20" s="1">
        <f>IFERROR(__xludf.DUMMYFUNCTION("""COMPUTED_VALUE"""),20.0)</f>
        <v>20</v>
      </c>
      <c r="F20" s="1">
        <f>IFERROR(__xludf.DUMMYFUNCTION("""COMPUTED_VALUE"""),59.0)</f>
        <v>59</v>
      </c>
      <c r="G20" s="1">
        <f>IFERROR(__xludf.DUMMYFUNCTION("""COMPUTED_VALUE"""),31.0)</f>
        <v>31</v>
      </c>
      <c r="H20" s="1">
        <f>IFERROR(__xludf.DUMMYFUNCTION("""COMPUTED_VALUE"""),44.0)</f>
        <v>44</v>
      </c>
      <c r="I20" s="1">
        <f>IFERROR(__xludf.DUMMYFUNCTION("""COMPUTED_VALUE"""),64.0)</f>
        <v>64</v>
      </c>
      <c r="J20" s="1">
        <f>IFERROR(__xludf.DUMMYFUNCTION("""COMPUTED_VALUE"""),87.0)</f>
        <v>87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 t="str">
        <f>IFERROR(__xludf.DUMMYFUNCTION("""COMPUTED_VALUE"""),"A")</f>
        <v>A</v>
      </c>
      <c r="E21" s="1">
        <f>IFERROR(__xludf.DUMMYFUNCTION("""COMPUTED_VALUE"""),12.0)</f>
        <v>12</v>
      </c>
      <c r="F21" s="1">
        <f>IFERROR(__xludf.DUMMYFUNCTION("""COMPUTED_VALUE"""),36.0)</f>
        <v>36</v>
      </c>
      <c r="G21" s="1">
        <f>IFERROR(__xludf.DUMMYFUNCTION("""COMPUTED_VALUE"""),52.0)</f>
        <v>52</v>
      </c>
      <c r="H21" s="1">
        <f>IFERROR(__xludf.DUMMYFUNCTION("""COMPUTED_VALUE"""),94.0)</f>
        <v>94</v>
      </c>
      <c r="I21" s="1">
        <f>IFERROR(__xludf.DUMMYFUNCTION("""COMPUTED_VALUE"""),58.0)</f>
        <v>58</v>
      </c>
      <c r="J21" s="1">
        <f>IFERROR(__xludf.DUMMYFUNCTION("""COMPUTED_VALUE"""),95.0)</f>
        <v>95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 t="str">
        <f>IFERROR(__xludf.DUMMYFUNCTION("""COMPUTED_VALUE"""),"D")</f>
        <v>D</v>
      </c>
      <c r="E22" s="1">
        <f>IFERROR(__xludf.DUMMYFUNCTION("""COMPUTED_VALUE"""),13.0)</f>
        <v>13</v>
      </c>
      <c r="F22" s="1">
        <f>IFERROR(__xludf.DUMMYFUNCTION("""COMPUTED_VALUE"""),94.0)</f>
        <v>94</v>
      </c>
      <c r="G22" s="1">
        <f>IFERROR(__xludf.DUMMYFUNCTION("""COMPUTED_VALUE"""),26.0)</f>
        <v>26</v>
      </c>
      <c r="H22" s="1">
        <f>IFERROR(__xludf.DUMMYFUNCTION("""COMPUTED_VALUE"""),26.0)</f>
        <v>26</v>
      </c>
      <c r="I22" s="1">
        <f>IFERROR(__xludf.DUMMYFUNCTION("""COMPUTED_VALUE"""),20.0)</f>
        <v>20</v>
      </c>
      <c r="J22" s="1">
        <f>IFERROR(__xludf.DUMMYFUNCTION("""COMPUTED_VALUE"""),55.0)</f>
        <v>55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 t="str">
        <f>IFERROR(__xludf.DUMMYFUNCTION("""COMPUTED_VALUE"""),"D")</f>
        <v>D</v>
      </c>
      <c r="E23" s="1">
        <f>IFERROR(__xludf.DUMMYFUNCTION("""COMPUTED_VALUE"""),41.0)</f>
        <v>41</v>
      </c>
      <c r="F23" s="1">
        <f>IFERROR(__xludf.DUMMYFUNCTION("""COMPUTED_VALUE"""),64.0)</f>
        <v>64</v>
      </c>
      <c r="G23" s="1">
        <f>IFERROR(__xludf.DUMMYFUNCTION("""COMPUTED_VALUE"""),84.0)</f>
        <v>84</v>
      </c>
      <c r="H23" s="1">
        <f>IFERROR(__xludf.DUMMYFUNCTION("""COMPUTED_VALUE"""),80.0)</f>
        <v>80</v>
      </c>
      <c r="I23" s="1">
        <f>IFERROR(__xludf.DUMMYFUNCTION("""COMPUTED_VALUE"""),45.0)</f>
        <v>45</v>
      </c>
      <c r="J23" s="1">
        <f>IFERROR(__xludf.DUMMYFUNCTION("""COMPUTED_VALUE"""),65.0)</f>
        <v>65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 t="str">
        <f>IFERROR(__xludf.DUMMYFUNCTION("""COMPUTED_VALUE"""),"D")</f>
        <v>D</v>
      </c>
      <c r="E24" s="1">
        <f>IFERROR(__xludf.DUMMYFUNCTION("""COMPUTED_VALUE"""),99.0)</f>
        <v>99</v>
      </c>
      <c r="F24" s="1">
        <f>IFERROR(__xludf.DUMMYFUNCTION("""COMPUTED_VALUE"""),54.0)</f>
        <v>54</v>
      </c>
      <c r="G24" s="1">
        <f>IFERROR(__xludf.DUMMYFUNCTION("""COMPUTED_VALUE"""),54.0)</f>
        <v>54</v>
      </c>
      <c r="H24" s="1">
        <f>IFERROR(__xludf.DUMMYFUNCTION("""COMPUTED_VALUE"""),98.0)</f>
        <v>98</v>
      </c>
      <c r="I24" s="1">
        <f>IFERROR(__xludf.DUMMYFUNCTION("""COMPUTED_VALUE"""),72.0)</f>
        <v>72</v>
      </c>
      <c r="J24" s="1">
        <f>IFERROR(__xludf.DUMMYFUNCTION("""COMPUTED_VALUE"""),52.0)</f>
        <v>52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 t="str">
        <f>IFERROR(__xludf.DUMMYFUNCTION("""COMPUTED_VALUE"""),"A")</f>
        <v>A</v>
      </c>
      <c r="E25" s="1">
        <f>IFERROR(__xludf.DUMMYFUNCTION("""COMPUTED_VALUE"""),37.0)</f>
        <v>37</v>
      </c>
      <c r="F25" s="1">
        <f>IFERROR(__xludf.DUMMYFUNCTION("""COMPUTED_VALUE"""),94.0)</f>
        <v>94</v>
      </c>
      <c r="G25" s="1">
        <f>IFERROR(__xludf.DUMMYFUNCTION("""COMPUTED_VALUE"""),23.0)</f>
        <v>23</v>
      </c>
      <c r="H25" s="1">
        <f>IFERROR(__xludf.DUMMYFUNCTION("""COMPUTED_VALUE"""),59.0)</f>
        <v>59</v>
      </c>
      <c r="I25" s="1">
        <f>IFERROR(__xludf.DUMMYFUNCTION("""COMPUTED_VALUE"""),33.0)</f>
        <v>33</v>
      </c>
      <c r="J25" s="1">
        <f>IFERROR(__xludf.DUMMYFUNCTION("""COMPUTED_VALUE"""),37.0)</f>
        <v>37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 t="str">
        <f>IFERROR(__xludf.DUMMYFUNCTION("""COMPUTED_VALUE"""),"D")</f>
        <v>D</v>
      </c>
      <c r="E26" s="1">
        <f>IFERROR(__xludf.DUMMYFUNCTION("""COMPUTED_VALUE"""),17.0)</f>
        <v>17</v>
      </c>
      <c r="F26" s="1">
        <f>IFERROR(__xludf.DUMMYFUNCTION("""COMPUTED_VALUE"""),81.0)</f>
        <v>81</v>
      </c>
      <c r="G26" s="1">
        <f>IFERROR(__xludf.DUMMYFUNCTION("""COMPUTED_VALUE"""),57.0)</f>
        <v>57</v>
      </c>
      <c r="H26" s="1">
        <f>IFERROR(__xludf.DUMMYFUNCTION("""COMPUTED_VALUE"""),29.0)</f>
        <v>29</v>
      </c>
      <c r="I26" s="1">
        <f>IFERROR(__xludf.DUMMYFUNCTION("""COMPUTED_VALUE"""),61.0)</f>
        <v>61</v>
      </c>
      <c r="J26" s="1">
        <f>IFERROR(__xludf.DUMMYFUNCTION("""COMPUTED_VALUE"""),96.0)</f>
        <v>96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 t="str">
        <f>IFERROR(__xludf.DUMMYFUNCTION("""COMPUTED_VALUE"""),"B")</f>
        <v>B</v>
      </c>
      <c r="E27" s="1">
        <f>IFERROR(__xludf.DUMMYFUNCTION("""COMPUTED_VALUE"""),10.0)</f>
        <v>10</v>
      </c>
      <c r="F27" s="1">
        <f>IFERROR(__xludf.DUMMYFUNCTION("""COMPUTED_VALUE"""),52.0)</f>
        <v>52</v>
      </c>
      <c r="G27" s="1">
        <f>IFERROR(__xludf.DUMMYFUNCTION("""COMPUTED_VALUE"""),81.0)</f>
        <v>81</v>
      </c>
      <c r="H27" s="1">
        <f>IFERROR(__xludf.DUMMYFUNCTION("""COMPUTED_VALUE"""),67.0)</f>
        <v>67</v>
      </c>
      <c r="I27" s="1">
        <f>IFERROR(__xludf.DUMMYFUNCTION("""COMPUTED_VALUE"""),31.0)</f>
        <v>31</v>
      </c>
      <c r="J27" s="1">
        <f>IFERROR(__xludf.DUMMYFUNCTION("""COMPUTED_VALUE"""),90.0)</f>
        <v>90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 t="str">
        <f>IFERROR(__xludf.DUMMYFUNCTION("""COMPUTED_VALUE"""),"B")</f>
        <v>B</v>
      </c>
      <c r="E28" s="1">
        <f>IFERROR(__xludf.DUMMYFUNCTION("""COMPUTED_VALUE"""),48.0)</f>
        <v>48</v>
      </c>
      <c r="F28" s="1">
        <f>IFERROR(__xludf.DUMMYFUNCTION("""COMPUTED_VALUE"""),64.0)</f>
        <v>64</v>
      </c>
      <c r="G28" s="1">
        <f>IFERROR(__xludf.DUMMYFUNCTION("""COMPUTED_VALUE"""),24.0)</f>
        <v>24</v>
      </c>
      <c r="H28" s="1">
        <f>IFERROR(__xludf.DUMMYFUNCTION("""COMPUTED_VALUE"""),77.0)</f>
        <v>77</v>
      </c>
      <c r="I28" s="1">
        <f>IFERROR(__xludf.DUMMYFUNCTION("""COMPUTED_VALUE"""),97.0)</f>
        <v>97</v>
      </c>
      <c r="J28" s="1">
        <f>IFERROR(__xludf.DUMMYFUNCTION("""COMPUTED_VALUE"""),35.0)</f>
        <v>35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 t="str">
        <f>IFERROR(__xludf.DUMMYFUNCTION("""COMPUTED_VALUE"""),"C")</f>
        <v>C</v>
      </c>
      <c r="E29" s="1">
        <f>IFERROR(__xludf.DUMMYFUNCTION("""COMPUTED_VALUE"""),88.0)</f>
        <v>88</v>
      </c>
      <c r="F29" s="1">
        <f>IFERROR(__xludf.DUMMYFUNCTION("""COMPUTED_VALUE"""),92.0)</f>
        <v>92</v>
      </c>
      <c r="G29" s="1">
        <f>IFERROR(__xludf.DUMMYFUNCTION("""COMPUTED_VALUE"""),47.0)</f>
        <v>47</v>
      </c>
      <c r="H29" s="1">
        <f>IFERROR(__xludf.DUMMYFUNCTION("""COMPUTED_VALUE"""),39.0)</f>
        <v>39</v>
      </c>
      <c r="I29" s="1">
        <f>IFERROR(__xludf.DUMMYFUNCTION("""COMPUTED_VALUE"""),89.0)</f>
        <v>89</v>
      </c>
      <c r="J29" s="1">
        <f>IFERROR(__xludf.DUMMYFUNCTION("""COMPUTED_VALUE"""),35.0)</f>
        <v>35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 t="str">
        <f>IFERROR(__xludf.DUMMYFUNCTION("""COMPUTED_VALUE"""),"A")</f>
        <v>A</v>
      </c>
      <c r="E30" s="1">
        <f>IFERROR(__xludf.DUMMYFUNCTION("""COMPUTED_VALUE"""),37.0)</f>
        <v>37</v>
      </c>
      <c r="F30" s="1">
        <f>IFERROR(__xludf.DUMMYFUNCTION("""COMPUTED_VALUE"""),25.0)</f>
        <v>25</v>
      </c>
      <c r="G30" s="1">
        <f>IFERROR(__xludf.DUMMYFUNCTION("""COMPUTED_VALUE"""),43.0)</f>
        <v>43</v>
      </c>
      <c r="H30" s="1">
        <f>IFERROR(__xludf.DUMMYFUNCTION("""COMPUTED_VALUE"""),26.0)</f>
        <v>26</v>
      </c>
      <c r="I30" s="1">
        <f>IFERROR(__xludf.DUMMYFUNCTION("""COMPUTED_VALUE"""),74.0)</f>
        <v>74</v>
      </c>
      <c r="J30" s="1">
        <f>IFERROR(__xludf.DUMMYFUNCTION("""COMPUTED_VALUE"""),21.0)</f>
        <v>21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 t="str">
        <f>IFERROR(__xludf.DUMMYFUNCTION("""COMPUTED_VALUE"""),"A")</f>
        <v>A</v>
      </c>
      <c r="E31" s="1">
        <f>IFERROR(__xludf.DUMMYFUNCTION("""COMPUTED_VALUE"""),44.0)</f>
        <v>44</v>
      </c>
      <c r="F31" s="1">
        <f>IFERROR(__xludf.DUMMYFUNCTION("""COMPUTED_VALUE"""),52.0)</f>
        <v>52</v>
      </c>
      <c r="G31" s="1">
        <f>IFERROR(__xludf.DUMMYFUNCTION("""COMPUTED_VALUE"""),82.0)</f>
        <v>82</v>
      </c>
      <c r="H31" s="1">
        <f>IFERROR(__xludf.DUMMYFUNCTION("""COMPUTED_VALUE"""),49.0)</f>
        <v>49</v>
      </c>
      <c r="I31" s="1">
        <f>IFERROR(__xludf.DUMMYFUNCTION("""COMPUTED_VALUE"""),52.0)</f>
        <v>52</v>
      </c>
      <c r="J31" s="1">
        <f>IFERROR(__xludf.DUMMYFUNCTION("""COMPUTED_VALUE"""),80.0)</f>
        <v>80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 t="str">
        <f>IFERROR(__xludf.DUMMYFUNCTION("""COMPUTED_VALUE"""),"D")</f>
        <v>D</v>
      </c>
      <c r="E32" s="1">
        <f>IFERROR(__xludf.DUMMYFUNCTION("""COMPUTED_VALUE"""),10.0)</f>
        <v>10</v>
      </c>
      <c r="F32" s="1">
        <f>IFERROR(__xludf.DUMMYFUNCTION("""COMPUTED_VALUE"""),95.0)</f>
        <v>95</v>
      </c>
      <c r="G32" s="1">
        <f>IFERROR(__xludf.DUMMYFUNCTION("""COMPUTED_VALUE"""),84.0)</f>
        <v>84</v>
      </c>
      <c r="H32" s="1">
        <f>IFERROR(__xludf.DUMMYFUNCTION("""COMPUTED_VALUE"""),44.0)</f>
        <v>44</v>
      </c>
      <c r="I32" s="1">
        <f>IFERROR(__xludf.DUMMYFUNCTION("""COMPUTED_VALUE"""),28.0)</f>
        <v>28</v>
      </c>
      <c r="J32" s="1">
        <f>IFERROR(__xludf.DUMMYFUNCTION("""COMPUTED_VALUE"""),49.0)</f>
        <v>49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 t="str">
        <f>IFERROR(__xludf.DUMMYFUNCTION("""COMPUTED_VALUE"""),"A")</f>
        <v>A</v>
      </c>
      <c r="E33" s="1">
        <f>IFERROR(__xludf.DUMMYFUNCTION("""COMPUTED_VALUE"""),48.0)</f>
        <v>48</v>
      </c>
      <c r="F33" s="1">
        <f>IFERROR(__xludf.DUMMYFUNCTION("""COMPUTED_VALUE"""),51.0)</f>
        <v>51</v>
      </c>
      <c r="G33" s="1">
        <f>IFERROR(__xludf.DUMMYFUNCTION("""COMPUTED_VALUE"""),51.0)</f>
        <v>51</v>
      </c>
      <c r="H33" s="1">
        <f>IFERROR(__xludf.DUMMYFUNCTION("""COMPUTED_VALUE"""),37.0)</f>
        <v>37</v>
      </c>
      <c r="I33" s="1">
        <f>IFERROR(__xludf.DUMMYFUNCTION("""COMPUTED_VALUE"""),27.0)</f>
        <v>27</v>
      </c>
      <c r="J33" s="1">
        <f>IFERROR(__xludf.DUMMYFUNCTION("""COMPUTED_VALUE"""),99.0)</f>
        <v>99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 t="str">
        <f>IFERROR(__xludf.DUMMYFUNCTION("""COMPUTED_VALUE"""),"A")</f>
        <v>A</v>
      </c>
      <c r="E34" s="1">
        <f>IFERROR(__xludf.DUMMYFUNCTION("""COMPUTED_VALUE"""),43.0)</f>
        <v>43</v>
      </c>
      <c r="F34" s="1">
        <f>IFERROR(__xludf.DUMMYFUNCTION("""COMPUTED_VALUE"""),52.0)</f>
        <v>52</v>
      </c>
      <c r="G34" s="1">
        <f>IFERROR(__xludf.DUMMYFUNCTION("""COMPUTED_VALUE"""),24.0)</f>
        <v>24</v>
      </c>
      <c r="H34" s="1">
        <f>IFERROR(__xludf.DUMMYFUNCTION("""COMPUTED_VALUE"""),73.0)</f>
        <v>73</v>
      </c>
      <c r="I34" s="1">
        <f>IFERROR(__xludf.DUMMYFUNCTION("""COMPUTED_VALUE"""),90.0)</f>
        <v>90</v>
      </c>
      <c r="J34" s="1">
        <f>IFERROR(__xludf.DUMMYFUNCTION("""COMPUTED_VALUE"""),92.0)</f>
        <v>92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 t="str">
        <f>IFERROR(__xludf.DUMMYFUNCTION("""COMPUTED_VALUE"""),"D")</f>
        <v>D</v>
      </c>
      <c r="E35" s="1">
        <f>IFERROR(__xludf.DUMMYFUNCTION("""COMPUTED_VALUE"""),17.0)</f>
        <v>17</v>
      </c>
      <c r="F35" s="1">
        <f>IFERROR(__xludf.DUMMYFUNCTION("""COMPUTED_VALUE"""),95.0)</f>
        <v>95</v>
      </c>
      <c r="G35" s="1">
        <f>IFERROR(__xludf.DUMMYFUNCTION("""COMPUTED_VALUE"""),31.0)</f>
        <v>31</v>
      </c>
      <c r="H35" s="1">
        <f>IFERROR(__xludf.DUMMYFUNCTION("""COMPUTED_VALUE"""),26.0)</f>
        <v>26</v>
      </c>
      <c r="I35" s="1">
        <f>IFERROR(__xludf.DUMMYFUNCTION("""COMPUTED_VALUE"""),33.0)</f>
        <v>33</v>
      </c>
      <c r="J35" s="1">
        <f>IFERROR(__xludf.DUMMYFUNCTION("""COMPUTED_VALUE"""),26.0)</f>
        <v>26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 t="str">
        <f>IFERROR(__xludf.DUMMYFUNCTION("""COMPUTED_VALUE"""),"A")</f>
        <v>A</v>
      </c>
      <c r="E36" s="1">
        <f>IFERROR(__xludf.DUMMYFUNCTION("""COMPUTED_VALUE"""),75.0)</f>
        <v>75</v>
      </c>
      <c r="F36" s="1">
        <f>IFERROR(__xludf.DUMMYFUNCTION("""COMPUTED_VALUE"""),53.0)</f>
        <v>53</v>
      </c>
      <c r="G36" s="1">
        <f>IFERROR(__xludf.DUMMYFUNCTION("""COMPUTED_VALUE"""),41.0)</f>
        <v>41</v>
      </c>
      <c r="H36" s="1">
        <f>IFERROR(__xludf.DUMMYFUNCTION("""COMPUTED_VALUE"""),42.0)</f>
        <v>42</v>
      </c>
      <c r="I36" s="1">
        <f>IFERROR(__xludf.DUMMYFUNCTION("""COMPUTED_VALUE"""),78.0)</f>
        <v>78</v>
      </c>
      <c r="J36" s="1">
        <f>IFERROR(__xludf.DUMMYFUNCTION("""COMPUTED_VALUE"""),38.0)</f>
        <v>38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 t="str">
        <f>IFERROR(__xludf.DUMMYFUNCTION("""COMPUTED_VALUE"""),"D")</f>
        <v>D</v>
      </c>
      <c r="E37" s="1">
        <f>IFERROR(__xludf.DUMMYFUNCTION("""COMPUTED_VALUE"""),55.0)</f>
        <v>55</v>
      </c>
      <c r="F37" s="1">
        <f>IFERROR(__xludf.DUMMYFUNCTION("""COMPUTED_VALUE"""),30.0)</f>
        <v>30</v>
      </c>
      <c r="G37" s="1">
        <f>IFERROR(__xludf.DUMMYFUNCTION("""COMPUTED_VALUE"""),88.0)</f>
        <v>88</v>
      </c>
      <c r="H37" s="1">
        <f>IFERROR(__xludf.DUMMYFUNCTION("""COMPUTED_VALUE"""),83.0)</f>
        <v>83</v>
      </c>
      <c r="I37" s="1">
        <f>IFERROR(__xludf.DUMMYFUNCTION("""COMPUTED_VALUE"""),83.0)</f>
        <v>83</v>
      </c>
      <c r="J37" s="1">
        <f>IFERROR(__xludf.DUMMYFUNCTION("""COMPUTED_VALUE"""),72.0)</f>
        <v>72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 t="str">
        <f>IFERROR(__xludf.DUMMYFUNCTION("""COMPUTED_VALUE"""),"B")</f>
        <v>B</v>
      </c>
      <c r="E38" s="1">
        <f>IFERROR(__xludf.DUMMYFUNCTION("""COMPUTED_VALUE"""),87.0)</f>
        <v>87</v>
      </c>
      <c r="F38" s="1">
        <f>IFERROR(__xludf.DUMMYFUNCTION("""COMPUTED_VALUE"""),58.0)</f>
        <v>58</v>
      </c>
      <c r="G38" s="1">
        <f>IFERROR(__xludf.DUMMYFUNCTION("""COMPUTED_VALUE"""),90.0)</f>
        <v>90</v>
      </c>
      <c r="H38" s="1">
        <f>IFERROR(__xludf.DUMMYFUNCTION("""COMPUTED_VALUE"""),47.0)</f>
        <v>47</v>
      </c>
      <c r="I38" s="1">
        <f>IFERROR(__xludf.DUMMYFUNCTION("""COMPUTED_VALUE"""),31.0)</f>
        <v>31</v>
      </c>
      <c r="J38" s="1">
        <f>IFERROR(__xludf.DUMMYFUNCTION("""COMPUTED_VALUE"""),94.0)</f>
        <v>94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 t="str">
        <f>IFERROR(__xludf.DUMMYFUNCTION("""COMPUTED_VALUE"""),"D")</f>
        <v>D</v>
      </c>
      <c r="E39" s="1">
        <f>IFERROR(__xludf.DUMMYFUNCTION("""COMPUTED_VALUE"""),39.0)</f>
        <v>39</v>
      </c>
      <c r="F39" s="1">
        <f>IFERROR(__xludf.DUMMYFUNCTION("""COMPUTED_VALUE"""),63.0)</f>
        <v>63</v>
      </c>
      <c r="G39" s="1">
        <f>IFERROR(__xludf.DUMMYFUNCTION("""COMPUTED_VALUE"""),81.0)</f>
        <v>81</v>
      </c>
      <c r="H39" s="1">
        <f>IFERROR(__xludf.DUMMYFUNCTION("""COMPUTED_VALUE"""),84.0)</f>
        <v>84</v>
      </c>
      <c r="I39" s="1">
        <f>IFERROR(__xludf.DUMMYFUNCTION("""COMPUTED_VALUE"""),51.0)</f>
        <v>51</v>
      </c>
      <c r="J39" s="1">
        <f>IFERROR(__xludf.DUMMYFUNCTION("""COMPUTED_VALUE"""),96.0)</f>
        <v>96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 t="str">
        <f>IFERROR(__xludf.DUMMYFUNCTION("""COMPUTED_VALUE"""),"A")</f>
        <v>A</v>
      </c>
      <c r="E40" s="1">
        <f>IFERROR(__xludf.DUMMYFUNCTION("""COMPUTED_VALUE"""),93.0)</f>
        <v>93</v>
      </c>
      <c r="F40" s="1">
        <f>IFERROR(__xludf.DUMMYFUNCTION("""COMPUTED_VALUE"""),65.0)</f>
        <v>65</v>
      </c>
      <c r="G40" s="1">
        <f>IFERROR(__xludf.DUMMYFUNCTION("""COMPUTED_VALUE"""),77.0)</f>
        <v>77</v>
      </c>
      <c r="H40" s="1">
        <f>IFERROR(__xludf.DUMMYFUNCTION("""COMPUTED_VALUE"""),91.0)</f>
        <v>91</v>
      </c>
      <c r="I40" s="1">
        <f>IFERROR(__xludf.DUMMYFUNCTION("""COMPUTED_VALUE"""),38.0)</f>
        <v>38</v>
      </c>
      <c r="J40" s="1">
        <f>IFERROR(__xludf.DUMMYFUNCTION("""COMPUTED_VALUE"""),33.0)</f>
        <v>33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 t="str">
        <f>IFERROR(__xludf.DUMMYFUNCTION("""COMPUTED_VALUE"""),"D")</f>
        <v>D</v>
      </c>
      <c r="E41" s="1">
        <f>IFERROR(__xludf.DUMMYFUNCTION("""COMPUTED_VALUE"""),64.0)</f>
        <v>64</v>
      </c>
      <c r="F41" s="1">
        <f>IFERROR(__xludf.DUMMYFUNCTION("""COMPUTED_VALUE"""),68.0)</f>
        <v>68</v>
      </c>
      <c r="G41" s="1">
        <f>IFERROR(__xludf.DUMMYFUNCTION("""COMPUTED_VALUE"""),35.0)</f>
        <v>35</v>
      </c>
      <c r="H41" s="1">
        <f>IFERROR(__xludf.DUMMYFUNCTION("""COMPUTED_VALUE"""),46.0)</f>
        <v>46</v>
      </c>
      <c r="I41" s="1">
        <f>IFERROR(__xludf.DUMMYFUNCTION("""COMPUTED_VALUE"""),29.0)</f>
        <v>29</v>
      </c>
      <c r="J41" s="1">
        <f>IFERROR(__xludf.DUMMYFUNCTION("""COMPUTED_VALUE"""),32.0)</f>
        <v>32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 t="str">
        <f>IFERROR(__xludf.DUMMYFUNCTION("""COMPUTED_VALUE"""),"C")</f>
        <v>C</v>
      </c>
      <c r="E42" s="1">
        <f>IFERROR(__xludf.DUMMYFUNCTION("""COMPUTED_VALUE"""),94.0)</f>
        <v>94</v>
      </c>
      <c r="F42" s="1">
        <f>IFERROR(__xludf.DUMMYFUNCTION("""COMPUTED_VALUE"""),36.0)</f>
        <v>36</v>
      </c>
      <c r="G42" s="1">
        <f>IFERROR(__xludf.DUMMYFUNCTION("""COMPUTED_VALUE"""),25.0)</f>
        <v>25</v>
      </c>
      <c r="H42" s="1">
        <f>IFERROR(__xludf.DUMMYFUNCTION("""COMPUTED_VALUE"""),49.0)</f>
        <v>49</v>
      </c>
      <c r="I42" s="1">
        <f>IFERROR(__xludf.DUMMYFUNCTION("""COMPUTED_VALUE"""),53.0)</f>
        <v>53</v>
      </c>
      <c r="J42" s="1">
        <f>IFERROR(__xludf.DUMMYFUNCTION("""COMPUTED_VALUE"""),40.0)</f>
        <v>40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 t="str">
        <f>IFERROR(__xludf.DUMMYFUNCTION("""COMPUTED_VALUE"""),"B")</f>
        <v>B</v>
      </c>
      <c r="E43" s="1">
        <f>IFERROR(__xludf.DUMMYFUNCTION("""COMPUTED_VALUE"""),58.0)</f>
        <v>58</v>
      </c>
      <c r="F43" s="1">
        <f>IFERROR(__xludf.DUMMYFUNCTION("""COMPUTED_VALUE"""),39.0)</f>
        <v>39</v>
      </c>
      <c r="G43" s="1">
        <f>IFERROR(__xludf.DUMMYFUNCTION("""COMPUTED_VALUE"""),88.0)</f>
        <v>88</v>
      </c>
      <c r="H43" s="1">
        <f>IFERROR(__xludf.DUMMYFUNCTION("""COMPUTED_VALUE"""),62.0)</f>
        <v>62</v>
      </c>
      <c r="I43" s="1">
        <f>IFERROR(__xludf.DUMMYFUNCTION("""COMPUTED_VALUE"""),48.0)</f>
        <v>48</v>
      </c>
      <c r="J43" s="1">
        <f>IFERROR(__xludf.DUMMYFUNCTION("""COMPUTED_VALUE"""),30.0)</f>
        <v>30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 t="str">
        <f>IFERROR(__xludf.DUMMYFUNCTION("""COMPUTED_VALUE"""),"C")</f>
        <v>C</v>
      </c>
      <c r="E44" s="1">
        <f>IFERROR(__xludf.DUMMYFUNCTION("""COMPUTED_VALUE"""),48.0)</f>
        <v>48</v>
      </c>
      <c r="F44" s="1">
        <f>IFERROR(__xludf.DUMMYFUNCTION("""COMPUTED_VALUE"""),86.0)</f>
        <v>86</v>
      </c>
      <c r="G44" s="1">
        <f>IFERROR(__xludf.DUMMYFUNCTION("""COMPUTED_VALUE"""),83.0)</f>
        <v>83</v>
      </c>
      <c r="H44" s="1">
        <f>IFERROR(__xludf.DUMMYFUNCTION("""COMPUTED_VALUE"""),65.0)</f>
        <v>65</v>
      </c>
      <c r="I44" s="1">
        <f>IFERROR(__xludf.DUMMYFUNCTION("""COMPUTED_VALUE"""),92.0)</f>
        <v>92</v>
      </c>
      <c r="J44" s="1">
        <f>IFERROR(__xludf.DUMMYFUNCTION("""COMPUTED_VALUE"""),85.0)</f>
        <v>85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 t="str">
        <f>IFERROR(__xludf.DUMMYFUNCTION("""COMPUTED_VALUE"""),"B")</f>
        <v>B</v>
      </c>
      <c r="E45" s="1">
        <f>IFERROR(__xludf.DUMMYFUNCTION("""COMPUTED_VALUE"""),74.0)</f>
        <v>74</v>
      </c>
      <c r="F45" s="1">
        <f>IFERROR(__xludf.DUMMYFUNCTION("""COMPUTED_VALUE"""),53.0)</f>
        <v>53</v>
      </c>
      <c r="G45" s="1">
        <f>IFERROR(__xludf.DUMMYFUNCTION("""COMPUTED_VALUE"""),25.0)</f>
        <v>25</v>
      </c>
      <c r="H45" s="1">
        <f>IFERROR(__xludf.DUMMYFUNCTION("""COMPUTED_VALUE"""),46.0)</f>
        <v>46</v>
      </c>
      <c r="I45" s="1">
        <f>IFERROR(__xludf.DUMMYFUNCTION("""COMPUTED_VALUE"""),28.0)</f>
        <v>28</v>
      </c>
      <c r="J45" s="1">
        <f>IFERROR(__xludf.DUMMYFUNCTION("""COMPUTED_VALUE"""),94.0)</f>
        <v>94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 t="str">
        <f>IFERROR(__xludf.DUMMYFUNCTION("""COMPUTED_VALUE"""),"D")</f>
        <v>D</v>
      </c>
      <c r="E46" s="1">
        <f>IFERROR(__xludf.DUMMYFUNCTION("""COMPUTED_VALUE"""),21.0)</f>
        <v>21</v>
      </c>
      <c r="F46" s="1">
        <f>IFERROR(__xludf.DUMMYFUNCTION("""COMPUTED_VALUE"""),83.0)</f>
        <v>83</v>
      </c>
      <c r="G46" s="1">
        <f>IFERROR(__xludf.DUMMYFUNCTION("""COMPUTED_VALUE"""),70.0)</f>
        <v>70</v>
      </c>
      <c r="H46" s="1">
        <f>IFERROR(__xludf.DUMMYFUNCTION("""COMPUTED_VALUE"""),33.0)</f>
        <v>33</v>
      </c>
      <c r="I46" s="1">
        <f>IFERROR(__xludf.DUMMYFUNCTION("""COMPUTED_VALUE"""),68.0)</f>
        <v>68</v>
      </c>
      <c r="J46" s="1">
        <f>IFERROR(__xludf.DUMMYFUNCTION("""COMPUTED_VALUE"""),95.0)</f>
        <v>95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 t="str">
        <f>IFERROR(__xludf.DUMMYFUNCTION("""COMPUTED_VALUE"""),"B")</f>
        <v>B</v>
      </c>
      <c r="E47" s="1">
        <f>IFERROR(__xludf.DUMMYFUNCTION("""COMPUTED_VALUE"""),55.0)</f>
        <v>55</v>
      </c>
      <c r="F47" s="1">
        <f>IFERROR(__xludf.DUMMYFUNCTION("""COMPUTED_VALUE"""),91.0)</f>
        <v>91</v>
      </c>
      <c r="G47" s="1">
        <f>IFERROR(__xludf.DUMMYFUNCTION("""COMPUTED_VALUE"""),74.0)</f>
        <v>74</v>
      </c>
      <c r="H47" s="1">
        <f>IFERROR(__xludf.DUMMYFUNCTION("""COMPUTED_VALUE"""),35.0)</f>
        <v>35</v>
      </c>
      <c r="I47" s="1">
        <f>IFERROR(__xludf.DUMMYFUNCTION("""COMPUTED_VALUE"""),27.0)</f>
        <v>27</v>
      </c>
      <c r="J47" s="1">
        <f>IFERROR(__xludf.DUMMYFUNCTION("""COMPUTED_VALUE"""),34.0)</f>
        <v>34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 t="str">
        <f>IFERROR(__xludf.DUMMYFUNCTION("""COMPUTED_VALUE"""),"A")</f>
        <v>A</v>
      </c>
      <c r="E48" s="1">
        <f>IFERROR(__xludf.DUMMYFUNCTION("""COMPUTED_VALUE"""),69.0)</f>
        <v>69</v>
      </c>
      <c r="F48" s="1">
        <f>IFERROR(__xludf.DUMMYFUNCTION("""COMPUTED_VALUE"""),69.0)</f>
        <v>69</v>
      </c>
      <c r="G48" s="1">
        <f>IFERROR(__xludf.DUMMYFUNCTION("""COMPUTED_VALUE"""),32.0)</f>
        <v>32</v>
      </c>
      <c r="H48" s="1">
        <f>IFERROR(__xludf.DUMMYFUNCTION("""COMPUTED_VALUE"""),97.0)</f>
        <v>97</v>
      </c>
      <c r="I48" s="1">
        <f>IFERROR(__xludf.DUMMYFUNCTION("""COMPUTED_VALUE"""),79.0)</f>
        <v>79</v>
      </c>
      <c r="J48" s="1">
        <f>IFERROR(__xludf.DUMMYFUNCTION("""COMPUTED_VALUE"""),21.0)</f>
        <v>21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 t="str">
        <f>IFERROR(__xludf.DUMMYFUNCTION("""COMPUTED_VALUE"""),"D")</f>
        <v>D</v>
      </c>
      <c r="E49" s="1">
        <f>IFERROR(__xludf.DUMMYFUNCTION("""COMPUTED_VALUE"""),43.0)</f>
        <v>43</v>
      </c>
      <c r="F49" s="1">
        <f>IFERROR(__xludf.DUMMYFUNCTION("""COMPUTED_VALUE"""),77.0)</f>
        <v>77</v>
      </c>
      <c r="G49" s="1">
        <f>IFERROR(__xludf.DUMMYFUNCTION("""COMPUTED_VALUE"""),56.0)</f>
        <v>56</v>
      </c>
      <c r="H49" s="1">
        <f>IFERROR(__xludf.DUMMYFUNCTION("""COMPUTED_VALUE"""),72.0)</f>
        <v>72</v>
      </c>
      <c r="I49" s="1">
        <f>IFERROR(__xludf.DUMMYFUNCTION("""COMPUTED_VALUE"""),88.0)</f>
        <v>88</v>
      </c>
      <c r="J49" s="1">
        <f>IFERROR(__xludf.DUMMYFUNCTION("""COMPUTED_VALUE"""),37.0)</f>
        <v>37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 t="str">
        <f>IFERROR(__xludf.DUMMYFUNCTION("""COMPUTED_VALUE"""),"C")</f>
        <v>C</v>
      </c>
      <c r="E50" s="1">
        <f>IFERROR(__xludf.DUMMYFUNCTION("""COMPUTED_VALUE"""),52.0)</f>
        <v>52</v>
      </c>
      <c r="F50" s="1">
        <f>IFERROR(__xludf.DUMMYFUNCTION("""COMPUTED_VALUE"""),59.0)</f>
        <v>59</v>
      </c>
      <c r="G50" s="1">
        <f>IFERROR(__xludf.DUMMYFUNCTION("""COMPUTED_VALUE"""),95.0)</f>
        <v>95</v>
      </c>
      <c r="H50" s="1">
        <f>IFERROR(__xludf.DUMMYFUNCTION("""COMPUTED_VALUE"""),22.0)</f>
        <v>22</v>
      </c>
      <c r="I50" s="1">
        <f>IFERROR(__xludf.DUMMYFUNCTION("""COMPUTED_VALUE"""),34.0)</f>
        <v>34</v>
      </c>
      <c r="J50" s="1">
        <f>IFERROR(__xludf.DUMMYFUNCTION("""COMPUTED_VALUE"""),66.0)</f>
        <v>66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 t="str">
        <f>IFERROR(__xludf.DUMMYFUNCTION("""COMPUTED_VALUE"""),"A")</f>
        <v>A</v>
      </c>
      <c r="E51" s="1">
        <f>IFERROR(__xludf.DUMMYFUNCTION("""COMPUTED_VALUE"""),27.0)</f>
        <v>27</v>
      </c>
      <c r="F51" s="1">
        <f>IFERROR(__xludf.DUMMYFUNCTION("""COMPUTED_VALUE"""),69.0)</f>
        <v>69</v>
      </c>
      <c r="G51" s="1">
        <f>IFERROR(__xludf.DUMMYFUNCTION("""COMPUTED_VALUE"""),97.0)</f>
        <v>97</v>
      </c>
      <c r="H51" s="1">
        <f>IFERROR(__xludf.DUMMYFUNCTION("""COMPUTED_VALUE"""),67.0)</f>
        <v>67</v>
      </c>
      <c r="I51" s="1">
        <f>IFERROR(__xludf.DUMMYFUNCTION("""COMPUTED_VALUE"""),40.0)</f>
        <v>40</v>
      </c>
      <c r="J51" s="1">
        <f>IFERROR(__xludf.DUMMYFUNCTION("""COMPUTED_VALUE"""),94.0)</f>
        <v>94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 t="str">
        <f>IFERROR(__xludf.DUMMYFUNCTION("""COMPUTED_VALUE"""),"A")</f>
        <v>A</v>
      </c>
      <c r="E52" s="1">
        <f>IFERROR(__xludf.DUMMYFUNCTION("""COMPUTED_VALUE"""),65.0)</f>
        <v>65</v>
      </c>
      <c r="F52" s="1">
        <f>IFERROR(__xludf.DUMMYFUNCTION("""COMPUTED_VALUE"""),45.0)</f>
        <v>45</v>
      </c>
      <c r="G52" s="1">
        <f>IFERROR(__xludf.DUMMYFUNCTION("""COMPUTED_VALUE"""),21.0)</f>
        <v>21</v>
      </c>
      <c r="H52" s="1">
        <f>IFERROR(__xludf.DUMMYFUNCTION("""COMPUTED_VALUE"""),26.0)</f>
        <v>26</v>
      </c>
      <c r="I52" s="1">
        <f>IFERROR(__xludf.DUMMYFUNCTION("""COMPUTED_VALUE"""),54.0)</f>
        <v>54</v>
      </c>
      <c r="J52" s="1">
        <f>IFERROR(__xludf.DUMMYFUNCTION("""COMPUTED_VALUE"""),63.0)</f>
        <v>63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 t="str">
        <f>IFERROR(__xludf.DUMMYFUNCTION("""COMPUTED_VALUE"""),"A")</f>
        <v>A</v>
      </c>
      <c r="E53" s="1">
        <f>IFERROR(__xludf.DUMMYFUNCTION("""COMPUTED_VALUE"""),25.0)</f>
        <v>25</v>
      </c>
      <c r="F53" s="1">
        <f>IFERROR(__xludf.DUMMYFUNCTION("""COMPUTED_VALUE"""),90.0)</f>
        <v>90</v>
      </c>
      <c r="G53" s="1">
        <f>IFERROR(__xludf.DUMMYFUNCTION("""COMPUTED_VALUE"""),95.0)</f>
        <v>95</v>
      </c>
      <c r="H53" s="1">
        <f>IFERROR(__xludf.DUMMYFUNCTION("""COMPUTED_VALUE"""),83.0)</f>
        <v>83</v>
      </c>
      <c r="I53" s="1">
        <f>IFERROR(__xludf.DUMMYFUNCTION("""COMPUTED_VALUE"""),32.0)</f>
        <v>32</v>
      </c>
      <c r="J53" s="1">
        <f>IFERROR(__xludf.DUMMYFUNCTION("""COMPUTED_VALUE"""),78.0)</f>
        <v>78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 t="str">
        <f>IFERROR(__xludf.DUMMYFUNCTION("""COMPUTED_VALUE"""),"C")</f>
        <v>C</v>
      </c>
      <c r="E54" s="1">
        <f>IFERROR(__xludf.DUMMYFUNCTION("""COMPUTED_VALUE"""),57.0)</f>
        <v>57</v>
      </c>
      <c r="F54" s="1">
        <f>IFERROR(__xludf.DUMMYFUNCTION("""COMPUTED_VALUE"""),56.0)</f>
        <v>56</v>
      </c>
      <c r="G54" s="1">
        <f>IFERROR(__xludf.DUMMYFUNCTION("""COMPUTED_VALUE"""),25.0)</f>
        <v>25</v>
      </c>
      <c r="H54" s="1">
        <f>IFERROR(__xludf.DUMMYFUNCTION("""COMPUTED_VALUE"""),23.0)</f>
        <v>23</v>
      </c>
      <c r="I54" s="1">
        <f>IFERROR(__xludf.DUMMYFUNCTION("""COMPUTED_VALUE"""),88.0)</f>
        <v>88</v>
      </c>
      <c r="J54" s="1">
        <f>IFERROR(__xludf.DUMMYFUNCTION("""COMPUTED_VALUE"""),45.0)</f>
        <v>45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 t="str">
        <f>IFERROR(__xludf.DUMMYFUNCTION("""COMPUTED_VALUE"""),"D")</f>
        <v>D</v>
      </c>
      <c r="E55" s="1">
        <f>IFERROR(__xludf.DUMMYFUNCTION("""COMPUTED_VALUE"""),34.0)</f>
        <v>34</v>
      </c>
      <c r="F55" s="1">
        <f>IFERROR(__xludf.DUMMYFUNCTION("""COMPUTED_VALUE"""),48.0)</f>
        <v>48</v>
      </c>
      <c r="G55" s="1">
        <f>IFERROR(__xludf.DUMMYFUNCTION("""COMPUTED_VALUE"""),38.0)</f>
        <v>38</v>
      </c>
      <c r="H55" s="1">
        <f>IFERROR(__xludf.DUMMYFUNCTION("""COMPUTED_VALUE"""),34.0)</f>
        <v>34</v>
      </c>
      <c r="I55" s="1">
        <f>IFERROR(__xludf.DUMMYFUNCTION("""COMPUTED_VALUE"""),41.0)</f>
        <v>41</v>
      </c>
      <c r="J55" s="1">
        <f>IFERROR(__xludf.DUMMYFUNCTION("""COMPUTED_VALUE"""),70.0)</f>
        <v>70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 t="str">
        <f>IFERROR(__xludf.DUMMYFUNCTION("""COMPUTED_VALUE"""),"A")</f>
        <v>A</v>
      </c>
      <c r="E56" s="1">
        <f>IFERROR(__xludf.DUMMYFUNCTION("""COMPUTED_VALUE"""),42.0)</f>
        <v>42</v>
      </c>
      <c r="F56" s="1">
        <f>IFERROR(__xludf.DUMMYFUNCTION("""COMPUTED_VALUE"""),44.0)</f>
        <v>44</v>
      </c>
      <c r="G56" s="1">
        <f>IFERROR(__xludf.DUMMYFUNCTION("""COMPUTED_VALUE"""),93.0)</f>
        <v>93</v>
      </c>
      <c r="H56" s="1">
        <f>IFERROR(__xludf.DUMMYFUNCTION("""COMPUTED_VALUE"""),56.0)</f>
        <v>56</v>
      </c>
      <c r="I56" s="1">
        <f>IFERROR(__xludf.DUMMYFUNCTION("""COMPUTED_VALUE"""),33.0)</f>
        <v>33</v>
      </c>
      <c r="J56" s="1">
        <f>IFERROR(__xludf.DUMMYFUNCTION("""COMPUTED_VALUE"""),81.0)</f>
        <v>81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 t="str">
        <f>IFERROR(__xludf.DUMMYFUNCTION("""COMPUTED_VALUE"""),"C")</f>
        <v>C</v>
      </c>
      <c r="E57" s="1">
        <f>IFERROR(__xludf.DUMMYFUNCTION("""COMPUTED_VALUE"""),98.0)</f>
        <v>98</v>
      </c>
      <c r="F57" s="1">
        <f>IFERROR(__xludf.DUMMYFUNCTION("""COMPUTED_VALUE"""),23.0)</f>
        <v>23</v>
      </c>
      <c r="G57" s="1">
        <f>IFERROR(__xludf.DUMMYFUNCTION("""COMPUTED_VALUE"""),73.0)</f>
        <v>73</v>
      </c>
      <c r="H57" s="1">
        <f>IFERROR(__xludf.DUMMYFUNCTION("""COMPUTED_VALUE"""),85.0)</f>
        <v>85</v>
      </c>
      <c r="I57" s="1">
        <f>IFERROR(__xludf.DUMMYFUNCTION("""COMPUTED_VALUE"""),55.0)</f>
        <v>55</v>
      </c>
      <c r="J57" s="1">
        <f>IFERROR(__xludf.DUMMYFUNCTION("""COMPUTED_VALUE"""),57.0)</f>
        <v>57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 t="str">
        <f>IFERROR(__xludf.DUMMYFUNCTION("""COMPUTED_VALUE"""),"B")</f>
        <v>B</v>
      </c>
      <c r="E58" s="1">
        <f>IFERROR(__xludf.DUMMYFUNCTION("""COMPUTED_VALUE"""),80.0)</f>
        <v>80</v>
      </c>
      <c r="F58" s="1">
        <f>IFERROR(__xludf.DUMMYFUNCTION("""COMPUTED_VALUE"""),59.0)</f>
        <v>59</v>
      </c>
      <c r="G58" s="1">
        <f>IFERROR(__xludf.DUMMYFUNCTION("""COMPUTED_VALUE"""),42.0)</f>
        <v>42</v>
      </c>
      <c r="H58" s="1">
        <f>IFERROR(__xludf.DUMMYFUNCTION("""COMPUTED_VALUE"""),80.0)</f>
        <v>80</v>
      </c>
      <c r="I58" s="1">
        <f>IFERROR(__xludf.DUMMYFUNCTION("""COMPUTED_VALUE"""),76.0)</f>
        <v>76</v>
      </c>
      <c r="J58" s="1">
        <f>IFERROR(__xludf.DUMMYFUNCTION("""COMPUTED_VALUE"""),48.0)</f>
        <v>48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 t="str">
        <f>IFERROR(__xludf.DUMMYFUNCTION("""COMPUTED_VALUE"""),"B")</f>
        <v>B</v>
      </c>
      <c r="E59" s="1">
        <f>IFERROR(__xludf.DUMMYFUNCTION("""COMPUTED_VALUE"""),42.0)</f>
        <v>42</v>
      </c>
      <c r="F59" s="1">
        <f>IFERROR(__xludf.DUMMYFUNCTION("""COMPUTED_VALUE"""),60.0)</f>
        <v>60</v>
      </c>
      <c r="G59" s="1">
        <f>IFERROR(__xludf.DUMMYFUNCTION("""COMPUTED_VALUE"""),31.0)</f>
        <v>31</v>
      </c>
      <c r="H59" s="1">
        <f>IFERROR(__xludf.DUMMYFUNCTION("""COMPUTED_VALUE"""),68.0)</f>
        <v>68</v>
      </c>
      <c r="I59" s="1">
        <f>IFERROR(__xludf.DUMMYFUNCTION("""COMPUTED_VALUE"""),39.0)</f>
        <v>39</v>
      </c>
      <c r="J59" s="1">
        <f>IFERROR(__xludf.DUMMYFUNCTION("""COMPUTED_VALUE"""),42.0)</f>
        <v>42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 t="str">
        <f>IFERROR(__xludf.DUMMYFUNCTION("""COMPUTED_VALUE"""),"A")</f>
        <v>A</v>
      </c>
      <c r="E60" s="1">
        <f>IFERROR(__xludf.DUMMYFUNCTION("""COMPUTED_VALUE"""),79.0)</f>
        <v>79</v>
      </c>
      <c r="F60" s="1">
        <f>IFERROR(__xludf.DUMMYFUNCTION("""COMPUTED_VALUE"""),99.0)</f>
        <v>99</v>
      </c>
      <c r="G60" s="1">
        <f>IFERROR(__xludf.DUMMYFUNCTION("""COMPUTED_VALUE"""),39.0)</f>
        <v>39</v>
      </c>
      <c r="H60" s="1">
        <f>IFERROR(__xludf.DUMMYFUNCTION("""COMPUTED_VALUE"""),90.0)</f>
        <v>90</v>
      </c>
      <c r="I60" s="1">
        <f>IFERROR(__xludf.DUMMYFUNCTION("""COMPUTED_VALUE"""),21.0)</f>
        <v>21</v>
      </c>
      <c r="J60" s="1">
        <f>IFERROR(__xludf.DUMMYFUNCTION("""COMPUTED_VALUE"""),93.0)</f>
        <v>93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 t="str">
        <f>IFERROR(__xludf.DUMMYFUNCTION("""COMPUTED_VALUE"""),"D")</f>
        <v>D</v>
      </c>
      <c r="E61" s="1">
        <f>IFERROR(__xludf.DUMMYFUNCTION("""COMPUTED_VALUE"""),64.0)</f>
        <v>64</v>
      </c>
      <c r="F61" s="1">
        <f>IFERROR(__xludf.DUMMYFUNCTION("""COMPUTED_VALUE"""),96.0)</f>
        <v>96</v>
      </c>
      <c r="G61" s="1">
        <f>IFERROR(__xludf.DUMMYFUNCTION("""COMPUTED_VALUE"""),57.0)</f>
        <v>57</v>
      </c>
      <c r="H61" s="1">
        <f>IFERROR(__xludf.DUMMYFUNCTION("""COMPUTED_VALUE"""),64.0)</f>
        <v>64</v>
      </c>
      <c r="I61" s="1">
        <f>IFERROR(__xludf.DUMMYFUNCTION("""COMPUTED_VALUE"""),44.0)</f>
        <v>44</v>
      </c>
      <c r="J61" s="1">
        <f>IFERROR(__xludf.DUMMYFUNCTION("""COMPUTED_VALUE"""),39.0)</f>
        <v>39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 t="str">
        <f>IFERROR(__xludf.DUMMYFUNCTION("""COMPUTED_VALUE"""),"C")</f>
        <v>C</v>
      </c>
      <c r="E62" s="1">
        <f>IFERROR(__xludf.DUMMYFUNCTION("""COMPUTED_VALUE"""),64.0)</f>
        <v>64</v>
      </c>
      <c r="F62" s="1">
        <f>IFERROR(__xludf.DUMMYFUNCTION("""COMPUTED_VALUE"""),40.0)</f>
        <v>40</v>
      </c>
      <c r="G62" s="1">
        <f>IFERROR(__xludf.DUMMYFUNCTION("""COMPUTED_VALUE"""),26.0)</f>
        <v>26</v>
      </c>
      <c r="H62" s="1">
        <f>IFERROR(__xludf.DUMMYFUNCTION("""COMPUTED_VALUE"""),85.0)</f>
        <v>85</v>
      </c>
      <c r="I62" s="1">
        <f>IFERROR(__xludf.DUMMYFUNCTION("""COMPUTED_VALUE"""),29.0)</f>
        <v>29</v>
      </c>
      <c r="J62" s="1">
        <f>IFERROR(__xludf.DUMMYFUNCTION("""COMPUTED_VALUE"""),84.0)</f>
        <v>84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 t="str">
        <f>IFERROR(__xludf.DUMMYFUNCTION("""COMPUTED_VALUE"""),"A")</f>
        <v>A</v>
      </c>
      <c r="E63" s="1">
        <f>IFERROR(__xludf.DUMMYFUNCTION("""COMPUTED_VALUE"""),100.0)</f>
        <v>100</v>
      </c>
      <c r="F63" s="1">
        <f>IFERROR(__xludf.DUMMYFUNCTION("""COMPUTED_VALUE"""),69.0)</f>
        <v>69</v>
      </c>
      <c r="G63" s="1">
        <f>IFERROR(__xludf.DUMMYFUNCTION("""COMPUTED_VALUE"""),94.0)</f>
        <v>94</v>
      </c>
      <c r="H63" s="1">
        <f>IFERROR(__xludf.DUMMYFUNCTION("""COMPUTED_VALUE"""),93.0)</f>
        <v>93</v>
      </c>
      <c r="I63" s="1">
        <f>IFERROR(__xludf.DUMMYFUNCTION("""COMPUTED_VALUE"""),86.0)</f>
        <v>86</v>
      </c>
      <c r="J63" s="1">
        <f>IFERROR(__xludf.DUMMYFUNCTION("""COMPUTED_VALUE"""),23.0)</f>
        <v>23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 t="str">
        <f>IFERROR(__xludf.DUMMYFUNCTION("""COMPUTED_VALUE"""),"C")</f>
        <v>C</v>
      </c>
      <c r="E64" s="1">
        <f>IFERROR(__xludf.DUMMYFUNCTION("""COMPUTED_VALUE"""),64.0)</f>
        <v>64</v>
      </c>
      <c r="F64" s="1">
        <f>IFERROR(__xludf.DUMMYFUNCTION("""COMPUTED_VALUE"""),38.0)</f>
        <v>38</v>
      </c>
      <c r="G64" s="1">
        <f>IFERROR(__xludf.DUMMYFUNCTION("""COMPUTED_VALUE"""),37.0)</f>
        <v>37</v>
      </c>
      <c r="H64" s="1">
        <f>IFERROR(__xludf.DUMMYFUNCTION("""COMPUTED_VALUE"""),92.0)</f>
        <v>92</v>
      </c>
      <c r="I64" s="1">
        <f>IFERROR(__xludf.DUMMYFUNCTION("""COMPUTED_VALUE"""),69.0)</f>
        <v>69</v>
      </c>
      <c r="J64" s="1">
        <f>IFERROR(__xludf.DUMMYFUNCTION("""COMPUTED_VALUE"""),49.0)</f>
        <v>49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 t="str">
        <f>IFERROR(__xludf.DUMMYFUNCTION("""COMPUTED_VALUE"""),"D")</f>
        <v>D</v>
      </c>
      <c r="E65" s="1">
        <f>IFERROR(__xludf.DUMMYFUNCTION("""COMPUTED_VALUE"""),100.0)</f>
        <v>100</v>
      </c>
      <c r="F65" s="1">
        <f>IFERROR(__xludf.DUMMYFUNCTION("""COMPUTED_VALUE"""),63.0)</f>
        <v>63</v>
      </c>
      <c r="G65" s="1">
        <f>IFERROR(__xludf.DUMMYFUNCTION("""COMPUTED_VALUE"""),43.0)</f>
        <v>43</v>
      </c>
      <c r="H65" s="1">
        <f>IFERROR(__xludf.DUMMYFUNCTION("""COMPUTED_VALUE"""),23.0)</f>
        <v>23</v>
      </c>
      <c r="I65" s="1">
        <f>IFERROR(__xludf.DUMMYFUNCTION("""COMPUTED_VALUE"""),65.0)</f>
        <v>65</v>
      </c>
      <c r="J65" s="1">
        <f>IFERROR(__xludf.DUMMYFUNCTION("""COMPUTED_VALUE"""),62.0)</f>
        <v>62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 t="str">
        <f>IFERROR(__xludf.DUMMYFUNCTION("""COMPUTED_VALUE"""),"B")</f>
        <v>B</v>
      </c>
      <c r="E66" s="1">
        <f>IFERROR(__xludf.DUMMYFUNCTION("""COMPUTED_VALUE"""),54.0)</f>
        <v>54</v>
      </c>
      <c r="F66" s="1">
        <f>IFERROR(__xludf.DUMMYFUNCTION("""COMPUTED_VALUE"""),66.0)</f>
        <v>66</v>
      </c>
      <c r="G66" s="1">
        <f>IFERROR(__xludf.DUMMYFUNCTION("""COMPUTED_VALUE"""),50.0)</f>
        <v>50</v>
      </c>
      <c r="H66" s="1">
        <f>IFERROR(__xludf.DUMMYFUNCTION("""COMPUTED_VALUE"""),87.0)</f>
        <v>87</v>
      </c>
      <c r="I66" s="1">
        <f>IFERROR(__xludf.DUMMYFUNCTION("""COMPUTED_VALUE"""),99.0)</f>
        <v>99</v>
      </c>
      <c r="J66" s="1">
        <f>IFERROR(__xludf.DUMMYFUNCTION("""COMPUTED_VALUE"""),71.0)</f>
        <v>71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 t="str">
        <f>IFERROR(__xludf.DUMMYFUNCTION("""COMPUTED_VALUE"""),"B")</f>
        <v>B</v>
      </c>
      <c r="E67" s="1">
        <f>IFERROR(__xludf.DUMMYFUNCTION("""COMPUTED_VALUE"""),100.0)</f>
        <v>100</v>
      </c>
      <c r="F67" s="1">
        <f>IFERROR(__xludf.DUMMYFUNCTION("""COMPUTED_VALUE"""),32.0)</f>
        <v>32</v>
      </c>
      <c r="G67" s="1">
        <f>IFERROR(__xludf.DUMMYFUNCTION("""COMPUTED_VALUE"""),61.0)</f>
        <v>61</v>
      </c>
      <c r="H67" s="1">
        <f>IFERROR(__xludf.DUMMYFUNCTION("""COMPUTED_VALUE"""),50.0)</f>
        <v>50</v>
      </c>
      <c r="I67" s="1">
        <f>IFERROR(__xludf.DUMMYFUNCTION("""COMPUTED_VALUE"""),95.0)</f>
        <v>95</v>
      </c>
      <c r="J67" s="1">
        <f>IFERROR(__xludf.DUMMYFUNCTION("""COMPUTED_VALUE"""),28.0)</f>
        <v>28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 t="str">
        <f>IFERROR(__xludf.DUMMYFUNCTION("""COMPUTED_VALUE"""),"D")</f>
        <v>D</v>
      </c>
      <c r="E68" s="1">
        <f>IFERROR(__xludf.DUMMYFUNCTION("""COMPUTED_VALUE"""),60.0)</f>
        <v>60</v>
      </c>
      <c r="F68" s="1">
        <f>IFERROR(__xludf.DUMMYFUNCTION("""COMPUTED_VALUE"""),88.0)</f>
        <v>88</v>
      </c>
      <c r="G68" s="1">
        <f>IFERROR(__xludf.DUMMYFUNCTION("""COMPUTED_VALUE"""),89.0)</f>
        <v>89</v>
      </c>
      <c r="H68" s="1">
        <f>IFERROR(__xludf.DUMMYFUNCTION("""COMPUTED_VALUE"""),59.0)</f>
        <v>59</v>
      </c>
      <c r="I68" s="1">
        <f>IFERROR(__xludf.DUMMYFUNCTION("""COMPUTED_VALUE"""),64.0)</f>
        <v>64</v>
      </c>
      <c r="J68" s="1">
        <f>IFERROR(__xludf.DUMMYFUNCTION("""COMPUTED_VALUE"""),54.0)</f>
        <v>54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 t="str">
        <f>IFERROR(__xludf.DUMMYFUNCTION("""COMPUTED_VALUE"""),"D")</f>
        <v>D</v>
      </c>
      <c r="E69" s="1">
        <f>IFERROR(__xludf.DUMMYFUNCTION("""COMPUTED_VALUE"""),85.0)</f>
        <v>85</v>
      </c>
      <c r="F69" s="1">
        <f>IFERROR(__xludf.DUMMYFUNCTION("""COMPUTED_VALUE"""),20.0)</f>
        <v>20</v>
      </c>
      <c r="G69" s="1">
        <f>IFERROR(__xludf.DUMMYFUNCTION("""COMPUTED_VALUE"""),42.0)</f>
        <v>42</v>
      </c>
      <c r="H69" s="1">
        <f>IFERROR(__xludf.DUMMYFUNCTION("""COMPUTED_VALUE"""),84.0)</f>
        <v>84</v>
      </c>
      <c r="I69" s="1">
        <f>IFERROR(__xludf.DUMMYFUNCTION("""COMPUTED_VALUE"""),83.0)</f>
        <v>83</v>
      </c>
      <c r="J69" s="1">
        <f>IFERROR(__xludf.DUMMYFUNCTION("""COMPUTED_VALUE"""),97.0)</f>
        <v>97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 t="str">
        <f>IFERROR(__xludf.DUMMYFUNCTION("""COMPUTED_VALUE"""),"A")</f>
        <v>A</v>
      </c>
      <c r="E70" s="1">
        <f>IFERROR(__xludf.DUMMYFUNCTION("""COMPUTED_VALUE"""),67.0)</f>
        <v>67</v>
      </c>
      <c r="F70" s="1">
        <f>IFERROR(__xludf.DUMMYFUNCTION("""COMPUTED_VALUE"""),30.0)</f>
        <v>30</v>
      </c>
      <c r="G70" s="1">
        <f>IFERROR(__xludf.DUMMYFUNCTION("""COMPUTED_VALUE"""),86.0)</f>
        <v>86</v>
      </c>
      <c r="H70" s="1">
        <f>IFERROR(__xludf.DUMMYFUNCTION("""COMPUTED_VALUE"""),47.0)</f>
        <v>47</v>
      </c>
      <c r="I70" s="1">
        <f>IFERROR(__xludf.DUMMYFUNCTION("""COMPUTED_VALUE"""),75.0)</f>
        <v>75</v>
      </c>
      <c r="J70" s="1">
        <f>IFERROR(__xludf.DUMMYFUNCTION("""COMPUTED_VALUE"""),58.0)</f>
        <v>58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 t="str">
        <f>IFERROR(__xludf.DUMMYFUNCTION("""COMPUTED_VALUE"""),"B")</f>
        <v>B</v>
      </c>
      <c r="E71" s="1">
        <f>IFERROR(__xludf.DUMMYFUNCTION("""COMPUTED_VALUE"""),25.0)</f>
        <v>25</v>
      </c>
      <c r="F71" s="1">
        <f>IFERROR(__xludf.DUMMYFUNCTION("""COMPUTED_VALUE"""),90.0)</f>
        <v>90</v>
      </c>
      <c r="G71" s="1">
        <f>IFERROR(__xludf.DUMMYFUNCTION("""COMPUTED_VALUE"""),81.0)</f>
        <v>81</v>
      </c>
      <c r="H71" s="1">
        <f>IFERROR(__xludf.DUMMYFUNCTION("""COMPUTED_VALUE"""),22.0)</f>
        <v>22</v>
      </c>
      <c r="I71" s="1">
        <f>IFERROR(__xludf.DUMMYFUNCTION("""COMPUTED_VALUE"""),76.0)</f>
        <v>76</v>
      </c>
      <c r="J71" s="1">
        <f>IFERROR(__xludf.DUMMYFUNCTION("""COMPUTED_VALUE"""),92.0)</f>
        <v>92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 t="str">
        <f>IFERROR(__xludf.DUMMYFUNCTION("""COMPUTED_VALUE"""),"D")</f>
        <v>D</v>
      </c>
      <c r="E72" s="1">
        <f>IFERROR(__xludf.DUMMYFUNCTION("""COMPUTED_VALUE"""),21.0)</f>
        <v>21</v>
      </c>
      <c r="F72" s="1">
        <f>IFERROR(__xludf.DUMMYFUNCTION("""COMPUTED_VALUE"""),28.0)</f>
        <v>28</v>
      </c>
      <c r="G72" s="1">
        <f>IFERROR(__xludf.DUMMYFUNCTION("""COMPUTED_VALUE"""),71.0)</f>
        <v>71</v>
      </c>
      <c r="H72" s="1">
        <f>IFERROR(__xludf.DUMMYFUNCTION("""COMPUTED_VALUE"""),91.0)</f>
        <v>91</v>
      </c>
      <c r="I72" s="1">
        <f>IFERROR(__xludf.DUMMYFUNCTION("""COMPUTED_VALUE"""),61.0)</f>
        <v>61</v>
      </c>
      <c r="J72" s="1">
        <f>IFERROR(__xludf.DUMMYFUNCTION("""COMPUTED_VALUE"""),83.0)</f>
        <v>83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 t="str">
        <f>IFERROR(__xludf.DUMMYFUNCTION("""COMPUTED_VALUE"""),"A")</f>
        <v>A</v>
      </c>
      <c r="E73" s="1">
        <f>IFERROR(__xludf.DUMMYFUNCTION("""COMPUTED_VALUE"""),68.0)</f>
        <v>68</v>
      </c>
      <c r="F73" s="1">
        <f>IFERROR(__xludf.DUMMYFUNCTION("""COMPUTED_VALUE"""),41.0)</f>
        <v>41</v>
      </c>
      <c r="G73" s="1">
        <f>IFERROR(__xludf.DUMMYFUNCTION("""COMPUTED_VALUE"""),56.0)</f>
        <v>56</v>
      </c>
      <c r="H73" s="1">
        <f>IFERROR(__xludf.DUMMYFUNCTION("""COMPUTED_VALUE"""),96.0)</f>
        <v>96</v>
      </c>
      <c r="I73" s="1">
        <f>IFERROR(__xludf.DUMMYFUNCTION("""COMPUTED_VALUE"""),21.0)</f>
        <v>21</v>
      </c>
      <c r="J73" s="1">
        <f>IFERROR(__xludf.DUMMYFUNCTION("""COMPUTED_VALUE"""),57.0)</f>
        <v>57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 t="str">
        <f>IFERROR(__xludf.DUMMYFUNCTION("""COMPUTED_VALUE"""),"B")</f>
        <v>B</v>
      </c>
      <c r="E74" s="1">
        <f>IFERROR(__xludf.DUMMYFUNCTION("""COMPUTED_VALUE"""),58.0)</f>
        <v>58</v>
      </c>
      <c r="F74" s="1">
        <f>IFERROR(__xludf.DUMMYFUNCTION("""COMPUTED_VALUE"""),65.0)</f>
        <v>65</v>
      </c>
      <c r="G74" s="1">
        <f>IFERROR(__xludf.DUMMYFUNCTION("""COMPUTED_VALUE"""),61.0)</f>
        <v>61</v>
      </c>
      <c r="H74" s="1">
        <f>IFERROR(__xludf.DUMMYFUNCTION("""COMPUTED_VALUE"""),95.0)</f>
        <v>95</v>
      </c>
      <c r="I74" s="1">
        <f>IFERROR(__xludf.DUMMYFUNCTION("""COMPUTED_VALUE"""),83.0)</f>
        <v>83</v>
      </c>
      <c r="J74" s="1">
        <f>IFERROR(__xludf.DUMMYFUNCTION("""COMPUTED_VALUE"""),32.0)</f>
        <v>32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 t="str">
        <f>IFERROR(__xludf.DUMMYFUNCTION("""COMPUTED_VALUE"""),"A")</f>
        <v>A</v>
      </c>
      <c r="E75" s="1">
        <f>IFERROR(__xludf.DUMMYFUNCTION("""COMPUTED_VALUE"""),10.0)</f>
        <v>10</v>
      </c>
      <c r="F75" s="1">
        <f>IFERROR(__xludf.DUMMYFUNCTION("""COMPUTED_VALUE"""),43.0)</f>
        <v>43</v>
      </c>
      <c r="G75" s="1">
        <f>IFERROR(__xludf.DUMMYFUNCTION("""COMPUTED_VALUE"""),23.0)</f>
        <v>23</v>
      </c>
      <c r="H75" s="1">
        <f>IFERROR(__xludf.DUMMYFUNCTION("""COMPUTED_VALUE"""),35.0)</f>
        <v>35</v>
      </c>
      <c r="I75" s="1">
        <f>IFERROR(__xludf.DUMMYFUNCTION("""COMPUTED_VALUE"""),87.0)</f>
        <v>87</v>
      </c>
      <c r="J75" s="1">
        <f>IFERROR(__xludf.DUMMYFUNCTION("""COMPUTED_VALUE"""),90.0)</f>
        <v>90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 t="str">
        <f>IFERROR(__xludf.DUMMYFUNCTION("""COMPUTED_VALUE"""),"A")</f>
        <v>A</v>
      </c>
      <c r="E76" s="1">
        <f>IFERROR(__xludf.DUMMYFUNCTION("""COMPUTED_VALUE"""),73.0)</f>
        <v>73</v>
      </c>
      <c r="F76" s="1">
        <f>IFERROR(__xludf.DUMMYFUNCTION("""COMPUTED_VALUE"""),56.0)</f>
        <v>56</v>
      </c>
      <c r="G76" s="1">
        <f>IFERROR(__xludf.DUMMYFUNCTION("""COMPUTED_VALUE"""),32.0)</f>
        <v>32</v>
      </c>
      <c r="H76" s="1">
        <f>IFERROR(__xludf.DUMMYFUNCTION("""COMPUTED_VALUE"""),94.0)</f>
        <v>94</v>
      </c>
      <c r="I76" s="1">
        <f>IFERROR(__xludf.DUMMYFUNCTION("""COMPUTED_VALUE"""),59.0)</f>
        <v>59</v>
      </c>
      <c r="J76" s="1">
        <f>IFERROR(__xludf.DUMMYFUNCTION("""COMPUTED_VALUE"""),66.0)</f>
        <v>66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 t="str">
        <f>IFERROR(__xludf.DUMMYFUNCTION("""COMPUTED_VALUE"""),"A")</f>
        <v>A</v>
      </c>
      <c r="E77" s="1">
        <f>IFERROR(__xludf.DUMMYFUNCTION("""COMPUTED_VALUE"""),71.0)</f>
        <v>71</v>
      </c>
      <c r="F77" s="1">
        <f>IFERROR(__xludf.DUMMYFUNCTION("""COMPUTED_VALUE"""),93.0)</f>
        <v>93</v>
      </c>
      <c r="G77" s="1">
        <f>IFERROR(__xludf.DUMMYFUNCTION("""COMPUTED_VALUE"""),64.0)</f>
        <v>64</v>
      </c>
      <c r="H77" s="1">
        <f>IFERROR(__xludf.DUMMYFUNCTION("""COMPUTED_VALUE"""),90.0)</f>
        <v>90</v>
      </c>
      <c r="I77" s="1">
        <f>IFERROR(__xludf.DUMMYFUNCTION("""COMPUTED_VALUE"""),43.0)</f>
        <v>43</v>
      </c>
      <c r="J77" s="1">
        <f>IFERROR(__xludf.DUMMYFUNCTION("""COMPUTED_VALUE"""),73.0)</f>
        <v>73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 t="str">
        <f>IFERROR(__xludf.DUMMYFUNCTION("""COMPUTED_VALUE"""),"D")</f>
        <v>D</v>
      </c>
      <c r="E78" s="1">
        <f>IFERROR(__xludf.DUMMYFUNCTION("""COMPUTED_VALUE"""),43.0)</f>
        <v>43</v>
      </c>
      <c r="F78" s="1">
        <f>IFERROR(__xludf.DUMMYFUNCTION("""COMPUTED_VALUE"""),79.0)</f>
        <v>79</v>
      </c>
      <c r="G78" s="1">
        <f>IFERROR(__xludf.DUMMYFUNCTION("""COMPUTED_VALUE"""),55.0)</f>
        <v>55</v>
      </c>
      <c r="H78" s="1">
        <f>IFERROR(__xludf.DUMMYFUNCTION("""COMPUTED_VALUE"""),86.0)</f>
        <v>86</v>
      </c>
      <c r="I78" s="1">
        <f>IFERROR(__xludf.DUMMYFUNCTION("""COMPUTED_VALUE"""),98.0)</f>
        <v>98</v>
      </c>
      <c r="J78" s="1">
        <f>IFERROR(__xludf.DUMMYFUNCTION("""COMPUTED_VALUE"""),72.0)</f>
        <v>72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 t="str">
        <f>IFERROR(__xludf.DUMMYFUNCTION("""COMPUTED_VALUE"""),"A")</f>
        <v>A</v>
      </c>
      <c r="E79" s="1">
        <f>IFERROR(__xludf.DUMMYFUNCTION("""COMPUTED_VALUE"""),53.0)</f>
        <v>53</v>
      </c>
      <c r="F79" s="1">
        <f>IFERROR(__xludf.DUMMYFUNCTION("""COMPUTED_VALUE"""),77.0)</f>
        <v>77</v>
      </c>
      <c r="G79" s="1">
        <f>IFERROR(__xludf.DUMMYFUNCTION("""COMPUTED_VALUE"""),62.0)</f>
        <v>62</v>
      </c>
      <c r="H79" s="1">
        <f>IFERROR(__xludf.DUMMYFUNCTION("""COMPUTED_VALUE"""),26.0)</f>
        <v>26</v>
      </c>
      <c r="I79" s="1">
        <f>IFERROR(__xludf.DUMMYFUNCTION("""COMPUTED_VALUE"""),67.0)</f>
        <v>67</v>
      </c>
      <c r="J79" s="1">
        <f>IFERROR(__xludf.DUMMYFUNCTION("""COMPUTED_VALUE"""),64.0)</f>
        <v>64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 t="str">
        <f>IFERROR(__xludf.DUMMYFUNCTION("""COMPUTED_VALUE"""),"A")</f>
        <v>A</v>
      </c>
      <c r="E80" s="1">
        <f>IFERROR(__xludf.DUMMYFUNCTION("""COMPUTED_VALUE"""),79.0)</f>
        <v>79</v>
      </c>
      <c r="F80" s="1">
        <f>IFERROR(__xludf.DUMMYFUNCTION("""COMPUTED_VALUE"""),86.0)</f>
        <v>86</v>
      </c>
      <c r="G80" s="1">
        <f>IFERROR(__xludf.DUMMYFUNCTION("""COMPUTED_VALUE"""),45.0)</f>
        <v>45</v>
      </c>
      <c r="H80" s="1">
        <f>IFERROR(__xludf.DUMMYFUNCTION("""COMPUTED_VALUE"""),42.0)</f>
        <v>42</v>
      </c>
      <c r="I80" s="1">
        <f>IFERROR(__xludf.DUMMYFUNCTION("""COMPUTED_VALUE"""),29.0)</f>
        <v>29</v>
      </c>
      <c r="J80" s="1">
        <f>IFERROR(__xludf.DUMMYFUNCTION("""COMPUTED_VALUE"""),22.0)</f>
        <v>22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 t="str">
        <f>IFERROR(__xludf.DUMMYFUNCTION("""COMPUTED_VALUE"""),"B")</f>
        <v>B</v>
      </c>
      <c r="E81" s="1">
        <f>IFERROR(__xludf.DUMMYFUNCTION("""COMPUTED_VALUE"""),97.0)</f>
        <v>97</v>
      </c>
      <c r="F81" s="1">
        <f>IFERROR(__xludf.DUMMYFUNCTION("""COMPUTED_VALUE"""),51.0)</f>
        <v>51</v>
      </c>
      <c r="G81" s="1">
        <f>IFERROR(__xludf.DUMMYFUNCTION("""COMPUTED_VALUE"""),59.0)</f>
        <v>59</v>
      </c>
      <c r="H81" s="1">
        <f>IFERROR(__xludf.DUMMYFUNCTION("""COMPUTED_VALUE"""),47.0)</f>
        <v>47</v>
      </c>
      <c r="I81" s="1">
        <f>IFERROR(__xludf.DUMMYFUNCTION("""COMPUTED_VALUE"""),98.0)</f>
        <v>98</v>
      </c>
      <c r="J81" s="1">
        <f>IFERROR(__xludf.DUMMYFUNCTION("""COMPUTED_VALUE"""),82.0)</f>
        <v>82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 t="str">
        <f>IFERROR(__xludf.DUMMYFUNCTION("""COMPUTED_VALUE"""),"C")</f>
        <v>C</v>
      </c>
      <c r="E82" s="1">
        <f>IFERROR(__xludf.DUMMYFUNCTION("""COMPUTED_VALUE"""),99.0)</f>
        <v>99</v>
      </c>
      <c r="F82" s="1">
        <f>IFERROR(__xludf.DUMMYFUNCTION("""COMPUTED_VALUE"""),97.0)</f>
        <v>97</v>
      </c>
      <c r="G82" s="1">
        <f>IFERROR(__xludf.DUMMYFUNCTION("""COMPUTED_VALUE"""),52.0)</f>
        <v>52</v>
      </c>
      <c r="H82" s="1">
        <f>IFERROR(__xludf.DUMMYFUNCTION("""COMPUTED_VALUE"""),31.0)</f>
        <v>31</v>
      </c>
      <c r="I82" s="1">
        <f>IFERROR(__xludf.DUMMYFUNCTION("""COMPUTED_VALUE"""),77.0)</f>
        <v>77</v>
      </c>
      <c r="J82" s="1">
        <f>IFERROR(__xludf.DUMMYFUNCTION("""COMPUTED_VALUE"""),38.0)</f>
        <v>38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 t="str">
        <f>IFERROR(__xludf.DUMMYFUNCTION("""COMPUTED_VALUE"""),"A")</f>
        <v>A</v>
      </c>
      <c r="E83" s="1">
        <f>IFERROR(__xludf.DUMMYFUNCTION("""COMPUTED_VALUE"""),31.0)</f>
        <v>31</v>
      </c>
      <c r="F83" s="1">
        <f>IFERROR(__xludf.DUMMYFUNCTION("""COMPUTED_VALUE"""),33.0)</f>
        <v>33</v>
      </c>
      <c r="G83" s="1">
        <f>IFERROR(__xludf.DUMMYFUNCTION("""COMPUTED_VALUE"""),79.0)</f>
        <v>79</v>
      </c>
      <c r="H83" s="1">
        <f>IFERROR(__xludf.DUMMYFUNCTION("""COMPUTED_VALUE"""),40.0)</f>
        <v>40</v>
      </c>
      <c r="I83" s="1">
        <f>IFERROR(__xludf.DUMMYFUNCTION("""COMPUTED_VALUE"""),51.0)</f>
        <v>51</v>
      </c>
      <c r="J83" s="1">
        <f>IFERROR(__xludf.DUMMYFUNCTION("""COMPUTED_VALUE"""),65.0)</f>
        <v>65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 t="str">
        <f>IFERROR(__xludf.DUMMYFUNCTION("""COMPUTED_VALUE"""),"D")</f>
        <v>D</v>
      </c>
      <c r="E84" s="1">
        <f>IFERROR(__xludf.DUMMYFUNCTION("""COMPUTED_VALUE"""),37.0)</f>
        <v>37</v>
      </c>
      <c r="F84" s="1">
        <f>IFERROR(__xludf.DUMMYFUNCTION("""COMPUTED_VALUE"""),55.0)</f>
        <v>55</v>
      </c>
      <c r="G84" s="1">
        <f>IFERROR(__xludf.DUMMYFUNCTION("""COMPUTED_VALUE"""),37.0)</f>
        <v>37</v>
      </c>
      <c r="H84" s="1">
        <f>IFERROR(__xludf.DUMMYFUNCTION("""COMPUTED_VALUE"""),72.0)</f>
        <v>72</v>
      </c>
      <c r="I84" s="1">
        <f>IFERROR(__xludf.DUMMYFUNCTION("""COMPUTED_VALUE"""),81.0)</f>
        <v>81</v>
      </c>
      <c r="J84" s="1">
        <f>IFERROR(__xludf.DUMMYFUNCTION("""COMPUTED_VALUE"""),64.0)</f>
        <v>64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 t="str">
        <f>IFERROR(__xludf.DUMMYFUNCTION("""COMPUTED_VALUE"""),"B")</f>
        <v>B</v>
      </c>
      <c r="E85" s="1">
        <f>IFERROR(__xludf.DUMMYFUNCTION("""COMPUTED_VALUE"""),23.0)</f>
        <v>23</v>
      </c>
      <c r="F85" s="1">
        <f>IFERROR(__xludf.DUMMYFUNCTION("""COMPUTED_VALUE"""),39.0)</f>
        <v>39</v>
      </c>
      <c r="G85" s="1">
        <f>IFERROR(__xludf.DUMMYFUNCTION("""COMPUTED_VALUE"""),95.0)</f>
        <v>95</v>
      </c>
      <c r="H85" s="1">
        <f>IFERROR(__xludf.DUMMYFUNCTION("""COMPUTED_VALUE"""),66.0)</f>
        <v>66</v>
      </c>
      <c r="I85" s="1">
        <f>IFERROR(__xludf.DUMMYFUNCTION("""COMPUTED_VALUE"""),45.0)</f>
        <v>45</v>
      </c>
      <c r="J85" s="1">
        <f>IFERROR(__xludf.DUMMYFUNCTION("""COMPUTED_VALUE"""),80.0)</f>
        <v>80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 t="str">
        <f>IFERROR(__xludf.DUMMYFUNCTION("""COMPUTED_VALUE"""),"B")</f>
        <v>B</v>
      </c>
      <c r="E86" s="1">
        <f>IFERROR(__xludf.DUMMYFUNCTION("""COMPUTED_VALUE"""),11.0)</f>
        <v>11</v>
      </c>
      <c r="F86" s="1">
        <f>IFERROR(__xludf.DUMMYFUNCTION("""COMPUTED_VALUE"""),35.0)</f>
        <v>35</v>
      </c>
      <c r="G86" s="1">
        <f>IFERROR(__xludf.DUMMYFUNCTION("""COMPUTED_VALUE"""),87.0)</f>
        <v>87</v>
      </c>
      <c r="H86" s="1">
        <f>IFERROR(__xludf.DUMMYFUNCTION("""COMPUTED_VALUE"""),55.0)</f>
        <v>55</v>
      </c>
      <c r="I86" s="1">
        <f>IFERROR(__xludf.DUMMYFUNCTION("""COMPUTED_VALUE"""),35.0)</f>
        <v>35</v>
      </c>
      <c r="J86" s="1">
        <f>IFERROR(__xludf.DUMMYFUNCTION("""COMPUTED_VALUE"""),48.0)</f>
        <v>48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 t="str">
        <f>IFERROR(__xludf.DUMMYFUNCTION("""COMPUTED_VALUE"""),"D")</f>
        <v>D</v>
      </c>
      <c r="E87" s="1">
        <f>IFERROR(__xludf.DUMMYFUNCTION("""COMPUTED_VALUE"""),16.0)</f>
        <v>16</v>
      </c>
      <c r="F87" s="1">
        <f>IFERROR(__xludf.DUMMYFUNCTION("""COMPUTED_VALUE"""),92.0)</f>
        <v>92</v>
      </c>
      <c r="G87" s="1">
        <f>IFERROR(__xludf.DUMMYFUNCTION("""COMPUTED_VALUE"""),39.0)</f>
        <v>39</v>
      </c>
      <c r="H87" s="1">
        <f>IFERROR(__xludf.DUMMYFUNCTION("""COMPUTED_VALUE"""),56.0)</f>
        <v>56</v>
      </c>
      <c r="I87" s="1">
        <f>IFERROR(__xludf.DUMMYFUNCTION("""COMPUTED_VALUE"""),55.0)</f>
        <v>55</v>
      </c>
      <c r="J87" s="1">
        <f>IFERROR(__xludf.DUMMYFUNCTION("""COMPUTED_VALUE"""),59.0)</f>
        <v>59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 t="str">
        <f>IFERROR(__xludf.DUMMYFUNCTION("""COMPUTED_VALUE"""),"B")</f>
        <v>B</v>
      </c>
      <c r="E88" s="1">
        <f>IFERROR(__xludf.DUMMYFUNCTION("""COMPUTED_VALUE"""),32.0)</f>
        <v>32</v>
      </c>
      <c r="F88" s="1">
        <f>IFERROR(__xludf.DUMMYFUNCTION("""COMPUTED_VALUE"""),78.0)</f>
        <v>78</v>
      </c>
      <c r="G88" s="1">
        <f>IFERROR(__xludf.DUMMYFUNCTION("""COMPUTED_VALUE"""),52.0)</f>
        <v>52</v>
      </c>
      <c r="H88" s="1">
        <f>IFERROR(__xludf.DUMMYFUNCTION("""COMPUTED_VALUE"""),48.0)</f>
        <v>48</v>
      </c>
      <c r="I88" s="1">
        <f>IFERROR(__xludf.DUMMYFUNCTION("""COMPUTED_VALUE"""),61.0)</f>
        <v>61</v>
      </c>
      <c r="J88" s="1">
        <f>IFERROR(__xludf.DUMMYFUNCTION("""COMPUTED_VALUE"""),38.0)</f>
        <v>38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 t="str">
        <f>IFERROR(__xludf.DUMMYFUNCTION("""COMPUTED_VALUE"""),"B")</f>
        <v>B</v>
      </c>
      <c r="E89" s="1">
        <f>IFERROR(__xludf.DUMMYFUNCTION("""COMPUTED_VALUE"""),72.0)</f>
        <v>72</v>
      </c>
      <c r="F89" s="1">
        <f>IFERROR(__xludf.DUMMYFUNCTION("""COMPUTED_VALUE"""),37.0)</f>
        <v>37</v>
      </c>
      <c r="G89" s="1">
        <f>IFERROR(__xludf.DUMMYFUNCTION("""COMPUTED_VALUE"""),31.0)</f>
        <v>31</v>
      </c>
      <c r="H89" s="1">
        <f>IFERROR(__xludf.DUMMYFUNCTION("""COMPUTED_VALUE"""),31.0)</f>
        <v>31</v>
      </c>
      <c r="I89" s="1">
        <f>IFERROR(__xludf.DUMMYFUNCTION("""COMPUTED_VALUE"""),48.0)</f>
        <v>48</v>
      </c>
      <c r="J89" s="1">
        <f>IFERROR(__xludf.DUMMYFUNCTION("""COMPUTED_VALUE"""),76.0)</f>
        <v>76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 t="str">
        <f>IFERROR(__xludf.DUMMYFUNCTION("""COMPUTED_VALUE"""),"C")</f>
        <v>C</v>
      </c>
      <c r="E90" s="1">
        <f>IFERROR(__xludf.DUMMYFUNCTION("""COMPUTED_VALUE"""),87.0)</f>
        <v>87</v>
      </c>
      <c r="F90" s="1">
        <f>IFERROR(__xludf.DUMMYFUNCTION("""COMPUTED_VALUE"""),67.0)</f>
        <v>67</v>
      </c>
      <c r="G90" s="1">
        <f>IFERROR(__xludf.DUMMYFUNCTION("""COMPUTED_VALUE"""),29.0)</f>
        <v>29</v>
      </c>
      <c r="H90" s="1">
        <f>IFERROR(__xludf.DUMMYFUNCTION("""COMPUTED_VALUE"""),97.0)</f>
        <v>97</v>
      </c>
      <c r="I90" s="1">
        <f>IFERROR(__xludf.DUMMYFUNCTION("""COMPUTED_VALUE"""),81.0)</f>
        <v>81</v>
      </c>
      <c r="J90" s="1">
        <f>IFERROR(__xludf.DUMMYFUNCTION("""COMPUTED_VALUE"""),67.0)</f>
        <v>67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 t="str">
        <f>IFERROR(__xludf.DUMMYFUNCTION("""COMPUTED_VALUE"""),"D")</f>
        <v>D</v>
      </c>
      <c r="E91" s="1">
        <f>IFERROR(__xludf.DUMMYFUNCTION("""COMPUTED_VALUE"""),49.0)</f>
        <v>49</v>
      </c>
      <c r="F91" s="1">
        <f>IFERROR(__xludf.DUMMYFUNCTION("""COMPUTED_VALUE"""),23.0)</f>
        <v>23</v>
      </c>
      <c r="G91" s="1">
        <f>IFERROR(__xludf.DUMMYFUNCTION("""COMPUTED_VALUE"""),62.0)</f>
        <v>62</v>
      </c>
      <c r="H91" s="1">
        <f>IFERROR(__xludf.DUMMYFUNCTION("""COMPUTED_VALUE"""),84.0)</f>
        <v>84</v>
      </c>
      <c r="I91" s="1">
        <f>IFERROR(__xludf.DUMMYFUNCTION("""COMPUTED_VALUE"""),90.0)</f>
        <v>90</v>
      </c>
      <c r="J91" s="1">
        <f>IFERROR(__xludf.DUMMYFUNCTION("""COMPUTED_VALUE"""),36.0)</f>
        <v>36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 t="str">
        <f>IFERROR(__xludf.DUMMYFUNCTION("""COMPUTED_VALUE"""),"D")</f>
        <v>D</v>
      </c>
      <c r="E92" s="1">
        <f>IFERROR(__xludf.DUMMYFUNCTION("""COMPUTED_VALUE"""),76.0)</f>
        <v>76</v>
      </c>
      <c r="F92" s="1">
        <f>IFERROR(__xludf.DUMMYFUNCTION("""COMPUTED_VALUE"""),33.0)</f>
        <v>33</v>
      </c>
      <c r="G92" s="1">
        <f>IFERROR(__xludf.DUMMYFUNCTION("""COMPUTED_VALUE"""),47.0)</f>
        <v>47</v>
      </c>
      <c r="H92" s="1">
        <f>IFERROR(__xludf.DUMMYFUNCTION("""COMPUTED_VALUE"""),53.0)</f>
        <v>53</v>
      </c>
      <c r="I92" s="1">
        <f>IFERROR(__xludf.DUMMYFUNCTION("""COMPUTED_VALUE"""),75.0)</f>
        <v>75</v>
      </c>
      <c r="J92" s="1">
        <f>IFERROR(__xludf.DUMMYFUNCTION("""COMPUTED_VALUE"""),40.0)</f>
        <v>40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 t="str">
        <f>IFERROR(__xludf.DUMMYFUNCTION("""COMPUTED_VALUE"""),"D")</f>
        <v>D</v>
      </c>
      <c r="E93" s="1">
        <f>IFERROR(__xludf.DUMMYFUNCTION("""COMPUTED_VALUE"""),23.0)</f>
        <v>23</v>
      </c>
      <c r="F93" s="1">
        <f>IFERROR(__xludf.DUMMYFUNCTION("""COMPUTED_VALUE"""),64.0)</f>
        <v>64</v>
      </c>
      <c r="G93" s="1">
        <f>IFERROR(__xludf.DUMMYFUNCTION("""COMPUTED_VALUE"""),50.0)</f>
        <v>50</v>
      </c>
      <c r="H93" s="1">
        <f>IFERROR(__xludf.DUMMYFUNCTION("""COMPUTED_VALUE"""),75.0)</f>
        <v>75</v>
      </c>
      <c r="I93" s="1">
        <f>IFERROR(__xludf.DUMMYFUNCTION("""COMPUTED_VALUE"""),56.0)</f>
        <v>56</v>
      </c>
      <c r="J93" s="1">
        <f>IFERROR(__xludf.DUMMYFUNCTION("""COMPUTED_VALUE"""),71.0)</f>
        <v>71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 t="str">
        <f>IFERROR(__xludf.DUMMYFUNCTION("""COMPUTED_VALUE"""),"C")</f>
        <v>C</v>
      </c>
      <c r="E94" s="1">
        <f>IFERROR(__xludf.DUMMYFUNCTION("""COMPUTED_VALUE"""),31.0)</f>
        <v>31</v>
      </c>
      <c r="F94" s="1">
        <f>IFERROR(__xludf.DUMMYFUNCTION("""COMPUTED_VALUE"""),32.0)</f>
        <v>32</v>
      </c>
      <c r="G94" s="1">
        <f>IFERROR(__xludf.DUMMYFUNCTION("""COMPUTED_VALUE"""),56.0)</f>
        <v>56</v>
      </c>
      <c r="H94" s="1">
        <f>IFERROR(__xludf.DUMMYFUNCTION("""COMPUTED_VALUE"""),31.0)</f>
        <v>31</v>
      </c>
      <c r="I94" s="1">
        <f>IFERROR(__xludf.DUMMYFUNCTION("""COMPUTED_VALUE"""),53.0)</f>
        <v>53</v>
      </c>
      <c r="J94" s="1">
        <f>IFERROR(__xludf.DUMMYFUNCTION("""COMPUTED_VALUE"""),98.0)</f>
        <v>98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 t="str">
        <f>IFERROR(__xludf.DUMMYFUNCTION("""COMPUTED_VALUE"""),"C")</f>
        <v>C</v>
      </c>
      <c r="E95" s="1">
        <f>IFERROR(__xludf.DUMMYFUNCTION("""COMPUTED_VALUE"""),92.0)</f>
        <v>92</v>
      </c>
      <c r="F95" s="1">
        <f>IFERROR(__xludf.DUMMYFUNCTION("""COMPUTED_VALUE"""),23.0)</f>
        <v>23</v>
      </c>
      <c r="G95" s="1">
        <f>IFERROR(__xludf.DUMMYFUNCTION("""COMPUTED_VALUE"""),51.0)</f>
        <v>51</v>
      </c>
      <c r="H95" s="1">
        <f>IFERROR(__xludf.DUMMYFUNCTION("""COMPUTED_VALUE"""),35.0)</f>
        <v>35</v>
      </c>
      <c r="I95" s="1">
        <f>IFERROR(__xludf.DUMMYFUNCTION("""COMPUTED_VALUE"""),20.0)</f>
        <v>20</v>
      </c>
      <c r="J95" s="1">
        <f>IFERROR(__xludf.DUMMYFUNCTION("""COMPUTED_VALUE"""),54.0)</f>
        <v>54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 t="str">
        <f>IFERROR(__xludf.DUMMYFUNCTION("""COMPUTED_VALUE"""),"D")</f>
        <v>D</v>
      </c>
      <c r="E96" s="1">
        <f>IFERROR(__xludf.DUMMYFUNCTION("""COMPUTED_VALUE"""),24.0)</f>
        <v>24</v>
      </c>
      <c r="F96" s="1">
        <f>IFERROR(__xludf.DUMMYFUNCTION("""COMPUTED_VALUE"""),29.0)</f>
        <v>29</v>
      </c>
      <c r="G96" s="1">
        <f>IFERROR(__xludf.DUMMYFUNCTION("""COMPUTED_VALUE"""),65.0)</f>
        <v>65</v>
      </c>
      <c r="H96" s="1">
        <f>IFERROR(__xludf.DUMMYFUNCTION("""COMPUTED_VALUE"""),97.0)</f>
        <v>97</v>
      </c>
      <c r="I96" s="1">
        <f>IFERROR(__xludf.DUMMYFUNCTION("""COMPUTED_VALUE"""),40.0)</f>
        <v>40</v>
      </c>
      <c r="J96" s="1">
        <f>IFERROR(__xludf.DUMMYFUNCTION("""COMPUTED_VALUE"""),23.0)</f>
        <v>23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 t="str">
        <f>IFERROR(__xludf.DUMMYFUNCTION("""COMPUTED_VALUE"""),"A")</f>
        <v>A</v>
      </c>
      <c r="E97" s="1">
        <f>IFERROR(__xludf.DUMMYFUNCTION("""COMPUTED_VALUE"""),98.0)</f>
        <v>98</v>
      </c>
      <c r="F97" s="1">
        <f>IFERROR(__xludf.DUMMYFUNCTION("""COMPUTED_VALUE"""),50.0)</f>
        <v>50</v>
      </c>
      <c r="G97" s="1">
        <f>IFERROR(__xludf.DUMMYFUNCTION("""COMPUTED_VALUE"""),30.0)</f>
        <v>30</v>
      </c>
      <c r="H97" s="1">
        <f>IFERROR(__xludf.DUMMYFUNCTION("""COMPUTED_VALUE"""),21.0)</f>
        <v>21</v>
      </c>
      <c r="I97" s="1">
        <f>IFERROR(__xludf.DUMMYFUNCTION("""COMPUTED_VALUE"""),77.0)</f>
        <v>77</v>
      </c>
      <c r="J97" s="1">
        <f>IFERROR(__xludf.DUMMYFUNCTION("""COMPUTED_VALUE"""),83.0)</f>
        <v>83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 t="str">
        <f>IFERROR(__xludf.DUMMYFUNCTION("""COMPUTED_VALUE"""),"A")</f>
        <v>A</v>
      </c>
      <c r="E98" s="1">
        <f>IFERROR(__xludf.DUMMYFUNCTION("""COMPUTED_VALUE"""),70.0)</f>
        <v>70</v>
      </c>
      <c r="F98" s="1">
        <f>IFERROR(__xludf.DUMMYFUNCTION("""COMPUTED_VALUE"""),94.0)</f>
        <v>94</v>
      </c>
      <c r="G98" s="1">
        <f>IFERROR(__xludf.DUMMYFUNCTION("""COMPUTED_VALUE"""),69.0)</f>
        <v>69</v>
      </c>
      <c r="H98" s="1">
        <f>IFERROR(__xludf.DUMMYFUNCTION("""COMPUTED_VALUE"""),23.0)</f>
        <v>23</v>
      </c>
      <c r="I98" s="1">
        <f>IFERROR(__xludf.DUMMYFUNCTION("""COMPUTED_VALUE"""),67.0)</f>
        <v>67</v>
      </c>
      <c r="J98" s="1">
        <f>IFERROR(__xludf.DUMMYFUNCTION("""COMPUTED_VALUE"""),70.0)</f>
        <v>70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 t="str">
        <f>IFERROR(__xludf.DUMMYFUNCTION("""COMPUTED_VALUE"""),"C")</f>
        <v>C</v>
      </c>
      <c r="E99" s="1">
        <f>IFERROR(__xludf.DUMMYFUNCTION("""COMPUTED_VALUE"""),81.0)</f>
        <v>81</v>
      </c>
      <c r="F99" s="1">
        <f>IFERROR(__xludf.DUMMYFUNCTION("""COMPUTED_VALUE"""),44.0)</f>
        <v>44</v>
      </c>
      <c r="G99" s="1">
        <f>IFERROR(__xludf.DUMMYFUNCTION("""COMPUTED_VALUE"""),88.0)</f>
        <v>88</v>
      </c>
      <c r="H99" s="1">
        <f>IFERROR(__xludf.DUMMYFUNCTION("""COMPUTED_VALUE"""),21.0)</f>
        <v>21</v>
      </c>
      <c r="I99" s="1">
        <f>IFERROR(__xludf.DUMMYFUNCTION("""COMPUTED_VALUE"""),62.0)</f>
        <v>62</v>
      </c>
      <c r="J99" s="1">
        <f>IFERROR(__xludf.DUMMYFUNCTION("""COMPUTED_VALUE"""),20.0)</f>
        <v>20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 t="str">
        <f>IFERROR(__xludf.DUMMYFUNCTION("""COMPUTED_VALUE"""),"C")</f>
        <v>C</v>
      </c>
      <c r="E100" s="1">
        <f>IFERROR(__xludf.DUMMYFUNCTION("""COMPUTED_VALUE"""),100.0)</f>
        <v>100</v>
      </c>
      <c r="F100" s="1">
        <f>IFERROR(__xludf.DUMMYFUNCTION("""COMPUTED_VALUE"""),24.0)</f>
        <v>24</v>
      </c>
      <c r="G100" s="1">
        <f>IFERROR(__xludf.DUMMYFUNCTION("""COMPUTED_VALUE"""),72.0)</f>
        <v>72</v>
      </c>
      <c r="H100" s="1">
        <f>IFERROR(__xludf.DUMMYFUNCTION("""COMPUTED_VALUE"""),71.0)</f>
        <v>71</v>
      </c>
      <c r="I100" s="1">
        <f>IFERROR(__xludf.DUMMYFUNCTION("""COMPUTED_VALUE"""),47.0)</f>
        <v>47</v>
      </c>
      <c r="J100" s="1">
        <f>IFERROR(__xludf.DUMMYFUNCTION("""COMPUTED_VALUE"""),74.0)</f>
        <v>74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 t="str">
        <f>IFERROR(__xludf.DUMMYFUNCTION("""COMPUTED_VALUE"""),"A")</f>
        <v>A</v>
      </c>
      <c r="E101" s="1">
        <f>IFERROR(__xludf.DUMMYFUNCTION("""COMPUTED_VALUE"""),78.0)</f>
        <v>78</v>
      </c>
      <c r="F101" s="1">
        <f>IFERROR(__xludf.DUMMYFUNCTION("""COMPUTED_VALUE"""),59.0)</f>
        <v>59</v>
      </c>
      <c r="G101" s="1">
        <f>IFERROR(__xludf.DUMMYFUNCTION("""COMPUTED_VALUE"""),53.0)</f>
        <v>53</v>
      </c>
      <c r="H101" s="1">
        <f>IFERROR(__xludf.DUMMYFUNCTION("""COMPUTED_VALUE"""),75.0)</f>
        <v>75</v>
      </c>
      <c r="I101" s="1">
        <f>IFERROR(__xludf.DUMMYFUNCTION("""COMPUTED_VALUE"""),33.0)</f>
        <v>33</v>
      </c>
      <c r="J101" s="1">
        <f>IFERROR(__xludf.DUMMYFUNCTION("""COMPUTED_VALUE"""),50.0)</f>
        <v>50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 t="str">
        <f>IFERROR(__xludf.DUMMYFUNCTION("""COMPUTED_VALUE"""),"D")</f>
        <v>D</v>
      </c>
      <c r="E102" s="1">
        <f>IFERROR(__xludf.DUMMYFUNCTION("""COMPUTED_VALUE"""),44.0)</f>
        <v>44</v>
      </c>
      <c r="F102" s="1">
        <f>IFERROR(__xludf.DUMMYFUNCTION("""COMPUTED_VALUE"""),47.0)</f>
        <v>47</v>
      </c>
      <c r="G102" s="1">
        <f>IFERROR(__xludf.DUMMYFUNCTION("""COMPUTED_VALUE"""),49.0)</f>
        <v>49</v>
      </c>
      <c r="H102" s="1">
        <f>IFERROR(__xludf.DUMMYFUNCTION("""COMPUTED_VALUE"""),34.0)</f>
        <v>34</v>
      </c>
      <c r="I102" s="1">
        <f>IFERROR(__xludf.DUMMYFUNCTION("""COMPUTED_VALUE"""),41.0)</f>
        <v>41</v>
      </c>
      <c r="J102" s="1">
        <f>IFERROR(__xludf.DUMMYFUNCTION("""COMPUTED_VALUE"""),63.0)</f>
        <v>63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 t="str">
        <f>IFERROR(__xludf.DUMMYFUNCTION("""COMPUTED_VALUE"""),"D")</f>
        <v>D</v>
      </c>
      <c r="E103" s="1">
        <f>IFERROR(__xludf.DUMMYFUNCTION("""COMPUTED_VALUE"""),21.0)</f>
        <v>21</v>
      </c>
      <c r="F103" s="1">
        <f>IFERROR(__xludf.DUMMYFUNCTION("""COMPUTED_VALUE"""),79.0)</f>
        <v>79</v>
      </c>
      <c r="G103" s="1">
        <f>IFERROR(__xludf.DUMMYFUNCTION("""COMPUTED_VALUE"""),24.0)</f>
        <v>24</v>
      </c>
      <c r="H103" s="1">
        <f>IFERROR(__xludf.DUMMYFUNCTION("""COMPUTED_VALUE"""),88.0)</f>
        <v>88</v>
      </c>
      <c r="I103" s="1">
        <f>IFERROR(__xludf.DUMMYFUNCTION("""COMPUTED_VALUE"""),89.0)</f>
        <v>89</v>
      </c>
      <c r="J103" s="1">
        <f>IFERROR(__xludf.DUMMYFUNCTION("""COMPUTED_VALUE"""),84.0)</f>
        <v>84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 t="str">
        <f>IFERROR(__xludf.DUMMYFUNCTION("""COMPUTED_VALUE"""),"D")</f>
        <v>D</v>
      </c>
      <c r="E104" s="1">
        <f>IFERROR(__xludf.DUMMYFUNCTION("""COMPUTED_VALUE"""),14.0)</f>
        <v>14</v>
      </c>
      <c r="F104" s="1">
        <f>IFERROR(__xludf.DUMMYFUNCTION("""COMPUTED_VALUE"""),54.0)</f>
        <v>54</v>
      </c>
      <c r="G104" s="1">
        <f>IFERROR(__xludf.DUMMYFUNCTION("""COMPUTED_VALUE"""),77.0)</f>
        <v>77</v>
      </c>
      <c r="H104" s="1">
        <f>IFERROR(__xludf.DUMMYFUNCTION("""COMPUTED_VALUE"""),31.0)</f>
        <v>31</v>
      </c>
      <c r="I104" s="1">
        <f>IFERROR(__xludf.DUMMYFUNCTION("""COMPUTED_VALUE"""),83.0)</f>
        <v>83</v>
      </c>
      <c r="J104" s="1">
        <f>IFERROR(__xludf.DUMMYFUNCTION("""COMPUTED_VALUE"""),24.0)</f>
        <v>24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 t="str">
        <f>IFERROR(__xludf.DUMMYFUNCTION("""COMPUTED_VALUE"""),"A")</f>
        <v>A</v>
      </c>
      <c r="E105" s="1">
        <f>IFERROR(__xludf.DUMMYFUNCTION("""COMPUTED_VALUE"""),68.0)</f>
        <v>68</v>
      </c>
      <c r="F105" s="1">
        <f>IFERROR(__xludf.DUMMYFUNCTION("""COMPUTED_VALUE"""),66.0)</f>
        <v>66</v>
      </c>
      <c r="G105" s="1">
        <f>IFERROR(__xludf.DUMMYFUNCTION("""COMPUTED_VALUE"""),65.0)</f>
        <v>65</v>
      </c>
      <c r="H105" s="1">
        <f>IFERROR(__xludf.DUMMYFUNCTION("""COMPUTED_VALUE"""),26.0)</f>
        <v>26</v>
      </c>
      <c r="I105" s="1">
        <f>IFERROR(__xludf.DUMMYFUNCTION("""COMPUTED_VALUE"""),78.0)</f>
        <v>78</v>
      </c>
      <c r="J105" s="1">
        <f>IFERROR(__xludf.DUMMYFUNCTION("""COMPUTED_VALUE"""),81.0)</f>
        <v>81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 t="str">
        <f>IFERROR(__xludf.DUMMYFUNCTION("""COMPUTED_VALUE"""),"C")</f>
        <v>C</v>
      </c>
      <c r="E106" s="1">
        <f>IFERROR(__xludf.DUMMYFUNCTION("""COMPUTED_VALUE"""),14.0)</f>
        <v>14</v>
      </c>
      <c r="F106" s="1">
        <f>IFERROR(__xludf.DUMMYFUNCTION("""COMPUTED_VALUE"""),45.0)</f>
        <v>45</v>
      </c>
      <c r="G106" s="1">
        <f>IFERROR(__xludf.DUMMYFUNCTION("""COMPUTED_VALUE"""),96.0)</f>
        <v>96</v>
      </c>
      <c r="H106" s="1">
        <f>IFERROR(__xludf.DUMMYFUNCTION("""COMPUTED_VALUE"""),23.0)</f>
        <v>23</v>
      </c>
      <c r="I106" s="1">
        <f>IFERROR(__xludf.DUMMYFUNCTION("""COMPUTED_VALUE"""),39.0)</f>
        <v>39</v>
      </c>
      <c r="J106" s="1">
        <f>IFERROR(__xludf.DUMMYFUNCTION("""COMPUTED_VALUE"""),89.0)</f>
        <v>89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 t="str">
        <f>IFERROR(__xludf.DUMMYFUNCTION("""COMPUTED_VALUE"""),"C")</f>
        <v>C</v>
      </c>
      <c r="E107" s="1">
        <f>IFERROR(__xludf.DUMMYFUNCTION("""COMPUTED_VALUE"""),23.0)</f>
        <v>23</v>
      </c>
      <c r="F107" s="1">
        <f>IFERROR(__xludf.DUMMYFUNCTION("""COMPUTED_VALUE"""),62.0)</f>
        <v>62</v>
      </c>
      <c r="G107" s="1">
        <f>IFERROR(__xludf.DUMMYFUNCTION("""COMPUTED_VALUE"""),84.0)</f>
        <v>84</v>
      </c>
      <c r="H107" s="1">
        <f>IFERROR(__xludf.DUMMYFUNCTION("""COMPUTED_VALUE"""),79.0)</f>
        <v>79</v>
      </c>
      <c r="I107" s="1">
        <f>IFERROR(__xludf.DUMMYFUNCTION("""COMPUTED_VALUE"""),89.0)</f>
        <v>89</v>
      </c>
      <c r="J107" s="1">
        <f>IFERROR(__xludf.DUMMYFUNCTION("""COMPUTED_VALUE"""),94.0)</f>
        <v>94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 t="str">
        <f>IFERROR(__xludf.DUMMYFUNCTION("""COMPUTED_VALUE"""),"A")</f>
        <v>A</v>
      </c>
      <c r="E108" s="1">
        <f>IFERROR(__xludf.DUMMYFUNCTION("""COMPUTED_VALUE"""),27.0)</f>
        <v>27</v>
      </c>
      <c r="F108" s="1">
        <f>IFERROR(__xludf.DUMMYFUNCTION("""COMPUTED_VALUE"""),93.0)</f>
        <v>93</v>
      </c>
      <c r="G108" s="1">
        <f>IFERROR(__xludf.DUMMYFUNCTION("""COMPUTED_VALUE"""),66.0)</f>
        <v>66</v>
      </c>
      <c r="H108" s="1">
        <f>IFERROR(__xludf.DUMMYFUNCTION("""COMPUTED_VALUE"""),56.0)</f>
        <v>56</v>
      </c>
      <c r="I108" s="1">
        <f>IFERROR(__xludf.DUMMYFUNCTION("""COMPUTED_VALUE"""),61.0)</f>
        <v>61</v>
      </c>
      <c r="J108" s="1">
        <f>IFERROR(__xludf.DUMMYFUNCTION("""COMPUTED_VALUE"""),68.0)</f>
        <v>68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 t="str">
        <f>IFERROR(__xludf.DUMMYFUNCTION("""COMPUTED_VALUE"""),"D")</f>
        <v>D</v>
      </c>
      <c r="E109" s="1">
        <f>IFERROR(__xludf.DUMMYFUNCTION("""COMPUTED_VALUE"""),23.0)</f>
        <v>23</v>
      </c>
      <c r="F109" s="1">
        <f>IFERROR(__xludf.DUMMYFUNCTION("""COMPUTED_VALUE"""),74.0)</f>
        <v>74</v>
      </c>
      <c r="G109" s="1">
        <f>IFERROR(__xludf.DUMMYFUNCTION("""COMPUTED_VALUE"""),21.0)</f>
        <v>21</v>
      </c>
      <c r="H109" s="1">
        <f>IFERROR(__xludf.DUMMYFUNCTION("""COMPUTED_VALUE"""),60.0)</f>
        <v>60</v>
      </c>
      <c r="I109" s="1">
        <f>IFERROR(__xludf.DUMMYFUNCTION("""COMPUTED_VALUE"""),51.0)</f>
        <v>51</v>
      </c>
      <c r="J109" s="1">
        <f>IFERROR(__xludf.DUMMYFUNCTION("""COMPUTED_VALUE"""),52.0)</f>
        <v>52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 t="str">
        <f>IFERROR(__xludf.DUMMYFUNCTION("""COMPUTED_VALUE"""),"A")</f>
        <v>A</v>
      </c>
      <c r="E110" s="1">
        <f>IFERROR(__xludf.DUMMYFUNCTION("""COMPUTED_VALUE"""),32.0)</f>
        <v>32</v>
      </c>
      <c r="F110" s="1">
        <f>IFERROR(__xludf.DUMMYFUNCTION("""COMPUTED_VALUE"""),25.0)</f>
        <v>25</v>
      </c>
      <c r="G110" s="1">
        <f>IFERROR(__xludf.DUMMYFUNCTION("""COMPUTED_VALUE"""),33.0)</f>
        <v>33</v>
      </c>
      <c r="H110" s="1">
        <f>IFERROR(__xludf.DUMMYFUNCTION("""COMPUTED_VALUE"""),73.0)</f>
        <v>73</v>
      </c>
      <c r="I110" s="1">
        <f>IFERROR(__xludf.DUMMYFUNCTION("""COMPUTED_VALUE"""),65.0)</f>
        <v>65</v>
      </c>
      <c r="J110" s="1">
        <f>IFERROR(__xludf.DUMMYFUNCTION("""COMPUTED_VALUE"""),39.0)</f>
        <v>39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 t="str">
        <f>IFERROR(__xludf.DUMMYFUNCTION("""COMPUTED_VALUE"""),"D")</f>
        <v>D</v>
      </c>
      <c r="E111" s="1">
        <f>IFERROR(__xludf.DUMMYFUNCTION("""COMPUTED_VALUE"""),11.0)</f>
        <v>11</v>
      </c>
      <c r="F111" s="1">
        <f>IFERROR(__xludf.DUMMYFUNCTION("""COMPUTED_VALUE"""),84.0)</f>
        <v>84</v>
      </c>
      <c r="G111" s="1">
        <f>IFERROR(__xludf.DUMMYFUNCTION("""COMPUTED_VALUE"""),26.0)</f>
        <v>26</v>
      </c>
      <c r="H111" s="1">
        <f>IFERROR(__xludf.DUMMYFUNCTION("""COMPUTED_VALUE"""),26.0)</f>
        <v>26</v>
      </c>
      <c r="I111" s="1">
        <f>IFERROR(__xludf.DUMMYFUNCTION("""COMPUTED_VALUE"""),25.0)</f>
        <v>25</v>
      </c>
      <c r="J111" s="1">
        <f>IFERROR(__xludf.DUMMYFUNCTION("""COMPUTED_VALUE"""),98.0)</f>
        <v>98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 t="str">
        <f>IFERROR(__xludf.DUMMYFUNCTION("""COMPUTED_VALUE"""),"A")</f>
        <v>A</v>
      </c>
      <c r="E112" s="1">
        <f>IFERROR(__xludf.DUMMYFUNCTION("""COMPUTED_VALUE"""),96.0)</f>
        <v>96</v>
      </c>
      <c r="F112" s="1">
        <f>IFERROR(__xludf.DUMMYFUNCTION("""COMPUTED_VALUE"""),65.0)</f>
        <v>65</v>
      </c>
      <c r="G112" s="1">
        <f>IFERROR(__xludf.DUMMYFUNCTION("""COMPUTED_VALUE"""),21.0)</f>
        <v>21</v>
      </c>
      <c r="H112" s="1">
        <f>IFERROR(__xludf.DUMMYFUNCTION("""COMPUTED_VALUE"""),93.0)</f>
        <v>93</v>
      </c>
      <c r="I112" s="1">
        <f>IFERROR(__xludf.DUMMYFUNCTION("""COMPUTED_VALUE"""),85.0)</f>
        <v>85</v>
      </c>
      <c r="J112" s="1">
        <f>IFERROR(__xludf.DUMMYFUNCTION("""COMPUTED_VALUE"""),99.0)</f>
        <v>99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 t="str">
        <f>IFERROR(__xludf.DUMMYFUNCTION("""COMPUTED_VALUE"""),"B")</f>
        <v>B</v>
      </c>
      <c r="E113" s="1">
        <f>IFERROR(__xludf.DUMMYFUNCTION("""COMPUTED_VALUE"""),14.0)</f>
        <v>14</v>
      </c>
      <c r="F113" s="1">
        <f>IFERROR(__xludf.DUMMYFUNCTION("""COMPUTED_VALUE"""),22.0)</f>
        <v>22</v>
      </c>
      <c r="G113" s="1">
        <f>IFERROR(__xludf.DUMMYFUNCTION("""COMPUTED_VALUE"""),22.0)</f>
        <v>22</v>
      </c>
      <c r="H113" s="1">
        <f>IFERROR(__xludf.DUMMYFUNCTION("""COMPUTED_VALUE"""),53.0)</f>
        <v>53</v>
      </c>
      <c r="I113" s="1">
        <f>IFERROR(__xludf.DUMMYFUNCTION("""COMPUTED_VALUE"""),89.0)</f>
        <v>89</v>
      </c>
      <c r="J113" s="1">
        <f>IFERROR(__xludf.DUMMYFUNCTION("""COMPUTED_VALUE"""),35.0)</f>
        <v>35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 t="str">
        <f>IFERROR(__xludf.DUMMYFUNCTION("""COMPUTED_VALUE"""),"C")</f>
        <v>C</v>
      </c>
      <c r="E114" s="1">
        <f>IFERROR(__xludf.DUMMYFUNCTION("""COMPUTED_VALUE"""),69.0)</f>
        <v>69</v>
      </c>
      <c r="F114" s="1">
        <f>IFERROR(__xludf.DUMMYFUNCTION("""COMPUTED_VALUE"""),30.0)</f>
        <v>30</v>
      </c>
      <c r="G114" s="1">
        <f>IFERROR(__xludf.DUMMYFUNCTION("""COMPUTED_VALUE"""),56.0)</f>
        <v>56</v>
      </c>
      <c r="H114" s="1">
        <f>IFERROR(__xludf.DUMMYFUNCTION("""COMPUTED_VALUE"""),98.0)</f>
        <v>98</v>
      </c>
      <c r="I114" s="1">
        <f>IFERROR(__xludf.DUMMYFUNCTION("""COMPUTED_VALUE"""),92.0)</f>
        <v>92</v>
      </c>
      <c r="J114" s="1">
        <f>IFERROR(__xludf.DUMMYFUNCTION("""COMPUTED_VALUE"""),73.0)</f>
        <v>73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 t="str">
        <f>IFERROR(__xludf.DUMMYFUNCTION("""COMPUTED_VALUE"""),"C")</f>
        <v>C</v>
      </c>
      <c r="E115" s="1">
        <f>IFERROR(__xludf.DUMMYFUNCTION("""COMPUTED_VALUE"""),34.0)</f>
        <v>34</v>
      </c>
      <c r="F115" s="1">
        <f>IFERROR(__xludf.DUMMYFUNCTION("""COMPUTED_VALUE"""),93.0)</f>
        <v>93</v>
      </c>
      <c r="G115" s="1">
        <f>IFERROR(__xludf.DUMMYFUNCTION("""COMPUTED_VALUE"""),85.0)</f>
        <v>85</v>
      </c>
      <c r="H115" s="1">
        <f>IFERROR(__xludf.DUMMYFUNCTION("""COMPUTED_VALUE"""),63.0)</f>
        <v>63</v>
      </c>
      <c r="I115" s="1">
        <f>IFERROR(__xludf.DUMMYFUNCTION("""COMPUTED_VALUE"""),57.0)</f>
        <v>57</v>
      </c>
      <c r="J115" s="1">
        <f>IFERROR(__xludf.DUMMYFUNCTION("""COMPUTED_VALUE"""),44.0)</f>
        <v>44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 t="str">
        <f>IFERROR(__xludf.DUMMYFUNCTION("""COMPUTED_VALUE"""),"B")</f>
        <v>B</v>
      </c>
      <c r="E116" s="1">
        <f>IFERROR(__xludf.DUMMYFUNCTION("""COMPUTED_VALUE"""),61.0)</f>
        <v>61</v>
      </c>
      <c r="F116" s="1">
        <f>IFERROR(__xludf.DUMMYFUNCTION("""COMPUTED_VALUE"""),53.0)</f>
        <v>53</v>
      </c>
      <c r="G116" s="1">
        <f>IFERROR(__xludf.DUMMYFUNCTION("""COMPUTED_VALUE"""),63.0)</f>
        <v>63</v>
      </c>
      <c r="H116" s="1">
        <f>IFERROR(__xludf.DUMMYFUNCTION("""COMPUTED_VALUE"""),45.0)</f>
        <v>45</v>
      </c>
      <c r="I116" s="1">
        <f>IFERROR(__xludf.DUMMYFUNCTION("""COMPUTED_VALUE"""),48.0)</f>
        <v>48</v>
      </c>
      <c r="J116" s="1">
        <f>IFERROR(__xludf.DUMMYFUNCTION("""COMPUTED_VALUE"""),55.0)</f>
        <v>55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 t="str">
        <f>IFERROR(__xludf.DUMMYFUNCTION("""COMPUTED_VALUE"""),"B")</f>
        <v>B</v>
      </c>
      <c r="E117" s="1">
        <f>IFERROR(__xludf.DUMMYFUNCTION("""COMPUTED_VALUE"""),32.0)</f>
        <v>32</v>
      </c>
      <c r="F117" s="1">
        <f>IFERROR(__xludf.DUMMYFUNCTION("""COMPUTED_VALUE"""),30.0)</f>
        <v>30</v>
      </c>
      <c r="G117" s="1">
        <f>IFERROR(__xludf.DUMMYFUNCTION("""COMPUTED_VALUE"""),24.0)</f>
        <v>24</v>
      </c>
      <c r="H117" s="1">
        <f>IFERROR(__xludf.DUMMYFUNCTION("""COMPUTED_VALUE"""),85.0)</f>
        <v>85</v>
      </c>
      <c r="I117" s="1">
        <f>IFERROR(__xludf.DUMMYFUNCTION("""COMPUTED_VALUE"""),99.0)</f>
        <v>99</v>
      </c>
      <c r="J117" s="1">
        <f>IFERROR(__xludf.DUMMYFUNCTION("""COMPUTED_VALUE"""),26.0)</f>
        <v>26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 t="str">
        <f>IFERROR(__xludf.DUMMYFUNCTION("""COMPUTED_VALUE"""),"A")</f>
        <v>A</v>
      </c>
      <c r="E118" s="1">
        <f>IFERROR(__xludf.DUMMYFUNCTION("""COMPUTED_VALUE"""),70.0)</f>
        <v>70</v>
      </c>
      <c r="F118" s="1">
        <f>IFERROR(__xludf.DUMMYFUNCTION("""COMPUTED_VALUE"""),55.0)</f>
        <v>55</v>
      </c>
      <c r="G118" s="1">
        <f>IFERROR(__xludf.DUMMYFUNCTION("""COMPUTED_VALUE"""),30.0)</f>
        <v>30</v>
      </c>
      <c r="H118" s="1">
        <f>IFERROR(__xludf.DUMMYFUNCTION("""COMPUTED_VALUE"""),68.0)</f>
        <v>68</v>
      </c>
      <c r="I118" s="1">
        <f>IFERROR(__xludf.DUMMYFUNCTION("""COMPUTED_VALUE"""),45.0)</f>
        <v>45</v>
      </c>
      <c r="J118" s="1">
        <f>IFERROR(__xludf.DUMMYFUNCTION("""COMPUTED_VALUE"""),84.0)</f>
        <v>84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 t="str">
        <f>IFERROR(__xludf.DUMMYFUNCTION("""COMPUTED_VALUE"""),"D")</f>
        <v>D</v>
      </c>
      <c r="E119" s="1">
        <f>IFERROR(__xludf.DUMMYFUNCTION("""COMPUTED_VALUE"""),77.0)</f>
        <v>77</v>
      </c>
      <c r="F119" s="1">
        <f>IFERROR(__xludf.DUMMYFUNCTION("""COMPUTED_VALUE"""),54.0)</f>
        <v>54</v>
      </c>
      <c r="G119" s="1">
        <f>IFERROR(__xludf.DUMMYFUNCTION("""COMPUTED_VALUE"""),33.0)</f>
        <v>33</v>
      </c>
      <c r="H119" s="1">
        <f>IFERROR(__xludf.DUMMYFUNCTION("""COMPUTED_VALUE"""),86.0)</f>
        <v>86</v>
      </c>
      <c r="I119" s="1">
        <f>IFERROR(__xludf.DUMMYFUNCTION("""COMPUTED_VALUE"""),52.0)</f>
        <v>52</v>
      </c>
      <c r="J119" s="1">
        <f>IFERROR(__xludf.DUMMYFUNCTION("""COMPUTED_VALUE"""),76.0)</f>
        <v>76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 t="str">
        <f>IFERROR(__xludf.DUMMYFUNCTION("""COMPUTED_VALUE"""),"C")</f>
        <v>C</v>
      </c>
      <c r="E120" s="1">
        <f>IFERROR(__xludf.DUMMYFUNCTION("""COMPUTED_VALUE"""),59.0)</f>
        <v>59</v>
      </c>
      <c r="F120" s="1">
        <f>IFERROR(__xludf.DUMMYFUNCTION("""COMPUTED_VALUE"""),45.0)</f>
        <v>45</v>
      </c>
      <c r="G120" s="1">
        <f>IFERROR(__xludf.DUMMYFUNCTION("""COMPUTED_VALUE"""),33.0)</f>
        <v>33</v>
      </c>
      <c r="H120" s="1">
        <f>IFERROR(__xludf.DUMMYFUNCTION("""COMPUTED_VALUE"""),25.0)</f>
        <v>25</v>
      </c>
      <c r="I120" s="1">
        <f>IFERROR(__xludf.DUMMYFUNCTION("""COMPUTED_VALUE"""),97.0)</f>
        <v>97</v>
      </c>
      <c r="J120" s="1">
        <f>IFERROR(__xludf.DUMMYFUNCTION("""COMPUTED_VALUE"""),83.0)</f>
        <v>83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 t="str">
        <f>IFERROR(__xludf.DUMMYFUNCTION("""COMPUTED_VALUE"""),"B")</f>
        <v>B</v>
      </c>
      <c r="E121" s="1">
        <f>IFERROR(__xludf.DUMMYFUNCTION("""COMPUTED_VALUE"""),14.0)</f>
        <v>14</v>
      </c>
      <c r="F121" s="1">
        <f>IFERROR(__xludf.DUMMYFUNCTION("""COMPUTED_VALUE"""),95.0)</f>
        <v>95</v>
      </c>
      <c r="G121" s="1">
        <f>IFERROR(__xludf.DUMMYFUNCTION("""COMPUTED_VALUE"""),68.0)</f>
        <v>68</v>
      </c>
      <c r="H121" s="1">
        <f>IFERROR(__xludf.DUMMYFUNCTION("""COMPUTED_VALUE"""),46.0)</f>
        <v>46</v>
      </c>
      <c r="I121" s="1">
        <f>IFERROR(__xludf.DUMMYFUNCTION("""COMPUTED_VALUE"""),30.0)</f>
        <v>30</v>
      </c>
      <c r="J121" s="1">
        <f>IFERROR(__xludf.DUMMYFUNCTION("""COMPUTED_VALUE"""),72.0)</f>
        <v>72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 t="str">
        <f>IFERROR(__xludf.DUMMYFUNCTION("""COMPUTED_VALUE"""),"A")</f>
        <v>A</v>
      </c>
      <c r="E122" s="1">
        <f>IFERROR(__xludf.DUMMYFUNCTION("""COMPUTED_VALUE"""),63.0)</f>
        <v>63</v>
      </c>
      <c r="F122" s="1">
        <f>IFERROR(__xludf.DUMMYFUNCTION("""COMPUTED_VALUE"""),81.0)</f>
        <v>81</v>
      </c>
      <c r="G122" s="1">
        <f>IFERROR(__xludf.DUMMYFUNCTION("""COMPUTED_VALUE"""),85.0)</f>
        <v>85</v>
      </c>
      <c r="H122" s="1">
        <f>IFERROR(__xludf.DUMMYFUNCTION("""COMPUTED_VALUE"""),93.0)</f>
        <v>93</v>
      </c>
      <c r="I122" s="1">
        <f>IFERROR(__xludf.DUMMYFUNCTION("""COMPUTED_VALUE"""),91.0)</f>
        <v>91</v>
      </c>
      <c r="J122" s="1">
        <f>IFERROR(__xludf.DUMMYFUNCTION("""COMPUTED_VALUE"""),30.0)</f>
        <v>30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 t="str">
        <f>IFERROR(__xludf.DUMMYFUNCTION("""COMPUTED_VALUE"""),"B")</f>
        <v>B</v>
      </c>
      <c r="E123" s="1">
        <f>IFERROR(__xludf.DUMMYFUNCTION("""COMPUTED_VALUE"""),61.0)</f>
        <v>61</v>
      </c>
      <c r="F123" s="1">
        <f>IFERROR(__xludf.DUMMYFUNCTION("""COMPUTED_VALUE"""),77.0)</f>
        <v>77</v>
      </c>
      <c r="G123" s="1">
        <f>IFERROR(__xludf.DUMMYFUNCTION("""COMPUTED_VALUE"""),66.0)</f>
        <v>66</v>
      </c>
      <c r="H123" s="1">
        <f>IFERROR(__xludf.DUMMYFUNCTION("""COMPUTED_VALUE"""),65.0)</f>
        <v>65</v>
      </c>
      <c r="I123" s="1">
        <f>IFERROR(__xludf.DUMMYFUNCTION("""COMPUTED_VALUE"""),47.0)</f>
        <v>47</v>
      </c>
      <c r="J123" s="1">
        <f>IFERROR(__xludf.DUMMYFUNCTION("""COMPUTED_VALUE"""),32.0)</f>
        <v>32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 t="str">
        <f>IFERROR(__xludf.DUMMYFUNCTION("""COMPUTED_VALUE"""),"D")</f>
        <v>D</v>
      </c>
      <c r="E124" s="1">
        <f>IFERROR(__xludf.DUMMYFUNCTION("""COMPUTED_VALUE"""),46.0)</f>
        <v>46</v>
      </c>
      <c r="F124" s="1">
        <f>IFERROR(__xludf.DUMMYFUNCTION("""COMPUTED_VALUE"""),43.0)</f>
        <v>43</v>
      </c>
      <c r="G124" s="1">
        <f>IFERROR(__xludf.DUMMYFUNCTION("""COMPUTED_VALUE"""),59.0)</f>
        <v>59</v>
      </c>
      <c r="H124" s="1">
        <f>IFERROR(__xludf.DUMMYFUNCTION("""COMPUTED_VALUE"""),43.0)</f>
        <v>43</v>
      </c>
      <c r="I124" s="1">
        <f>IFERROR(__xludf.DUMMYFUNCTION("""COMPUTED_VALUE"""),20.0)</f>
        <v>20</v>
      </c>
      <c r="J124" s="1">
        <f>IFERROR(__xludf.DUMMYFUNCTION("""COMPUTED_VALUE"""),64.0)</f>
        <v>64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 t="str">
        <f>IFERROR(__xludf.DUMMYFUNCTION("""COMPUTED_VALUE"""),"A")</f>
        <v>A</v>
      </c>
      <c r="E125" s="1">
        <f>IFERROR(__xludf.DUMMYFUNCTION("""COMPUTED_VALUE"""),39.0)</f>
        <v>39</v>
      </c>
      <c r="F125" s="1">
        <f>IFERROR(__xludf.DUMMYFUNCTION("""COMPUTED_VALUE"""),48.0)</f>
        <v>48</v>
      </c>
      <c r="G125" s="1">
        <f>IFERROR(__xludf.DUMMYFUNCTION("""COMPUTED_VALUE"""),85.0)</f>
        <v>85</v>
      </c>
      <c r="H125" s="1">
        <f>IFERROR(__xludf.DUMMYFUNCTION("""COMPUTED_VALUE"""),61.0)</f>
        <v>61</v>
      </c>
      <c r="I125" s="1">
        <f>IFERROR(__xludf.DUMMYFUNCTION("""COMPUTED_VALUE"""),62.0)</f>
        <v>62</v>
      </c>
      <c r="J125" s="1">
        <f>IFERROR(__xludf.DUMMYFUNCTION("""COMPUTED_VALUE"""),34.0)</f>
        <v>34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 t="str">
        <f>IFERROR(__xludf.DUMMYFUNCTION("""COMPUTED_VALUE"""),"D")</f>
        <v>D</v>
      </c>
      <c r="E126" s="1">
        <f>IFERROR(__xludf.DUMMYFUNCTION("""COMPUTED_VALUE"""),40.0)</f>
        <v>40</v>
      </c>
      <c r="F126" s="1">
        <f>IFERROR(__xludf.DUMMYFUNCTION("""COMPUTED_VALUE"""),75.0)</f>
        <v>75</v>
      </c>
      <c r="G126" s="1">
        <f>IFERROR(__xludf.DUMMYFUNCTION("""COMPUTED_VALUE"""),21.0)</f>
        <v>21</v>
      </c>
      <c r="H126" s="1">
        <f>IFERROR(__xludf.DUMMYFUNCTION("""COMPUTED_VALUE"""),36.0)</f>
        <v>36</v>
      </c>
      <c r="I126" s="1">
        <f>IFERROR(__xludf.DUMMYFUNCTION("""COMPUTED_VALUE"""),36.0)</f>
        <v>36</v>
      </c>
      <c r="J126" s="1">
        <f>IFERROR(__xludf.DUMMYFUNCTION("""COMPUTED_VALUE"""),49.0)</f>
        <v>49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 t="str">
        <f>IFERROR(__xludf.DUMMYFUNCTION("""COMPUTED_VALUE"""),"C")</f>
        <v>C</v>
      </c>
      <c r="E127" s="1">
        <f>IFERROR(__xludf.DUMMYFUNCTION("""COMPUTED_VALUE"""),39.0)</f>
        <v>39</v>
      </c>
      <c r="F127" s="1">
        <f>IFERROR(__xludf.DUMMYFUNCTION("""COMPUTED_VALUE"""),35.0)</f>
        <v>35</v>
      </c>
      <c r="G127" s="1">
        <f>IFERROR(__xludf.DUMMYFUNCTION("""COMPUTED_VALUE"""),29.0)</f>
        <v>29</v>
      </c>
      <c r="H127" s="1">
        <f>IFERROR(__xludf.DUMMYFUNCTION("""COMPUTED_VALUE"""),80.0)</f>
        <v>80</v>
      </c>
      <c r="I127" s="1">
        <f>IFERROR(__xludf.DUMMYFUNCTION("""COMPUTED_VALUE"""),30.0)</f>
        <v>30</v>
      </c>
      <c r="J127" s="1">
        <f>IFERROR(__xludf.DUMMYFUNCTION("""COMPUTED_VALUE"""),51.0)</f>
        <v>51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 t="str">
        <f>IFERROR(__xludf.DUMMYFUNCTION("""COMPUTED_VALUE"""),"A")</f>
        <v>A</v>
      </c>
      <c r="E128" s="1">
        <f>IFERROR(__xludf.DUMMYFUNCTION("""COMPUTED_VALUE"""),22.0)</f>
        <v>22</v>
      </c>
      <c r="F128" s="1">
        <f>IFERROR(__xludf.DUMMYFUNCTION("""COMPUTED_VALUE"""),34.0)</f>
        <v>34</v>
      </c>
      <c r="G128" s="1">
        <f>IFERROR(__xludf.DUMMYFUNCTION("""COMPUTED_VALUE"""),70.0)</f>
        <v>70</v>
      </c>
      <c r="H128" s="1">
        <f>IFERROR(__xludf.DUMMYFUNCTION("""COMPUTED_VALUE"""),88.0)</f>
        <v>88</v>
      </c>
      <c r="I128" s="1">
        <f>IFERROR(__xludf.DUMMYFUNCTION("""COMPUTED_VALUE"""),73.0)</f>
        <v>73</v>
      </c>
      <c r="J128" s="1">
        <f>IFERROR(__xludf.DUMMYFUNCTION("""COMPUTED_VALUE"""),89.0)</f>
        <v>89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 t="str">
        <f>IFERROR(__xludf.DUMMYFUNCTION("""COMPUTED_VALUE"""),"C")</f>
        <v>C</v>
      </c>
      <c r="E129" s="1">
        <f>IFERROR(__xludf.DUMMYFUNCTION("""COMPUTED_VALUE"""),64.0)</f>
        <v>64</v>
      </c>
      <c r="F129" s="1">
        <f>IFERROR(__xludf.DUMMYFUNCTION("""COMPUTED_VALUE"""),32.0)</f>
        <v>32</v>
      </c>
      <c r="G129" s="1">
        <f>IFERROR(__xludf.DUMMYFUNCTION("""COMPUTED_VALUE"""),22.0)</f>
        <v>22</v>
      </c>
      <c r="H129" s="1">
        <f>IFERROR(__xludf.DUMMYFUNCTION("""COMPUTED_VALUE"""),93.0)</f>
        <v>93</v>
      </c>
      <c r="I129" s="1">
        <f>IFERROR(__xludf.DUMMYFUNCTION("""COMPUTED_VALUE"""),34.0)</f>
        <v>34</v>
      </c>
      <c r="J129" s="1">
        <f>IFERROR(__xludf.DUMMYFUNCTION("""COMPUTED_VALUE"""),65.0)</f>
        <v>65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 t="str">
        <f>IFERROR(__xludf.DUMMYFUNCTION("""COMPUTED_VALUE"""),"B")</f>
        <v>B</v>
      </c>
      <c r="E130" s="1">
        <f>IFERROR(__xludf.DUMMYFUNCTION("""COMPUTED_VALUE"""),77.0)</f>
        <v>77</v>
      </c>
      <c r="F130" s="1">
        <f>IFERROR(__xludf.DUMMYFUNCTION("""COMPUTED_VALUE"""),47.0)</f>
        <v>47</v>
      </c>
      <c r="G130" s="1">
        <f>IFERROR(__xludf.DUMMYFUNCTION("""COMPUTED_VALUE"""),43.0)</f>
        <v>43</v>
      </c>
      <c r="H130" s="1">
        <f>IFERROR(__xludf.DUMMYFUNCTION("""COMPUTED_VALUE"""),34.0)</f>
        <v>34</v>
      </c>
      <c r="I130" s="1">
        <f>IFERROR(__xludf.DUMMYFUNCTION("""COMPUTED_VALUE"""),63.0)</f>
        <v>63</v>
      </c>
      <c r="J130" s="1">
        <f>IFERROR(__xludf.DUMMYFUNCTION("""COMPUTED_VALUE"""),73.0)</f>
        <v>73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 t="str">
        <f>IFERROR(__xludf.DUMMYFUNCTION("""COMPUTED_VALUE"""),"A")</f>
        <v>A</v>
      </c>
      <c r="E131" s="1">
        <f>IFERROR(__xludf.DUMMYFUNCTION("""COMPUTED_VALUE"""),73.0)</f>
        <v>73</v>
      </c>
      <c r="F131" s="1">
        <f>IFERROR(__xludf.DUMMYFUNCTION("""COMPUTED_VALUE"""),80.0)</f>
        <v>80</v>
      </c>
      <c r="G131" s="1">
        <f>IFERROR(__xludf.DUMMYFUNCTION("""COMPUTED_VALUE"""),49.0)</f>
        <v>49</v>
      </c>
      <c r="H131" s="1">
        <f>IFERROR(__xludf.DUMMYFUNCTION("""COMPUTED_VALUE"""),47.0)</f>
        <v>47</v>
      </c>
      <c r="I131" s="1">
        <f>IFERROR(__xludf.DUMMYFUNCTION("""COMPUTED_VALUE"""),42.0)</f>
        <v>42</v>
      </c>
      <c r="J131" s="1">
        <f>IFERROR(__xludf.DUMMYFUNCTION("""COMPUTED_VALUE"""),58.0)</f>
        <v>58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 t="str">
        <f>IFERROR(__xludf.DUMMYFUNCTION("""COMPUTED_VALUE"""),"C")</f>
        <v>C</v>
      </c>
      <c r="E132" s="1">
        <f>IFERROR(__xludf.DUMMYFUNCTION("""COMPUTED_VALUE"""),75.0)</f>
        <v>75</v>
      </c>
      <c r="F132" s="1">
        <f>IFERROR(__xludf.DUMMYFUNCTION("""COMPUTED_VALUE"""),72.0)</f>
        <v>72</v>
      </c>
      <c r="G132" s="1">
        <f>IFERROR(__xludf.DUMMYFUNCTION("""COMPUTED_VALUE"""),86.0)</f>
        <v>86</v>
      </c>
      <c r="H132" s="1">
        <f>IFERROR(__xludf.DUMMYFUNCTION("""COMPUTED_VALUE"""),54.0)</f>
        <v>54</v>
      </c>
      <c r="I132" s="1">
        <f>IFERROR(__xludf.DUMMYFUNCTION("""COMPUTED_VALUE"""),94.0)</f>
        <v>94</v>
      </c>
      <c r="J132" s="1">
        <f>IFERROR(__xludf.DUMMYFUNCTION("""COMPUTED_VALUE"""),72.0)</f>
        <v>72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 t="str">
        <f>IFERROR(__xludf.DUMMYFUNCTION("""COMPUTED_VALUE"""),"C")</f>
        <v>C</v>
      </c>
      <c r="E133" s="1">
        <f>IFERROR(__xludf.DUMMYFUNCTION("""COMPUTED_VALUE"""),86.0)</f>
        <v>86</v>
      </c>
      <c r="F133" s="1">
        <f>IFERROR(__xludf.DUMMYFUNCTION("""COMPUTED_VALUE"""),70.0)</f>
        <v>70</v>
      </c>
      <c r="G133" s="1">
        <f>IFERROR(__xludf.DUMMYFUNCTION("""COMPUTED_VALUE"""),65.0)</f>
        <v>65</v>
      </c>
      <c r="H133" s="1">
        <f>IFERROR(__xludf.DUMMYFUNCTION("""COMPUTED_VALUE"""),31.0)</f>
        <v>31</v>
      </c>
      <c r="I133" s="1">
        <f>IFERROR(__xludf.DUMMYFUNCTION("""COMPUTED_VALUE"""),88.0)</f>
        <v>88</v>
      </c>
      <c r="J133" s="1">
        <f>IFERROR(__xludf.DUMMYFUNCTION("""COMPUTED_VALUE"""),38.0)</f>
        <v>38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 t="str">
        <f>IFERROR(__xludf.DUMMYFUNCTION("""COMPUTED_VALUE"""),"C")</f>
        <v>C</v>
      </c>
      <c r="E134" s="1">
        <f>IFERROR(__xludf.DUMMYFUNCTION("""COMPUTED_VALUE"""),33.0)</f>
        <v>33</v>
      </c>
      <c r="F134" s="1">
        <f>IFERROR(__xludf.DUMMYFUNCTION("""COMPUTED_VALUE"""),70.0)</f>
        <v>70</v>
      </c>
      <c r="G134" s="1">
        <f>IFERROR(__xludf.DUMMYFUNCTION("""COMPUTED_VALUE"""),71.0)</f>
        <v>71</v>
      </c>
      <c r="H134" s="1">
        <f>IFERROR(__xludf.DUMMYFUNCTION("""COMPUTED_VALUE"""),55.0)</f>
        <v>55</v>
      </c>
      <c r="I134" s="1">
        <f>IFERROR(__xludf.DUMMYFUNCTION("""COMPUTED_VALUE"""),53.0)</f>
        <v>53</v>
      </c>
      <c r="J134" s="1">
        <f>IFERROR(__xludf.DUMMYFUNCTION("""COMPUTED_VALUE"""),80.0)</f>
        <v>80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 t="str">
        <f>IFERROR(__xludf.DUMMYFUNCTION("""COMPUTED_VALUE"""),"C")</f>
        <v>C</v>
      </c>
      <c r="E135" s="1">
        <f>IFERROR(__xludf.DUMMYFUNCTION("""COMPUTED_VALUE"""),29.0)</f>
        <v>29</v>
      </c>
      <c r="F135" s="1">
        <f>IFERROR(__xludf.DUMMYFUNCTION("""COMPUTED_VALUE"""),39.0)</f>
        <v>39</v>
      </c>
      <c r="G135" s="1">
        <f>IFERROR(__xludf.DUMMYFUNCTION("""COMPUTED_VALUE"""),94.0)</f>
        <v>94</v>
      </c>
      <c r="H135" s="1">
        <f>IFERROR(__xludf.DUMMYFUNCTION("""COMPUTED_VALUE"""),30.0)</f>
        <v>30</v>
      </c>
      <c r="I135" s="1">
        <f>IFERROR(__xludf.DUMMYFUNCTION("""COMPUTED_VALUE"""),53.0)</f>
        <v>53</v>
      </c>
      <c r="J135" s="1">
        <f>IFERROR(__xludf.DUMMYFUNCTION("""COMPUTED_VALUE"""),90.0)</f>
        <v>90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 t="str">
        <f>IFERROR(__xludf.DUMMYFUNCTION("""COMPUTED_VALUE"""),"B")</f>
        <v>B</v>
      </c>
      <c r="E136" s="1">
        <f>IFERROR(__xludf.DUMMYFUNCTION("""COMPUTED_VALUE"""),81.0)</f>
        <v>81</v>
      </c>
      <c r="F136" s="1">
        <f>IFERROR(__xludf.DUMMYFUNCTION("""COMPUTED_VALUE"""),85.0)</f>
        <v>85</v>
      </c>
      <c r="G136" s="1">
        <f>IFERROR(__xludf.DUMMYFUNCTION("""COMPUTED_VALUE"""),63.0)</f>
        <v>63</v>
      </c>
      <c r="H136" s="1">
        <f>IFERROR(__xludf.DUMMYFUNCTION("""COMPUTED_VALUE"""),56.0)</f>
        <v>56</v>
      </c>
      <c r="I136" s="1">
        <f>IFERROR(__xludf.DUMMYFUNCTION("""COMPUTED_VALUE"""),85.0)</f>
        <v>85</v>
      </c>
      <c r="J136" s="1">
        <f>IFERROR(__xludf.DUMMYFUNCTION("""COMPUTED_VALUE"""),46.0)</f>
        <v>46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 t="str">
        <f>IFERROR(__xludf.DUMMYFUNCTION("""COMPUTED_VALUE"""),"D")</f>
        <v>D</v>
      </c>
      <c r="E137" s="1">
        <f>IFERROR(__xludf.DUMMYFUNCTION("""COMPUTED_VALUE"""),97.0)</f>
        <v>97</v>
      </c>
      <c r="F137" s="1">
        <f>IFERROR(__xludf.DUMMYFUNCTION("""COMPUTED_VALUE"""),98.0)</f>
        <v>98</v>
      </c>
      <c r="G137" s="1">
        <f>IFERROR(__xludf.DUMMYFUNCTION("""COMPUTED_VALUE"""),39.0)</f>
        <v>39</v>
      </c>
      <c r="H137" s="1">
        <f>IFERROR(__xludf.DUMMYFUNCTION("""COMPUTED_VALUE"""),79.0)</f>
        <v>79</v>
      </c>
      <c r="I137" s="1">
        <f>IFERROR(__xludf.DUMMYFUNCTION("""COMPUTED_VALUE"""),43.0)</f>
        <v>43</v>
      </c>
      <c r="J137" s="1">
        <f>IFERROR(__xludf.DUMMYFUNCTION("""COMPUTED_VALUE"""),94.0)</f>
        <v>94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 t="str">
        <f>IFERROR(__xludf.DUMMYFUNCTION("""COMPUTED_VALUE"""),"A")</f>
        <v>A</v>
      </c>
      <c r="E138" s="1">
        <f>IFERROR(__xludf.DUMMYFUNCTION("""COMPUTED_VALUE"""),80.0)</f>
        <v>80</v>
      </c>
      <c r="F138" s="1">
        <f>IFERROR(__xludf.DUMMYFUNCTION("""COMPUTED_VALUE"""),35.0)</f>
        <v>35</v>
      </c>
      <c r="G138" s="1">
        <f>IFERROR(__xludf.DUMMYFUNCTION("""COMPUTED_VALUE"""),51.0)</f>
        <v>51</v>
      </c>
      <c r="H138" s="1">
        <f>IFERROR(__xludf.DUMMYFUNCTION("""COMPUTED_VALUE"""),50.0)</f>
        <v>50</v>
      </c>
      <c r="I138" s="1">
        <f>IFERROR(__xludf.DUMMYFUNCTION("""COMPUTED_VALUE"""),54.0)</f>
        <v>54</v>
      </c>
      <c r="J138" s="1">
        <f>IFERROR(__xludf.DUMMYFUNCTION("""COMPUTED_VALUE"""),48.0)</f>
        <v>48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 t="str">
        <f>IFERROR(__xludf.DUMMYFUNCTION("""COMPUTED_VALUE"""),"A")</f>
        <v>A</v>
      </c>
      <c r="E139" s="1">
        <f>IFERROR(__xludf.DUMMYFUNCTION("""COMPUTED_VALUE"""),35.0)</f>
        <v>35</v>
      </c>
      <c r="F139" s="1">
        <f>IFERROR(__xludf.DUMMYFUNCTION("""COMPUTED_VALUE"""),66.0)</f>
        <v>66</v>
      </c>
      <c r="G139" s="1">
        <f>IFERROR(__xludf.DUMMYFUNCTION("""COMPUTED_VALUE"""),84.0)</f>
        <v>84</v>
      </c>
      <c r="H139" s="1">
        <f>IFERROR(__xludf.DUMMYFUNCTION("""COMPUTED_VALUE"""),24.0)</f>
        <v>24</v>
      </c>
      <c r="I139" s="1">
        <f>IFERROR(__xludf.DUMMYFUNCTION("""COMPUTED_VALUE"""),41.0)</f>
        <v>41</v>
      </c>
      <c r="J139" s="1">
        <f>IFERROR(__xludf.DUMMYFUNCTION("""COMPUTED_VALUE"""),29.0)</f>
        <v>29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 t="str">
        <f>IFERROR(__xludf.DUMMYFUNCTION("""COMPUTED_VALUE"""),"C")</f>
        <v>C</v>
      </c>
      <c r="E140" s="1">
        <f>IFERROR(__xludf.DUMMYFUNCTION("""COMPUTED_VALUE"""),98.0)</f>
        <v>98</v>
      </c>
      <c r="F140" s="1">
        <f>IFERROR(__xludf.DUMMYFUNCTION("""COMPUTED_VALUE"""),91.0)</f>
        <v>91</v>
      </c>
      <c r="G140" s="1">
        <f>IFERROR(__xludf.DUMMYFUNCTION("""COMPUTED_VALUE"""),34.0)</f>
        <v>34</v>
      </c>
      <c r="H140" s="1">
        <f>IFERROR(__xludf.DUMMYFUNCTION("""COMPUTED_VALUE"""),99.0)</f>
        <v>99</v>
      </c>
      <c r="I140" s="1">
        <f>IFERROR(__xludf.DUMMYFUNCTION("""COMPUTED_VALUE"""),40.0)</f>
        <v>40</v>
      </c>
      <c r="J140" s="1">
        <f>IFERROR(__xludf.DUMMYFUNCTION("""COMPUTED_VALUE"""),90.0)</f>
        <v>90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 t="str">
        <f>IFERROR(__xludf.DUMMYFUNCTION("""COMPUTED_VALUE"""),"A")</f>
        <v>A</v>
      </c>
      <c r="E141" s="1">
        <f>IFERROR(__xludf.DUMMYFUNCTION("""COMPUTED_VALUE"""),80.0)</f>
        <v>80</v>
      </c>
      <c r="F141" s="1">
        <f>IFERROR(__xludf.DUMMYFUNCTION("""COMPUTED_VALUE"""),85.0)</f>
        <v>85</v>
      </c>
      <c r="G141" s="1">
        <f>IFERROR(__xludf.DUMMYFUNCTION("""COMPUTED_VALUE"""),84.0)</f>
        <v>84</v>
      </c>
      <c r="H141" s="1">
        <f>IFERROR(__xludf.DUMMYFUNCTION("""COMPUTED_VALUE"""),84.0)</f>
        <v>84</v>
      </c>
      <c r="I141" s="1">
        <f>IFERROR(__xludf.DUMMYFUNCTION("""COMPUTED_VALUE"""),22.0)</f>
        <v>22</v>
      </c>
      <c r="J141" s="1">
        <f>IFERROR(__xludf.DUMMYFUNCTION("""COMPUTED_VALUE"""),57.0)</f>
        <v>57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 t="str">
        <f>IFERROR(__xludf.DUMMYFUNCTION("""COMPUTED_VALUE"""),"C")</f>
        <v>C</v>
      </c>
      <c r="E142" s="1">
        <f>IFERROR(__xludf.DUMMYFUNCTION("""COMPUTED_VALUE"""),91.0)</f>
        <v>91</v>
      </c>
      <c r="F142" s="1">
        <f>IFERROR(__xludf.DUMMYFUNCTION("""COMPUTED_VALUE"""),99.0)</f>
        <v>99</v>
      </c>
      <c r="G142" s="1">
        <f>IFERROR(__xludf.DUMMYFUNCTION("""COMPUTED_VALUE"""),88.0)</f>
        <v>88</v>
      </c>
      <c r="H142" s="1">
        <f>IFERROR(__xludf.DUMMYFUNCTION("""COMPUTED_VALUE"""),68.0)</f>
        <v>68</v>
      </c>
      <c r="I142" s="1">
        <f>IFERROR(__xludf.DUMMYFUNCTION("""COMPUTED_VALUE"""),52.0)</f>
        <v>52</v>
      </c>
      <c r="J142" s="1">
        <f>IFERROR(__xludf.DUMMYFUNCTION("""COMPUTED_VALUE"""),41.0)</f>
        <v>41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 t="str">
        <f>IFERROR(__xludf.DUMMYFUNCTION("""COMPUTED_VALUE"""),"A")</f>
        <v>A</v>
      </c>
      <c r="E143" s="1">
        <f>IFERROR(__xludf.DUMMYFUNCTION("""COMPUTED_VALUE"""),92.0)</f>
        <v>92</v>
      </c>
      <c r="F143" s="1">
        <f>IFERROR(__xludf.DUMMYFUNCTION("""COMPUTED_VALUE"""),23.0)</f>
        <v>23</v>
      </c>
      <c r="G143" s="1">
        <f>IFERROR(__xludf.DUMMYFUNCTION("""COMPUTED_VALUE"""),26.0)</f>
        <v>26</v>
      </c>
      <c r="H143" s="1">
        <f>IFERROR(__xludf.DUMMYFUNCTION("""COMPUTED_VALUE"""),57.0)</f>
        <v>57</v>
      </c>
      <c r="I143" s="1">
        <f>IFERROR(__xludf.DUMMYFUNCTION("""COMPUTED_VALUE"""),82.0)</f>
        <v>82</v>
      </c>
      <c r="J143" s="1">
        <f>IFERROR(__xludf.DUMMYFUNCTION("""COMPUTED_VALUE"""),68.0)</f>
        <v>68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 t="str">
        <f>IFERROR(__xludf.DUMMYFUNCTION("""COMPUTED_VALUE"""),"A")</f>
        <v>A</v>
      </c>
      <c r="E144" s="1">
        <f>IFERROR(__xludf.DUMMYFUNCTION("""COMPUTED_VALUE"""),92.0)</f>
        <v>92</v>
      </c>
      <c r="F144" s="1">
        <f>IFERROR(__xludf.DUMMYFUNCTION("""COMPUTED_VALUE"""),83.0)</f>
        <v>83</v>
      </c>
      <c r="G144" s="1">
        <f>IFERROR(__xludf.DUMMYFUNCTION("""COMPUTED_VALUE"""),38.0)</f>
        <v>38</v>
      </c>
      <c r="H144" s="1">
        <f>IFERROR(__xludf.DUMMYFUNCTION("""COMPUTED_VALUE"""),23.0)</f>
        <v>23</v>
      </c>
      <c r="I144" s="1">
        <f>IFERROR(__xludf.DUMMYFUNCTION("""COMPUTED_VALUE"""),96.0)</f>
        <v>96</v>
      </c>
      <c r="J144" s="1">
        <f>IFERROR(__xludf.DUMMYFUNCTION("""COMPUTED_VALUE"""),37.0)</f>
        <v>37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 t="str">
        <f>IFERROR(__xludf.DUMMYFUNCTION("""COMPUTED_VALUE"""),"A")</f>
        <v>A</v>
      </c>
      <c r="E145" s="1">
        <f>IFERROR(__xludf.DUMMYFUNCTION("""COMPUTED_VALUE"""),51.0)</f>
        <v>51</v>
      </c>
      <c r="F145" s="1">
        <f>IFERROR(__xludf.DUMMYFUNCTION("""COMPUTED_VALUE"""),72.0)</f>
        <v>72</v>
      </c>
      <c r="G145" s="1">
        <f>IFERROR(__xludf.DUMMYFUNCTION("""COMPUTED_VALUE"""),63.0)</f>
        <v>63</v>
      </c>
      <c r="H145" s="1">
        <f>IFERROR(__xludf.DUMMYFUNCTION("""COMPUTED_VALUE"""),73.0)</f>
        <v>73</v>
      </c>
      <c r="I145" s="1">
        <f>IFERROR(__xludf.DUMMYFUNCTION("""COMPUTED_VALUE"""),74.0)</f>
        <v>74</v>
      </c>
      <c r="J145" s="1">
        <f>IFERROR(__xludf.DUMMYFUNCTION("""COMPUTED_VALUE"""),77.0)</f>
        <v>77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 t="str">
        <f>IFERROR(__xludf.DUMMYFUNCTION("""COMPUTED_VALUE"""),"B")</f>
        <v>B</v>
      </c>
      <c r="E146" s="1">
        <f>IFERROR(__xludf.DUMMYFUNCTION("""COMPUTED_VALUE"""),99.0)</f>
        <v>99</v>
      </c>
      <c r="F146" s="1">
        <f>IFERROR(__xludf.DUMMYFUNCTION("""COMPUTED_VALUE"""),63.0)</f>
        <v>63</v>
      </c>
      <c r="G146" s="1">
        <f>IFERROR(__xludf.DUMMYFUNCTION("""COMPUTED_VALUE"""),48.0)</f>
        <v>48</v>
      </c>
      <c r="H146" s="1">
        <f>IFERROR(__xludf.DUMMYFUNCTION("""COMPUTED_VALUE"""),50.0)</f>
        <v>50</v>
      </c>
      <c r="I146" s="1">
        <f>IFERROR(__xludf.DUMMYFUNCTION("""COMPUTED_VALUE"""),96.0)</f>
        <v>96</v>
      </c>
      <c r="J146" s="1">
        <f>IFERROR(__xludf.DUMMYFUNCTION("""COMPUTED_VALUE"""),94.0)</f>
        <v>94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 t="str">
        <f>IFERROR(__xludf.DUMMYFUNCTION("""COMPUTED_VALUE"""),"C")</f>
        <v>C</v>
      </c>
      <c r="E147" s="1">
        <f>IFERROR(__xludf.DUMMYFUNCTION("""COMPUTED_VALUE"""),51.0)</f>
        <v>51</v>
      </c>
      <c r="F147" s="1">
        <f>IFERROR(__xludf.DUMMYFUNCTION("""COMPUTED_VALUE"""),25.0)</f>
        <v>25</v>
      </c>
      <c r="G147" s="1">
        <f>IFERROR(__xludf.DUMMYFUNCTION("""COMPUTED_VALUE"""),93.0)</f>
        <v>93</v>
      </c>
      <c r="H147" s="1">
        <f>IFERROR(__xludf.DUMMYFUNCTION("""COMPUTED_VALUE"""),65.0)</f>
        <v>65</v>
      </c>
      <c r="I147" s="1">
        <f>IFERROR(__xludf.DUMMYFUNCTION("""COMPUTED_VALUE"""),66.0)</f>
        <v>66</v>
      </c>
      <c r="J147" s="1">
        <f>IFERROR(__xludf.DUMMYFUNCTION("""COMPUTED_VALUE"""),38.0)</f>
        <v>38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 t="str">
        <f>IFERROR(__xludf.DUMMYFUNCTION("""COMPUTED_VALUE"""),"C")</f>
        <v>C</v>
      </c>
      <c r="E148" s="1">
        <f>IFERROR(__xludf.DUMMYFUNCTION("""COMPUTED_VALUE"""),99.0)</f>
        <v>99</v>
      </c>
      <c r="F148" s="1">
        <f>IFERROR(__xludf.DUMMYFUNCTION("""COMPUTED_VALUE"""),68.0)</f>
        <v>68</v>
      </c>
      <c r="G148" s="1">
        <f>IFERROR(__xludf.DUMMYFUNCTION("""COMPUTED_VALUE"""),76.0)</f>
        <v>76</v>
      </c>
      <c r="H148" s="1">
        <f>IFERROR(__xludf.DUMMYFUNCTION("""COMPUTED_VALUE"""),91.0)</f>
        <v>91</v>
      </c>
      <c r="I148" s="1">
        <f>IFERROR(__xludf.DUMMYFUNCTION("""COMPUTED_VALUE"""),46.0)</f>
        <v>46</v>
      </c>
      <c r="J148" s="1">
        <f>IFERROR(__xludf.DUMMYFUNCTION("""COMPUTED_VALUE"""),28.0)</f>
        <v>28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 t="str">
        <f>IFERROR(__xludf.DUMMYFUNCTION("""COMPUTED_VALUE"""),"C")</f>
        <v>C</v>
      </c>
      <c r="E149" s="1">
        <f>IFERROR(__xludf.DUMMYFUNCTION("""COMPUTED_VALUE"""),59.0)</f>
        <v>59</v>
      </c>
      <c r="F149" s="1">
        <f>IFERROR(__xludf.DUMMYFUNCTION("""COMPUTED_VALUE"""),66.0)</f>
        <v>66</v>
      </c>
      <c r="G149" s="1">
        <f>IFERROR(__xludf.DUMMYFUNCTION("""COMPUTED_VALUE"""),35.0)</f>
        <v>35</v>
      </c>
      <c r="H149" s="1">
        <f>IFERROR(__xludf.DUMMYFUNCTION("""COMPUTED_VALUE"""),58.0)</f>
        <v>58</v>
      </c>
      <c r="I149" s="1">
        <f>IFERROR(__xludf.DUMMYFUNCTION("""COMPUTED_VALUE"""),28.0)</f>
        <v>28</v>
      </c>
      <c r="J149" s="1">
        <f>IFERROR(__xludf.DUMMYFUNCTION("""COMPUTED_VALUE"""),43.0)</f>
        <v>43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 t="str">
        <f>IFERROR(__xludf.DUMMYFUNCTION("""COMPUTED_VALUE"""),"A")</f>
        <v>A</v>
      </c>
      <c r="E150" s="1">
        <f>IFERROR(__xludf.DUMMYFUNCTION("""COMPUTED_VALUE"""),61.0)</f>
        <v>61</v>
      </c>
      <c r="F150" s="1">
        <f>IFERROR(__xludf.DUMMYFUNCTION("""COMPUTED_VALUE"""),71.0)</f>
        <v>71</v>
      </c>
      <c r="G150" s="1">
        <f>IFERROR(__xludf.DUMMYFUNCTION("""COMPUTED_VALUE"""),76.0)</f>
        <v>76</v>
      </c>
      <c r="H150" s="1">
        <f>IFERROR(__xludf.DUMMYFUNCTION("""COMPUTED_VALUE"""),89.0)</f>
        <v>89</v>
      </c>
      <c r="I150" s="1">
        <f>IFERROR(__xludf.DUMMYFUNCTION("""COMPUTED_VALUE"""),64.0)</f>
        <v>64</v>
      </c>
      <c r="J150" s="1">
        <f>IFERROR(__xludf.DUMMYFUNCTION("""COMPUTED_VALUE"""),42.0)</f>
        <v>42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 t="str">
        <f>IFERROR(__xludf.DUMMYFUNCTION("""COMPUTED_VALUE"""),"D")</f>
        <v>D</v>
      </c>
      <c r="E151" s="1">
        <f>IFERROR(__xludf.DUMMYFUNCTION("""COMPUTED_VALUE"""),91.0)</f>
        <v>91</v>
      </c>
      <c r="F151" s="1">
        <f>IFERROR(__xludf.DUMMYFUNCTION("""COMPUTED_VALUE"""),89.0)</f>
        <v>89</v>
      </c>
      <c r="G151" s="1">
        <f>IFERROR(__xludf.DUMMYFUNCTION("""COMPUTED_VALUE"""),86.0)</f>
        <v>86</v>
      </c>
      <c r="H151" s="1">
        <f>IFERROR(__xludf.DUMMYFUNCTION("""COMPUTED_VALUE"""),95.0)</f>
        <v>95</v>
      </c>
      <c r="I151" s="1">
        <f>IFERROR(__xludf.DUMMYFUNCTION("""COMPUTED_VALUE"""),67.0)</f>
        <v>67</v>
      </c>
      <c r="J151" s="1">
        <f>IFERROR(__xludf.DUMMYFUNCTION("""COMPUTED_VALUE"""),79.0)</f>
        <v>79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 t="str">
        <f>IFERROR(__xludf.DUMMYFUNCTION("""COMPUTED_VALUE"""),"D")</f>
        <v>D</v>
      </c>
      <c r="E152" s="1">
        <f>IFERROR(__xludf.DUMMYFUNCTION("""COMPUTED_VALUE"""),73.0)</f>
        <v>73</v>
      </c>
      <c r="F152" s="1">
        <f>IFERROR(__xludf.DUMMYFUNCTION("""COMPUTED_VALUE"""),61.0)</f>
        <v>61</v>
      </c>
      <c r="G152" s="1">
        <f>IFERROR(__xludf.DUMMYFUNCTION("""COMPUTED_VALUE"""),81.0)</f>
        <v>81</v>
      </c>
      <c r="H152" s="1">
        <f>IFERROR(__xludf.DUMMYFUNCTION("""COMPUTED_VALUE"""),91.0)</f>
        <v>91</v>
      </c>
      <c r="I152" s="1">
        <f>IFERROR(__xludf.DUMMYFUNCTION("""COMPUTED_VALUE"""),45.0)</f>
        <v>45</v>
      </c>
      <c r="J152" s="1">
        <f>IFERROR(__xludf.DUMMYFUNCTION("""COMPUTED_VALUE"""),54.0)</f>
        <v>54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 t="str">
        <f>IFERROR(__xludf.DUMMYFUNCTION("""COMPUTED_VALUE"""),"B")</f>
        <v>B</v>
      </c>
      <c r="E153" s="1">
        <f>IFERROR(__xludf.DUMMYFUNCTION("""COMPUTED_VALUE"""),25.0)</f>
        <v>25</v>
      </c>
      <c r="F153" s="1">
        <f>IFERROR(__xludf.DUMMYFUNCTION("""COMPUTED_VALUE"""),65.0)</f>
        <v>65</v>
      </c>
      <c r="G153" s="1">
        <f>IFERROR(__xludf.DUMMYFUNCTION("""COMPUTED_VALUE"""),86.0)</f>
        <v>86</v>
      </c>
      <c r="H153" s="1">
        <f>IFERROR(__xludf.DUMMYFUNCTION("""COMPUTED_VALUE"""),44.0)</f>
        <v>44</v>
      </c>
      <c r="I153" s="1">
        <f>IFERROR(__xludf.DUMMYFUNCTION("""COMPUTED_VALUE"""),89.0)</f>
        <v>89</v>
      </c>
      <c r="J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 t="str">
        <f>IFERROR(__xludf.DUMMYFUNCTION("""COMPUTED_VALUE"""),"D")</f>
        <v>D</v>
      </c>
      <c r="E154" s="1">
        <f>IFERROR(__xludf.DUMMYFUNCTION("""COMPUTED_VALUE"""),99.0)</f>
        <v>99</v>
      </c>
      <c r="F154" s="1">
        <f>IFERROR(__xludf.DUMMYFUNCTION("""COMPUTED_VALUE"""),81.0)</f>
        <v>81</v>
      </c>
      <c r="G154" s="1">
        <f>IFERROR(__xludf.DUMMYFUNCTION("""COMPUTED_VALUE"""),36.0)</f>
        <v>36</v>
      </c>
      <c r="H154" s="1">
        <f>IFERROR(__xludf.DUMMYFUNCTION("""COMPUTED_VALUE"""),41.0)</f>
        <v>41</v>
      </c>
      <c r="I154" s="1">
        <f>IFERROR(__xludf.DUMMYFUNCTION("""COMPUTED_VALUE"""),95.0)</f>
        <v>95</v>
      </c>
      <c r="J154" s="1">
        <f>IFERROR(__xludf.DUMMYFUNCTION("""COMPUTED_VALUE"""),55.0)</f>
        <v>55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 t="str">
        <f>IFERROR(__xludf.DUMMYFUNCTION("""COMPUTED_VALUE"""),"B")</f>
        <v>B</v>
      </c>
      <c r="E155" s="1">
        <f>IFERROR(__xludf.DUMMYFUNCTION("""COMPUTED_VALUE"""),49.0)</f>
        <v>49</v>
      </c>
      <c r="F155" s="1">
        <f>IFERROR(__xludf.DUMMYFUNCTION("""COMPUTED_VALUE"""),59.0)</f>
        <v>59</v>
      </c>
      <c r="G155" s="1">
        <f>IFERROR(__xludf.DUMMYFUNCTION("""COMPUTED_VALUE"""),82.0)</f>
        <v>82</v>
      </c>
      <c r="H155" s="1">
        <f>IFERROR(__xludf.DUMMYFUNCTION("""COMPUTED_VALUE"""),37.0)</f>
        <v>37</v>
      </c>
      <c r="I155" s="1">
        <f>IFERROR(__xludf.DUMMYFUNCTION("""COMPUTED_VALUE"""),69.0)</f>
        <v>69</v>
      </c>
      <c r="J155" s="1">
        <f>IFERROR(__xludf.DUMMYFUNCTION("""COMPUTED_VALUE"""),76.0)</f>
        <v>76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 t="str">
        <f>IFERROR(__xludf.DUMMYFUNCTION("""COMPUTED_VALUE"""),"B")</f>
        <v>B</v>
      </c>
      <c r="E156" s="1">
        <f>IFERROR(__xludf.DUMMYFUNCTION("""COMPUTED_VALUE"""),47.0)</f>
        <v>47</v>
      </c>
      <c r="F156" s="1">
        <f>IFERROR(__xludf.DUMMYFUNCTION("""COMPUTED_VALUE"""),51.0)</f>
        <v>51</v>
      </c>
      <c r="G156" s="1">
        <f>IFERROR(__xludf.DUMMYFUNCTION("""COMPUTED_VALUE"""),48.0)</f>
        <v>48</v>
      </c>
      <c r="H156" s="1">
        <f>IFERROR(__xludf.DUMMYFUNCTION("""COMPUTED_VALUE"""),25.0)</f>
        <v>25</v>
      </c>
      <c r="I156" s="1">
        <f>IFERROR(__xludf.DUMMYFUNCTION("""COMPUTED_VALUE"""),63.0)</f>
        <v>63</v>
      </c>
      <c r="J156" s="1">
        <f>IFERROR(__xludf.DUMMYFUNCTION("""COMPUTED_VALUE"""),21.0)</f>
        <v>21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 t="str">
        <f>IFERROR(__xludf.DUMMYFUNCTION("""COMPUTED_VALUE"""),"D")</f>
        <v>D</v>
      </c>
      <c r="E157" s="1">
        <f>IFERROR(__xludf.DUMMYFUNCTION("""COMPUTED_VALUE"""),96.0)</f>
        <v>96</v>
      </c>
      <c r="F157" s="1">
        <f>IFERROR(__xludf.DUMMYFUNCTION("""COMPUTED_VALUE"""),37.0)</f>
        <v>37</v>
      </c>
      <c r="G157" s="1">
        <f>IFERROR(__xludf.DUMMYFUNCTION("""COMPUTED_VALUE"""),66.0)</f>
        <v>66</v>
      </c>
      <c r="H157" s="1">
        <f>IFERROR(__xludf.DUMMYFUNCTION("""COMPUTED_VALUE"""),59.0)</f>
        <v>59</v>
      </c>
      <c r="I157" s="1">
        <f>IFERROR(__xludf.DUMMYFUNCTION("""COMPUTED_VALUE"""),29.0)</f>
        <v>29</v>
      </c>
      <c r="J157" s="1">
        <f>IFERROR(__xludf.DUMMYFUNCTION("""COMPUTED_VALUE"""),80.0)</f>
        <v>80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 t="str">
        <f>IFERROR(__xludf.DUMMYFUNCTION("""COMPUTED_VALUE"""),"C")</f>
        <v>C</v>
      </c>
      <c r="E158" s="1">
        <f>IFERROR(__xludf.DUMMYFUNCTION("""COMPUTED_VALUE"""),60.0)</f>
        <v>60</v>
      </c>
      <c r="F158" s="1">
        <f>IFERROR(__xludf.DUMMYFUNCTION("""COMPUTED_VALUE"""),66.0)</f>
        <v>66</v>
      </c>
      <c r="G158" s="1">
        <f>IFERROR(__xludf.DUMMYFUNCTION("""COMPUTED_VALUE"""),50.0)</f>
        <v>50</v>
      </c>
      <c r="H158" s="1">
        <f>IFERROR(__xludf.DUMMYFUNCTION("""COMPUTED_VALUE"""),31.0)</f>
        <v>31</v>
      </c>
      <c r="I158" s="1">
        <f>IFERROR(__xludf.DUMMYFUNCTION("""COMPUTED_VALUE"""),31.0)</f>
        <v>31</v>
      </c>
      <c r="J158" s="1">
        <f>IFERROR(__xludf.DUMMYFUNCTION("""COMPUTED_VALUE"""),92.0)</f>
        <v>92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 t="str">
        <f>IFERROR(__xludf.DUMMYFUNCTION("""COMPUTED_VALUE"""),"D")</f>
        <v>D</v>
      </c>
      <c r="E159" s="1">
        <f>IFERROR(__xludf.DUMMYFUNCTION("""COMPUTED_VALUE"""),16.0)</f>
        <v>16</v>
      </c>
      <c r="F159" s="1">
        <f>IFERROR(__xludf.DUMMYFUNCTION("""COMPUTED_VALUE"""),36.0)</f>
        <v>36</v>
      </c>
      <c r="G159" s="1">
        <f>IFERROR(__xludf.DUMMYFUNCTION("""COMPUTED_VALUE"""),59.0)</f>
        <v>59</v>
      </c>
      <c r="H159" s="1">
        <f>IFERROR(__xludf.DUMMYFUNCTION("""COMPUTED_VALUE"""),24.0)</f>
        <v>24</v>
      </c>
      <c r="I159" s="1">
        <f>IFERROR(__xludf.DUMMYFUNCTION("""COMPUTED_VALUE"""),94.0)</f>
        <v>94</v>
      </c>
      <c r="J159" s="1">
        <f>IFERROR(__xludf.DUMMYFUNCTION("""COMPUTED_VALUE"""),36.0)</f>
        <v>36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 t="str">
        <f>IFERROR(__xludf.DUMMYFUNCTION("""COMPUTED_VALUE"""),"A")</f>
        <v>A</v>
      </c>
      <c r="E160" s="1">
        <f>IFERROR(__xludf.DUMMYFUNCTION("""COMPUTED_VALUE"""),73.0)</f>
        <v>73</v>
      </c>
      <c r="F160" s="1">
        <f>IFERROR(__xludf.DUMMYFUNCTION("""COMPUTED_VALUE"""),82.0)</f>
        <v>82</v>
      </c>
      <c r="G160" s="1">
        <f>IFERROR(__xludf.DUMMYFUNCTION("""COMPUTED_VALUE"""),64.0)</f>
        <v>64</v>
      </c>
      <c r="H160" s="1">
        <f>IFERROR(__xludf.DUMMYFUNCTION("""COMPUTED_VALUE"""),78.0)</f>
        <v>78</v>
      </c>
      <c r="I160" s="1">
        <f>IFERROR(__xludf.DUMMYFUNCTION("""COMPUTED_VALUE"""),66.0)</f>
        <v>66</v>
      </c>
      <c r="J160" s="1">
        <f>IFERROR(__xludf.DUMMYFUNCTION("""COMPUTED_VALUE"""),29.0)</f>
        <v>29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 t="str">
        <f>IFERROR(__xludf.DUMMYFUNCTION("""COMPUTED_VALUE"""),"C")</f>
        <v>C</v>
      </c>
      <c r="E161" s="1">
        <f>IFERROR(__xludf.DUMMYFUNCTION("""COMPUTED_VALUE"""),45.0)</f>
        <v>45</v>
      </c>
      <c r="F161" s="1">
        <f>IFERROR(__xludf.DUMMYFUNCTION("""COMPUTED_VALUE"""),27.0)</f>
        <v>27</v>
      </c>
      <c r="G161" s="1">
        <f>IFERROR(__xludf.DUMMYFUNCTION("""COMPUTED_VALUE"""),28.0)</f>
        <v>28</v>
      </c>
      <c r="H161" s="1">
        <f>IFERROR(__xludf.DUMMYFUNCTION("""COMPUTED_VALUE"""),70.0)</f>
        <v>70</v>
      </c>
      <c r="I161" s="1">
        <f>IFERROR(__xludf.DUMMYFUNCTION("""COMPUTED_VALUE"""),42.0)</f>
        <v>42</v>
      </c>
      <c r="J161" s="1">
        <f>IFERROR(__xludf.DUMMYFUNCTION("""COMPUTED_VALUE"""),26.0)</f>
        <v>26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 t="str">
        <f>IFERROR(__xludf.DUMMYFUNCTION("""COMPUTED_VALUE"""),"B")</f>
        <v>B</v>
      </c>
      <c r="E162" s="1">
        <f>IFERROR(__xludf.DUMMYFUNCTION("""COMPUTED_VALUE"""),73.0)</f>
        <v>73</v>
      </c>
      <c r="F162" s="1">
        <f>IFERROR(__xludf.DUMMYFUNCTION("""COMPUTED_VALUE"""),51.0)</f>
        <v>51</v>
      </c>
      <c r="G162" s="1">
        <f>IFERROR(__xludf.DUMMYFUNCTION("""COMPUTED_VALUE"""),34.0)</f>
        <v>34</v>
      </c>
      <c r="H162" s="1">
        <f>IFERROR(__xludf.DUMMYFUNCTION("""COMPUTED_VALUE"""),50.0)</f>
        <v>50</v>
      </c>
      <c r="I162" s="1">
        <f>IFERROR(__xludf.DUMMYFUNCTION("""COMPUTED_VALUE"""),46.0)</f>
        <v>46</v>
      </c>
      <c r="J162" s="1">
        <f>IFERROR(__xludf.DUMMYFUNCTION("""COMPUTED_VALUE"""),48.0)</f>
        <v>48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 t="str">
        <f>IFERROR(__xludf.DUMMYFUNCTION("""COMPUTED_VALUE"""),"C")</f>
        <v>C</v>
      </c>
      <c r="E163" s="1">
        <f>IFERROR(__xludf.DUMMYFUNCTION("""COMPUTED_VALUE"""),22.0)</f>
        <v>22</v>
      </c>
      <c r="F163" s="1">
        <f>IFERROR(__xludf.DUMMYFUNCTION("""COMPUTED_VALUE"""),36.0)</f>
        <v>36</v>
      </c>
      <c r="G163" s="1">
        <f>IFERROR(__xludf.DUMMYFUNCTION("""COMPUTED_VALUE"""),45.0)</f>
        <v>45</v>
      </c>
      <c r="H163" s="1">
        <f>IFERROR(__xludf.DUMMYFUNCTION("""COMPUTED_VALUE"""),43.0)</f>
        <v>43</v>
      </c>
      <c r="I163" s="1">
        <f>IFERROR(__xludf.DUMMYFUNCTION("""COMPUTED_VALUE"""),80.0)</f>
        <v>80</v>
      </c>
      <c r="J163" s="1">
        <f>IFERROR(__xludf.DUMMYFUNCTION("""COMPUTED_VALUE"""),99.0)</f>
        <v>99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 t="str">
        <f>IFERROR(__xludf.DUMMYFUNCTION("""COMPUTED_VALUE"""),"A")</f>
        <v>A</v>
      </c>
      <c r="E164" s="1">
        <f>IFERROR(__xludf.DUMMYFUNCTION("""COMPUTED_VALUE"""),79.0)</f>
        <v>79</v>
      </c>
      <c r="F164" s="1">
        <f>IFERROR(__xludf.DUMMYFUNCTION("""COMPUTED_VALUE"""),23.0)</f>
        <v>23</v>
      </c>
      <c r="G164" s="1">
        <f>IFERROR(__xludf.DUMMYFUNCTION("""COMPUTED_VALUE"""),34.0)</f>
        <v>34</v>
      </c>
      <c r="H164" s="1">
        <f>IFERROR(__xludf.DUMMYFUNCTION("""COMPUTED_VALUE"""),42.0)</f>
        <v>42</v>
      </c>
      <c r="I164" s="1">
        <f>IFERROR(__xludf.DUMMYFUNCTION("""COMPUTED_VALUE"""),67.0)</f>
        <v>67</v>
      </c>
      <c r="J164" s="1">
        <f>IFERROR(__xludf.DUMMYFUNCTION("""COMPUTED_VALUE"""),71.0)</f>
        <v>71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 t="str">
        <f>IFERROR(__xludf.DUMMYFUNCTION("""COMPUTED_VALUE"""),"D")</f>
        <v>D</v>
      </c>
      <c r="E165" s="1">
        <f>IFERROR(__xludf.DUMMYFUNCTION("""COMPUTED_VALUE"""),34.0)</f>
        <v>34</v>
      </c>
      <c r="F165" s="1">
        <f>IFERROR(__xludf.DUMMYFUNCTION("""COMPUTED_VALUE"""),25.0)</f>
        <v>25</v>
      </c>
      <c r="G165" s="1">
        <f>IFERROR(__xludf.DUMMYFUNCTION("""COMPUTED_VALUE"""),90.0)</f>
        <v>90</v>
      </c>
      <c r="H165" s="1">
        <f>IFERROR(__xludf.DUMMYFUNCTION("""COMPUTED_VALUE"""),49.0)</f>
        <v>49</v>
      </c>
      <c r="I165" s="1">
        <f>IFERROR(__xludf.DUMMYFUNCTION("""COMPUTED_VALUE"""),96.0)</f>
        <v>96</v>
      </c>
      <c r="J165" s="1">
        <f>IFERROR(__xludf.DUMMYFUNCTION("""COMPUTED_VALUE"""),74.0)</f>
        <v>74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 t="str">
        <f>IFERROR(__xludf.DUMMYFUNCTION("""COMPUTED_VALUE"""),"B")</f>
        <v>B</v>
      </c>
      <c r="E166" s="1">
        <f>IFERROR(__xludf.DUMMYFUNCTION("""COMPUTED_VALUE"""),66.0)</f>
        <v>66</v>
      </c>
      <c r="F166" s="1">
        <f>IFERROR(__xludf.DUMMYFUNCTION("""COMPUTED_VALUE"""),71.0)</f>
        <v>71</v>
      </c>
      <c r="G166" s="1">
        <f>IFERROR(__xludf.DUMMYFUNCTION("""COMPUTED_VALUE"""),40.0)</f>
        <v>40</v>
      </c>
      <c r="H166" s="1">
        <f>IFERROR(__xludf.DUMMYFUNCTION("""COMPUTED_VALUE"""),32.0)</f>
        <v>32</v>
      </c>
      <c r="I166" s="1">
        <f>IFERROR(__xludf.DUMMYFUNCTION("""COMPUTED_VALUE"""),66.0)</f>
        <v>66</v>
      </c>
      <c r="J166" s="1">
        <f>IFERROR(__xludf.DUMMYFUNCTION("""COMPUTED_VALUE"""),28.0)</f>
        <v>28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 t="str">
        <f>IFERROR(__xludf.DUMMYFUNCTION("""COMPUTED_VALUE"""),"A")</f>
        <v>A</v>
      </c>
      <c r="E167" s="1">
        <f>IFERROR(__xludf.DUMMYFUNCTION("""COMPUTED_VALUE"""),62.0)</f>
        <v>62</v>
      </c>
      <c r="F167" s="1">
        <f>IFERROR(__xludf.DUMMYFUNCTION("""COMPUTED_VALUE"""),96.0)</f>
        <v>96</v>
      </c>
      <c r="G167" s="1">
        <f>IFERROR(__xludf.DUMMYFUNCTION("""COMPUTED_VALUE"""),72.0)</f>
        <v>72</v>
      </c>
      <c r="H167" s="1">
        <f>IFERROR(__xludf.DUMMYFUNCTION("""COMPUTED_VALUE"""),52.0)</f>
        <v>52</v>
      </c>
      <c r="I167" s="1">
        <f>IFERROR(__xludf.DUMMYFUNCTION("""COMPUTED_VALUE"""),67.0)</f>
        <v>67</v>
      </c>
      <c r="J167" s="1">
        <f>IFERROR(__xludf.DUMMYFUNCTION("""COMPUTED_VALUE"""),36.0)</f>
        <v>36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 t="str">
        <f>IFERROR(__xludf.DUMMYFUNCTION("""COMPUTED_VALUE"""),"C")</f>
        <v>C</v>
      </c>
      <c r="E168" s="1">
        <f>IFERROR(__xludf.DUMMYFUNCTION("""COMPUTED_VALUE"""),24.0)</f>
        <v>24</v>
      </c>
      <c r="F168" s="1">
        <f>IFERROR(__xludf.DUMMYFUNCTION("""COMPUTED_VALUE"""),76.0)</f>
        <v>76</v>
      </c>
      <c r="G168" s="1">
        <f>IFERROR(__xludf.DUMMYFUNCTION("""COMPUTED_VALUE"""),36.0)</f>
        <v>36</v>
      </c>
      <c r="H168" s="1">
        <f>IFERROR(__xludf.DUMMYFUNCTION("""COMPUTED_VALUE"""),51.0)</f>
        <v>51</v>
      </c>
      <c r="I168" s="1">
        <f>IFERROR(__xludf.DUMMYFUNCTION("""COMPUTED_VALUE"""),99.0)</f>
        <v>99</v>
      </c>
      <c r="J168" s="1">
        <f>IFERROR(__xludf.DUMMYFUNCTION("""COMPUTED_VALUE"""),69.0)</f>
        <v>69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 t="str">
        <f>IFERROR(__xludf.DUMMYFUNCTION("""COMPUTED_VALUE"""),"A")</f>
        <v>A</v>
      </c>
      <c r="E169" s="1">
        <f>IFERROR(__xludf.DUMMYFUNCTION("""COMPUTED_VALUE"""),96.0)</f>
        <v>96</v>
      </c>
      <c r="F169" s="1">
        <f>IFERROR(__xludf.DUMMYFUNCTION("""COMPUTED_VALUE"""),31.0)</f>
        <v>31</v>
      </c>
      <c r="G169" s="1">
        <f>IFERROR(__xludf.DUMMYFUNCTION("""COMPUTED_VALUE"""),31.0)</f>
        <v>31</v>
      </c>
      <c r="H169" s="1">
        <f>IFERROR(__xludf.DUMMYFUNCTION("""COMPUTED_VALUE"""),86.0)</f>
        <v>86</v>
      </c>
      <c r="I169" s="1">
        <f>IFERROR(__xludf.DUMMYFUNCTION("""COMPUTED_VALUE"""),86.0)</f>
        <v>86</v>
      </c>
      <c r="J169" s="1">
        <f>IFERROR(__xludf.DUMMYFUNCTION("""COMPUTED_VALUE"""),97.0)</f>
        <v>97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 t="str">
        <f>IFERROR(__xludf.DUMMYFUNCTION("""COMPUTED_VALUE"""),"A")</f>
        <v>A</v>
      </c>
      <c r="E170" s="1">
        <f>IFERROR(__xludf.DUMMYFUNCTION("""COMPUTED_VALUE"""),51.0)</f>
        <v>51</v>
      </c>
      <c r="F170" s="1">
        <f>IFERROR(__xludf.DUMMYFUNCTION("""COMPUTED_VALUE"""),59.0)</f>
        <v>59</v>
      </c>
      <c r="G170" s="1">
        <f>IFERROR(__xludf.DUMMYFUNCTION("""COMPUTED_VALUE"""),83.0)</f>
        <v>83</v>
      </c>
      <c r="H170" s="1">
        <f>IFERROR(__xludf.DUMMYFUNCTION("""COMPUTED_VALUE"""),38.0)</f>
        <v>38</v>
      </c>
      <c r="I170" s="1">
        <f>IFERROR(__xludf.DUMMYFUNCTION("""COMPUTED_VALUE"""),24.0)</f>
        <v>24</v>
      </c>
      <c r="J170" s="1">
        <f>IFERROR(__xludf.DUMMYFUNCTION("""COMPUTED_VALUE"""),22.0)</f>
        <v>22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 t="str">
        <f>IFERROR(__xludf.DUMMYFUNCTION("""COMPUTED_VALUE"""),"C")</f>
        <v>C</v>
      </c>
      <c r="E171" s="1">
        <f>IFERROR(__xludf.DUMMYFUNCTION("""COMPUTED_VALUE"""),75.0)</f>
        <v>75</v>
      </c>
      <c r="F171" s="1">
        <f>IFERROR(__xludf.DUMMYFUNCTION("""COMPUTED_VALUE"""),61.0)</f>
        <v>61</v>
      </c>
      <c r="G171" s="1">
        <f>IFERROR(__xludf.DUMMYFUNCTION("""COMPUTED_VALUE"""),96.0)</f>
        <v>96</v>
      </c>
      <c r="H171" s="1">
        <f>IFERROR(__xludf.DUMMYFUNCTION("""COMPUTED_VALUE"""),31.0)</f>
        <v>31</v>
      </c>
      <c r="I171" s="1">
        <f>IFERROR(__xludf.DUMMYFUNCTION("""COMPUTED_VALUE"""),24.0)</f>
        <v>24</v>
      </c>
      <c r="J171" s="1">
        <f>IFERROR(__xludf.DUMMYFUNCTION("""COMPUTED_VALUE"""),84.0)</f>
        <v>84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 t="str">
        <f>IFERROR(__xludf.DUMMYFUNCTION("""COMPUTED_VALUE"""),"D")</f>
        <v>D</v>
      </c>
      <c r="E172" s="1">
        <f>IFERROR(__xludf.DUMMYFUNCTION("""COMPUTED_VALUE"""),31.0)</f>
        <v>31</v>
      </c>
      <c r="F172" s="1">
        <f>IFERROR(__xludf.DUMMYFUNCTION("""COMPUTED_VALUE"""),64.0)</f>
        <v>64</v>
      </c>
      <c r="G172" s="1">
        <f>IFERROR(__xludf.DUMMYFUNCTION("""COMPUTED_VALUE"""),64.0)</f>
        <v>64</v>
      </c>
      <c r="H172" s="1">
        <f>IFERROR(__xludf.DUMMYFUNCTION("""COMPUTED_VALUE"""),60.0)</f>
        <v>60</v>
      </c>
      <c r="I172" s="1">
        <f>IFERROR(__xludf.DUMMYFUNCTION("""COMPUTED_VALUE"""),35.0)</f>
        <v>35</v>
      </c>
      <c r="J172" s="1">
        <f>IFERROR(__xludf.DUMMYFUNCTION("""COMPUTED_VALUE"""),83.0)</f>
        <v>83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 t="str">
        <f>IFERROR(__xludf.DUMMYFUNCTION("""COMPUTED_VALUE"""),"D")</f>
        <v>D</v>
      </c>
      <c r="E173" s="1">
        <f>IFERROR(__xludf.DUMMYFUNCTION("""COMPUTED_VALUE"""),19.0)</f>
        <v>19</v>
      </c>
      <c r="F173" s="1">
        <f>IFERROR(__xludf.DUMMYFUNCTION("""COMPUTED_VALUE"""),59.0)</f>
        <v>59</v>
      </c>
      <c r="G173" s="1">
        <f>IFERROR(__xludf.DUMMYFUNCTION("""COMPUTED_VALUE"""),66.0)</f>
        <v>66</v>
      </c>
      <c r="H173" s="1">
        <f>IFERROR(__xludf.DUMMYFUNCTION("""COMPUTED_VALUE"""),70.0)</f>
        <v>70</v>
      </c>
      <c r="I173" s="1">
        <f>IFERROR(__xludf.DUMMYFUNCTION("""COMPUTED_VALUE"""),48.0)</f>
        <v>48</v>
      </c>
      <c r="J173" s="1">
        <f>IFERROR(__xludf.DUMMYFUNCTION("""COMPUTED_VALUE"""),26.0)</f>
        <v>26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 t="str">
        <f>IFERROR(__xludf.DUMMYFUNCTION("""COMPUTED_VALUE"""),"B")</f>
        <v>B</v>
      </c>
      <c r="E174" s="1">
        <f>IFERROR(__xludf.DUMMYFUNCTION("""COMPUTED_VALUE"""),10.0)</f>
        <v>10</v>
      </c>
      <c r="F174" s="1">
        <f>IFERROR(__xludf.DUMMYFUNCTION("""COMPUTED_VALUE"""),71.0)</f>
        <v>71</v>
      </c>
      <c r="G174" s="1">
        <f>IFERROR(__xludf.DUMMYFUNCTION("""COMPUTED_VALUE"""),87.0)</f>
        <v>87</v>
      </c>
      <c r="H174" s="1">
        <f>IFERROR(__xludf.DUMMYFUNCTION("""COMPUTED_VALUE"""),69.0)</f>
        <v>69</v>
      </c>
      <c r="I174" s="1">
        <f>IFERROR(__xludf.DUMMYFUNCTION("""COMPUTED_VALUE"""),74.0)</f>
        <v>74</v>
      </c>
      <c r="J174" s="1">
        <f>IFERROR(__xludf.DUMMYFUNCTION("""COMPUTED_VALUE"""),26.0)</f>
        <v>26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 t="str">
        <f>IFERROR(__xludf.DUMMYFUNCTION("""COMPUTED_VALUE"""),"D")</f>
        <v>D</v>
      </c>
      <c r="E175" s="1">
        <f>IFERROR(__xludf.DUMMYFUNCTION("""COMPUTED_VALUE"""),90.0)</f>
        <v>90</v>
      </c>
      <c r="F175" s="1">
        <f>IFERROR(__xludf.DUMMYFUNCTION("""COMPUTED_VALUE"""),71.0)</f>
        <v>71</v>
      </c>
      <c r="G175" s="1">
        <f>IFERROR(__xludf.DUMMYFUNCTION("""COMPUTED_VALUE"""),90.0)</f>
        <v>90</v>
      </c>
      <c r="H175" s="1">
        <f>IFERROR(__xludf.DUMMYFUNCTION("""COMPUTED_VALUE"""),30.0)</f>
        <v>30</v>
      </c>
      <c r="I175" s="1">
        <f>IFERROR(__xludf.DUMMYFUNCTION("""COMPUTED_VALUE"""),70.0)</f>
        <v>70</v>
      </c>
      <c r="J175" s="1">
        <f>IFERROR(__xludf.DUMMYFUNCTION("""COMPUTED_VALUE"""),88.0)</f>
        <v>88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 t="str">
        <f>IFERROR(__xludf.DUMMYFUNCTION("""COMPUTED_VALUE"""),"A")</f>
        <v>A</v>
      </c>
      <c r="E176" s="1">
        <f>IFERROR(__xludf.DUMMYFUNCTION("""COMPUTED_VALUE"""),26.0)</f>
        <v>26</v>
      </c>
      <c r="F176" s="1">
        <f>IFERROR(__xludf.DUMMYFUNCTION("""COMPUTED_VALUE"""),23.0)</f>
        <v>23</v>
      </c>
      <c r="G176" s="1">
        <f>IFERROR(__xludf.DUMMYFUNCTION("""COMPUTED_VALUE"""),33.0)</f>
        <v>33</v>
      </c>
      <c r="H176" s="1">
        <f>IFERROR(__xludf.DUMMYFUNCTION("""COMPUTED_VALUE"""),23.0)</f>
        <v>23</v>
      </c>
      <c r="I176" s="1">
        <f>IFERROR(__xludf.DUMMYFUNCTION("""COMPUTED_VALUE"""),65.0)</f>
        <v>65</v>
      </c>
      <c r="J176" s="1">
        <f>IFERROR(__xludf.DUMMYFUNCTION("""COMPUTED_VALUE"""),79.0)</f>
        <v>79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 t="str">
        <f>IFERROR(__xludf.DUMMYFUNCTION("""COMPUTED_VALUE"""),"C")</f>
        <v>C</v>
      </c>
      <c r="E177" s="1">
        <f>IFERROR(__xludf.DUMMYFUNCTION("""COMPUTED_VALUE"""),20.0)</f>
        <v>20</v>
      </c>
      <c r="F177" s="1">
        <f>IFERROR(__xludf.DUMMYFUNCTION("""COMPUTED_VALUE"""),22.0)</f>
        <v>22</v>
      </c>
      <c r="G177" s="1">
        <f>IFERROR(__xludf.DUMMYFUNCTION("""COMPUTED_VALUE"""),76.0)</f>
        <v>76</v>
      </c>
      <c r="H177" s="1">
        <f>IFERROR(__xludf.DUMMYFUNCTION("""COMPUTED_VALUE"""),92.0)</f>
        <v>92</v>
      </c>
      <c r="I177" s="1">
        <f>IFERROR(__xludf.DUMMYFUNCTION("""COMPUTED_VALUE"""),92.0)</f>
        <v>92</v>
      </c>
      <c r="J177" s="1">
        <f>IFERROR(__xludf.DUMMYFUNCTION("""COMPUTED_VALUE"""),41.0)</f>
        <v>41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 t="str">
        <f>IFERROR(__xludf.DUMMYFUNCTION("""COMPUTED_VALUE"""),"A")</f>
        <v>A</v>
      </c>
      <c r="E178" s="1">
        <f>IFERROR(__xludf.DUMMYFUNCTION("""COMPUTED_VALUE"""),14.0)</f>
        <v>14</v>
      </c>
      <c r="F178" s="1">
        <f>IFERROR(__xludf.DUMMYFUNCTION("""COMPUTED_VALUE"""),60.0)</f>
        <v>60</v>
      </c>
      <c r="G178" s="1">
        <f>IFERROR(__xludf.DUMMYFUNCTION("""COMPUTED_VALUE"""),50.0)</f>
        <v>50</v>
      </c>
      <c r="H178" s="1">
        <f>IFERROR(__xludf.DUMMYFUNCTION("""COMPUTED_VALUE"""),78.0)</f>
        <v>78</v>
      </c>
      <c r="I178" s="1">
        <f>IFERROR(__xludf.DUMMYFUNCTION("""COMPUTED_VALUE"""),37.0)</f>
        <v>37</v>
      </c>
      <c r="J178" s="1">
        <f>IFERROR(__xludf.DUMMYFUNCTION("""COMPUTED_VALUE"""),56.0)</f>
        <v>56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 t="str">
        <f>IFERROR(__xludf.DUMMYFUNCTION("""COMPUTED_VALUE"""),"B")</f>
        <v>B</v>
      </c>
      <c r="E179" s="1">
        <f>IFERROR(__xludf.DUMMYFUNCTION("""COMPUTED_VALUE"""),71.0)</f>
        <v>71</v>
      </c>
      <c r="F179" s="1">
        <f>IFERROR(__xludf.DUMMYFUNCTION("""COMPUTED_VALUE"""),49.0)</f>
        <v>49</v>
      </c>
      <c r="G179" s="1">
        <f>IFERROR(__xludf.DUMMYFUNCTION("""COMPUTED_VALUE"""),76.0)</f>
        <v>76</v>
      </c>
      <c r="H179" s="1">
        <f>IFERROR(__xludf.DUMMYFUNCTION("""COMPUTED_VALUE"""),61.0)</f>
        <v>61</v>
      </c>
      <c r="I179" s="1">
        <f>IFERROR(__xludf.DUMMYFUNCTION("""COMPUTED_VALUE"""),94.0)</f>
        <v>94</v>
      </c>
      <c r="J179" s="1">
        <f>IFERROR(__xludf.DUMMYFUNCTION("""COMPUTED_VALUE"""),27.0)</f>
        <v>27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 t="str">
        <f>IFERROR(__xludf.DUMMYFUNCTION("""COMPUTED_VALUE"""),"D")</f>
        <v>D</v>
      </c>
      <c r="E180" s="1">
        <f>IFERROR(__xludf.DUMMYFUNCTION("""COMPUTED_VALUE"""),89.0)</f>
        <v>89</v>
      </c>
      <c r="F180" s="1">
        <f>IFERROR(__xludf.DUMMYFUNCTION("""COMPUTED_VALUE"""),43.0)</f>
        <v>43</v>
      </c>
      <c r="G180" s="1">
        <f>IFERROR(__xludf.DUMMYFUNCTION("""COMPUTED_VALUE"""),85.0)</f>
        <v>85</v>
      </c>
      <c r="H180" s="1">
        <f>IFERROR(__xludf.DUMMYFUNCTION("""COMPUTED_VALUE"""),91.0)</f>
        <v>91</v>
      </c>
      <c r="I180" s="1">
        <f>IFERROR(__xludf.DUMMYFUNCTION("""COMPUTED_VALUE"""),92.0)</f>
        <v>92</v>
      </c>
      <c r="J180" s="1">
        <f>IFERROR(__xludf.DUMMYFUNCTION("""COMPUTED_VALUE"""),62.0)</f>
        <v>62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 t="str">
        <f>IFERROR(__xludf.DUMMYFUNCTION("""COMPUTED_VALUE"""),"A")</f>
        <v>A</v>
      </c>
      <c r="E181" s="1">
        <f>IFERROR(__xludf.DUMMYFUNCTION("""COMPUTED_VALUE"""),10.0)</f>
        <v>10</v>
      </c>
      <c r="F181" s="1">
        <f>IFERROR(__xludf.DUMMYFUNCTION("""COMPUTED_VALUE"""),52.0)</f>
        <v>52</v>
      </c>
      <c r="G181" s="1">
        <f>IFERROR(__xludf.DUMMYFUNCTION("""COMPUTED_VALUE"""),94.0)</f>
        <v>94</v>
      </c>
      <c r="H181" s="1">
        <f>IFERROR(__xludf.DUMMYFUNCTION("""COMPUTED_VALUE"""),62.0)</f>
        <v>62</v>
      </c>
      <c r="I181" s="1">
        <f>IFERROR(__xludf.DUMMYFUNCTION("""COMPUTED_VALUE"""),74.0)</f>
        <v>74</v>
      </c>
      <c r="J181" s="1">
        <f>IFERROR(__xludf.DUMMYFUNCTION("""COMPUTED_VALUE"""),42.0)</f>
        <v>42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 t="str">
        <f>IFERROR(__xludf.DUMMYFUNCTION("""COMPUTED_VALUE"""),"C")</f>
        <v>C</v>
      </c>
      <c r="E182" s="1">
        <f>IFERROR(__xludf.DUMMYFUNCTION("""COMPUTED_VALUE"""),38.0)</f>
        <v>38</v>
      </c>
      <c r="F182" s="1">
        <f>IFERROR(__xludf.DUMMYFUNCTION("""COMPUTED_VALUE"""),97.0)</f>
        <v>97</v>
      </c>
      <c r="G182" s="1">
        <f>IFERROR(__xludf.DUMMYFUNCTION("""COMPUTED_VALUE"""),87.0)</f>
        <v>87</v>
      </c>
      <c r="H182" s="1">
        <f>IFERROR(__xludf.DUMMYFUNCTION("""COMPUTED_VALUE"""),20.0)</f>
        <v>20</v>
      </c>
      <c r="I182" s="1">
        <f>IFERROR(__xludf.DUMMYFUNCTION("""COMPUTED_VALUE"""),41.0)</f>
        <v>41</v>
      </c>
      <c r="J182" s="1">
        <f>IFERROR(__xludf.DUMMYFUNCTION("""COMPUTED_VALUE"""),73.0)</f>
        <v>73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 t="str">
        <f>IFERROR(__xludf.DUMMYFUNCTION("""COMPUTED_VALUE"""),"D")</f>
        <v>D</v>
      </c>
      <c r="E183" s="1">
        <f>IFERROR(__xludf.DUMMYFUNCTION("""COMPUTED_VALUE"""),21.0)</f>
        <v>21</v>
      </c>
      <c r="F183" s="1">
        <f>IFERROR(__xludf.DUMMYFUNCTION("""COMPUTED_VALUE"""),91.0)</f>
        <v>91</v>
      </c>
      <c r="G183" s="1">
        <f>IFERROR(__xludf.DUMMYFUNCTION("""COMPUTED_VALUE"""),66.0)</f>
        <v>66</v>
      </c>
      <c r="H183" s="1">
        <f>IFERROR(__xludf.DUMMYFUNCTION("""COMPUTED_VALUE"""),56.0)</f>
        <v>56</v>
      </c>
      <c r="I183" s="1">
        <f>IFERROR(__xludf.DUMMYFUNCTION("""COMPUTED_VALUE"""),87.0)</f>
        <v>87</v>
      </c>
      <c r="J183" s="1">
        <f>IFERROR(__xludf.DUMMYFUNCTION("""COMPUTED_VALUE"""),39.0)</f>
        <v>39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 t="str">
        <f>IFERROR(__xludf.DUMMYFUNCTION("""COMPUTED_VALUE"""),"C")</f>
        <v>C</v>
      </c>
      <c r="E184" s="1">
        <f>IFERROR(__xludf.DUMMYFUNCTION("""COMPUTED_VALUE"""),18.0)</f>
        <v>18</v>
      </c>
      <c r="F184" s="1">
        <f>IFERROR(__xludf.DUMMYFUNCTION("""COMPUTED_VALUE"""),53.0)</f>
        <v>53</v>
      </c>
      <c r="G184" s="1">
        <f>IFERROR(__xludf.DUMMYFUNCTION("""COMPUTED_VALUE"""),49.0)</f>
        <v>49</v>
      </c>
      <c r="H184" s="1">
        <f>IFERROR(__xludf.DUMMYFUNCTION("""COMPUTED_VALUE"""),46.0)</f>
        <v>46</v>
      </c>
      <c r="I184" s="1">
        <f>IFERROR(__xludf.DUMMYFUNCTION("""COMPUTED_VALUE"""),60.0)</f>
        <v>60</v>
      </c>
      <c r="J184" s="1">
        <f>IFERROR(__xludf.DUMMYFUNCTION("""COMPUTED_VALUE"""),63.0)</f>
        <v>63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 t="str">
        <f>IFERROR(__xludf.DUMMYFUNCTION("""COMPUTED_VALUE"""),"C")</f>
        <v>C</v>
      </c>
      <c r="E185" s="1">
        <f>IFERROR(__xludf.DUMMYFUNCTION("""COMPUTED_VALUE"""),24.0)</f>
        <v>24</v>
      </c>
      <c r="F185" s="1">
        <f>IFERROR(__xludf.DUMMYFUNCTION("""COMPUTED_VALUE"""),81.0)</f>
        <v>81</v>
      </c>
      <c r="G185" s="1">
        <f>IFERROR(__xludf.DUMMYFUNCTION("""COMPUTED_VALUE"""),72.0)</f>
        <v>72</v>
      </c>
      <c r="H185" s="1">
        <f>IFERROR(__xludf.DUMMYFUNCTION("""COMPUTED_VALUE"""),47.0)</f>
        <v>47</v>
      </c>
      <c r="I185" s="1">
        <f>IFERROR(__xludf.DUMMYFUNCTION("""COMPUTED_VALUE"""),73.0)</f>
        <v>73</v>
      </c>
      <c r="J185" s="1">
        <f>IFERROR(__xludf.DUMMYFUNCTION("""COMPUTED_VALUE"""),31.0)</f>
        <v>31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 t="str">
        <f>IFERROR(__xludf.DUMMYFUNCTION("""COMPUTED_VALUE"""),"C")</f>
        <v>C</v>
      </c>
      <c r="E186" s="1">
        <f>IFERROR(__xludf.DUMMYFUNCTION("""COMPUTED_VALUE"""),32.0)</f>
        <v>32</v>
      </c>
      <c r="F186" s="1">
        <f>IFERROR(__xludf.DUMMYFUNCTION("""COMPUTED_VALUE"""),73.0)</f>
        <v>73</v>
      </c>
      <c r="G186" s="1">
        <f>IFERROR(__xludf.DUMMYFUNCTION("""COMPUTED_VALUE"""),32.0)</f>
        <v>32</v>
      </c>
      <c r="H186" s="1">
        <f>IFERROR(__xludf.DUMMYFUNCTION("""COMPUTED_VALUE"""),21.0)</f>
        <v>21</v>
      </c>
      <c r="I186" s="1">
        <f>IFERROR(__xludf.DUMMYFUNCTION("""COMPUTED_VALUE"""),77.0)</f>
        <v>77</v>
      </c>
      <c r="J186" s="1">
        <f>IFERROR(__xludf.DUMMYFUNCTION("""COMPUTED_VALUE"""),62.0)</f>
        <v>62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 t="str">
        <f>IFERROR(__xludf.DUMMYFUNCTION("""COMPUTED_VALUE"""),"A")</f>
        <v>A</v>
      </c>
      <c r="E187" s="1">
        <f>IFERROR(__xludf.DUMMYFUNCTION("""COMPUTED_VALUE"""),63.0)</f>
        <v>63</v>
      </c>
      <c r="F187" s="1">
        <f>IFERROR(__xludf.DUMMYFUNCTION("""COMPUTED_VALUE"""),24.0)</f>
        <v>24</v>
      </c>
      <c r="G187" s="1">
        <f>IFERROR(__xludf.DUMMYFUNCTION("""COMPUTED_VALUE"""),31.0)</f>
        <v>31</v>
      </c>
      <c r="H187" s="1">
        <f>IFERROR(__xludf.DUMMYFUNCTION("""COMPUTED_VALUE"""),22.0)</f>
        <v>22</v>
      </c>
      <c r="I187" s="1">
        <f>IFERROR(__xludf.DUMMYFUNCTION("""COMPUTED_VALUE"""),26.0)</f>
        <v>26</v>
      </c>
      <c r="J187" s="1">
        <f>IFERROR(__xludf.DUMMYFUNCTION("""COMPUTED_VALUE"""),25.0)</f>
        <v>25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 t="str">
        <f>IFERROR(__xludf.DUMMYFUNCTION("""COMPUTED_VALUE"""),"A")</f>
        <v>A</v>
      </c>
      <c r="E188" s="1">
        <f>IFERROR(__xludf.DUMMYFUNCTION("""COMPUTED_VALUE"""),81.0)</f>
        <v>81</v>
      </c>
      <c r="F188" s="1">
        <f>IFERROR(__xludf.DUMMYFUNCTION("""COMPUTED_VALUE"""),64.0)</f>
        <v>64</v>
      </c>
      <c r="G188" s="1">
        <f>IFERROR(__xludf.DUMMYFUNCTION("""COMPUTED_VALUE"""),94.0)</f>
        <v>94</v>
      </c>
      <c r="H188" s="1">
        <f>IFERROR(__xludf.DUMMYFUNCTION("""COMPUTED_VALUE"""),96.0)</f>
        <v>96</v>
      </c>
      <c r="I188" s="1">
        <f>IFERROR(__xludf.DUMMYFUNCTION("""COMPUTED_VALUE"""),62.0)</f>
        <v>62</v>
      </c>
      <c r="J188" s="1">
        <f>IFERROR(__xludf.DUMMYFUNCTION("""COMPUTED_VALUE"""),60.0)</f>
        <v>60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 t="str">
        <f>IFERROR(__xludf.DUMMYFUNCTION("""COMPUTED_VALUE"""),"B")</f>
        <v>B</v>
      </c>
      <c r="E189" s="1">
        <f>IFERROR(__xludf.DUMMYFUNCTION("""COMPUTED_VALUE"""),89.0)</f>
        <v>89</v>
      </c>
      <c r="F189" s="1">
        <f>IFERROR(__xludf.DUMMYFUNCTION("""COMPUTED_VALUE"""),93.0)</f>
        <v>93</v>
      </c>
      <c r="G189" s="1">
        <f>IFERROR(__xludf.DUMMYFUNCTION("""COMPUTED_VALUE"""),40.0)</f>
        <v>40</v>
      </c>
      <c r="H189" s="1">
        <f>IFERROR(__xludf.DUMMYFUNCTION("""COMPUTED_VALUE"""),22.0)</f>
        <v>22</v>
      </c>
      <c r="I189" s="1">
        <f>IFERROR(__xludf.DUMMYFUNCTION("""COMPUTED_VALUE"""),34.0)</f>
        <v>34</v>
      </c>
      <c r="J189" s="1">
        <f>IFERROR(__xludf.DUMMYFUNCTION("""COMPUTED_VALUE"""),61.0)</f>
        <v>61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 t="str">
        <f>IFERROR(__xludf.DUMMYFUNCTION("""COMPUTED_VALUE"""),"D")</f>
        <v>D</v>
      </c>
      <c r="E190" s="1">
        <f>IFERROR(__xludf.DUMMYFUNCTION("""COMPUTED_VALUE"""),19.0)</f>
        <v>19</v>
      </c>
      <c r="F190" s="1">
        <f>IFERROR(__xludf.DUMMYFUNCTION("""COMPUTED_VALUE"""),48.0)</f>
        <v>48</v>
      </c>
      <c r="G190" s="1">
        <f>IFERROR(__xludf.DUMMYFUNCTION("""COMPUTED_VALUE"""),20.0)</f>
        <v>20</v>
      </c>
      <c r="H190" s="1">
        <f>IFERROR(__xludf.DUMMYFUNCTION("""COMPUTED_VALUE"""),77.0)</f>
        <v>77</v>
      </c>
      <c r="I190" s="1">
        <f>IFERROR(__xludf.DUMMYFUNCTION("""COMPUTED_VALUE"""),24.0)</f>
        <v>24</v>
      </c>
      <c r="J190" s="1">
        <f>IFERROR(__xludf.DUMMYFUNCTION("""COMPUTED_VALUE"""),72.0)</f>
        <v>72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 t="str">
        <f>IFERROR(__xludf.DUMMYFUNCTION("""COMPUTED_VALUE"""),"A")</f>
        <v>A</v>
      </c>
      <c r="E191" s="1">
        <f>IFERROR(__xludf.DUMMYFUNCTION("""COMPUTED_VALUE"""),11.0)</f>
        <v>11</v>
      </c>
      <c r="F191" s="1">
        <f>IFERROR(__xludf.DUMMYFUNCTION("""COMPUTED_VALUE"""),59.0)</f>
        <v>59</v>
      </c>
      <c r="G191" s="1">
        <f>IFERROR(__xludf.DUMMYFUNCTION("""COMPUTED_VALUE"""),43.0)</f>
        <v>43</v>
      </c>
      <c r="H191" s="1">
        <f>IFERROR(__xludf.DUMMYFUNCTION("""COMPUTED_VALUE"""),67.0)</f>
        <v>67</v>
      </c>
      <c r="I191" s="1">
        <f>IFERROR(__xludf.DUMMYFUNCTION("""COMPUTED_VALUE"""),35.0)</f>
        <v>35</v>
      </c>
      <c r="J191" s="1">
        <f>IFERROR(__xludf.DUMMYFUNCTION("""COMPUTED_VALUE"""),64.0)</f>
        <v>64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 t="str">
        <f>IFERROR(__xludf.DUMMYFUNCTION("""COMPUTED_VALUE"""),"C")</f>
        <v>C</v>
      </c>
      <c r="E192" s="1">
        <f>IFERROR(__xludf.DUMMYFUNCTION("""COMPUTED_VALUE"""),84.0)</f>
        <v>84</v>
      </c>
      <c r="F192" s="1">
        <f>IFERROR(__xludf.DUMMYFUNCTION("""COMPUTED_VALUE"""),97.0)</f>
        <v>97</v>
      </c>
      <c r="G192" s="1">
        <f>IFERROR(__xludf.DUMMYFUNCTION("""COMPUTED_VALUE"""),72.0)</f>
        <v>72</v>
      </c>
      <c r="H192" s="1">
        <f>IFERROR(__xludf.DUMMYFUNCTION("""COMPUTED_VALUE"""),67.0)</f>
        <v>67</v>
      </c>
      <c r="I192" s="1">
        <f>IFERROR(__xludf.DUMMYFUNCTION("""COMPUTED_VALUE"""),89.0)</f>
        <v>89</v>
      </c>
      <c r="J192" s="1">
        <f>IFERROR(__xludf.DUMMYFUNCTION("""COMPUTED_VALUE"""),58.0)</f>
        <v>58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 t="str">
        <f>IFERROR(__xludf.DUMMYFUNCTION("""COMPUTED_VALUE"""),"D")</f>
        <v>D</v>
      </c>
      <c r="E193" s="1">
        <f>IFERROR(__xludf.DUMMYFUNCTION("""COMPUTED_VALUE"""),21.0)</f>
        <v>21</v>
      </c>
      <c r="F193" s="1">
        <f>IFERROR(__xludf.DUMMYFUNCTION("""COMPUTED_VALUE"""),48.0)</f>
        <v>48</v>
      </c>
      <c r="G193" s="1">
        <f>IFERROR(__xludf.DUMMYFUNCTION("""COMPUTED_VALUE"""),80.0)</f>
        <v>80</v>
      </c>
      <c r="H193" s="1">
        <f>IFERROR(__xludf.DUMMYFUNCTION("""COMPUTED_VALUE"""),70.0)</f>
        <v>70</v>
      </c>
      <c r="I193" s="1">
        <f>IFERROR(__xludf.DUMMYFUNCTION("""COMPUTED_VALUE"""),37.0)</f>
        <v>37</v>
      </c>
      <c r="J193" s="1">
        <f>IFERROR(__xludf.DUMMYFUNCTION("""COMPUTED_VALUE"""),94.0)</f>
        <v>94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 t="str">
        <f>IFERROR(__xludf.DUMMYFUNCTION("""COMPUTED_VALUE"""),"A")</f>
        <v>A</v>
      </c>
      <c r="E194" s="1">
        <f>IFERROR(__xludf.DUMMYFUNCTION("""COMPUTED_VALUE"""),86.0)</f>
        <v>86</v>
      </c>
      <c r="F194" s="1">
        <f>IFERROR(__xludf.DUMMYFUNCTION("""COMPUTED_VALUE"""),58.0)</f>
        <v>58</v>
      </c>
      <c r="G194" s="1">
        <f>IFERROR(__xludf.DUMMYFUNCTION("""COMPUTED_VALUE"""),61.0)</f>
        <v>61</v>
      </c>
      <c r="H194" s="1">
        <f>IFERROR(__xludf.DUMMYFUNCTION("""COMPUTED_VALUE"""),27.0)</f>
        <v>27</v>
      </c>
      <c r="I194" s="1">
        <f>IFERROR(__xludf.DUMMYFUNCTION("""COMPUTED_VALUE"""),29.0)</f>
        <v>29</v>
      </c>
      <c r="J194" s="1">
        <f>IFERROR(__xludf.DUMMYFUNCTION("""COMPUTED_VALUE"""),84.0)</f>
        <v>84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 t="str">
        <f>IFERROR(__xludf.DUMMYFUNCTION("""COMPUTED_VALUE"""),"A")</f>
        <v>A</v>
      </c>
      <c r="E195" s="1">
        <f>IFERROR(__xludf.DUMMYFUNCTION("""COMPUTED_VALUE"""),18.0)</f>
        <v>18</v>
      </c>
      <c r="F195" s="1">
        <f>IFERROR(__xludf.DUMMYFUNCTION("""COMPUTED_VALUE"""),76.0)</f>
        <v>76</v>
      </c>
      <c r="G195" s="1">
        <f>IFERROR(__xludf.DUMMYFUNCTION("""COMPUTED_VALUE"""),79.0)</f>
        <v>79</v>
      </c>
      <c r="H195" s="1">
        <f>IFERROR(__xludf.DUMMYFUNCTION("""COMPUTED_VALUE"""),58.0)</f>
        <v>58</v>
      </c>
      <c r="I195" s="1">
        <f>IFERROR(__xludf.DUMMYFUNCTION("""COMPUTED_VALUE"""),23.0)</f>
        <v>23</v>
      </c>
      <c r="J195" s="1">
        <f>IFERROR(__xludf.DUMMYFUNCTION("""COMPUTED_VALUE"""),41.0)</f>
        <v>41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 t="str">
        <f>IFERROR(__xludf.DUMMYFUNCTION("""COMPUTED_VALUE"""),"D")</f>
        <v>D</v>
      </c>
      <c r="E196" s="1">
        <f>IFERROR(__xludf.DUMMYFUNCTION("""COMPUTED_VALUE"""),72.0)</f>
        <v>72</v>
      </c>
      <c r="F196" s="1">
        <f>IFERROR(__xludf.DUMMYFUNCTION("""COMPUTED_VALUE"""),54.0)</f>
        <v>54</v>
      </c>
      <c r="G196" s="1">
        <f>IFERROR(__xludf.DUMMYFUNCTION("""COMPUTED_VALUE"""),45.0)</f>
        <v>45</v>
      </c>
      <c r="H196" s="1">
        <f>IFERROR(__xludf.DUMMYFUNCTION("""COMPUTED_VALUE"""),60.0)</f>
        <v>60</v>
      </c>
      <c r="I196" s="1">
        <f>IFERROR(__xludf.DUMMYFUNCTION("""COMPUTED_VALUE"""),61.0)</f>
        <v>61</v>
      </c>
      <c r="J196" s="1">
        <f>IFERROR(__xludf.DUMMYFUNCTION("""COMPUTED_VALUE"""),98.0)</f>
        <v>98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 t="str">
        <f>IFERROR(__xludf.DUMMYFUNCTION("""COMPUTED_VALUE"""),"A")</f>
        <v>A</v>
      </c>
      <c r="E197" s="1">
        <f>IFERROR(__xludf.DUMMYFUNCTION("""COMPUTED_VALUE"""),14.0)</f>
        <v>14</v>
      </c>
      <c r="F197" s="1">
        <f>IFERROR(__xludf.DUMMYFUNCTION("""COMPUTED_VALUE"""),55.0)</f>
        <v>55</v>
      </c>
      <c r="G197" s="1">
        <f>IFERROR(__xludf.DUMMYFUNCTION("""COMPUTED_VALUE"""),83.0)</f>
        <v>83</v>
      </c>
      <c r="H197" s="1">
        <f>IFERROR(__xludf.DUMMYFUNCTION("""COMPUTED_VALUE"""),61.0)</f>
        <v>61</v>
      </c>
      <c r="I197" s="1">
        <f>IFERROR(__xludf.DUMMYFUNCTION("""COMPUTED_VALUE"""),64.0)</f>
        <v>64</v>
      </c>
      <c r="J197" s="1">
        <f>IFERROR(__xludf.DUMMYFUNCTION("""COMPUTED_VALUE"""),82.0)</f>
        <v>82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 t="str">
        <f>IFERROR(__xludf.DUMMYFUNCTION("""COMPUTED_VALUE"""),"A")</f>
        <v>A</v>
      </c>
      <c r="E198" s="1">
        <f>IFERROR(__xludf.DUMMYFUNCTION("""COMPUTED_VALUE"""),13.0)</f>
        <v>13</v>
      </c>
      <c r="F198" s="1">
        <f>IFERROR(__xludf.DUMMYFUNCTION("""COMPUTED_VALUE"""),87.0)</f>
        <v>87</v>
      </c>
      <c r="G198" s="1">
        <f>IFERROR(__xludf.DUMMYFUNCTION("""COMPUTED_VALUE"""),83.0)</f>
        <v>83</v>
      </c>
      <c r="H198" s="1">
        <f>IFERROR(__xludf.DUMMYFUNCTION("""COMPUTED_VALUE"""),52.0)</f>
        <v>52</v>
      </c>
      <c r="I198" s="1">
        <f>IFERROR(__xludf.DUMMYFUNCTION("""COMPUTED_VALUE"""),70.0)</f>
        <v>70</v>
      </c>
      <c r="J198" s="1">
        <f>IFERROR(__xludf.DUMMYFUNCTION("""COMPUTED_VALUE"""),83.0)</f>
        <v>83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 t="str">
        <f>IFERROR(__xludf.DUMMYFUNCTION("""COMPUTED_VALUE"""),"A")</f>
        <v>A</v>
      </c>
      <c r="E199" s="1">
        <f>IFERROR(__xludf.DUMMYFUNCTION("""COMPUTED_VALUE"""),27.0)</f>
        <v>27</v>
      </c>
      <c r="F199" s="1">
        <f>IFERROR(__xludf.DUMMYFUNCTION("""COMPUTED_VALUE"""),27.0)</f>
        <v>27</v>
      </c>
      <c r="G199" s="1">
        <f>IFERROR(__xludf.DUMMYFUNCTION("""COMPUTED_VALUE"""),63.0)</f>
        <v>63</v>
      </c>
      <c r="H199" s="1">
        <f>IFERROR(__xludf.DUMMYFUNCTION("""COMPUTED_VALUE"""),60.0)</f>
        <v>60</v>
      </c>
      <c r="I199" s="1">
        <f>IFERROR(__xludf.DUMMYFUNCTION("""COMPUTED_VALUE"""),43.0)</f>
        <v>43</v>
      </c>
      <c r="J199" s="1">
        <f>IFERROR(__xludf.DUMMYFUNCTION("""COMPUTED_VALUE"""),88.0)</f>
        <v>88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 t="str">
        <f>IFERROR(__xludf.DUMMYFUNCTION("""COMPUTED_VALUE"""),"C")</f>
        <v>C</v>
      </c>
      <c r="E200" s="1">
        <f>IFERROR(__xludf.DUMMYFUNCTION("""COMPUTED_VALUE"""),99.0)</f>
        <v>99</v>
      </c>
      <c r="F200" s="1">
        <f>IFERROR(__xludf.DUMMYFUNCTION("""COMPUTED_VALUE"""),80.0)</f>
        <v>80</v>
      </c>
      <c r="G200" s="1">
        <f>IFERROR(__xludf.DUMMYFUNCTION("""COMPUTED_VALUE"""),49.0)</f>
        <v>49</v>
      </c>
      <c r="H200" s="1">
        <f>IFERROR(__xludf.DUMMYFUNCTION("""COMPUTED_VALUE"""),37.0)</f>
        <v>37</v>
      </c>
      <c r="I200" s="1">
        <f>IFERROR(__xludf.DUMMYFUNCTION("""COMPUTED_VALUE"""),57.0)</f>
        <v>57</v>
      </c>
      <c r="J200" s="1">
        <f>IFERROR(__xludf.DUMMYFUNCTION("""COMPUTED_VALUE"""),73.0)</f>
        <v>73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 t="str">
        <f>IFERROR(__xludf.DUMMYFUNCTION("""COMPUTED_VALUE"""),"B")</f>
        <v>B</v>
      </c>
      <c r="E201" s="1">
        <f>IFERROR(__xludf.DUMMYFUNCTION("""COMPUTED_VALUE"""),84.0)</f>
        <v>84</v>
      </c>
      <c r="F201" s="1">
        <f>IFERROR(__xludf.DUMMYFUNCTION("""COMPUTED_VALUE"""),93.0)</f>
        <v>93</v>
      </c>
      <c r="G201" s="1">
        <f>IFERROR(__xludf.DUMMYFUNCTION("""COMPUTED_VALUE"""),24.0)</f>
        <v>24</v>
      </c>
      <c r="H201" s="1">
        <f>IFERROR(__xludf.DUMMYFUNCTION("""COMPUTED_VALUE"""),24.0)</f>
        <v>24</v>
      </c>
      <c r="I201" s="1">
        <f>IFERROR(__xludf.DUMMYFUNCTION("""COMPUTED_VALUE"""),86.0)</f>
        <v>86</v>
      </c>
      <c r="J201" s="1">
        <f>IFERROR(__xludf.DUMMYFUNCTION("""COMPUTED_VALUE"""),30.0)</f>
        <v>30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 t="str">
        <f>IFERROR(__xludf.DUMMYFUNCTION("""COMPUTED_VALUE"""),"A")</f>
        <v>A</v>
      </c>
      <c r="E202" s="1">
        <f>IFERROR(__xludf.DUMMYFUNCTION("""COMPUTED_VALUE"""),94.0)</f>
        <v>94</v>
      </c>
      <c r="F202" s="1">
        <f>IFERROR(__xludf.DUMMYFUNCTION("""COMPUTED_VALUE"""),58.0)</f>
        <v>58</v>
      </c>
      <c r="G202" s="1">
        <f>IFERROR(__xludf.DUMMYFUNCTION("""COMPUTED_VALUE"""),92.0)</f>
        <v>92</v>
      </c>
      <c r="H202" s="1">
        <f>IFERROR(__xludf.DUMMYFUNCTION("""COMPUTED_VALUE"""),73.0)</f>
        <v>73</v>
      </c>
      <c r="I202" s="1">
        <f>IFERROR(__xludf.DUMMYFUNCTION("""COMPUTED_VALUE"""),24.0)</f>
        <v>24</v>
      </c>
      <c r="J202" s="1">
        <f>IFERROR(__xludf.DUMMYFUNCTION("""COMPUTED_VALUE"""),67.0)</f>
        <v>67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 t="str">
        <f>IFERROR(__xludf.DUMMYFUNCTION("""COMPUTED_VALUE"""),"D")</f>
        <v>D</v>
      </c>
      <c r="E203" s="1">
        <f>IFERROR(__xludf.DUMMYFUNCTION("""COMPUTED_VALUE"""),73.0)</f>
        <v>73</v>
      </c>
      <c r="F203" s="1">
        <f>IFERROR(__xludf.DUMMYFUNCTION("""COMPUTED_VALUE"""),74.0)</f>
        <v>74</v>
      </c>
      <c r="G203" s="1">
        <f>IFERROR(__xludf.DUMMYFUNCTION("""COMPUTED_VALUE"""),67.0)</f>
        <v>67</v>
      </c>
      <c r="H203" s="1">
        <f>IFERROR(__xludf.DUMMYFUNCTION("""COMPUTED_VALUE"""),96.0)</f>
        <v>96</v>
      </c>
      <c r="I203" s="1">
        <f>IFERROR(__xludf.DUMMYFUNCTION("""COMPUTED_VALUE"""),73.0)</f>
        <v>73</v>
      </c>
      <c r="J203" s="1">
        <f>IFERROR(__xludf.DUMMYFUNCTION("""COMPUTED_VALUE"""),23.0)</f>
        <v>23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 t="str">
        <f>IFERROR(__xludf.DUMMYFUNCTION("""COMPUTED_VALUE"""),"D")</f>
        <v>D</v>
      </c>
      <c r="E204" s="1">
        <f>IFERROR(__xludf.DUMMYFUNCTION("""COMPUTED_VALUE"""),71.0)</f>
        <v>71</v>
      </c>
      <c r="F204" s="1">
        <f>IFERROR(__xludf.DUMMYFUNCTION("""COMPUTED_VALUE"""),72.0)</f>
        <v>72</v>
      </c>
      <c r="G204" s="1">
        <f>IFERROR(__xludf.DUMMYFUNCTION("""COMPUTED_VALUE"""),65.0)</f>
        <v>65</v>
      </c>
      <c r="H204" s="1">
        <f>IFERROR(__xludf.DUMMYFUNCTION("""COMPUTED_VALUE"""),52.0)</f>
        <v>52</v>
      </c>
      <c r="I204" s="1">
        <f>IFERROR(__xludf.DUMMYFUNCTION("""COMPUTED_VALUE"""),45.0)</f>
        <v>45</v>
      </c>
      <c r="J204" s="1">
        <f>IFERROR(__xludf.DUMMYFUNCTION("""COMPUTED_VALUE"""),98.0)</f>
        <v>98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 t="str">
        <f>IFERROR(__xludf.DUMMYFUNCTION("""COMPUTED_VALUE"""),"D")</f>
        <v>D</v>
      </c>
      <c r="E205" s="1">
        <f>IFERROR(__xludf.DUMMYFUNCTION("""COMPUTED_VALUE"""),29.0)</f>
        <v>29</v>
      </c>
      <c r="F205" s="1">
        <f>IFERROR(__xludf.DUMMYFUNCTION("""COMPUTED_VALUE"""),98.0)</f>
        <v>98</v>
      </c>
      <c r="G205" s="1">
        <f>IFERROR(__xludf.DUMMYFUNCTION("""COMPUTED_VALUE"""),74.0)</f>
        <v>74</v>
      </c>
      <c r="H205" s="1">
        <f>IFERROR(__xludf.DUMMYFUNCTION("""COMPUTED_VALUE"""),58.0)</f>
        <v>58</v>
      </c>
      <c r="I205" s="1">
        <f>IFERROR(__xludf.DUMMYFUNCTION("""COMPUTED_VALUE"""),20.0)</f>
        <v>20</v>
      </c>
      <c r="J205" s="1">
        <f>IFERROR(__xludf.DUMMYFUNCTION("""COMPUTED_VALUE"""),24.0)</f>
        <v>24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 t="str">
        <f>IFERROR(__xludf.DUMMYFUNCTION("""COMPUTED_VALUE"""),"D")</f>
        <v>D</v>
      </c>
      <c r="E206" s="1">
        <f>IFERROR(__xludf.DUMMYFUNCTION("""COMPUTED_VALUE"""),23.0)</f>
        <v>23</v>
      </c>
      <c r="F206" s="1">
        <f>IFERROR(__xludf.DUMMYFUNCTION("""COMPUTED_VALUE"""),28.0)</f>
        <v>28</v>
      </c>
      <c r="G206" s="1">
        <f>IFERROR(__xludf.DUMMYFUNCTION("""COMPUTED_VALUE"""),99.0)</f>
        <v>99</v>
      </c>
      <c r="H206" s="1">
        <f>IFERROR(__xludf.DUMMYFUNCTION("""COMPUTED_VALUE"""),34.0)</f>
        <v>34</v>
      </c>
      <c r="I206" s="1">
        <f>IFERROR(__xludf.DUMMYFUNCTION("""COMPUTED_VALUE"""),92.0)</f>
        <v>92</v>
      </c>
      <c r="J206" s="1">
        <f>IFERROR(__xludf.DUMMYFUNCTION("""COMPUTED_VALUE"""),55.0)</f>
        <v>55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 t="str">
        <f>IFERROR(__xludf.DUMMYFUNCTION("""COMPUTED_VALUE"""),"A")</f>
        <v>A</v>
      </c>
      <c r="E207" s="1">
        <f>IFERROR(__xludf.DUMMYFUNCTION("""COMPUTED_VALUE"""),99.0)</f>
        <v>99</v>
      </c>
      <c r="F207" s="1">
        <f>IFERROR(__xludf.DUMMYFUNCTION("""COMPUTED_VALUE"""),59.0)</f>
        <v>59</v>
      </c>
      <c r="G207" s="1">
        <f>IFERROR(__xludf.DUMMYFUNCTION("""COMPUTED_VALUE"""),39.0)</f>
        <v>39</v>
      </c>
      <c r="H207" s="1">
        <f>IFERROR(__xludf.DUMMYFUNCTION("""COMPUTED_VALUE"""),82.0)</f>
        <v>82</v>
      </c>
      <c r="I207" s="1">
        <f>IFERROR(__xludf.DUMMYFUNCTION("""COMPUTED_VALUE"""),32.0)</f>
        <v>32</v>
      </c>
      <c r="J207" s="1">
        <f>IFERROR(__xludf.DUMMYFUNCTION("""COMPUTED_VALUE"""),61.0)</f>
        <v>61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 t="str">
        <f>IFERROR(__xludf.DUMMYFUNCTION("""COMPUTED_VALUE"""),"D")</f>
        <v>D</v>
      </c>
      <c r="E208" s="1">
        <f>IFERROR(__xludf.DUMMYFUNCTION("""COMPUTED_VALUE"""),99.0)</f>
        <v>99</v>
      </c>
      <c r="F208" s="1">
        <f>IFERROR(__xludf.DUMMYFUNCTION("""COMPUTED_VALUE"""),95.0)</f>
        <v>95</v>
      </c>
      <c r="G208" s="1">
        <f>IFERROR(__xludf.DUMMYFUNCTION("""COMPUTED_VALUE"""),92.0)</f>
        <v>92</v>
      </c>
      <c r="H208" s="1">
        <f>IFERROR(__xludf.DUMMYFUNCTION("""COMPUTED_VALUE"""),58.0)</f>
        <v>58</v>
      </c>
      <c r="I208" s="1">
        <f>IFERROR(__xludf.DUMMYFUNCTION("""COMPUTED_VALUE"""),38.0)</f>
        <v>38</v>
      </c>
      <c r="J208" s="1">
        <f>IFERROR(__xludf.DUMMYFUNCTION("""COMPUTED_VALUE"""),36.0)</f>
        <v>36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 t="str">
        <f>IFERROR(__xludf.DUMMYFUNCTION("""COMPUTED_VALUE"""),"D")</f>
        <v>D</v>
      </c>
      <c r="E209" s="1">
        <f>IFERROR(__xludf.DUMMYFUNCTION("""COMPUTED_VALUE"""),36.0)</f>
        <v>36</v>
      </c>
      <c r="F209" s="1">
        <f>IFERROR(__xludf.DUMMYFUNCTION("""COMPUTED_VALUE"""),77.0)</f>
        <v>77</v>
      </c>
      <c r="G209" s="1">
        <f>IFERROR(__xludf.DUMMYFUNCTION("""COMPUTED_VALUE"""),62.0)</f>
        <v>62</v>
      </c>
      <c r="H209" s="1">
        <f>IFERROR(__xludf.DUMMYFUNCTION("""COMPUTED_VALUE"""),23.0)</f>
        <v>23</v>
      </c>
      <c r="I209" s="1">
        <f>IFERROR(__xludf.DUMMYFUNCTION("""COMPUTED_VALUE"""),92.0)</f>
        <v>92</v>
      </c>
      <c r="J209" s="1">
        <f>IFERROR(__xludf.DUMMYFUNCTION("""COMPUTED_VALUE"""),32.0)</f>
        <v>32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 t="str">
        <f>IFERROR(__xludf.DUMMYFUNCTION("""COMPUTED_VALUE"""),"D")</f>
        <v>D</v>
      </c>
      <c r="E210" s="1">
        <f>IFERROR(__xludf.DUMMYFUNCTION("""COMPUTED_VALUE"""),59.0)</f>
        <v>59</v>
      </c>
      <c r="F210" s="1">
        <f>IFERROR(__xludf.DUMMYFUNCTION("""COMPUTED_VALUE"""),94.0)</f>
        <v>94</v>
      </c>
      <c r="G210" s="1">
        <f>IFERROR(__xludf.DUMMYFUNCTION("""COMPUTED_VALUE"""),24.0)</f>
        <v>24</v>
      </c>
      <c r="H210" s="1">
        <f>IFERROR(__xludf.DUMMYFUNCTION("""COMPUTED_VALUE"""),52.0)</f>
        <v>52</v>
      </c>
      <c r="I210" s="1">
        <f>IFERROR(__xludf.DUMMYFUNCTION("""COMPUTED_VALUE"""),73.0)</f>
        <v>73</v>
      </c>
      <c r="J210" s="1">
        <f>IFERROR(__xludf.DUMMYFUNCTION("""COMPUTED_VALUE"""),69.0)</f>
        <v>69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 t="str">
        <f>IFERROR(__xludf.DUMMYFUNCTION("""COMPUTED_VALUE"""),"B")</f>
        <v>B</v>
      </c>
      <c r="E211" s="1">
        <f>IFERROR(__xludf.DUMMYFUNCTION("""COMPUTED_VALUE"""),78.0)</f>
        <v>78</v>
      </c>
      <c r="F211" s="1">
        <f>IFERROR(__xludf.DUMMYFUNCTION("""COMPUTED_VALUE"""),36.0)</f>
        <v>36</v>
      </c>
      <c r="G211" s="1">
        <f>IFERROR(__xludf.DUMMYFUNCTION("""COMPUTED_VALUE"""),62.0)</f>
        <v>62</v>
      </c>
      <c r="H211" s="1">
        <f>IFERROR(__xludf.DUMMYFUNCTION("""COMPUTED_VALUE"""),35.0)</f>
        <v>35</v>
      </c>
      <c r="I211" s="1">
        <f>IFERROR(__xludf.DUMMYFUNCTION("""COMPUTED_VALUE"""),20.0)</f>
        <v>20</v>
      </c>
      <c r="J211" s="1">
        <f>IFERROR(__xludf.DUMMYFUNCTION("""COMPUTED_VALUE"""),93.0)</f>
        <v>93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 t="str">
        <f>IFERROR(__xludf.DUMMYFUNCTION("""COMPUTED_VALUE"""),"B")</f>
        <v>B</v>
      </c>
      <c r="E212" s="1">
        <f>IFERROR(__xludf.DUMMYFUNCTION("""COMPUTED_VALUE"""),28.0)</f>
        <v>28</v>
      </c>
      <c r="F212" s="1">
        <f>IFERROR(__xludf.DUMMYFUNCTION("""COMPUTED_VALUE"""),45.0)</f>
        <v>45</v>
      </c>
      <c r="G212" s="1">
        <f>IFERROR(__xludf.DUMMYFUNCTION("""COMPUTED_VALUE"""),67.0)</f>
        <v>67</v>
      </c>
      <c r="H212" s="1">
        <f>IFERROR(__xludf.DUMMYFUNCTION("""COMPUTED_VALUE"""),97.0)</f>
        <v>97</v>
      </c>
      <c r="I212" s="1">
        <f>IFERROR(__xludf.DUMMYFUNCTION("""COMPUTED_VALUE"""),78.0)</f>
        <v>78</v>
      </c>
      <c r="J212" s="1">
        <f>IFERROR(__xludf.DUMMYFUNCTION("""COMPUTED_VALUE"""),38.0)</f>
        <v>38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 t="str">
        <f>IFERROR(__xludf.DUMMYFUNCTION("""COMPUTED_VALUE"""),"B")</f>
        <v>B</v>
      </c>
      <c r="E213" s="1">
        <f>IFERROR(__xludf.DUMMYFUNCTION("""COMPUTED_VALUE"""),60.0)</f>
        <v>60</v>
      </c>
      <c r="F213" s="1">
        <f>IFERROR(__xludf.DUMMYFUNCTION("""COMPUTED_VALUE"""),81.0)</f>
        <v>81</v>
      </c>
      <c r="G213" s="1">
        <f>IFERROR(__xludf.DUMMYFUNCTION("""COMPUTED_VALUE"""),98.0)</f>
        <v>98</v>
      </c>
      <c r="H213" s="1">
        <f>IFERROR(__xludf.DUMMYFUNCTION("""COMPUTED_VALUE"""),70.0)</f>
        <v>70</v>
      </c>
      <c r="I213" s="1">
        <f>IFERROR(__xludf.DUMMYFUNCTION("""COMPUTED_VALUE"""),72.0)</f>
        <v>72</v>
      </c>
      <c r="J213" s="1">
        <f>IFERROR(__xludf.DUMMYFUNCTION("""COMPUTED_VALUE"""),65.0)</f>
        <v>65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 t="str">
        <f>IFERROR(__xludf.DUMMYFUNCTION("""COMPUTED_VALUE"""),"C")</f>
        <v>C</v>
      </c>
      <c r="E214" s="1">
        <f>IFERROR(__xludf.DUMMYFUNCTION("""COMPUTED_VALUE"""),96.0)</f>
        <v>96</v>
      </c>
      <c r="F214" s="1">
        <f>IFERROR(__xludf.DUMMYFUNCTION("""COMPUTED_VALUE"""),84.0)</f>
        <v>84</v>
      </c>
      <c r="G214" s="1">
        <f>IFERROR(__xludf.DUMMYFUNCTION("""COMPUTED_VALUE"""),23.0)</f>
        <v>23</v>
      </c>
      <c r="H214" s="1">
        <f>IFERROR(__xludf.DUMMYFUNCTION("""COMPUTED_VALUE"""),27.0)</f>
        <v>27</v>
      </c>
      <c r="I214" s="1">
        <f>IFERROR(__xludf.DUMMYFUNCTION("""COMPUTED_VALUE"""),30.0)</f>
        <v>30</v>
      </c>
      <c r="J214" s="1">
        <f>IFERROR(__xludf.DUMMYFUNCTION("""COMPUTED_VALUE"""),83.0)</f>
        <v>83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 t="str">
        <f>IFERROR(__xludf.DUMMYFUNCTION("""COMPUTED_VALUE"""),"D")</f>
        <v>D</v>
      </c>
      <c r="E215" s="1">
        <f>IFERROR(__xludf.DUMMYFUNCTION("""COMPUTED_VALUE"""),90.0)</f>
        <v>90</v>
      </c>
      <c r="F215" s="1">
        <f>IFERROR(__xludf.DUMMYFUNCTION("""COMPUTED_VALUE"""),45.0)</f>
        <v>45</v>
      </c>
      <c r="G215" s="1">
        <f>IFERROR(__xludf.DUMMYFUNCTION("""COMPUTED_VALUE"""),94.0)</f>
        <v>94</v>
      </c>
      <c r="H215" s="1">
        <f>IFERROR(__xludf.DUMMYFUNCTION("""COMPUTED_VALUE"""),64.0)</f>
        <v>64</v>
      </c>
      <c r="I215" s="1">
        <f>IFERROR(__xludf.DUMMYFUNCTION("""COMPUTED_VALUE"""),97.0)</f>
        <v>97</v>
      </c>
      <c r="J215" s="1">
        <f>IFERROR(__xludf.DUMMYFUNCTION("""COMPUTED_VALUE"""),59.0)</f>
        <v>59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 t="str">
        <f>IFERROR(__xludf.DUMMYFUNCTION("""COMPUTED_VALUE"""),"B")</f>
        <v>B</v>
      </c>
      <c r="E216" s="1">
        <f>IFERROR(__xludf.DUMMYFUNCTION("""COMPUTED_VALUE"""),18.0)</f>
        <v>18</v>
      </c>
      <c r="F216" s="1">
        <f>IFERROR(__xludf.DUMMYFUNCTION("""COMPUTED_VALUE"""),53.0)</f>
        <v>53</v>
      </c>
      <c r="G216" s="1">
        <f>IFERROR(__xludf.DUMMYFUNCTION("""COMPUTED_VALUE"""),28.0)</f>
        <v>28</v>
      </c>
      <c r="H216" s="1">
        <f>IFERROR(__xludf.DUMMYFUNCTION("""COMPUTED_VALUE"""),71.0)</f>
        <v>71</v>
      </c>
      <c r="I216" s="1">
        <f>IFERROR(__xludf.DUMMYFUNCTION("""COMPUTED_VALUE"""),70.0)</f>
        <v>70</v>
      </c>
      <c r="J216" s="1">
        <f>IFERROR(__xludf.DUMMYFUNCTION("""COMPUTED_VALUE"""),36.0)</f>
        <v>36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 t="str">
        <f>IFERROR(__xludf.DUMMYFUNCTION("""COMPUTED_VALUE"""),"D")</f>
        <v>D</v>
      </c>
      <c r="E217" s="1">
        <f>IFERROR(__xludf.DUMMYFUNCTION("""COMPUTED_VALUE"""),65.0)</f>
        <v>65</v>
      </c>
      <c r="F217" s="1">
        <f>IFERROR(__xludf.DUMMYFUNCTION("""COMPUTED_VALUE"""),62.0)</f>
        <v>62</v>
      </c>
      <c r="G217" s="1">
        <f>IFERROR(__xludf.DUMMYFUNCTION("""COMPUTED_VALUE"""),60.0)</f>
        <v>60</v>
      </c>
      <c r="H217" s="1">
        <f>IFERROR(__xludf.DUMMYFUNCTION("""COMPUTED_VALUE"""),65.0)</f>
        <v>65</v>
      </c>
      <c r="I217" s="1">
        <f>IFERROR(__xludf.DUMMYFUNCTION("""COMPUTED_VALUE"""),65.0)</f>
        <v>65</v>
      </c>
      <c r="J217" s="1">
        <f>IFERROR(__xludf.DUMMYFUNCTION("""COMPUTED_VALUE"""),96.0)</f>
        <v>96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 t="str">
        <f>IFERROR(__xludf.DUMMYFUNCTION("""COMPUTED_VALUE"""),"B")</f>
        <v>B</v>
      </c>
      <c r="E218" s="1">
        <f>IFERROR(__xludf.DUMMYFUNCTION("""COMPUTED_VALUE"""),41.0)</f>
        <v>41</v>
      </c>
      <c r="F218" s="1">
        <f>IFERROR(__xludf.DUMMYFUNCTION("""COMPUTED_VALUE"""),78.0)</f>
        <v>78</v>
      </c>
      <c r="G218" s="1">
        <f>IFERROR(__xludf.DUMMYFUNCTION("""COMPUTED_VALUE"""),95.0)</f>
        <v>95</v>
      </c>
      <c r="H218" s="1">
        <f>IFERROR(__xludf.DUMMYFUNCTION("""COMPUTED_VALUE"""),77.0)</f>
        <v>77</v>
      </c>
      <c r="I218" s="1">
        <f>IFERROR(__xludf.DUMMYFUNCTION("""COMPUTED_VALUE"""),51.0)</f>
        <v>51</v>
      </c>
      <c r="J218" s="1">
        <f>IFERROR(__xludf.DUMMYFUNCTION("""COMPUTED_VALUE"""),38.0)</f>
        <v>38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 t="str">
        <f>IFERROR(__xludf.DUMMYFUNCTION("""COMPUTED_VALUE"""),"D")</f>
        <v>D</v>
      </c>
      <c r="E219" s="1">
        <f>IFERROR(__xludf.DUMMYFUNCTION("""COMPUTED_VALUE"""),65.0)</f>
        <v>65</v>
      </c>
      <c r="F219" s="1">
        <f>IFERROR(__xludf.DUMMYFUNCTION("""COMPUTED_VALUE"""),29.0)</f>
        <v>29</v>
      </c>
      <c r="G219" s="1">
        <f>IFERROR(__xludf.DUMMYFUNCTION("""COMPUTED_VALUE"""),61.0)</f>
        <v>61</v>
      </c>
      <c r="H219" s="1">
        <f>IFERROR(__xludf.DUMMYFUNCTION("""COMPUTED_VALUE"""),92.0)</f>
        <v>92</v>
      </c>
      <c r="I219" s="1">
        <f>IFERROR(__xludf.DUMMYFUNCTION("""COMPUTED_VALUE"""),45.0)</f>
        <v>45</v>
      </c>
      <c r="J219" s="1">
        <f>IFERROR(__xludf.DUMMYFUNCTION("""COMPUTED_VALUE"""),33.0)</f>
        <v>33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 t="str">
        <f>IFERROR(__xludf.DUMMYFUNCTION("""COMPUTED_VALUE"""),"C")</f>
        <v>C</v>
      </c>
      <c r="E220" s="1">
        <f>IFERROR(__xludf.DUMMYFUNCTION("""COMPUTED_VALUE"""),53.0)</f>
        <v>53</v>
      </c>
      <c r="F220" s="1">
        <f>IFERROR(__xludf.DUMMYFUNCTION("""COMPUTED_VALUE"""),63.0)</f>
        <v>63</v>
      </c>
      <c r="G220" s="1">
        <f>IFERROR(__xludf.DUMMYFUNCTION("""COMPUTED_VALUE"""),81.0)</f>
        <v>81</v>
      </c>
      <c r="H220" s="1">
        <f>IFERROR(__xludf.DUMMYFUNCTION("""COMPUTED_VALUE"""),87.0)</f>
        <v>87</v>
      </c>
      <c r="I220" s="1">
        <f>IFERROR(__xludf.DUMMYFUNCTION("""COMPUTED_VALUE"""),23.0)</f>
        <v>23</v>
      </c>
      <c r="J220" s="1">
        <f>IFERROR(__xludf.DUMMYFUNCTION("""COMPUTED_VALUE"""),74.0)</f>
        <v>74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 t="str">
        <f>IFERROR(__xludf.DUMMYFUNCTION("""COMPUTED_VALUE"""),"C")</f>
        <v>C</v>
      </c>
      <c r="E221" s="1">
        <f>IFERROR(__xludf.DUMMYFUNCTION("""COMPUTED_VALUE"""),25.0)</f>
        <v>25</v>
      </c>
      <c r="F221" s="1">
        <f>IFERROR(__xludf.DUMMYFUNCTION("""COMPUTED_VALUE"""),93.0)</f>
        <v>93</v>
      </c>
      <c r="G221" s="1">
        <f>IFERROR(__xludf.DUMMYFUNCTION("""COMPUTED_VALUE"""),23.0)</f>
        <v>23</v>
      </c>
      <c r="H221" s="1">
        <f>IFERROR(__xludf.DUMMYFUNCTION("""COMPUTED_VALUE"""),32.0)</f>
        <v>32</v>
      </c>
      <c r="I221" s="1">
        <f>IFERROR(__xludf.DUMMYFUNCTION("""COMPUTED_VALUE"""),74.0)</f>
        <v>74</v>
      </c>
      <c r="J221" s="1">
        <f>IFERROR(__xludf.DUMMYFUNCTION("""COMPUTED_VALUE"""),88.0)</f>
        <v>88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 t="str">
        <f>IFERROR(__xludf.DUMMYFUNCTION("""COMPUTED_VALUE"""),"D")</f>
        <v>D</v>
      </c>
      <c r="E222" s="1">
        <f>IFERROR(__xludf.DUMMYFUNCTION("""COMPUTED_VALUE"""),40.0)</f>
        <v>40</v>
      </c>
      <c r="F222" s="1">
        <f>IFERROR(__xludf.DUMMYFUNCTION("""COMPUTED_VALUE"""),45.0)</f>
        <v>45</v>
      </c>
      <c r="G222" s="1">
        <f>IFERROR(__xludf.DUMMYFUNCTION("""COMPUTED_VALUE"""),65.0)</f>
        <v>65</v>
      </c>
      <c r="H222" s="1">
        <f>IFERROR(__xludf.DUMMYFUNCTION("""COMPUTED_VALUE"""),76.0)</f>
        <v>76</v>
      </c>
      <c r="I222" s="1">
        <f>IFERROR(__xludf.DUMMYFUNCTION("""COMPUTED_VALUE"""),22.0)</f>
        <v>22</v>
      </c>
      <c r="J222" s="1">
        <f>IFERROR(__xludf.DUMMYFUNCTION("""COMPUTED_VALUE"""),62.0)</f>
        <v>62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 t="str">
        <f>IFERROR(__xludf.DUMMYFUNCTION("""COMPUTED_VALUE"""),"B")</f>
        <v>B</v>
      </c>
      <c r="E223" s="1">
        <f>IFERROR(__xludf.DUMMYFUNCTION("""COMPUTED_VALUE"""),58.0)</f>
        <v>58</v>
      </c>
      <c r="F223" s="1">
        <f>IFERROR(__xludf.DUMMYFUNCTION("""COMPUTED_VALUE"""),73.0)</f>
        <v>73</v>
      </c>
      <c r="G223" s="1">
        <f>IFERROR(__xludf.DUMMYFUNCTION("""COMPUTED_VALUE"""),79.0)</f>
        <v>79</v>
      </c>
      <c r="H223" s="1">
        <f>IFERROR(__xludf.DUMMYFUNCTION("""COMPUTED_VALUE"""),68.0)</f>
        <v>68</v>
      </c>
      <c r="I223" s="1">
        <f>IFERROR(__xludf.DUMMYFUNCTION("""COMPUTED_VALUE"""),93.0)</f>
        <v>93</v>
      </c>
      <c r="J223" s="1">
        <f>IFERROR(__xludf.DUMMYFUNCTION("""COMPUTED_VALUE"""),70.0)</f>
        <v>70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 t="str">
        <f>IFERROR(__xludf.DUMMYFUNCTION("""COMPUTED_VALUE"""),"D")</f>
        <v>D</v>
      </c>
      <c r="E224" s="1">
        <f>IFERROR(__xludf.DUMMYFUNCTION("""COMPUTED_VALUE"""),53.0)</f>
        <v>53</v>
      </c>
      <c r="F224" s="1">
        <f>IFERROR(__xludf.DUMMYFUNCTION("""COMPUTED_VALUE"""),87.0)</f>
        <v>87</v>
      </c>
      <c r="G224" s="1">
        <f>IFERROR(__xludf.DUMMYFUNCTION("""COMPUTED_VALUE"""),58.0)</f>
        <v>58</v>
      </c>
      <c r="H224" s="1">
        <f>IFERROR(__xludf.DUMMYFUNCTION("""COMPUTED_VALUE"""),55.0)</f>
        <v>55</v>
      </c>
      <c r="I224" s="1">
        <f>IFERROR(__xludf.DUMMYFUNCTION("""COMPUTED_VALUE"""),82.0)</f>
        <v>82</v>
      </c>
      <c r="J224" s="1">
        <f>IFERROR(__xludf.DUMMYFUNCTION("""COMPUTED_VALUE"""),23.0)</f>
        <v>23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 t="str">
        <f>IFERROR(__xludf.DUMMYFUNCTION("""COMPUTED_VALUE"""),"B")</f>
        <v>B</v>
      </c>
      <c r="E225" s="1">
        <f>IFERROR(__xludf.DUMMYFUNCTION("""COMPUTED_VALUE"""),43.0)</f>
        <v>43</v>
      </c>
      <c r="F225" s="1">
        <f>IFERROR(__xludf.DUMMYFUNCTION("""COMPUTED_VALUE"""),37.0)</f>
        <v>37</v>
      </c>
      <c r="G225" s="1">
        <f>IFERROR(__xludf.DUMMYFUNCTION("""COMPUTED_VALUE"""),23.0)</f>
        <v>23</v>
      </c>
      <c r="H225" s="1">
        <f>IFERROR(__xludf.DUMMYFUNCTION("""COMPUTED_VALUE"""),87.0)</f>
        <v>87</v>
      </c>
      <c r="I225" s="1">
        <f>IFERROR(__xludf.DUMMYFUNCTION("""COMPUTED_VALUE"""),99.0)</f>
        <v>99</v>
      </c>
      <c r="J225" s="1">
        <f>IFERROR(__xludf.DUMMYFUNCTION("""COMPUTED_VALUE"""),82.0)</f>
        <v>82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 t="str">
        <f>IFERROR(__xludf.DUMMYFUNCTION("""COMPUTED_VALUE"""),"B")</f>
        <v>B</v>
      </c>
      <c r="E226" s="1">
        <f>IFERROR(__xludf.DUMMYFUNCTION("""COMPUTED_VALUE"""),41.0)</f>
        <v>41</v>
      </c>
      <c r="F226" s="1">
        <f>IFERROR(__xludf.DUMMYFUNCTION("""COMPUTED_VALUE"""),68.0)</f>
        <v>68</v>
      </c>
      <c r="G226" s="1">
        <f>IFERROR(__xludf.DUMMYFUNCTION("""COMPUTED_VALUE"""),82.0)</f>
        <v>82</v>
      </c>
      <c r="H226" s="1">
        <f>IFERROR(__xludf.DUMMYFUNCTION("""COMPUTED_VALUE"""),46.0)</f>
        <v>46</v>
      </c>
      <c r="I226" s="1">
        <f>IFERROR(__xludf.DUMMYFUNCTION("""COMPUTED_VALUE"""),60.0)</f>
        <v>60</v>
      </c>
      <c r="J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 t="str">
        <f>IFERROR(__xludf.DUMMYFUNCTION("""COMPUTED_VALUE"""),"C")</f>
        <v>C</v>
      </c>
      <c r="E227" s="1">
        <f>IFERROR(__xludf.DUMMYFUNCTION("""COMPUTED_VALUE"""),45.0)</f>
        <v>45</v>
      </c>
      <c r="F227" s="1">
        <f>IFERROR(__xludf.DUMMYFUNCTION("""COMPUTED_VALUE"""),71.0)</f>
        <v>71</v>
      </c>
      <c r="G227" s="1">
        <f>IFERROR(__xludf.DUMMYFUNCTION("""COMPUTED_VALUE"""),86.0)</f>
        <v>86</v>
      </c>
      <c r="H227" s="1">
        <f>IFERROR(__xludf.DUMMYFUNCTION("""COMPUTED_VALUE"""),83.0)</f>
        <v>83</v>
      </c>
      <c r="I227" s="1">
        <f>IFERROR(__xludf.DUMMYFUNCTION("""COMPUTED_VALUE"""),96.0)</f>
        <v>96</v>
      </c>
      <c r="J227" s="1">
        <f>IFERROR(__xludf.DUMMYFUNCTION("""COMPUTED_VALUE"""),93.0)</f>
        <v>93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 t="str">
        <f>IFERROR(__xludf.DUMMYFUNCTION("""COMPUTED_VALUE"""),"C")</f>
        <v>C</v>
      </c>
      <c r="E228" s="1">
        <f>IFERROR(__xludf.DUMMYFUNCTION("""COMPUTED_VALUE"""),36.0)</f>
        <v>36</v>
      </c>
      <c r="F228" s="1">
        <f>IFERROR(__xludf.DUMMYFUNCTION("""COMPUTED_VALUE"""),80.0)</f>
        <v>80</v>
      </c>
      <c r="G228" s="1">
        <f>IFERROR(__xludf.DUMMYFUNCTION("""COMPUTED_VALUE"""),52.0)</f>
        <v>52</v>
      </c>
      <c r="H228" s="1">
        <f>IFERROR(__xludf.DUMMYFUNCTION("""COMPUTED_VALUE"""),24.0)</f>
        <v>24</v>
      </c>
      <c r="I228" s="1">
        <f>IFERROR(__xludf.DUMMYFUNCTION("""COMPUTED_VALUE"""),22.0)</f>
        <v>22</v>
      </c>
      <c r="J228" s="1">
        <f>IFERROR(__xludf.DUMMYFUNCTION("""COMPUTED_VALUE"""),24.0)</f>
        <v>24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 t="str">
        <f>IFERROR(__xludf.DUMMYFUNCTION("""COMPUTED_VALUE"""),"C")</f>
        <v>C</v>
      </c>
      <c r="E229" s="1">
        <f>IFERROR(__xludf.DUMMYFUNCTION("""COMPUTED_VALUE"""),64.0)</f>
        <v>64</v>
      </c>
      <c r="F229" s="1">
        <f>IFERROR(__xludf.DUMMYFUNCTION("""COMPUTED_VALUE"""),70.0)</f>
        <v>70</v>
      </c>
      <c r="G229" s="1">
        <f>IFERROR(__xludf.DUMMYFUNCTION("""COMPUTED_VALUE"""),44.0)</f>
        <v>44</v>
      </c>
      <c r="H229" s="1">
        <f>IFERROR(__xludf.DUMMYFUNCTION("""COMPUTED_VALUE"""),93.0)</f>
        <v>93</v>
      </c>
      <c r="I229" s="1">
        <f>IFERROR(__xludf.DUMMYFUNCTION("""COMPUTED_VALUE"""),29.0)</f>
        <v>29</v>
      </c>
      <c r="J229" s="1">
        <f>IFERROR(__xludf.DUMMYFUNCTION("""COMPUTED_VALUE"""),85.0)</f>
        <v>85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 t="str">
        <f>IFERROR(__xludf.DUMMYFUNCTION("""COMPUTED_VALUE"""),"A")</f>
        <v>A</v>
      </c>
      <c r="E230" s="1">
        <f>IFERROR(__xludf.DUMMYFUNCTION("""COMPUTED_VALUE"""),20.0)</f>
        <v>20</v>
      </c>
      <c r="F230" s="1">
        <f>IFERROR(__xludf.DUMMYFUNCTION("""COMPUTED_VALUE"""),23.0)</f>
        <v>23</v>
      </c>
      <c r="G230" s="1">
        <f>IFERROR(__xludf.DUMMYFUNCTION("""COMPUTED_VALUE"""),88.0)</f>
        <v>88</v>
      </c>
      <c r="H230" s="1">
        <f>IFERROR(__xludf.DUMMYFUNCTION("""COMPUTED_VALUE"""),43.0)</f>
        <v>43</v>
      </c>
      <c r="I230" s="1">
        <f>IFERROR(__xludf.DUMMYFUNCTION("""COMPUTED_VALUE"""),84.0)</f>
        <v>84</v>
      </c>
      <c r="J230" s="1">
        <f>IFERROR(__xludf.DUMMYFUNCTION("""COMPUTED_VALUE"""),84.0)</f>
        <v>84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 t="str">
        <f>IFERROR(__xludf.DUMMYFUNCTION("""COMPUTED_VALUE"""),"B")</f>
        <v>B</v>
      </c>
      <c r="E231" s="1">
        <f>IFERROR(__xludf.DUMMYFUNCTION("""COMPUTED_VALUE"""),57.0)</f>
        <v>57</v>
      </c>
      <c r="F231" s="1">
        <f>IFERROR(__xludf.DUMMYFUNCTION("""COMPUTED_VALUE"""),82.0)</f>
        <v>82</v>
      </c>
      <c r="G231" s="1">
        <f>IFERROR(__xludf.DUMMYFUNCTION("""COMPUTED_VALUE"""),54.0)</f>
        <v>54</v>
      </c>
      <c r="H231" s="1">
        <f>IFERROR(__xludf.DUMMYFUNCTION("""COMPUTED_VALUE"""),40.0)</f>
        <v>40</v>
      </c>
      <c r="I231" s="1">
        <f>IFERROR(__xludf.DUMMYFUNCTION("""COMPUTED_VALUE"""),47.0)</f>
        <v>47</v>
      </c>
      <c r="J231" s="1">
        <f>IFERROR(__xludf.DUMMYFUNCTION("""COMPUTED_VALUE"""),30.0)</f>
        <v>30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 t="str">
        <f>IFERROR(__xludf.DUMMYFUNCTION("""COMPUTED_VALUE"""),"B")</f>
        <v>B</v>
      </c>
      <c r="E232" s="1">
        <f>IFERROR(__xludf.DUMMYFUNCTION("""COMPUTED_VALUE"""),45.0)</f>
        <v>45</v>
      </c>
      <c r="F232" s="1">
        <f>IFERROR(__xludf.DUMMYFUNCTION("""COMPUTED_VALUE"""),86.0)</f>
        <v>86</v>
      </c>
      <c r="G232" s="1">
        <f>IFERROR(__xludf.DUMMYFUNCTION("""COMPUTED_VALUE"""),69.0)</f>
        <v>69</v>
      </c>
      <c r="H232" s="1">
        <f>IFERROR(__xludf.DUMMYFUNCTION("""COMPUTED_VALUE"""),69.0)</f>
        <v>69</v>
      </c>
      <c r="I232" s="1">
        <f>IFERROR(__xludf.DUMMYFUNCTION("""COMPUTED_VALUE"""),31.0)</f>
        <v>31</v>
      </c>
      <c r="J232" s="1">
        <f>IFERROR(__xludf.DUMMYFUNCTION("""COMPUTED_VALUE"""),88.0)</f>
        <v>88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 t="str">
        <f>IFERROR(__xludf.DUMMYFUNCTION("""COMPUTED_VALUE"""),"D")</f>
        <v>D</v>
      </c>
      <c r="E233" s="1">
        <f>IFERROR(__xludf.DUMMYFUNCTION("""COMPUTED_VALUE"""),20.0)</f>
        <v>20</v>
      </c>
      <c r="F233" s="1">
        <f>IFERROR(__xludf.DUMMYFUNCTION("""COMPUTED_VALUE"""),83.0)</f>
        <v>83</v>
      </c>
      <c r="G233" s="1">
        <f>IFERROR(__xludf.DUMMYFUNCTION("""COMPUTED_VALUE"""),84.0)</f>
        <v>84</v>
      </c>
      <c r="H233" s="1">
        <f>IFERROR(__xludf.DUMMYFUNCTION("""COMPUTED_VALUE"""),59.0)</f>
        <v>59</v>
      </c>
      <c r="I233" s="1">
        <f>IFERROR(__xludf.DUMMYFUNCTION("""COMPUTED_VALUE"""),45.0)</f>
        <v>45</v>
      </c>
      <c r="J233" s="1">
        <f>IFERROR(__xludf.DUMMYFUNCTION("""COMPUTED_VALUE"""),20.0)</f>
        <v>20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 t="str">
        <f>IFERROR(__xludf.DUMMYFUNCTION("""COMPUTED_VALUE"""),"B")</f>
        <v>B</v>
      </c>
      <c r="E234" s="1">
        <f>IFERROR(__xludf.DUMMYFUNCTION("""COMPUTED_VALUE"""),37.0)</f>
        <v>37</v>
      </c>
      <c r="F234" s="1">
        <f>IFERROR(__xludf.DUMMYFUNCTION("""COMPUTED_VALUE"""),28.0)</f>
        <v>28</v>
      </c>
      <c r="G234" s="1">
        <f>IFERROR(__xludf.DUMMYFUNCTION("""COMPUTED_VALUE"""),89.0)</f>
        <v>89</v>
      </c>
      <c r="H234" s="1">
        <f>IFERROR(__xludf.DUMMYFUNCTION("""COMPUTED_VALUE"""),61.0)</f>
        <v>61</v>
      </c>
      <c r="I234" s="1">
        <f>IFERROR(__xludf.DUMMYFUNCTION("""COMPUTED_VALUE"""),66.0)</f>
        <v>66</v>
      </c>
      <c r="J234" s="1">
        <f>IFERROR(__xludf.DUMMYFUNCTION("""COMPUTED_VALUE"""),76.0)</f>
        <v>76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 t="str">
        <f>IFERROR(__xludf.DUMMYFUNCTION("""COMPUTED_VALUE"""),"A")</f>
        <v>A</v>
      </c>
      <c r="E235" s="1">
        <f>IFERROR(__xludf.DUMMYFUNCTION("""COMPUTED_VALUE"""),89.0)</f>
        <v>89</v>
      </c>
      <c r="F235" s="1">
        <f>IFERROR(__xludf.DUMMYFUNCTION("""COMPUTED_VALUE"""),67.0)</f>
        <v>67</v>
      </c>
      <c r="G235" s="1">
        <f>IFERROR(__xludf.DUMMYFUNCTION("""COMPUTED_VALUE"""),94.0)</f>
        <v>94</v>
      </c>
      <c r="H235" s="1">
        <f>IFERROR(__xludf.DUMMYFUNCTION("""COMPUTED_VALUE"""),37.0)</f>
        <v>37</v>
      </c>
      <c r="I235" s="1">
        <f>IFERROR(__xludf.DUMMYFUNCTION("""COMPUTED_VALUE"""),65.0)</f>
        <v>65</v>
      </c>
      <c r="J235" s="1">
        <f>IFERROR(__xludf.DUMMYFUNCTION("""COMPUTED_VALUE"""),41.0)</f>
        <v>41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 t="str">
        <f>IFERROR(__xludf.DUMMYFUNCTION("""COMPUTED_VALUE"""),"C")</f>
        <v>C</v>
      </c>
      <c r="E236" s="1">
        <f>IFERROR(__xludf.DUMMYFUNCTION("""COMPUTED_VALUE"""),28.0)</f>
        <v>28</v>
      </c>
      <c r="F236" s="1">
        <f>IFERROR(__xludf.DUMMYFUNCTION("""COMPUTED_VALUE"""),92.0)</f>
        <v>92</v>
      </c>
      <c r="G236" s="1">
        <f>IFERROR(__xludf.DUMMYFUNCTION("""COMPUTED_VALUE"""),24.0)</f>
        <v>24</v>
      </c>
      <c r="H236" s="1">
        <f>IFERROR(__xludf.DUMMYFUNCTION("""COMPUTED_VALUE"""),72.0)</f>
        <v>72</v>
      </c>
      <c r="I236" s="1">
        <f>IFERROR(__xludf.DUMMYFUNCTION("""COMPUTED_VALUE"""),69.0)</f>
        <v>69</v>
      </c>
      <c r="J236" s="1">
        <f>IFERROR(__xludf.DUMMYFUNCTION("""COMPUTED_VALUE"""),33.0)</f>
        <v>33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 t="str">
        <f>IFERROR(__xludf.DUMMYFUNCTION("""COMPUTED_VALUE"""),"D")</f>
        <v>D</v>
      </c>
      <c r="E237" s="1">
        <f>IFERROR(__xludf.DUMMYFUNCTION("""COMPUTED_VALUE"""),98.0)</f>
        <v>98</v>
      </c>
      <c r="F237" s="1">
        <f>IFERROR(__xludf.DUMMYFUNCTION("""COMPUTED_VALUE"""),41.0)</f>
        <v>41</v>
      </c>
      <c r="G237" s="1">
        <f>IFERROR(__xludf.DUMMYFUNCTION("""COMPUTED_VALUE"""),35.0)</f>
        <v>35</v>
      </c>
      <c r="H237" s="1">
        <f>IFERROR(__xludf.DUMMYFUNCTION("""COMPUTED_VALUE"""),73.0)</f>
        <v>73</v>
      </c>
      <c r="I237" s="1">
        <f>IFERROR(__xludf.DUMMYFUNCTION("""COMPUTED_VALUE"""),94.0)</f>
        <v>94</v>
      </c>
      <c r="J237" s="1">
        <f>IFERROR(__xludf.DUMMYFUNCTION("""COMPUTED_VALUE"""),69.0)</f>
        <v>69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 t="str">
        <f>IFERROR(__xludf.DUMMYFUNCTION("""COMPUTED_VALUE"""),"C")</f>
        <v>C</v>
      </c>
      <c r="E238" s="1">
        <f>IFERROR(__xludf.DUMMYFUNCTION("""COMPUTED_VALUE"""),11.0)</f>
        <v>11</v>
      </c>
      <c r="F238" s="1">
        <f>IFERROR(__xludf.DUMMYFUNCTION("""COMPUTED_VALUE"""),42.0)</f>
        <v>42</v>
      </c>
      <c r="G238" s="1">
        <f>IFERROR(__xludf.DUMMYFUNCTION("""COMPUTED_VALUE"""),45.0)</f>
        <v>45</v>
      </c>
      <c r="H238" s="1">
        <f>IFERROR(__xludf.DUMMYFUNCTION("""COMPUTED_VALUE"""),28.0)</f>
        <v>28</v>
      </c>
      <c r="I238" s="1">
        <f>IFERROR(__xludf.DUMMYFUNCTION("""COMPUTED_VALUE"""),71.0)</f>
        <v>71</v>
      </c>
      <c r="J238" s="1">
        <f>IFERROR(__xludf.DUMMYFUNCTION("""COMPUTED_VALUE"""),39.0)</f>
        <v>39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 t="str">
        <f>IFERROR(__xludf.DUMMYFUNCTION("""COMPUTED_VALUE"""),"C")</f>
        <v>C</v>
      </c>
      <c r="E239" s="1">
        <f>IFERROR(__xludf.DUMMYFUNCTION("""COMPUTED_VALUE"""),68.0)</f>
        <v>68</v>
      </c>
      <c r="F239" s="1">
        <f>IFERROR(__xludf.DUMMYFUNCTION("""COMPUTED_VALUE"""),33.0)</f>
        <v>33</v>
      </c>
      <c r="G239" s="1">
        <f>IFERROR(__xludf.DUMMYFUNCTION("""COMPUTED_VALUE"""),28.0)</f>
        <v>28</v>
      </c>
      <c r="H239" s="1">
        <f>IFERROR(__xludf.DUMMYFUNCTION("""COMPUTED_VALUE"""),87.0)</f>
        <v>87</v>
      </c>
      <c r="I239" s="1">
        <f>IFERROR(__xludf.DUMMYFUNCTION("""COMPUTED_VALUE"""),22.0)</f>
        <v>22</v>
      </c>
      <c r="J239" s="1">
        <f>IFERROR(__xludf.DUMMYFUNCTION("""COMPUTED_VALUE"""),40.0)</f>
        <v>40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 t="str">
        <f>IFERROR(__xludf.DUMMYFUNCTION("""COMPUTED_VALUE"""),"C")</f>
        <v>C</v>
      </c>
      <c r="E240" s="1">
        <f>IFERROR(__xludf.DUMMYFUNCTION("""COMPUTED_VALUE"""),15.0)</f>
        <v>15</v>
      </c>
      <c r="F240" s="1">
        <f>IFERROR(__xludf.DUMMYFUNCTION("""COMPUTED_VALUE"""),33.0)</f>
        <v>33</v>
      </c>
      <c r="G240" s="1">
        <f>IFERROR(__xludf.DUMMYFUNCTION("""COMPUTED_VALUE"""),41.0)</f>
        <v>41</v>
      </c>
      <c r="H240" s="1">
        <f>IFERROR(__xludf.DUMMYFUNCTION("""COMPUTED_VALUE"""),74.0)</f>
        <v>74</v>
      </c>
      <c r="I240" s="1">
        <f>IFERROR(__xludf.DUMMYFUNCTION("""COMPUTED_VALUE"""),33.0)</f>
        <v>33</v>
      </c>
      <c r="J240" s="1">
        <f>IFERROR(__xludf.DUMMYFUNCTION("""COMPUTED_VALUE"""),36.0)</f>
        <v>36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 t="str">
        <f>IFERROR(__xludf.DUMMYFUNCTION("""COMPUTED_VALUE"""),"A")</f>
        <v>A</v>
      </c>
      <c r="E241" s="1">
        <f>IFERROR(__xludf.DUMMYFUNCTION("""COMPUTED_VALUE"""),74.0)</f>
        <v>74</v>
      </c>
      <c r="F241" s="1">
        <f>IFERROR(__xludf.DUMMYFUNCTION("""COMPUTED_VALUE"""),67.0)</f>
        <v>67</v>
      </c>
      <c r="G241" s="1">
        <f>IFERROR(__xludf.DUMMYFUNCTION("""COMPUTED_VALUE"""),43.0)</f>
        <v>43</v>
      </c>
      <c r="H241" s="1">
        <f>IFERROR(__xludf.DUMMYFUNCTION("""COMPUTED_VALUE"""),36.0)</f>
        <v>36</v>
      </c>
      <c r="I241" s="1">
        <f>IFERROR(__xludf.DUMMYFUNCTION("""COMPUTED_VALUE"""),54.0)</f>
        <v>54</v>
      </c>
      <c r="J241" s="1">
        <f>IFERROR(__xludf.DUMMYFUNCTION("""COMPUTED_VALUE"""),46.0)</f>
        <v>46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 t="str">
        <f>IFERROR(__xludf.DUMMYFUNCTION("""COMPUTED_VALUE"""),"C")</f>
        <v>C</v>
      </c>
      <c r="E242" s="1">
        <f>IFERROR(__xludf.DUMMYFUNCTION("""COMPUTED_VALUE"""),84.0)</f>
        <v>84</v>
      </c>
      <c r="F242" s="1">
        <f>IFERROR(__xludf.DUMMYFUNCTION("""COMPUTED_VALUE"""),62.0)</f>
        <v>62</v>
      </c>
      <c r="G242" s="1">
        <f>IFERROR(__xludf.DUMMYFUNCTION("""COMPUTED_VALUE"""),43.0)</f>
        <v>43</v>
      </c>
      <c r="H242" s="1">
        <f>IFERROR(__xludf.DUMMYFUNCTION("""COMPUTED_VALUE"""),28.0)</f>
        <v>28</v>
      </c>
      <c r="I242" s="1">
        <f>IFERROR(__xludf.DUMMYFUNCTION("""COMPUTED_VALUE"""),80.0)</f>
        <v>80</v>
      </c>
      <c r="J242" s="1">
        <f>IFERROR(__xludf.DUMMYFUNCTION("""COMPUTED_VALUE"""),47.0)</f>
        <v>47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 t="str">
        <f>IFERROR(__xludf.DUMMYFUNCTION("""COMPUTED_VALUE"""),"A")</f>
        <v>A</v>
      </c>
      <c r="E243" s="1">
        <f>IFERROR(__xludf.DUMMYFUNCTION("""COMPUTED_VALUE"""),73.0)</f>
        <v>73</v>
      </c>
      <c r="F243" s="1">
        <f>IFERROR(__xludf.DUMMYFUNCTION("""COMPUTED_VALUE"""),77.0)</f>
        <v>77</v>
      </c>
      <c r="G243" s="1">
        <f>IFERROR(__xludf.DUMMYFUNCTION("""COMPUTED_VALUE"""),64.0)</f>
        <v>64</v>
      </c>
      <c r="H243" s="1">
        <f>IFERROR(__xludf.DUMMYFUNCTION("""COMPUTED_VALUE"""),76.0)</f>
        <v>76</v>
      </c>
      <c r="I243" s="1">
        <f>IFERROR(__xludf.DUMMYFUNCTION("""COMPUTED_VALUE"""),56.0)</f>
        <v>56</v>
      </c>
      <c r="J243" s="1">
        <f>IFERROR(__xludf.DUMMYFUNCTION("""COMPUTED_VALUE"""),67.0)</f>
        <v>67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 t="str">
        <f>IFERROR(__xludf.DUMMYFUNCTION("""COMPUTED_VALUE"""),"C")</f>
        <v>C</v>
      </c>
      <c r="E244" s="1">
        <f>IFERROR(__xludf.DUMMYFUNCTION("""COMPUTED_VALUE"""),81.0)</f>
        <v>81</v>
      </c>
      <c r="F244" s="1">
        <f>IFERROR(__xludf.DUMMYFUNCTION("""COMPUTED_VALUE"""),50.0)</f>
        <v>50</v>
      </c>
      <c r="G244" s="1">
        <f>IFERROR(__xludf.DUMMYFUNCTION("""COMPUTED_VALUE"""),73.0)</f>
        <v>73</v>
      </c>
      <c r="H244" s="1">
        <f>IFERROR(__xludf.DUMMYFUNCTION("""COMPUTED_VALUE"""),48.0)</f>
        <v>48</v>
      </c>
      <c r="I244" s="1">
        <f>IFERROR(__xludf.DUMMYFUNCTION("""COMPUTED_VALUE"""),25.0)</f>
        <v>25</v>
      </c>
      <c r="J244" s="1">
        <f>IFERROR(__xludf.DUMMYFUNCTION("""COMPUTED_VALUE"""),42.0)</f>
        <v>42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 t="str">
        <f>IFERROR(__xludf.DUMMYFUNCTION("""COMPUTED_VALUE"""),"C")</f>
        <v>C</v>
      </c>
      <c r="E245" s="1">
        <f>IFERROR(__xludf.DUMMYFUNCTION("""COMPUTED_VALUE"""),87.0)</f>
        <v>87</v>
      </c>
      <c r="F245" s="1">
        <f>IFERROR(__xludf.DUMMYFUNCTION("""COMPUTED_VALUE"""),20.0)</f>
        <v>20</v>
      </c>
      <c r="G245" s="1">
        <f>IFERROR(__xludf.DUMMYFUNCTION("""COMPUTED_VALUE"""),99.0)</f>
        <v>99</v>
      </c>
      <c r="H245" s="1">
        <f>IFERROR(__xludf.DUMMYFUNCTION("""COMPUTED_VALUE"""),57.0)</f>
        <v>57</v>
      </c>
      <c r="I245" s="1">
        <f>IFERROR(__xludf.DUMMYFUNCTION("""COMPUTED_VALUE"""),58.0)</f>
        <v>58</v>
      </c>
      <c r="J245" s="1">
        <f>IFERROR(__xludf.DUMMYFUNCTION("""COMPUTED_VALUE"""),91.0)</f>
        <v>91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 t="str">
        <f>IFERROR(__xludf.DUMMYFUNCTION("""COMPUTED_VALUE"""),"A")</f>
        <v>A</v>
      </c>
      <c r="E246" s="1">
        <f>IFERROR(__xludf.DUMMYFUNCTION("""COMPUTED_VALUE"""),70.0)</f>
        <v>70</v>
      </c>
      <c r="F246" s="1">
        <f>IFERROR(__xludf.DUMMYFUNCTION("""COMPUTED_VALUE"""),81.0)</f>
        <v>81</v>
      </c>
      <c r="G246" s="1">
        <f>IFERROR(__xludf.DUMMYFUNCTION("""COMPUTED_VALUE"""),65.0)</f>
        <v>65</v>
      </c>
      <c r="H246" s="1">
        <f>IFERROR(__xludf.DUMMYFUNCTION("""COMPUTED_VALUE"""),56.0)</f>
        <v>56</v>
      </c>
      <c r="I246" s="1">
        <f>IFERROR(__xludf.DUMMYFUNCTION("""COMPUTED_VALUE"""),25.0)</f>
        <v>25</v>
      </c>
      <c r="J246" s="1">
        <f>IFERROR(__xludf.DUMMYFUNCTION("""COMPUTED_VALUE"""),76.0)</f>
        <v>76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 t="str">
        <f>IFERROR(__xludf.DUMMYFUNCTION("""COMPUTED_VALUE"""),"B")</f>
        <v>B</v>
      </c>
      <c r="E247" s="1">
        <f>IFERROR(__xludf.DUMMYFUNCTION("""COMPUTED_VALUE"""),42.0)</f>
        <v>42</v>
      </c>
      <c r="F247" s="1">
        <f>IFERROR(__xludf.DUMMYFUNCTION("""COMPUTED_VALUE"""),59.0)</f>
        <v>59</v>
      </c>
      <c r="G247" s="1">
        <f>IFERROR(__xludf.DUMMYFUNCTION("""COMPUTED_VALUE"""),25.0)</f>
        <v>25</v>
      </c>
      <c r="H247" s="1">
        <f>IFERROR(__xludf.DUMMYFUNCTION("""COMPUTED_VALUE"""),37.0)</f>
        <v>37</v>
      </c>
      <c r="I247" s="1">
        <f>IFERROR(__xludf.DUMMYFUNCTION("""COMPUTED_VALUE"""),49.0)</f>
        <v>49</v>
      </c>
      <c r="J247" s="1">
        <f>IFERROR(__xludf.DUMMYFUNCTION("""COMPUTED_VALUE"""),75.0)</f>
        <v>75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 t="str">
        <f>IFERROR(__xludf.DUMMYFUNCTION("""COMPUTED_VALUE"""),"C")</f>
        <v>C</v>
      </c>
      <c r="E248" s="1">
        <f>IFERROR(__xludf.DUMMYFUNCTION("""COMPUTED_VALUE"""),43.0)</f>
        <v>43</v>
      </c>
      <c r="F248" s="1">
        <f>IFERROR(__xludf.DUMMYFUNCTION("""COMPUTED_VALUE"""),48.0)</f>
        <v>48</v>
      </c>
      <c r="G248" s="1">
        <f>IFERROR(__xludf.DUMMYFUNCTION("""COMPUTED_VALUE"""),95.0)</f>
        <v>95</v>
      </c>
      <c r="H248" s="1">
        <f>IFERROR(__xludf.DUMMYFUNCTION("""COMPUTED_VALUE"""),85.0)</f>
        <v>85</v>
      </c>
      <c r="I248" s="1">
        <f>IFERROR(__xludf.DUMMYFUNCTION("""COMPUTED_VALUE"""),51.0)</f>
        <v>51</v>
      </c>
      <c r="J248" s="1">
        <f>IFERROR(__xludf.DUMMYFUNCTION("""COMPUTED_VALUE"""),51.0)</f>
        <v>51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 t="str">
        <f>IFERROR(__xludf.DUMMYFUNCTION("""COMPUTED_VALUE"""),"A")</f>
        <v>A</v>
      </c>
      <c r="E249" s="1">
        <f>IFERROR(__xludf.DUMMYFUNCTION("""COMPUTED_VALUE"""),85.0)</f>
        <v>85</v>
      </c>
      <c r="F249" s="1">
        <f>IFERROR(__xludf.DUMMYFUNCTION("""COMPUTED_VALUE"""),30.0)</f>
        <v>30</v>
      </c>
      <c r="G249" s="1">
        <f>IFERROR(__xludf.DUMMYFUNCTION("""COMPUTED_VALUE"""),30.0)</f>
        <v>30</v>
      </c>
      <c r="H249" s="1">
        <f>IFERROR(__xludf.DUMMYFUNCTION("""COMPUTED_VALUE"""),63.0)</f>
        <v>63</v>
      </c>
      <c r="I249" s="1">
        <f>IFERROR(__xludf.DUMMYFUNCTION("""COMPUTED_VALUE"""),30.0)</f>
        <v>30</v>
      </c>
      <c r="J249" s="1">
        <f>IFERROR(__xludf.DUMMYFUNCTION("""COMPUTED_VALUE"""),45.0)</f>
        <v>45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 t="str">
        <f>IFERROR(__xludf.DUMMYFUNCTION("""COMPUTED_VALUE"""),"B")</f>
        <v>B</v>
      </c>
      <c r="E250" s="1">
        <f>IFERROR(__xludf.DUMMYFUNCTION("""COMPUTED_VALUE"""),69.0)</f>
        <v>69</v>
      </c>
      <c r="F250" s="1">
        <f>IFERROR(__xludf.DUMMYFUNCTION("""COMPUTED_VALUE"""),37.0)</f>
        <v>37</v>
      </c>
      <c r="G250" s="1">
        <f>IFERROR(__xludf.DUMMYFUNCTION("""COMPUTED_VALUE"""),94.0)</f>
        <v>94</v>
      </c>
      <c r="H250" s="1">
        <f>IFERROR(__xludf.DUMMYFUNCTION("""COMPUTED_VALUE"""),82.0)</f>
        <v>82</v>
      </c>
      <c r="I250" s="1">
        <f>IFERROR(__xludf.DUMMYFUNCTION("""COMPUTED_VALUE"""),29.0)</f>
        <v>29</v>
      </c>
      <c r="J250" s="1">
        <f>IFERROR(__xludf.DUMMYFUNCTION("""COMPUTED_VALUE"""),28.0)</f>
        <v>28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 t="str">
        <f>IFERROR(__xludf.DUMMYFUNCTION("""COMPUTED_VALUE"""),"D")</f>
        <v>D</v>
      </c>
      <c r="E251" s="1">
        <f>IFERROR(__xludf.DUMMYFUNCTION("""COMPUTED_VALUE"""),27.0)</f>
        <v>27</v>
      </c>
      <c r="F251" s="1">
        <f>IFERROR(__xludf.DUMMYFUNCTION("""COMPUTED_VALUE"""),67.0)</f>
        <v>67</v>
      </c>
      <c r="G251" s="1">
        <f>IFERROR(__xludf.DUMMYFUNCTION("""COMPUTED_VALUE"""),55.0)</f>
        <v>55</v>
      </c>
      <c r="H251" s="1">
        <f>IFERROR(__xludf.DUMMYFUNCTION("""COMPUTED_VALUE"""),94.0)</f>
        <v>94</v>
      </c>
      <c r="I251" s="1">
        <f>IFERROR(__xludf.DUMMYFUNCTION("""COMPUTED_VALUE"""),82.0)</f>
        <v>82</v>
      </c>
      <c r="J251" s="1">
        <f>IFERROR(__xludf.DUMMYFUNCTION("""COMPUTED_VALUE"""),20.0)</f>
        <v>20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 t="str">
        <f>IFERROR(__xludf.DUMMYFUNCTION("""COMPUTED_VALUE"""),"A")</f>
        <v>A</v>
      </c>
      <c r="E252" s="1">
        <f>IFERROR(__xludf.DUMMYFUNCTION("""COMPUTED_VALUE"""),56.0)</f>
        <v>56</v>
      </c>
      <c r="F252" s="1">
        <f>IFERROR(__xludf.DUMMYFUNCTION("""COMPUTED_VALUE"""),35.0)</f>
        <v>35</v>
      </c>
      <c r="G252" s="1">
        <f>IFERROR(__xludf.DUMMYFUNCTION("""COMPUTED_VALUE"""),63.0)</f>
        <v>63</v>
      </c>
      <c r="H252" s="1">
        <f>IFERROR(__xludf.DUMMYFUNCTION("""COMPUTED_VALUE"""),76.0)</f>
        <v>76</v>
      </c>
      <c r="I252" s="1">
        <f>IFERROR(__xludf.DUMMYFUNCTION("""COMPUTED_VALUE"""),80.0)</f>
        <v>80</v>
      </c>
      <c r="J252" s="1">
        <f>IFERROR(__xludf.DUMMYFUNCTION("""COMPUTED_VALUE"""),45.0)</f>
        <v>45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 t="str">
        <f>IFERROR(__xludf.DUMMYFUNCTION("""COMPUTED_VALUE"""),"D")</f>
        <v>D</v>
      </c>
      <c r="E253" s="1">
        <f>IFERROR(__xludf.DUMMYFUNCTION("""COMPUTED_VALUE"""),25.0)</f>
        <v>25</v>
      </c>
      <c r="F253" s="1">
        <f>IFERROR(__xludf.DUMMYFUNCTION("""COMPUTED_VALUE"""),47.0)</f>
        <v>47</v>
      </c>
      <c r="G253" s="1">
        <f>IFERROR(__xludf.DUMMYFUNCTION("""COMPUTED_VALUE"""),53.0)</f>
        <v>53</v>
      </c>
      <c r="H253" s="1">
        <f>IFERROR(__xludf.DUMMYFUNCTION("""COMPUTED_VALUE"""),74.0)</f>
        <v>74</v>
      </c>
      <c r="I253" s="1">
        <f>IFERROR(__xludf.DUMMYFUNCTION("""COMPUTED_VALUE"""),57.0)</f>
        <v>57</v>
      </c>
      <c r="J253" s="1">
        <f>IFERROR(__xludf.DUMMYFUNCTION("""COMPUTED_VALUE"""),83.0)</f>
        <v>83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 t="str">
        <f>IFERROR(__xludf.DUMMYFUNCTION("""COMPUTED_VALUE"""),"C")</f>
        <v>C</v>
      </c>
      <c r="E254" s="1">
        <f>IFERROR(__xludf.DUMMYFUNCTION("""COMPUTED_VALUE"""),42.0)</f>
        <v>42</v>
      </c>
      <c r="F254" s="1">
        <f>IFERROR(__xludf.DUMMYFUNCTION("""COMPUTED_VALUE"""),43.0)</f>
        <v>43</v>
      </c>
      <c r="G254" s="1">
        <f>IFERROR(__xludf.DUMMYFUNCTION("""COMPUTED_VALUE"""),49.0)</f>
        <v>49</v>
      </c>
      <c r="H254" s="1">
        <f>IFERROR(__xludf.DUMMYFUNCTION("""COMPUTED_VALUE"""),49.0)</f>
        <v>49</v>
      </c>
      <c r="I254" s="1">
        <f>IFERROR(__xludf.DUMMYFUNCTION("""COMPUTED_VALUE"""),88.0)</f>
        <v>88</v>
      </c>
      <c r="J254" s="1">
        <f>IFERROR(__xludf.DUMMYFUNCTION("""COMPUTED_VALUE"""),96.0)</f>
        <v>96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 t="str">
        <f>IFERROR(__xludf.DUMMYFUNCTION("""COMPUTED_VALUE"""),"A")</f>
        <v>A</v>
      </c>
      <c r="E255" s="1">
        <f>IFERROR(__xludf.DUMMYFUNCTION("""COMPUTED_VALUE"""),97.0)</f>
        <v>97</v>
      </c>
      <c r="F255" s="1">
        <f>IFERROR(__xludf.DUMMYFUNCTION("""COMPUTED_VALUE"""),20.0)</f>
        <v>20</v>
      </c>
      <c r="G255" s="1">
        <f>IFERROR(__xludf.DUMMYFUNCTION("""COMPUTED_VALUE"""),64.0)</f>
        <v>64</v>
      </c>
      <c r="H255" s="1">
        <f>IFERROR(__xludf.DUMMYFUNCTION("""COMPUTED_VALUE"""),52.0)</f>
        <v>52</v>
      </c>
      <c r="I255" s="1">
        <f>IFERROR(__xludf.DUMMYFUNCTION("""COMPUTED_VALUE"""),58.0)</f>
        <v>58</v>
      </c>
      <c r="J255" s="1">
        <f>IFERROR(__xludf.DUMMYFUNCTION("""COMPUTED_VALUE"""),20.0)</f>
        <v>20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 t="str">
        <f>IFERROR(__xludf.DUMMYFUNCTION("""COMPUTED_VALUE"""),"A")</f>
        <v>A</v>
      </c>
      <c r="E256" s="1">
        <f>IFERROR(__xludf.DUMMYFUNCTION("""COMPUTED_VALUE"""),82.0)</f>
        <v>82</v>
      </c>
      <c r="F256" s="1">
        <f>IFERROR(__xludf.DUMMYFUNCTION("""COMPUTED_VALUE"""),86.0)</f>
        <v>86</v>
      </c>
      <c r="G256" s="1">
        <f>IFERROR(__xludf.DUMMYFUNCTION("""COMPUTED_VALUE"""),97.0)</f>
        <v>97</v>
      </c>
      <c r="H256" s="1">
        <f>IFERROR(__xludf.DUMMYFUNCTION("""COMPUTED_VALUE"""),74.0)</f>
        <v>74</v>
      </c>
      <c r="I256" s="1">
        <f>IFERROR(__xludf.DUMMYFUNCTION("""COMPUTED_VALUE"""),41.0)</f>
        <v>41</v>
      </c>
      <c r="J256" s="1">
        <f>IFERROR(__xludf.DUMMYFUNCTION("""COMPUTED_VALUE"""),83.0)</f>
        <v>83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 t="str">
        <f>IFERROR(__xludf.DUMMYFUNCTION("""COMPUTED_VALUE"""),"D")</f>
        <v>D</v>
      </c>
      <c r="E257" s="1">
        <f>IFERROR(__xludf.DUMMYFUNCTION("""COMPUTED_VALUE"""),75.0)</f>
        <v>75</v>
      </c>
      <c r="F257" s="1">
        <f>IFERROR(__xludf.DUMMYFUNCTION("""COMPUTED_VALUE"""),69.0)</f>
        <v>69</v>
      </c>
      <c r="G257" s="1">
        <f>IFERROR(__xludf.DUMMYFUNCTION("""COMPUTED_VALUE"""),66.0)</f>
        <v>66</v>
      </c>
      <c r="H257" s="1">
        <f>IFERROR(__xludf.DUMMYFUNCTION("""COMPUTED_VALUE"""),87.0)</f>
        <v>87</v>
      </c>
      <c r="I257" s="1">
        <f>IFERROR(__xludf.DUMMYFUNCTION("""COMPUTED_VALUE"""),82.0)</f>
        <v>82</v>
      </c>
      <c r="J257" s="1">
        <f>IFERROR(__xludf.DUMMYFUNCTION("""COMPUTED_VALUE"""),28.0)</f>
        <v>28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 t="str">
        <f>IFERROR(__xludf.DUMMYFUNCTION("""COMPUTED_VALUE"""),"D")</f>
        <v>D</v>
      </c>
      <c r="E258" s="1">
        <f>IFERROR(__xludf.DUMMYFUNCTION("""COMPUTED_VALUE"""),50.0)</f>
        <v>50</v>
      </c>
      <c r="F258" s="1">
        <f>IFERROR(__xludf.DUMMYFUNCTION("""COMPUTED_VALUE"""),78.0)</f>
        <v>78</v>
      </c>
      <c r="G258" s="1">
        <f>IFERROR(__xludf.DUMMYFUNCTION("""COMPUTED_VALUE"""),73.0)</f>
        <v>73</v>
      </c>
      <c r="H258" s="1">
        <f>IFERROR(__xludf.DUMMYFUNCTION("""COMPUTED_VALUE"""),20.0)</f>
        <v>20</v>
      </c>
      <c r="I258" s="1">
        <f>IFERROR(__xludf.DUMMYFUNCTION("""COMPUTED_VALUE"""),74.0)</f>
        <v>74</v>
      </c>
      <c r="J258" s="1">
        <f>IFERROR(__xludf.DUMMYFUNCTION("""COMPUTED_VALUE"""),42.0)</f>
        <v>42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 t="str">
        <f>IFERROR(__xludf.DUMMYFUNCTION("""COMPUTED_VALUE"""),"C")</f>
        <v>C</v>
      </c>
      <c r="E259" s="1">
        <f>IFERROR(__xludf.DUMMYFUNCTION("""COMPUTED_VALUE"""),90.0)</f>
        <v>90</v>
      </c>
      <c r="F259" s="1">
        <f>IFERROR(__xludf.DUMMYFUNCTION("""COMPUTED_VALUE"""),72.0)</f>
        <v>72</v>
      </c>
      <c r="G259" s="1">
        <f>IFERROR(__xludf.DUMMYFUNCTION("""COMPUTED_VALUE"""),92.0)</f>
        <v>92</v>
      </c>
      <c r="H259" s="1">
        <f>IFERROR(__xludf.DUMMYFUNCTION("""COMPUTED_VALUE"""),97.0)</f>
        <v>97</v>
      </c>
      <c r="I259" s="1">
        <f>IFERROR(__xludf.DUMMYFUNCTION("""COMPUTED_VALUE"""),28.0)</f>
        <v>28</v>
      </c>
      <c r="J259" s="1">
        <f>IFERROR(__xludf.DUMMYFUNCTION("""COMPUTED_VALUE"""),59.0)</f>
        <v>59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 t="str">
        <f>IFERROR(__xludf.DUMMYFUNCTION("""COMPUTED_VALUE"""),"D")</f>
        <v>D</v>
      </c>
      <c r="E260" s="1">
        <f>IFERROR(__xludf.DUMMYFUNCTION("""COMPUTED_VALUE"""),71.0)</f>
        <v>71</v>
      </c>
      <c r="F260" s="1">
        <f>IFERROR(__xludf.DUMMYFUNCTION("""COMPUTED_VALUE"""),49.0)</f>
        <v>49</v>
      </c>
      <c r="G260" s="1">
        <f>IFERROR(__xludf.DUMMYFUNCTION("""COMPUTED_VALUE"""),28.0)</f>
        <v>28</v>
      </c>
      <c r="H260" s="1">
        <f>IFERROR(__xludf.DUMMYFUNCTION("""COMPUTED_VALUE"""),97.0)</f>
        <v>97</v>
      </c>
      <c r="I260" s="1">
        <f>IFERROR(__xludf.DUMMYFUNCTION("""COMPUTED_VALUE"""),38.0)</f>
        <v>38</v>
      </c>
      <c r="J260" s="1">
        <f>IFERROR(__xludf.DUMMYFUNCTION("""COMPUTED_VALUE"""),46.0)</f>
        <v>46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 t="str">
        <f>IFERROR(__xludf.DUMMYFUNCTION("""COMPUTED_VALUE"""),"D")</f>
        <v>D</v>
      </c>
      <c r="E261" s="1">
        <f>IFERROR(__xludf.DUMMYFUNCTION("""COMPUTED_VALUE"""),53.0)</f>
        <v>53</v>
      </c>
      <c r="F261" s="1">
        <f>IFERROR(__xludf.DUMMYFUNCTION("""COMPUTED_VALUE"""),61.0)</f>
        <v>61</v>
      </c>
      <c r="G261" s="1">
        <f>IFERROR(__xludf.DUMMYFUNCTION("""COMPUTED_VALUE"""),56.0)</f>
        <v>56</v>
      </c>
      <c r="H261" s="1">
        <f>IFERROR(__xludf.DUMMYFUNCTION("""COMPUTED_VALUE"""),59.0)</f>
        <v>59</v>
      </c>
      <c r="I261" s="1">
        <f>IFERROR(__xludf.DUMMYFUNCTION("""COMPUTED_VALUE"""),55.0)</f>
        <v>55</v>
      </c>
      <c r="J261" s="1">
        <f>IFERROR(__xludf.DUMMYFUNCTION("""COMPUTED_VALUE"""),72.0)</f>
        <v>72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 t="str">
        <f>IFERROR(__xludf.DUMMYFUNCTION("""COMPUTED_VALUE"""),"B")</f>
        <v>B</v>
      </c>
      <c r="E262" s="1">
        <f>IFERROR(__xludf.DUMMYFUNCTION("""COMPUTED_VALUE"""),46.0)</f>
        <v>46</v>
      </c>
      <c r="F262" s="1">
        <f>IFERROR(__xludf.DUMMYFUNCTION("""COMPUTED_VALUE"""),24.0)</f>
        <v>24</v>
      </c>
      <c r="G262" s="1">
        <f>IFERROR(__xludf.DUMMYFUNCTION("""COMPUTED_VALUE"""),87.0)</f>
        <v>87</v>
      </c>
      <c r="H262" s="1">
        <f>IFERROR(__xludf.DUMMYFUNCTION("""COMPUTED_VALUE"""),23.0)</f>
        <v>23</v>
      </c>
      <c r="I262" s="1">
        <f>IFERROR(__xludf.DUMMYFUNCTION("""COMPUTED_VALUE"""),77.0)</f>
        <v>77</v>
      </c>
      <c r="J262" s="1">
        <f>IFERROR(__xludf.DUMMYFUNCTION("""COMPUTED_VALUE"""),46.0)</f>
        <v>46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 t="str">
        <f>IFERROR(__xludf.DUMMYFUNCTION("""COMPUTED_VALUE"""),"A")</f>
        <v>A</v>
      </c>
      <c r="E263" s="1">
        <f>IFERROR(__xludf.DUMMYFUNCTION("""COMPUTED_VALUE"""),15.0)</f>
        <v>15</v>
      </c>
      <c r="F263" s="1">
        <f>IFERROR(__xludf.DUMMYFUNCTION("""COMPUTED_VALUE"""),36.0)</f>
        <v>36</v>
      </c>
      <c r="G263" s="1">
        <f>IFERROR(__xludf.DUMMYFUNCTION("""COMPUTED_VALUE"""),48.0)</f>
        <v>48</v>
      </c>
      <c r="H263" s="1">
        <f>IFERROR(__xludf.DUMMYFUNCTION("""COMPUTED_VALUE"""),30.0)</f>
        <v>30</v>
      </c>
      <c r="I263" s="1">
        <f>IFERROR(__xludf.DUMMYFUNCTION("""COMPUTED_VALUE"""),50.0)</f>
        <v>50</v>
      </c>
      <c r="J263" s="1">
        <f>IFERROR(__xludf.DUMMYFUNCTION("""COMPUTED_VALUE"""),82.0)</f>
        <v>82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 t="str">
        <f>IFERROR(__xludf.DUMMYFUNCTION("""COMPUTED_VALUE"""),"D")</f>
        <v>D</v>
      </c>
      <c r="E264" s="1">
        <f>IFERROR(__xludf.DUMMYFUNCTION("""COMPUTED_VALUE"""),100.0)</f>
        <v>100</v>
      </c>
      <c r="F264" s="1">
        <f>IFERROR(__xludf.DUMMYFUNCTION("""COMPUTED_VALUE"""),41.0)</f>
        <v>41</v>
      </c>
      <c r="G264" s="1">
        <f>IFERROR(__xludf.DUMMYFUNCTION("""COMPUTED_VALUE"""),81.0)</f>
        <v>81</v>
      </c>
      <c r="H264" s="1">
        <f>IFERROR(__xludf.DUMMYFUNCTION("""COMPUTED_VALUE"""),95.0)</f>
        <v>95</v>
      </c>
      <c r="I264" s="1">
        <f>IFERROR(__xludf.DUMMYFUNCTION("""COMPUTED_VALUE"""),31.0)</f>
        <v>31</v>
      </c>
      <c r="J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 t="str">
        <f>IFERROR(__xludf.DUMMYFUNCTION("""COMPUTED_VALUE"""),"C")</f>
        <v>C</v>
      </c>
      <c r="E265" s="1">
        <f>IFERROR(__xludf.DUMMYFUNCTION("""COMPUTED_VALUE"""),33.0)</f>
        <v>33</v>
      </c>
      <c r="F265" s="1">
        <f>IFERROR(__xludf.DUMMYFUNCTION("""COMPUTED_VALUE"""),62.0)</f>
        <v>62</v>
      </c>
      <c r="G265" s="1">
        <f>IFERROR(__xludf.DUMMYFUNCTION("""COMPUTED_VALUE"""),51.0)</f>
        <v>51</v>
      </c>
      <c r="H265" s="1">
        <f>IFERROR(__xludf.DUMMYFUNCTION("""COMPUTED_VALUE"""),75.0)</f>
        <v>75</v>
      </c>
      <c r="I265" s="1">
        <f>IFERROR(__xludf.DUMMYFUNCTION("""COMPUTED_VALUE"""),28.0)</f>
        <v>28</v>
      </c>
      <c r="J265" s="1">
        <f>IFERROR(__xludf.DUMMYFUNCTION("""COMPUTED_VALUE"""),92.0)</f>
        <v>92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 t="str">
        <f>IFERROR(__xludf.DUMMYFUNCTION("""COMPUTED_VALUE"""),"C")</f>
        <v>C</v>
      </c>
      <c r="E266" s="1">
        <f>IFERROR(__xludf.DUMMYFUNCTION("""COMPUTED_VALUE"""),21.0)</f>
        <v>21</v>
      </c>
      <c r="F266" s="1">
        <f>IFERROR(__xludf.DUMMYFUNCTION("""COMPUTED_VALUE"""),81.0)</f>
        <v>81</v>
      </c>
      <c r="G266" s="1">
        <f>IFERROR(__xludf.DUMMYFUNCTION("""COMPUTED_VALUE"""),20.0)</f>
        <v>20</v>
      </c>
      <c r="H266" s="1">
        <f>IFERROR(__xludf.DUMMYFUNCTION("""COMPUTED_VALUE"""),48.0)</f>
        <v>48</v>
      </c>
      <c r="I266" s="1">
        <f>IFERROR(__xludf.DUMMYFUNCTION("""COMPUTED_VALUE"""),65.0)</f>
        <v>65</v>
      </c>
      <c r="J266" s="1">
        <f>IFERROR(__xludf.DUMMYFUNCTION("""COMPUTED_VALUE"""),67.0)</f>
        <v>67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 t="str">
        <f>IFERROR(__xludf.DUMMYFUNCTION("""COMPUTED_VALUE"""),"B")</f>
        <v>B</v>
      </c>
      <c r="E267" s="1">
        <f>IFERROR(__xludf.DUMMYFUNCTION("""COMPUTED_VALUE"""),21.0)</f>
        <v>21</v>
      </c>
      <c r="F267" s="1">
        <f>IFERROR(__xludf.DUMMYFUNCTION("""COMPUTED_VALUE"""),32.0)</f>
        <v>32</v>
      </c>
      <c r="G267" s="1">
        <f>IFERROR(__xludf.DUMMYFUNCTION("""COMPUTED_VALUE"""),90.0)</f>
        <v>90</v>
      </c>
      <c r="H267" s="1">
        <f>IFERROR(__xludf.DUMMYFUNCTION("""COMPUTED_VALUE"""),92.0)</f>
        <v>92</v>
      </c>
      <c r="I267" s="1">
        <f>IFERROR(__xludf.DUMMYFUNCTION("""COMPUTED_VALUE"""),24.0)</f>
        <v>24</v>
      </c>
      <c r="J267" s="1">
        <f>IFERROR(__xludf.DUMMYFUNCTION("""COMPUTED_VALUE"""),73.0)</f>
        <v>73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 t="str">
        <f>IFERROR(__xludf.DUMMYFUNCTION("""COMPUTED_VALUE"""),"C")</f>
        <v>C</v>
      </c>
      <c r="E268" s="1">
        <f>IFERROR(__xludf.DUMMYFUNCTION("""COMPUTED_VALUE"""),57.0)</f>
        <v>57</v>
      </c>
      <c r="F268" s="1">
        <f>IFERROR(__xludf.DUMMYFUNCTION("""COMPUTED_VALUE"""),42.0)</f>
        <v>42</v>
      </c>
      <c r="G268" s="1">
        <f>IFERROR(__xludf.DUMMYFUNCTION("""COMPUTED_VALUE"""),65.0)</f>
        <v>65</v>
      </c>
      <c r="H268" s="1">
        <f>IFERROR(__xludf.DUMMYFUNCTION("""COMPUTED_VALUE"""),69.0)</f>
        <v>69</v>
      </c>
      <c r="I268" s="1">
        <f>IFERROR(__xludf.DUMMYFUNCTION("""COMPUTED_VALUE"""),35.0)</f>
        <v>35</v>
      </c>
      <c r="J268" s="1">
        <f>IFERROR(__xludf.DUMMYFUNCTION("""COMPUTED_VALUE"""),95.0)</f>
        <v>95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 t="str">
        <f>IFERROR(__xludf.DUMMYFUNCTION("""COMPUTED_VALUE"""),"C")</f>
        <v>C</v>
      </c>
      <c r="E269" s="1">
        <f>IFERROR(__xludf.DUMMYFUNCTION("""COMPUTED_VALUE"""),70.0)</f>
        <v>70</v>
      </c>
      <c r="F269" s="1">
        <f>IFERROR(__xludf.DUMMYFUNCTION("""COMPUTED_VALUE"""),51.0)</f>
        <v>51</v>
      </c>
      <c r="G269" s="1">
        <f>IFERROR(__xludf.DUMMYFUNCTION("""COMPUTED_VALUE"""),96.0)</f>
        <v>96</v>
      </c>
      <c r="H269" s="1">
        <f>IFERROR(__xludf.DUMMYFUNCTION("""COMPUTED_VALUE"""),65.0)</f>
        <v>65</v>
      </c>
      <c r="I269" s="1">
        <f>IFERROR(__xludf.DUMMYFUNCTION("""COMPUTED_VALUE"""),49.0)</f>
        <v>49</v>
      </c>
      <c r="J269" s="1">
        <f>IFERROR(__xludf.DUMMYFUNCTION("""COMPUTED_VALUE"""),95.0)</f>
        <v>95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 t="str">
        <f>IFERROR(__xludf.DUMMYFUNCTION("""COMPUTED_VALUE"""),"C")</f>
        <v>C</v>
      </c>
      <c r="E270" s="1">
        <f>IFERROR(__xludf.DUMMYFUNCTION("""COMPUTED_VALUE"""),22.0)</f>
        <v>22</v>
      </c>
      <c r="F270" s="1">
        <f>IFERROR(__xludf.DUMMYFUNCTION("""COMPUTED_VALUE"""),32.0)</f>
        <v>32</v>
      </c>
      <c r="G270" s="1">
        <f>IFERROR(__xludf.DUMMYFUNCTION("""COMPUTED_VALUE"""),47.0)</f>
        <v>47</v>
      </c>
      <c r="H270" s="1">
        <f>IFERROR(__xludf.DUMMYFUNCTION("""COMPUTED_VALUE"""),41.0)</f>
        <v>41</v>
      </c>
      <c r="I270" s="1">
        <f>IFERROR(__xludf.DUMMYFUNCTION("""COMPUTED_VALUE"""),76.0)</f>
        <v>76</v>
      </c>
      <c r="J270" s="1">
        <f>IFERROR(__xludf.DUMMYFUNCTION("""COMPUTED_VALUE"""),26.0)</f>
        <v>26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 t="str">
        <f>IFERROR(__xludf.DUMMYFUNCTION("""COMPUTED_VALUE"""),"B")</f>
        <v>B</v>
      </c>
      <c r="E271" s="1">
        <f>IFERROR(__xludf.DUMMYFUNCTION("""COMPUTED_VALUE"""),30.0)</f>
        <v>30</v>
      </c>
      <c r="F271" s="1">
        <f>IFERROR(__xludf.DUMMYFUNCTION("""COMPUTED_VALUE"""),88.0)</f>
        <v>88</v>
      </c>
      <c r="G271" s="1">
        <f>IFERROR(__xludf.DUMMYFUNCTION("""COMPUTED_VALUE"""),75.0)</f>
        <v>75</v>
      </c>
      <c r="H271" s="1">
        <f>IFERROR(__xludf.DUMMYFUNCTION("""COMPUTED_VALUE"""),85.0)</f>
        <v>85</v>
      </c>
      <c r="I271" s="1">
        <f>IFERROR(__xludf.DUMMYFUNCTION("""COMPUTED_VALUE"""),93.0)</f>
        <v>93</v>
      </c>
      <c r="J271" s="1">
        <f>IFERROR(__xludf.DUMMYFUNCTION("""COMPUTED_VALUE"""),80.0)</f>
        <v>80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 t="str">
        <f>IFERROR(__xludf.DUMMYFUNCTION("""COMPUTED_VALUE"""),"B")</f>
        <v>B</v>
      </c>
      <c r="E272" s="1">
        <f>IFERROR(__xludf.DUMMYFUNCTION("""COMPUTED_VALUE"""),58.0)</f>
        <v>58</v>
      </c>
      <c r="F272" s="1">
        <f>IFERROR(__xludf.DUMMYFUNCTION("""COMPUTED_VALUE"""),35.0)</f>
        <v>35</v>
      </c>
      <c r="G272" s="1">
        <f>IFERROR(__xludf.DUMMYFUNCTION("""COMPUTED_VALUE"""),57.0)</f>
        <v>57</v>
      </c>
      <c r="H272" s="1">
        <f>IFERROR(__xludf.DUMMYFUNCTION("""COMPUTED_VALUE"""),40.0)</f>
        <v>40</v>
      </c>
      <c r="I272" s="1">
        <f>IFERROR(__xludf.DUMMYFUNCTION("""COMPUTED_VALUE"""),99.0)</f>
        <v>99</v>
      </c>
      <c r="J272" s="1">
        <f>IFERROR(__xludf.DUMMYFUNCTION("""COMPUTED_VALUE"""),63.0)</f>
        <v>63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 t="str">
        <f>IFERROR(__xludf.DUMMYFUNCTION("""COMPUTED_VALUE"""),"A")</f>
        <v>A</v>
      </c>
      <c r="E273" s="1">
        <f>IFERROR(__xludf.DUMMYFUNCTION("""COMPUTED_VALUE"""),19.0)</f>
        <v>19</v>
      </c>
      <c r="F273" s="1">
        <f>IFERROR(__xludf.DUMMYFUNCTION("""COMPUTED_VALUE"""),52.0)</f>
        <v>52</v>
      </c>
      <c r="G273" s="1">
        <f>IFERROR(__xludf.DUMMYFUNCTION("""COMPUTED_VALUE"""),83.0)</f>
        <v>83</v>
      </c>
      <c r="H273" s="1">
        <f>IFERROR(__xludf.DUMMYFUNCTION("""COMPUTED_VALUE"""),90.0)</f>
        <v>90</v>
      </c>
      <c r="I273" s="1">
        <f>IFERROR(__xludf.DUMMYFUNCTION("""COMPUTED_VALUE"""),93.0)</f>
        <v>93</v>
      </c>
      <c r="J273" s="1">
        <f>IFERROR(__xludf.DUMMYFUNCTION("""COMPUTED_VALUE"""),54.0)</f>
        <v>54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 t="str">
        <f>IFERROR(__xludf.DUMMYFUNCTION("""COMPUTED_VALUE"""),"B")</f>
        <v>B</v>
      </c>
      <c r="E274" s="1">
        <f>IFERROR(__xludf.DUMMYFUNCTION("""COMPUTED_VALUE"""),10.0)</f>
        <v>10</v>
      </c>
      <c r="F274" s="1">
        <f>IFERROR(__xludf.DUMMYFUNCTION("""COMPUTED_VALUE"""),47.0)</f>
        <v>47</v>
      </c>
      <c r="G274" s="1">
        <f>IFERROR(__xludf.DUMMYFUNCTION("""COMPUTED_VALUE"""),55.0)</f>
        <v>55</v>
      </c>
      <c r="H274" s="1">
        <f>IFERROR(__xludf.DUMMYFUNCTION("""COMPUTED_VALUE"""),56.0)</f>
        <v>56</v>
      </c>
      <c r="I274" s="1">
        <f>IFERROR(__xludf.DUMMYFUNCTION("""COMPUTED_VALUE"""),98.0)</f>
        <v>98</v>
      </c>
      <c r="J274" s="1">
        <f>IFERROR(__xludf.DUMMYFUNCTION("""COMPUTED_VALUE"""),77.0)</f>
        <v>77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 t="str">
        <f>IFERROR(__xludf.DUMMYFUNCTION("""COMPUTED_VALUE"""),"C")</f>
        <v>C</v>
      </c>
      <c r="E275" s="1">
        <f>IFERROR(__xludf.DUMMYFUNCTION("""COMPUTED_VALUE"""),22.0)</f>
        <v>22</v>
      </c>
      <c r="F275" s="1">
        <f>IFERROR(__xludf.DUMMYFUNCTION("""COMPUTED_VALUE"""),36.0)</f>
        <v>36</v>
      </c>
      <c r="G275" s="1">
        <f>IFERROR(__xludf.DUMMYFUNCTION("""COMPUTED_VALUE"""),74.0)</f>
        <v>74</v>
      </c>
      <c r="H275" s="1">
        <f>IFERROR(__xludf.DUMMYFUNCTION("""COMPUTED_VALUE"""),23.0)</f>
        <v>23</v>
      </c>
      <c r="I275" s="1">
        <f>IFERROR(__xludf.DUMMYFUNCTION("""COMPUTED_VALUE"""),37.0)</f>
        <v>37</v>
      </c>
      <c r="J275" s="1">
        <f>IFERROR(__xludf.DUMMYFUNCTION("""COMPUTED_VALUE"""),94.0)</f>
        <v>94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 t="str">
        <f>IFERROR(__xludf.DUMMYFUNCTION("""COMPUTED_VALUE"""),"A")</f>
        <v>A</v>
      </c>
      <c r="E276" s="1">
        <f>IFERROR(__xludf.DUMMYFUNCTION("""COMPUTED_VALUE"""),19.0)</f>
        <v>19</v>
      </c>
      <c r="F276" s="1">
        <f>IFERROR(__xludf.DUMMYFUNCTION("""COMPUTED_VALUE"""),56.0)</f>
        <v>56</v>
      </c>
      <c r="G276" s="1">
        <f>IFERROR(__xludf.DUMMYFUNCTION("""COMPUTED_VALUE"""),88.0)</f>
        <v>88</v>
      </c>
      <c r="H276" s="1">
        <f>IFERROR(__xludf.DUMMYFUNCTION("""COMPUTED_VALUE"""),30.0)</f>
        <v>30</v>
      </c>
      <c r="I276" s="1">
        <f>IFERROR(__xludf.DUMMYFUNCTION("""COMPUTED_VALUE"""),54.0)</f>
        <v>54</v>
      </c>
      <c r="J276" s="1">
        <f>IFERROR(__xludf.DUMMYFUNCTION("""COMPUTED_VALUE"""),62.0)</f>
        <v>62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 t="str">
        <f>IFERROR(__xludf.DUMMYFUNCTION("""COMPUTED_VALUE"""),"B")</f>
        <v>B</v>
      </c>
      <c r="E277" s="1">
        <f>IFERROR(__xludf.DUMMYFUNCTION("""COMPUTED_VALUE"""),63.0)</f>
        <v>63</v>
      </c>
      <c r="F277" s="1">
        <f>IFERROR(__xludf.DUMMYFUNCTION("""COMPUTED_VALUE"""),75.0)</f>
        <v>75</v>
      </c>
      <c r="G277" s="1">
        <f>IFERROR(__xludf.DUMMYFUNCTION("""COMPUTED_VALUE"""),55.0)</f>
        <v>55</v>
      </c>
      <c r="H277" s="1">
        <f>IFERROR(__xludf.DUMMYFUNCTION("""COMPUTED_VALUE"""),48.0)</f>
        <v>48</v>
      </c>
      <c r="I277" s="1">
        <f>IFERROR(__xludf.DUMMYFUNCTION("""COMPUTED_VALUE"""),79.0)</f>
        <v>79</v>
      </c>
      <c r="J277" s="1">
        <f>IFERROR(__xludf.DUMMYFUNCTION("""COMPUTED_VALUE"""),78.0)</f>
        <v>78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 t="str">
        <f>IFERROR(__xludf.DUMMYFUNCTION("""COMPUTED_VALUE"""),"D")</f>
        <v>D</v>
      </c>
      <c r="E278" s="1">
        <f>IFERROR(__xludf.DUMMYFUNCTION("""COMPUTED_VALUE"""),83.0)</f>
        <v>83</v>
      </c>
      <c r="F278" s="1">
        <f>IFERROR(__xludf.DUMMYFUNCTION("""COMPUTED_VALUE"""),37.0)</f>
        <v>37</v>
      </c>
      <c r="G278" s="1">
        <f>IFERROR(__xludf.DUMMYFUNCTION("""COMPUTED_VALUE"""),28.0)</f>
        <v>28</v>
      </c>
      <c r="H278" s="1">
        <f>IFERROR(__xludf.DUMMYFUNCTION("""COMPUTED_VALUE"""),39.0)</f>
        <v>39</v>
      </c>
      <c r="I278" s="1">
        <f>IFERROR(__xludf.DUMMYFUNCTION("""COMPUTED_VALUE"""),39.0)</f>
        <v>39</v>
      </c>
      <c r="J278" s="1">
        <f>IFERROR(__xludf.DUMMYFUNCTION("""COMPUTED_VALUE"""),38.0)</f>
        <v>38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 t="str">
        <f>IFERROR(__xludf.DUMMYFUNCTION("""COMPUTED_VALUE"""),"A")</f>
        <v>A</v>
      </c>
      <c r="E279" s="1">
        <f>IFERROR(__xludf.DUMMYFUNCTION("""COMPUTED_VALUE"""),86.0)</f>
        <v>86</v>
      </c>
      <c r="F279" s="1">
        <f>IFERROR(__xludf.DUMMYFUNCTION("""COMPUTED_VALUE"""),62.0)</f>
        <v>62</v>
      </c>
      <c r="G279" s="1">
        <f>IFERROR(__xludf.DUMMYFUNCTION("""COMPUTED_VALUE"""),68.0)</f>
        <v>68</v>
      </c>
      <c r="H279" s="1">
        <f>IFERROR(__xludf.DUMMYFUNCTION("""COMPUTED_VALUE"""),60.0)</f>
        <v>60</v>
      </c>
      <c r="I279" s="1">
        <f>IFERROR(__xludf.DUMMYFUNCTION("""COMPUTED_VALUE"""),88.0)</f>
        <v>88</v>
      </c>
      <c r="J279" s="1">
        <f>IFERROR(__xludf.DUMMYFUNCTION("""COMPUTED_VALUE"""),25.0)</f>
        <v>25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 t="str">
        <f>IFERROR(__xludf.DUMMYFUNCTION("""COMPUTED_VALUE"""),"D")</f>
        <v>D</v>
      </c>
      <c r="E280" s="1">
        <f>IFERROR(__xludf.DUMMYFUNCTION("""COMPUTED_VALUE"""),12.0)</f>
        <v>12</v>
      </c>
      <c r="F280" s="1">
        <f>IFERROR(__xludf.DUMMYFUNCTION("""COMPUTED_VALUE"""),93.0)</f>
        <v>93</v>
      </c>
      <c r="G280" s="1">
        <f>IFERROR(__xludf.DUMMYFUNCTION("""COMPUTED_VALUE"""),58.0)</f>
        <v>58</v>
      </c>
      <c r="H280" s="1">
        <f>IFERROR(__xludf.DUMMYFUNCTION("""COMPUTED_VALUE"""),69.0)</f>
        <v>69</v>
      </c>
      <c r="I280" s="1">
        <f>IFERROR(__xludf.DUMMYFUNCTION("""COMPUTED_VALUE"""),20.0)</f>
        <v>20</v>
      </c>
      <c r="J280" s="1">
        <f>IFERROR(__xludf.DUMMYFUNCTION("""COMPUTED_VALUE"""),89.0)</f>
        <v>89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 t="str">
        <f>IFERROR(__xludf.DUMMYFUNCTION("""COMPUTED_VALUE"""),"C")</f>
        <v>C</v>
      </c>
      <c r="E281" s="1">
        <f>IFERROR(__xludf.DUMMYFUNCTION("""COMPUTED_VALUE"""),80.0)</f>
        <v>80</v>
      </c>
      <c r="F281" s="1">
        <f>IFERROR(__xludf.DUMMYFUNCTION("""COMPUTED_VALUE"""),92.0)</f>
        <v>92</v>
      </c>
      <c r="G281" s="1">
        <f>IFERROR(__xludf.DUMMYFUNCTION("""COMPUTED_VALUE"""),49.0)</f>
        <v>49</v>
      </c>
      <c r="H281" s="1">
        <f>IFERROR(__xludf.DUMMYFUNCTION("""COMPUTED_VALUE"""),21.0)</f>
        <v>21</v>
      </c>
      <c r="I281" s="1">
        <f>IFERROR(__xludf.DUMMYFUNCTION("""COMPUTED_VALUE"""),60.0)</f>
        <v>60</v>
      </c>
      <c r="J281" s="1">
        <f>IFERROR(__xludf.DUMMYFUNCTION("""COMPUTED_VALUE"""),30.0)</f>
        <v>30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 t="str">
        <f>IFERROR(__xludf.DUMMYFUNCTION("""COMPUTED_VALUE"""),"A")</f>
        <v>A</v>
      </c>
      <c r="E282" s="1">
        <f>IFERROR(__xludf.DUMMYFUNCTION("""COMPUTED_VALUE"""),43.0)</f>
        <v>43</v>
      </c>
      <c r="F282" s="1">
        <f>IFERROR(__xludf.DUMMYFUNCTION("""COMPUTED_VALUE"""),63.0)</f>
        <v>63</v>
      </c>
      <c r="G282" s="1">
        <f>IFERROR(__xludf.DUMMYFUNCTION("""COMPUTED_VALUE"""),23.0)</f>
        <v>23</v>
      </c>
      <c r="H282" s="1">
        <f>IFERROR(__xludf.DUMMYFUNCTION("""COMPUTED_VALUE"""),36.0)</f>
        <v>36</v>
      </c>
      <c r="I282" s="1">
        <f>IFERROR(__xludf.DUMMYFUNCTION("""COMPUTED_VALUE"""),37.0)</f>
        <v>37</v>
      </c>
      <c r="J282" s="1">
        <f>IFERROR(__xludf.DUMMYFUNCTION("""COMPUTED_VALUE"""),56.0)</f>
        <v>56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 t="str">
        <f>IFERROR(__xludf.DUMMYFUNCTION("""COMPUTED_VALUE"""),"C")</f>
        <v>C</v>
      </c>
      <c r="E283" s="1">
        <f>IFERROR(__xludf.DUMMYFUNCTION("""COMPUTED_VALUE"""),32.0)</f>
        <v>32</v>
      </c>
      <c r="F283" s="1">
        <f>IFERROR(__xludf.DUMMYFUNCTION("""COMPUTED_VALUE"""),85.0)</f>
        <v>85</v>
      </c>
      <c r="G283" s="1">
        <f>IFERROR(__xludf.DUMMYFUNCTION("""COMPUTED_VALUE"""),59.0)</f>
        <v>59</v>
      </c>
      <c r="H283" s="1">
        <f>IFERROR(__xludf.DUMMYFUNCTION("""COMPUTED_VALUE"""),29.0)</f>
        <v>29</v>
      </c>
      <c r="I283" s="1">
        <f>IFERROR(__xludf.DUMMYFUNCTION("""COMPUTED_VALUE"""),53.0)</f>
        <v>53</v>
      </c>
      <c r="J283" s="1">
        <f>IFERROR(__xludf.DUMMYFUNCTION("""COMPUTED_VALUE"""),81.0)</f>
        <v>81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 t="str">
        <f>IFERROR(__xludf.DUMMYFUNCTION("""COMPUTED_VALUE"""),"B")</f>
        <v>B</v>
      </c>
      <c r="E284" s="1">
        <f>IFERROR(__xludf.DUMMYFUNCTION("""COMPUTED_VALUE"""),38.0)</f>
        <v>38</v>
      </c>
      <c r="F284" s="1">
        <f>IFERROR(__xludf.DUMMYFUNCTION("""COMPUTED_VALUE"""),58.0)</f>
        <v>58</v>
      </c>
      <c r="G284" s="1">
        <f>IFERROR(__xludf.DUMMYFUNCTION("""COMPUTED_VALUE"""),72.0)</f>
        <v>72</v>
      </c>
      <c r="H284" s="1">
        <f>IFERROR(__xludf.DUMMYFUNCTION("""COMPUTED_VALUE"""),96.0)</f>
        <v>96</v>
      </c>
      <c r="I284" s="1">
        <f>IFERROR(__xludf.DUMMYFUNCTION("""COMPUTED_VALUE"""),30.0)</f>
        <v>30</v>
      </c>
      <c r="J284" s="1">
        <f>IFERROR(__xludf.DUMMYFUNCTION("""COMPUTED_VALUE"""),93.0)</f>
        <v>93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 t="str">
        <f>IFERROR(__xludf.DUMMYFUNCTION("""COMPUTED_VALUE"""),"C")</f>
        <v>C</v>
      </c>
      <c r="E285" s="1">
        <f>IFERROR(__xludf.DUMMYFUNCTION("""COMPUTED_VALUE"""),12.0)</f>
        <v>12</v>
      </c>
      <c r="F285" s="1">
        <f>IFERROR(__xludf.DUMMYFUNCTION("""COMPUTED_VALUE"""),53.0)</f>
        <v>53</v>
      </c>
      <c r="G285" s="1">
        <f>IFERROR(__xludf.DUMMYFUNCTION("""COMPUTED_VALUE"""),33.0)</f>
        <v>33</v>
      </c>
      <c r="H285" s="1">
        <f>IFERROR(__xludf.DUMMYFUNCTION("""COMPUTED_VALUE"""),54.0)</f>
        <v>54</v>
      </c>
      <c r="I285" s="1">
        <f>IFERROR(__xludf.DUMMYFUNCTION("""COMPUTED_VALUE"""),24.0)</f>
        <v>24</v>
      </c>
      <c r="J285" s="1">
        <f>IFERROR(__xludf.DUMMYFUNCTION("""COMPUTED_VALUE"""),33.0)</f>
        <v>33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 t="str">
        <f>IFERROR(__xludf.DUMMYFUNCTION("""COMPUTED_VALUE"""),"A")</f>
        <v>A</v>
      </c>
      <c r="E286" s="1">
        <f>IFERROR(__xludf.DUMMYFUNCTION("""COMPUTED_VALUE"""),88.0)</f>
        <v>88</v>
      </c>
      <c r="F286" s="1">
        <f>IFERROR(__xludf.DUMMYFUNCTION("""COMPUTED_VALUE"""),25.0)</f>
        <v>25</v>
      </c>
      <c r="G286" s="1">
        <f>IFERROR(__xludf.DUMMYFUNCTION("""COMPUTED_VALUE"""),87.0)</f>
        <v>87</v>
      </c>
      <c r="H286" s="1">
        <f>IFERROR(__xludf.DUMMYFUNCTION("""COMPUTED_VALUE"""),97.0)</f>
        <v>97</v>
      </c>
      <c r="I286" s="1">
        <f>IFERROR(__xludf.DUMMYFUNCTION("""COMPUTED_VALUE"""),29.0)</f>
        <v>29</v>
      </c>
      <c r="J286" s="1">
        <f>IFERROR(__xludf.DUMMYFUNCTION("""COMPUTED_VALUE"""),49.0)</f>
        <v>49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 t="str">
        <f>IFERROR(__xludf.DUMMYFUNCTION("""COMPUTED_VALUE"""),"A")</f>
        <v>A</v>
      </c>
      <c r="E287" s="1">
        <f>IFERROR(__xludf.DUMMYFUNCTION("""COMPUTED_VALUE"""),66.0)</f>
        <v>66</v>
      </c>
      <c r="F287" s="1">
        <f>IFERROR(__xludf.DUMMYFUNCTION("""COMPUTED_VALUE"""),77.0)</f>
        <v>77</v>
      </c>
      <c r="G287" s="1">
        <f>IFERROR(__xludf.DUMMYFUNCTION("""COMPUTED_VALUE"""),71.0)</f>
        <v>71</v>
      </c>
      <c r="H287" s="1">
        <f>IFERROR(__xludf.DUMMYFUNCTION("""COMPUTED_VALUE"""),78.0)</f>
        <v>78</v>
      </c>
      <c r="I287" s="1">
        <f>IFERROR(__xludf.DUMMYFUNCTION("""COMPUTED_VALUE"""),88.0)</f>
        <v>88</v>
      </c>
      <c r="J287" s="1">
        <f>IFERROR(__xludf.DUMMYFUNCTION("""COMPUTED_VALUE"""),20.0)</f>
        <v>20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 t="str">
        <f>IFERROR(__xludf.DUMMYFUNCTION("""COMPUTED_VALUE"""),"D")</f>
        <v>D</v>
      </c>
      <c r="E288" s="1">
        <f>IFERROR(__xludf.DUMMYFUNCTION("""COMPUTED_VALUE"""),75.0)</f>
        <v>75</v>
      </c>
      <c r="F288" s="1">
        <f>IFERROR(__xludf.DUMMYFUNCTION("""COMPUTED_VALUE"""),28.0)</f>
        <v>28</v>
      </c>
      <c r="G288" s="1">
        <f>IFERROR(__xludf.DUMMYFUNCTION("""COMPUTED_VALUE"""),37.0)</f>
        <v>37</v>
      </c>
      <c r="H288" s="1">
        <f>IFERROR(__xludf.DUMMYFUNCTION("""COMPUTED_VALUE"""),40.0)</f>
        <v>40</v>
      </c>
      <c r="I288" s="1">
        <f>IFERROR(__xludf.DUMMYFUNCTION("""COMPUTED_VALUE"""),25.0)</f>
        <v>25</v>
      </c>
      <c r="J288" s="1">
        <f>IFERROR(__xludf.DUMMYFUNCTION("""COMPUTED_VALUE"""),89.0)</f>
        <v>89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 t="str">
        <f>IFERROR(__xludf.DUMMYFUNCTION("""COMPUTED_VALUE"""),"B")</f>
        <v>B</v>
      </c>
      <c r="E289" s="1">
        <f>IFERROR(__xludf.DUMMYFUNCTION("""COMPUTED_VALUE"""),44.0)</f>
        <v>44</v>
      </c>
      <c r="F289" s="1">
        <f>IFERROR(__xludf.DUMMYFUNCTION("""COMPUTED_VALUE"""),23.0)</f>
        <v>23</v>
      </c>
      <c r="G289" s="1">
        <f>IFERROR(__xludf.DUMMYFUNCTION("""COMPUTED_VALUE"""),83.0)</f>
        <v>83</v>
      </c>
      <c r="H289" s="1">
        <f>IFERROR(__xludf.DUMMYFUNCTION("""COMPUTED_VALUE"""),87.0)</f>
        <v>87</v>
      </c>
      <c r="I289" s="1">
        <f>IFERROR(__xludf.DUMMYFUNCTION("""COMPUTED_VALUE"""),41.0)</f>
        <v>41</v>
      </c>
      <c r="J289" s="1">
        <f>IFERROR(__xludf.DUMMYFUNCTION("""COMPUTED_VALUE"""),55.0)</f>
        <v>55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 t="str">
        <f>IFERROR(__xludf.DUMMYFUNCTION("""COMPUTED_VALUE"""),"C")</f>
        <v>C</v>
      </c>
      <c r="E290" s="1">
        <f>IFERROR(__xludf.DUMMYFUNCTION("""COMPUTED_VALUE"""),74.0)</f>
        <v>74</v>
      </c>
      <c r="F290" s="1">
        <f>IFERROR(__xludf.DUMMYFUNCTION("""COMPUTED_VALUE"""),81.0)</f>
        <v>81</v>
      </c>
      <c r="G290" s="1">
        <f>IFERROR(__xludf.DUMMYFUNCTION("""COMPUTED_VALUE"""),71.0)</f>
        <v>71</v>
      </c>
      <c r="H290" s="1">
        <f>IFERROR(__xludf.DUMMYFUNCTION("""COMPUTED_VALUE"""),75.0)</f>
        <v>75</v>
      </c>
      <c r="I290" s="1">
        <f>IFERROR(__xludf.DUMMYFUNCTION("""COMPUTED_VALUE"""),81.0)</f>
        <v>81</v>
      </c>
      <c r="J290" s="1">
        <f>IFERROR(__xludf.DUMMYFUNCTION("""COMPUTED_VALUE"""),83.0)</f>
        <v>83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 t="str">
        <f>IFERROR(__xludf.DUMMYFUNCTION("""COMPUTED_VALUE"""),"C")</f>
        <v>C</v>
      </c>
      <c r="E291" s="1">
        <f>IFERROR(__xludf.DUMMYFUNCTION("""COMPUTED_VALUE"""),92.0)</f>
        <v>92</v>
      </c>
      <c r="F291" s="1">
        <f>IFERROR(__xludf.DUMMYFUNCTION("""COMPUTED_VALUE"""),35.0)</f>
        <v>35</v>
      </c>
      <c r="G291" s="1">
        <f>IFERROR(__xludf.DUMMYFUNCTION("""COMPUTED_VALUE"""),81.0)</f>
        <v>81</v>
      </c>
      <c r="H291" s="1">
        <f>IFERROR(__xludf.DUMMYFUNCTION("""COMPUTED_VALUE"""),46.0)</f>
        <v>46</v>
      </c>
      <c r="I291" s="1">
        <f>IFERROR(__xludf.DUMMYFUNCTION("""COMPUTED_VALUE"""),85.0)</f>
        <v>85</v>
      </c>
      <c r="J291" s="1">
        <f>IFERROR(__xludf.DUMMYFUNCTION("""COMPUTED_VALUE"""),31.0)</f>
        <v>31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 t="str">
        <f>IFERROR(__xludf.DUMMYFUNCTION("""COMPUTED_VALUE"""),"C")</f>
        <v>C</v>
      </c>
      <c r="E292" s="1">
        <f>IFERROR(__xludf.DUMMYFUNCTION("""COMPUTED_VALUE"""),28.0)</f>
        <v>28</v>
      </c>
      <c r="F292" s="1">
        <f>IFERROR(__xludf.DUMMYFUNCTION("""COMPUTED_VALUE"""),94.0)</f>
        <v>94</v>
      </c>
      <c r="G292" s="1">
        <f>IFERROR(__xludf.DUMMYFUNCTION("""COMPUTED_VALUE"""),90.0)</f>
        <v>90</v>
      </c>
      <c r="H292" s="1">
        <f>IFERROR(__xludf.DUMMYFUNCTION("""COMPUTED_VALUE"""),91.0)</f>
        <v>91</v>
      </c>
      <c r="I292" s="1">
        <f>IFERROR(__xludf.DUMMYFUNCTION("""COMPUTED_VALUE"""),36.0)</f>
        <v>36</v>
      </c>
      <c r="J292" s="1">
        <f>IFERROR(__xludf.DUMMYFUNCTION("""COMPUTED_VALUE"""),79.0)</f>
        <v>79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 t="str">
        <f>IFERROR(__xludf.DUMMYFUNCTION("""COMPUTED_VALUE"""),"A")</f>
        <v>A</v>
      </c>
      <c r="E293" s="1">
        <f>IFERROR(__xludf.DUMMYFUNCTION("""COMPUTED_VALUE"""),87.0)</f>
        <v>87</v>
      </c>
      <c r="F293" s="1">
        <f>IFERROR(__xludf.DUMMYFUNCTION("""COMPUTED_VALUE"""),89.0)</f>
        <v>89</v>
      </c>
      <c r="G293" s="1">
        <f>IFERROR(__xludf.DUMMYFUNCTION("""COMPUTED_VALUE"""),39.0)</f>
        <v>39</v>
      </c>
      <c r="H293" s="1">
        <f>IFERROR(__xludf.DUMMYFUNCTION("""COMPUTED_VALUE"""),60.0)</f>
        <v>60</v>
      </c>
      <c r="I293" s="1">
        <f>IFERROR(__xludf.DUMMYFUNCTION("""COMPUTED_VALUE"""),85.0)</f>
        <v>85</v>
      </c>
      <c r="J293" s="1">
        <f>IFERROR(__xludf.DUMMYFUNCTION("""COMPUTED_VALUE"""),51.0)</f>
        <v>51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 t="str">
        <f>IFERROR(__xludf.DUMMYFUNCTION("""COMPUTED_VALUE"""),"A")</f>
        <v>A</v>
      </c>
      <c r="E294" s="1">
        <f>IFERROR(__xludf.DUMMYFUNCTION("""COMPUTED_VALUE"""),96.0)</f>
        <v>96</v>
      </c>
      <c r="F294" s="1">
        <f>IFERROR(__xludf.DUMMYFUNCTION("""COMPUTED_VALUE"""),49.0)</f>
        <v>49</v>
      </c>
      <c r="G294" s="1">
        <f>IFERROR(__xludf.DUMMYFUNCTION("""COMPUTED_VALUE"""),65.0)</f>
        <v>65</v>
      </c>
      <c r="H294" s="1">
        <f>IFERROR(__xludf.DUMMYFUNCTION("""COMPUTED_VALUE"""),64.0)</f>
        <v>64</v>
      </c>
      <c r="I294" s="1">
        <f>IFERROR(__xludf.DUMMYFUNCTION("""COMPUTED_VALUE"""),75.0)</f>
        <v>75</v>
      </c>
      <c r="J294" s="1">
        <f>IFERROR(__xludf.DUMMYFUNCTION("""COMPUTED_VALUE"""),39.0)</f>
        <v>39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 t="str">
        <f>IFERROR(__xludf.DUMMYFUNCTION("""COMPUTED_VALUE"""),"D")</f>
        <v>D</v>
      </c>
      <c r="E295" s="1">
        <f>IFERROR(__xludf.DUMMYFUNCTION("""COMPUTED_VALUE"""),62.0)</f>
        <v>62</v>
      </c>
      <c r="F295" s="1">
        <f>IFERROR(__xludf.DUMMYFUNCTION("""COMPUTED_VALUE"""),98.0)</f>
        <v>98</v>
      </c>
      <c r="G295" s="1">
        <f>IFERROR(__xludf.DUMMYFUNCTION("""COMPUTED_VALUE"""),66.0)</f>
        <v>66</v>
      </c>
      <c r="H295" s="1">
        <f>IFERROR(__xludf.DUMMYFUNCTION("""COMPUTED_VALUE"""),49.0)</f>
        <v>49</v>
      </c>
      <c r="I295" s="1">
        <f>IFERROR(__xludf.DUMMYFUNCTION("""COMPUTED_VALUE"""),24.0)</f>
        <v>24</v>
      </c>
      <c r="J295" s="1">
        <f>IFERROR(__xludf.DUMMYFUNCTION("""COMPUTED_VALUE"""),62.0)</f>
        <v>62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 t="str">
        <f>IFERROR(__xludf.DUMMYFUNCTION("""COMPUTED_VALUE"""),"A")</f>
        <v>A</v>
      </c>
      <c r="E296" s="1">
        <f>IFERROR(__xludf.DUMMYFUNCTION("""COMPUTED_VALUE"""),83.0)</f>
        <v>83</v>
      </c>
      <c r="F296" s="1">
        <f>IFERROR(__xludf.DUMMYFUNCTION("""COMPUTED_VALUE"""),49.0)</f>
        <v>49</v>
      </c>
      <c r="G296" s="1">
        <f>IFERROR(__xludf.DUMMYFUNCTION("""COMPUTED_VALUE"""),23.0)</f>
        <v>23</v>
      </c>
      <c r="H296" s="1">
        <f>IFERROR(__xludf.DUMMYFUNCTION("""COMPUTED_VALUE"""),85.0)</f>
        <v>85</v>
      </c>
      <c r="I296" s="1">
        <f>IFERROR(__xludf.DUMMYFUNCTION("""COMPUTED_VALUE"""),20.0)</f>
        <v>20</v>
      </c>
      <c r="J296" s="1">
        <f>IFERROR(__xludf.DUMMYFUNCTION("""COMPUTED_VALUE"""),68.0)</f>
        <v>68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 t="str">
        <f>IFERROR(__xludf.DUMMYFUNCTION("""COMPUTED_VALUE"""),"D")</f>
        <v>D</v>
      </c>
      <c r="E297" s="1">
        <f>IFERROR(__xludf.DUMMYFUNCTION("""COMPUTED_VALUE"""),10.0)</f>
        <v>10</v>
      </c>
      <c r="F297" s="1">
        <f>IFERROR(__xludf.DUMMYFUNCTION("""COMPUTED_VALUE"""),30.0)</f>
        <v>30</v>
      </c>
      <c r="G297" s="1">
        <f>IFERROR(__xludf.DUMMYFUNCTION("""COMPUTED_VALUE"""),53.0)</f>
        <v>53</v>
      </c>
      <c r="H297" s="1">
        <f>IFERROR(__xludf.DUMMYFUNCTION("""COMPUTED_VALUE"""),39.0)</f>
        <v>39</v>
      </c>
      <c r="I297" s="1">
        <f>IFERROR(__xludf.DUMMYFUNCTION("""COMPUTED_VALUE"""),64.0)</f>
        <v>64</v>
      </c>
      <c r="J297" s="1">
        <f>IFERROR(__xludf.DUMMYFUNCTION("""COMPUTED_VALUE"""),37.0)</f>
        <v>37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 t="str">
        <f>IFERROR(__xludf.DUMMYFUNCTION("""COMPUTED_VALUE"""),"C")</f>
        <v>C</v>
      </c>
      <c r="E298" s="1">
        <f>IFERROR(__xludf.DUMMYFUNCTION("""COMPUTED_VALUE"""),49.0)</f>
        <v>49</v>
      </c>
      <c r="F298" s="1">
        <f>IFERROR(__xludf.DUMMYFUNCTION("""COMPUTED_VALUE"""),71.0)</f>
        <v>71</v>
      </c>
      <c r="G298" s="1">
        <f>IFERROR(__xludf.DUMMYFUNCTION("""COMPUTED_VALUE"""),23.0)</f>
        <v>23</v>
      </c>
      <c r="H298" s="1">
        <f>IFERROR(__xludf.DUMMYFUNCTION("""COMPUTED_VALUE"""),54.0)</f>
        <v>54</v>
      </c>
      <c r="I298" s="1">
        <f>IFERROR(__xludf.DUMMYFUNCTION("""COMPUTED_VALUE"""),56.0)</f>
        <v>56</v>
      </c>
      <c r="J298" s="1">
        <f>IFERROR(__xludf.DUMMYFUNCTION("""COMPUTED_VALUE"""),28.0)</f>
        <v>28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 t="str">
        <f>IFERROR(__xludf.DUMMYFUNCTION("""COMPUTED_VALUE"""),"A")</f>
        <v>A</v>
      </c>
      <c r="E299" s="1">
        <f>IFERROR(__xludf.DUMMYFUNCTION("""COMPUTED_VALUE"""),23.0)</f>
        <v>23</v>
      </c>
      <c r="F299" s="1">
        <f>IFERROR(__xludf.DUMMYFUNCTION("""COMPUTED_VALUE"""),35.0)</f>
        <v>35</v>
      </c>
      <c r="G299" s="1">
        <f>IFERROR(__xludf.DUMMYFUNCTION("""COMPUTED_VALUE"""),97.0)</f>
        <v>97</v>
      </c>
      <c r="H299" s="1">
        <f>IFERROR(__xludf.DUMMYFUNCTION("""COMPUTED_VALUE"""),60.0)</f>
        <v>60</v>
      </c>
      <c r="I299" s="1">
        <f>IFERROR(__xludf.DUMMYFUNCTION("""COMPUTED_VALUE"""),87.0)</f>
        <v>87</v>
      </c>
      <c r="J299" s="1">
        <f>IFERROR(__xludf.DUMMYFUNCTION("""COMPUTED_VALUE"""),67.0)</f>
        <v>67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 t="str">
        <f>IFERROR(__xludf.DUMMYFUNCTION("""COMPUTED_VALUE"""),"A")</f>
        <v>A</v>
      </c>
      <c r="E300" s="1">
        <f>IFERROR(__xludf.DUMMYFUNCTION("""COMPUTED_VALUE"""),69.0)</f>
        <v>69</v>
      </c>
      <c r="F300" s="1">
        <f>IFERROR(__xludf.DUMMYFUNCTION("""COMPUTED_VALUE"""),84.0)</f>
        <v>84</v>
      </c>
      <c r="G300" s="1">
        <f>IFERROR(__xludf.DUMMYFUNCTION("""COMPUTED_VALUE"""),45.0)</f>
        <v>45</v>
      </c>
      <c r="H300" s="1">
        <f>IFERROR(__xludf.DUMMYFUNCTION("""COMPUTED_VALUE"""),54.0)</f>
        <v>54</v>
      </c>
      <c r="I300" s="1">
        <f>IFERROR(__xludf.DUMMYFUNCTION("""COMPUTED_VALUE"""),74.0)</f>
        <v>74</v>
      </c>
      <c r="J300" s="1">
        <f>IFERROR(__xludf.DUMMYFUNCTION("""COMPUTED_VALUE"""),35.0)</f>
        <v>35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 t="str">
        <f>IFERROR(__xludf.DUMMYFUNCTION("""COMPUTED_VALUE"""),"D")</f>
        <v>D</v>
      </c>
      <c r="E301" s="1">
        <f>IFERROR(__xludf.DUMMYFUNCTION("""COMPUTED_VALUE"""),34.0)</f>
        <v>34</v>
      </c>
      <c r="F301" s="1">
        <f>IFERROR(__xludf.DUMMYFUNCTION("""COMPUTED_VALUE"""),50.0)</f>
        <v>50</v>
      </c>
      <c r="G301" s="1">
        <f>IFERROR(__xludf.DUMMYFUNCTION("""COMPUTED_VALUE"""),81.0)</f>
        <v>81</v>
      </c>
      <c r="H301" s="1">
        <f>IFERROR(__xludf.DUMMYFUNCTION("""COMPUTED_VALUE"""),94.0)</f>
        <v>94</v>
      </c>
      <c r="I301" s="1">
        <f>IFERROR(__xludf.DUMMYFUNCTION("""COMPUTED_VALUE"""),71.0)</f>
        <v>71</v>
      </c>
      <c r="J301" s="1">
        <f>IFERROR(__xludf.DUMMYFUNCTION("""COMPUTED_VALUE"""),67.0)</f>
        <v>67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 t="str">
        <f>IFERROR(__xludf.DUMMYFUNCTION("""COMPUTED_VALUE"""),"D")</f>
        <v>D</v>
      </c>
      <c r="E302" s="1">
        <f>IFERROR(__xludf.DUMMYFUNCTION("""COMPUTED_VALUE"""),85.0)</f>
        <v>85</v>
      </c>
      <c r="F302" s="1">
        <f>IFERROR(__xludf.DUMMYFUNCTION("""COMPUTED_VALUE"""),60.0)</f>
        <v>60</v>
      </c>
      <c r="G302" s="1">
        <f>IFERROR(__xludf.DUMMYFUNCTION("""COMPUTED_VALUE"""),65.0)</f>
        <v>65</v>
      </c>
      <c r="H302" s="1">
        <f>IFERROR(__xludf.DUMMYFUNCTION("""COMPUTED_VALUE"""),93.0)</f>
        <v>93</v>
      </c>
      <c r="I302" s="1">
        <f>IFERROR(__xludf.DUMMYFUNCTION("""COMPUTED_VALUE"""),95.0)</f>
        <v>95</v>
      </c>
      <c r="J302" s="1">
        <f>IFERROR(__xludf.DUMMYFUNCTION("""COMPUTED_VALUE"""),94.0)</f>
        <v>94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 t="str">
        <f>IFERROR(__xludf.DUMMYFUNCTION("""COMPUTED_VALUE"""),"D")</f>
        <v>D</v>
      </c>
      <c r="E303" s="1">
        <f>IFERROR(__xludf.DUMMYFUNCTION("""COMPUTED_VALUE"""),52.0)</f>
        <v>52</v>
      </c>
      <c r="F303" s="1">
        <f>IFERROR(__xludf.DUMMYFUNCTION("""COMPUTED_VALUE"""),83.0)</f>
        <v>83</v>
      </c>
      <c r="G303" s="1">
        <f>IFERROR(__xludf.DUMMYFUNCTION("""COMPUTED_VALUE"""),76.0)</f>
        <v>76</v>
      </c>
      <c r="H303" s="1">
        <f>IFERROR(__xludf.DUMMYFUNCTION("""COMPUTED_VALUE"""),52.0)</f>
        <v>52</v>
      </c>
      <c r="I303" s="1">
        <f>IFERROR(__xludf.DUMMYFUNCTION("""COMPUTED_VALUE"""),93.0)</f>
        <v>93</v>
      </c>
      <c r="J303" s="1">
        <f>IFERROR(__xludf.DUMMYFUNCTION("""COMPUTED_VALUE"""),66.0)</f>
        <v>66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 t="str">
        <f>IFERROR(__xludf.DUMMYFUNCTION("""COMPUTED_VALUE"""),"D")</f>
        <v>D</v>
      </c>
      <c r="E304" s="1">
        <f>IFERROR(__xludf.DUMMYFUNCTION("""COMPUTED_VALUE"""),63.0)</f>
        <v>63</v>
      </c>
      <c r="F304" s="1">
        <f>IFERROR(__xludf.DUMMYFUNCTION("""COMPUTED_VALUE"""),93.0)</f>
        <v>93</v>
      </c>
      <c r="G304" s="1">
        <f>IFERROR(__xludf.DUMMYFUNCTION("""COMPUTED_VALUE"""),41.0)</f>
        <v>41</v>
      </c>
      <c r="H304" s="1">
        <f>IFERROR(__xludf.DUMMYFUNCTION("""COMPUTED_VALUE"""),85.0)</f>
        <v>85</v>
      </c>
      <c r="I304" s="1">
        <f>IFERROR(__xludf.DUMMYFUNCTION("""COMPUTED_VALUE"""),91.0)</f>
        <v>91</v>
      </c>
      <c r="J304" s="1">
        <f>IFERROR(__xludf.DUMMYFUNCTION("""COMPUTED_VALUE"""),47.0)</f>
        <v>47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 t="str">
        <f>IFERROR(__xludf.DUMMYFUNCTION("""COMPUTED_VALUE"""),"C")</f>
        <v>C</v>
      </c>
      <c r="E305" s="1">
        <f>IFERROR(__xludf.DUMMYFUNCTION("""COMPUTED_VALUE"""),22.0)</f>
        <v>22</v>
      </c>
      <c r="F305" s="1">
        <f>IFERROR(__xludf.DUMMYFUNCTION("""COMPUTED_VALUE"""),48.0)</f>
        <v>48</v>
      </c>
      <c r="G305" s="1">
        <f>IFERROR(__xludf.DUMMYFUNCTION("""COMPUTED_VALUE"""),93.0)</f>
        <v>93</v>
      </c>
      <c r="H305" s="1">
        <f>IFERROR(__xludf.DUMMYFUNCTION("""COMPUTED_VALUE"""),63.0)</f>
        <v>63</v>
      </c>
      <c r="I305" s="1">
        <f>IFERROR(__xludf.DUMMYFUNCTION("""COMPUTED_VALUE"""),38.0)</f>
        <v>38</v>
      </c>
      <c r="J305" s="1">
        <f>IFERROR(__xludf.DUMMYFUNCTION("""COMPUTED_VALUE"""),87.0)</f>
        <v>87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 t="str">
        <f>IFERROR(__xludf.DUMMYFUNCTION("""COMPUTED_VALUE"""),"B")</f>
        <v>B</v>
      </c>
      <c r="E306" s="1">
        <f>IFERROR(__xludf.DUMMYFUNCTION("""COMPUTED_VALUE"""),11.0)</f>
        <v>11</v>
      </c>
      <c r="F306" s="1">
        <f>IFERROR(__xludf.DUMMYFUNCTION("""COMPUTED_VALUE"""),33.0)</f>
        <v>33</v>
      </c>
      <c r="G306" s="1">
        <f>IFERROR(__xludf.DUMMYFUNCTION("""COMPUTED_VALUE"""),41.0)</f>
        <v>41</v>
      </c>
      <c r="H306" s="1">
        <f>IFERROR(__xludf.DUMMYFUNCTION("""COMPUTED_VALUE"""),52.0)</f>
        <v>52</v>
      </c>
      <c r="I306" s="1">
        <f>IFERROR(__xludf.DUMMYFUNCTION("""COMPUTED_VALUE"""),71.0)</f>
        <v>71</v>
      </c>
      <c r="J306" s="1">
        <f>IFERROR(__xludf.DUMMYFUNCTION("""COMPUTED_VALUE"""),74.0)</f>
        <v>74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 t="str">
        <f>IFERROR(__xludf.DUMMYFUNCTION("""COMPUTED_VALUE"""),"D")</f>
        <v>D</v>
      </c>
      <c r="E307" s="1">
        <f>IFERROR(__xludf.DUMMYFUNCTION("""COMPUTED_VALUE"""),21.0)</f>
        <v>21</v>
      </c>
      <c r="F307" s="1">
        <f>IFERROR(__xludf.DUMMYFUNCTION("""COMPUTED_VALUE"""),98.0)</f>
        <v>98</v>
      </c>
      <c r="G307" s="1">
        <f>IFERROR(__xludf.DUMMYFUNCTION("""COMPUTED_VALUE"""),28.0)</f>
        <v>28</v>
      </c>
      <c r="H307" s="1">
        <f>IFERROR(__xludf.DUMMYFUNCTION("""COMPUTED_VALUE"""),46.0)</f>
        <v>46</v>
      </c>
      <c r="I307" s="1">
        <f>IFERROR(__xludf.DUMMYFUNCTION("""COMPUTED_VALUE"""),25.0)</f>
        <v>25</v>
      </c>
      <c r="J307" s="1">
        <f>IFERROR(__xludf.DUMMYFUNCTION("""COMPUTED_VALUE"""),25.0)</f>
        <v>25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 t="str">
        <f>IFERROR(__xludf.DUMMYFUNCTION("""COMPUTED_VALUE"""),"D")</f>
        <v>D</v>
      </c>
      <c r="E308" s="1">
        <f>IFERROR(__xludf.DUMMYFUNCTION("""COMPUTED_VALUE"""),77.0)</f>
        <v>77</v>
      </c>
      <c r="F308" s="1">
        <f>IFERROR(__xludf.DUMMYFUNCTION("""COMPUTED_VALUE"""),36.0)</f>
        <v>36</v>
      </c>
      <c r="G308" s="1">
        <f>IFERROR(__xludf.DUMMYFUNCTION("""COMPUTED_VALUE"""),25.0)</f>
        <v>25</v>
      </c>
      <c r="H308" s="1">
        <f>IFERROR(__xludf.DUMMYFUNCTION("""COMPUTED_VALUE"""),27.0)</f>
        <v>27</v>
      </c>
      <c r="I308" s="1">
        <f>IFERROR(__xludf.DUMMYFUNCTION("""COMPUTED_VALUE"""),66.0)</f>
        <v>66</v>
      </c>
      <c r="J308" s="1">
        <f>IFERROR(__xludf.DUMMYFUNCTION("""COMPUTED_VALUE"""),35.0)</f>
        <v>35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 t="str">
        <f>IFERROR(__xludf.DUMMYFUNCTION("""COMPUTED_VALUE"""),"C")</f>
        <v>C</v>
      </c>
      <c r="E309" s="1">
        <f>IFERROR(__xludf.DUMMYFUNCTION("""COMPUTED_VALUE"""),30.0)</f>
        <v>30</v>
      </c>
      <c r="F309" s="1">
        <f>IFERROR(__xludf.DUMMYFUNCTION("""COMPUTED_VALUE"""),46.0)</f>
        <v>46</v>
      </c>
      <c r="G309" s="1">
        <f>IFERROR(__xludf.DUMMYFUNCTION("""COMPUTED_VALUE"""),21.0)</f>
        <v>21</v>
      </c>
      <c r="H309" s="1">
        <f>IFERROR(__xludf.DUMMYFUNCTION("""COMPUTED_VALUE"""),24.0)</f>
        <v>24</v>
      </c>
      <c r="I309" s="1">
        <f>IFERROR(__xludf.DUMMYFUNCTION("""COMPUTED_VALUE"""),70.0)</f>
        <v>70</v>
      </c>
      <c r="J309" s="1">
        <f>IFERROR(__xludf.DUMMYFUNCTION("""COMPUTED_VALUE"""),84.0)</f>
        <v>84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 t="str">
        <f>IFERROR(__xludf.DUMMYFUNCTION("""COMPUTED_VALUE"""),"A")</f>
        <v>A</v>
      </c>
      <c r="E310" s="1">
        <f>IFERROR(__xludf.DUMMYFUNCTION("""COMPUTED_VALUE"""),42.0)</f>
        <v>42</v>
      </c>
      <c r="F310" s="1">
        <f>IFERROR(__xludf.DUMMYFUNCTION("""COMPUTED_VALUE"""),78.0)</f>
        <v>78</v>
      </c>
      <c r="G310" s="1">
        <f>IFERROR(__xludf.DUMMYFUNCTION("""COMPUTED_VALUE"""),93.0)</f>
        <v>93</v>
      </c>
      <c r="H310" s="1">
        <f>IFERROR(__xludf.DUMMYFUNCTION("""COMPUTED_VALUE"""),48.0)</f>
        <v>48</v>
      </c>
      <c r="I310" s="1">
        <f>IFERROR(__xludf.DUMMYFUNCTION("""COMPUTED_VALUE"""),93.0)</f>
        <v>93</v>
      </c>
      <c r="J310" s="1">
        <f>IFERROR(__xludf.DUMMYFUNCTION("""COMPUTED_VALUE"""),76.0)</f>
        <v>76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 t="str">
        <f>IFERROR(__xludf.DUMMYFUNCTION("""COMPUTED_VALUE"""),"D")</f>
        <v>D</v>
      </c>
      <c r="E311" s="1">
        <f>IFERROR(__xludf.DUMMYFUNCTION("""COMPUTED_VALUE"""),70.0)</f>
        <v>70</v>
      </c>
      <c r="F311" s="1">
        <f>IFERROR(__xludf.DUMMYFUNCTION("""COMPUTED_VALUE"""),99.0)</f>
        <v>99</v>
      </c>
      <c r="G311" s="1">
        <f>IFERROR(__xludf.DUMMYFUNCTION("""COMPUTED_VALUE"""),37.0)</f>
        <v>37</v>
      </c>
      <c r="H311" s="1">
        <f>IFERROR(__xludf.DUMMYFUNCTION("""COMPUTED_VALUE"""),55.0)</f>
        <v>55</v>
      </c>
      <c r="I311" s="1">
        <f>IFERROR(__xludf.DUMMYFUNCTION("""COMPUTED_VALUE"""),96.0)</f>
        <v>96</v>
      </c>
      <c r="J311" s="1">
        <f>IFERROR(__xludf.DUMMYFUNCTION("""COMPUTED_VALUE"""),46.0)</f>
        <v>46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 t="str">
        <f>IFERROR(__xludf.DUMMYFUNCTION("""COMPUTED_VALUE"""),"A")</f>
        <v>A</v>
      </c>
      <c r="E312" s="1">
        <f>IFERROR(__xludf.DUMMYFUNCTION("""COMPUTED_VALUE"""),61.0)</f>
        <v>61</v>
      </c>
      <c r="F312" s="1">
        <f>IFERROR(__xludf.DUMMYFUNCTION("""COMPUTED_VALUE"""),24.0)</f>
        <v>24</v>
      </c>
      <c r="G312" s="1">
        <f>IFERROR(__xludf.DUMMYFUNCTION("""COMPUTED_VALUE"""),95.0)</f>
        <v>95</v>
      </c>
      <c r="H312" s="1">
        <f>IFERROR(__xludf.DUMMYFUNCTION("""COMPUTED_VALUE"""),78.0)</f>
        <v>78</v>
      </c>
      <c r="I312" s="1">
        <f>IFERROR(__xludf.DUMMYFUNCTION("""COMPUTED_VALUE"""),22.0)</f>
        <v>22</v>
      </c>
      <c r="J312" s="1">
        <f>IFERROR(__xludf.DUMMYFUNCTION("""COMPUTED_VALUE"""),24.0)</f>
        <v>24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 t="str">
        <f>IFERROR(__xludf.DUMMYFUNCTION("""COMPUTED_VALUE"""),"B")</f>
        <v>B</v>
      </c>
      <c r="E313" s="1">
        <f>IFERROR(__xludf.DUMMYFUNCTION("""COMPUTED_VALUE"""),99.0)</f>
        <v>99</v>
      </c>
      <c r="F313" s="1">
        <f>IFERROR(__xludf.DUMMYFUNCTION("""COMPUTED_VALUE"""),77.0)</f>
        <v>77</v>
      </c>
      <c r="G313" s="1">
        <f>IFERROR(__xludf.DUMMYFUNCTION("""COMPUTED_VALUE"""),28.0)</f>
        <v>28</v>
      </c>
      <c r="H313" s="1">
        <f>IFERROR(__xludf.DUMMYFUNCTION("""COMPUTED_VALUE"""),94.0)</f>
        <v>94</v>
      </c>
      <c r="I313" s="1">
        <f>IFERROR(__xludf.DUMMYFUNCTION("""COMPUTED_VALUE"""),25.0)</f>
        <v>25</v>
      </c>
      <c r="J313" s="1">
        <f>IFERROR(__xludf.DUMMYFUNCTION("""COMPUTED_VALUE"""),24.0)</f>
        <v>24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 t="str">
        <f>IFERROR(__xludf.DUMMYFUNCTION("""COMPUTED_VALUE"""),"B")</f>
        <v>B</v>
      </c>
      <c r="E314" s="1">
        <f>IFERROR(__xludf.DUMMYFUNCTION("""COMPUTED_VALUE"""),33.0)</f>
        <v>33</v>
      </c>
      <c r="F314" s="1">
        <f>IFERROR(__xludf.DUMMYFUNCTION("""COMPUTED_VALUE"""),29.0)</f>
        <v>29</v>
      </c>
      <c r="G314" s="1">
        <f>IFERROR(__xludf.DUMMYFUNCTION("""COMPUTED_VALUE"""),74.0)</f>
        <v>74</v>
      </c>
      <c r="H314" s="1">
        <f>IFERROR(__xludf.DUMMYFUNCTION("""COMPUTED_VALUE"""),78.0)</f>
        <v>78</v>
      </c>
      <c r="I314" s="1">
        <f>IFERROR(__xludf.DUMMYFUNCTION("""COMPUTED_VALUE"""),66.0)</f>
        <v>66</v>
      </c>
      <c r="J314" s="1">
        <f>IFERROR(__xludf.DUMMYFUNCTION("""COMPUTED_VALUE"""),56.0)</f>
        <v>56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 t="str">
        <f>IFERROR(__xludf.DUMMYFUNCTION("""COMPUTED_VALUE"""),"A")</f>
        <v>A</v>
      </c>
      <c r="E315" s="1">
        <f>IFERROR(__xludf.DUMMYFUNCTION("""COMPUTED_VALUE"""),26.0)</f>
        <v>26</v>
      </c>
      <c r="F315" s="1">
        <f>IFERROR(__xludf.DUMMYFUNCTION("""COMPUTED_VALUE"""),21.0)</f>
        <v>21</v>
      </c>
      <c r="G315" s="1">
        <f>IFERROR(__xludf.DUMMYFUNCTION("""COMPUTED_VALUE"""),97.0)</f>
        <v>97</v>
      </c>
      <c r="H315" s="1">
        <f>IFERROR(__xludf.DUMMYFUNCTION("""COMPUTED_VALUE"""),67.0)</f>
        <v>67</v>
      </c>
      <c r="I315" s="1">
        <f>IFERROR(__xludf.DUMMYFUNCTION("""COMPUTED_VALUE"""),81.0)</f>
        <v>81</v>
      </c>
      <c r="J315" s="1">
        <f>IFERROR(__xludf.DUMMYFUNCTION("""COMPUTED_VALUE"""),72.0)</f>
        <v>72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 t="str">
        <f>IFERROR(__xludf.DUMMYFUNCTION("""COMPUTED_VALUE"""),"B")</f>
        <v>B</v>
      </c>
      <c r="E316" s="1">
        <f>IFERROR(__xludf.DUMMYFUNCTION("""COMPUTED_VALUE"""),37.0)</f>
        <v>37</v>
      </c>
      <c r="F316" s="1">
        <f>IFERROR(__xludf.DUMMYFUNCTION("""COMPUTED_VALUE"""),39.0)</f>
        <v>39</v>
      </c>
      <c r="G316" s="1">
        <f>IFERROR(__xludf.DUMMYFUNCTION("""COMPUTED_VALUE"""),28.0)</f>
        <v>28</v>
      </c>
      <c r="H316" s="1">
        <f>IFERROR(__xludf.DUMMYFUNCTION("""COMPUTED_VALUE"""),54.0)</f>
        <v>54</v>
      </c>
      <c r="I316" s="1">
        <f>IFERROR(__xludf.DUMMYFUNCTION("""COMPUTED_VALUE"""),51.0)</f>
        <v>51</v>
      </c>
      <c r="J316" s="1">
        <f>IFERROR(__xludf.DUMMYFUNCTION("""COMPUTED_VALUE"""),61.0)</f>
        <v>61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 t="str">
        <f>IFERROR(__xludf.DUMMYFUNCTION("""COMPUTED_VALUE"""),"A")</f>
        <v>A</v>
      </c>
      <c r="E317" s="1">
        <f>IFERROR(__xludf.DUMMYFUNCTION("""COMPUTED_VALUE"""),46.0)</f>
        <v>46</v>
      </c>
      <c r="F317" s="1">
        <f>IFERROR(__xludf.DUMMYFUNCTION("""COMPUTED_VALUE"""),73.0)</f>
        <v>73</v>
      </c>
      <c r="G317" s="1">
        <f>IFERROR(__xludf.DUMMYFUNCTION("""COMPUTED_VALUE"""),50.0)</f>
        <v>50</v>
      </c>
      <c r="H317" s="1">
        <f>IFERROR(__xludf.DUMMYFUNCTION("""COMPUTED_VALUE"""),75.0)</f>
        <v>75</v>
      </c>
      <c r="I317" s="1">
        <f>IFERROR(__xludf.DUMMYFUNCTION("""COMPUTED_VALUE"""),21.0)</f>
        <v>21</v>
      </c>
      <c r="J317" s="1">
        <f>IFERROR(__xludf.DUMMYFUNCTION("""COMPUTED_VALUE"""),92.0)</f>
        <v>92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 t="str">
        <f>IFERROR(__xludf.DUMMYFUNCTION("""COMPUTED_VALUE"""),"B")</f>
        <v>B</v>
      </c>
      <c r="E318" s="1">
        <f>IFERROR(__xludf.DUMMYFUNCTION("""COMPUTED_VALUE"""),73.0)</f>
        <v>73</v>
      </c>
      <c r="F318" s="1">
        <f>IFERROR(__xludf.DUMMYFUNCTION("""COMPUTED_VALUE"""),95.0)</f>
        <v>95</v>
      </c>
      <c r="G318" s="1">
        <f>IFERROR(__xludf.DUMMYFUNCTION("""COMPUTED_VALUE"""),41.0)</f>
        <v>41</v>
      </c>
      <c r="H318" s="1">
        <f>IFERROR(__xludf.DUMMYFUNCTION("""COMPUTED_VALUE"""),26.0)</f>
        <v>26</v>
      </c>
      <c r="I318" s="1">
        <f>IFERROR(__xludf.DUMMYFUNCTION("""COMPUTED_VALUE"""),32.0)</f>
        <v>32</v>
      </c>
      <c r="J318" s="1">
        <f>IFERROR(__xludf.DUMMYFUNCTION("""COMPUTED_VALUE"""),52.0)</f>
        <v>52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 t="str">
        <f>IFERROR(__xludf.DUMMYFUNCTION("""COMPUTED_VALUE"""),"A")</f>
        <v>A</v>
      </c>
      <c r="E319" s="1">
        <f>IFERROR(__xludf.DUMMYFUNCTION("""COMPUTED_VALUE"""),11.0)</f>
        <v>11</v>
      </c>
      <c r="F319" s="1">
        <f>IFERROR(__xludf.DUMMYFUNCTION("""COMPUTED_VALUE"""),23.0)</f>
        <v>23</v>
      </c>
      <c r="G319" s="1">
        <f>IFERROR(__xludf.DUMMYFUNCTION("""COMPUTED_VALUE"""),75.0)</f>
        <v>75</v>
      </c>
      <c r="H319" s="1">
        <f>IFERROR(__xludf.DUMMYFUNCTION("""COMPUTED_VALUE"""),73.0)</f>
        <v>73</v>
      </c>
      <c r="I319" s="1">
        <f>IFERROR(__xludf.DUMMYFUNCTION("""COMPUTED_VALUE"""),34.0)</f>
        <v>34</v>
      </c>
      <c r="J319" s="1">
        <f>IFERROR(__xludf.DUMMYFUNCTION("""COMPUTED_VALUE"""),85.0)</f>
        <v>85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 t="str">
        <f>IFERROR(__xludf.DUMMYFUNCTION("""COMPUTED_VALUE"""),"D")</f>
        <v>D</v>
      </c>
      <c r="E320" s="1">
        <f>IFERROR(__xludf.DUMMYFUNCTION("""COMPUTED_VALUE"""),60.0)</f>
        <v>60</v>
      </c>
      <c r="F320" s="1">
        <f>IFERROR(__xludf.DUMMYFUNCTION("""COMPUTED_VALUE"""),45.0)</f>
        <v>45</v>
      </c>
      <c r="G320" s="1">
        <f>IFERROR(__xludf.DUMMYFUNCTION("""COMPUTED_VALUE"""),51.0)</f>
        <v>51</v>
      </c>
      <c r="H320" s="1">
        <f>IFERROR(__xludf.DUMMYFUNCTION("""COMPUTED_VALUE"""),72.0)</f>
        <v>72</v>
      </c>
      <c r="I320" s="1">
        <f>IFERROR(__xludf.DUMMYFUNCTION("""COMPUTED_VALUE"""),95.0)</f>
        <v>95</v>
      </c>
      <c r="J320" s="1">
        <f>IFERROR(__xludf.DUMMYFUNCTION("""COMPUTED_VALUE"""),49.0)</f>
        <v>49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 t="str">
        <f>IFERROR(__xludf.DUMMYFUNCTION("""COMPUTED_VALUE"""),"A")</f>
        <v>A</v>
      </c>
      <c r="E321" s="1">
        <f>IFERROR(__xludf.DUMMYFUNCTION("""COMPUTED_VALUE"""),84.0)</f>
        <v>84</v>
      </c>
      <c r="F321" s="1">
        <f>IFERROR(__xludf.DUMMYFUNCTION("""COMPUTED_VALUE"""),95.0)</f>
        <v>95</v>
      </c>
      <c r="G321" s="1">
        <f>IFERROR(__xludf.DUMMYFUNCTION("""COMPUTED_VALUE"""),61.0)</f>
        <v>61</v>
      </c>
      <c r="H321" s="1">
        <f>IFERROR(__xludf.DUMMYFUNCTION("""COMPUTED_VALUE"""),95.0)</f>
        <v>95</v>
      </c>
      <c r="I321" s="1">
        <f>IFERROR(__xludf.DUMMYFUNCTION("""COMPUTED_VALUE"""),35.0)</f>
        <v>35</v>
      </c>
      <c r="J321" s="1">
        <f>IFERROR(__xludf.DUMMYFUNCTION("""COMPUTED_VALUE"""),35.0)</f>
        <v>35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 t="str">
        <f>IFERROR(__xludf.DUMMYFUNCTION("""COMPUTED_VALUE"""),"B")</f>
        <v>B</v>
      </c>
      <c r="E322" s="1">
        <f>IFERROR(__xludf.DUMMYFUNCTION("""COMPUTED_VALUE"""),52.0)</f>
        <v>52</v>
      </c>
      <c r="F322" s="1">
        <f>IFERROR(__xludf.DUMMYFUNCTION("""COMPUTED_VALUE"""),96.0)</f>
        <v>96</v>
      </c>
      <c r="G322" s="1">
        <f>IFERROR(__xludf.DUMMYFUNCTION("""COMPUTED_VALUE"""),24.0)</f>
        <v>24</v>
      </c>
      <c r="H322" s="1">
        <f>IFERROR(__xludf.DUMMYFUNCTION("""COMPUTED_VALUE"""),69.0)</f>
        <v>69</v>
      </c>
      <c r="I322" s="1">
        <f>IFERROR(__xludf.DUMMYFUNCTION("""COMPUTED_VALUE"""),55.0)</f>
        <v>55</v>
      </c>
      <c r="J322" s="1">
        <f>IFERROR(__xludf.DUMMYFUNCTION("""COMPUTED_VALUE"""),66.0)</f>
        <v>66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 t="str">
        <f>IFERROR(__xludf.DUMMYFUNCTION("""COMPUTED_VALUE"""),"C")</f>
        <v>C</v>
      </c>
      <c r="E323" s="1">
        <f>IFERROR(__xludf.DUMMYFUNCTION("""COMPUTED_VALUE"""),58.0)</f>
        <v>58</v>
      </c>
      <c r="F323" s="1">
        <f>IFERROR(__xludf.DUMMYFUNCTION("""COMPUTED_VALUE"""),33.0)</f>
        <v>33</v>
      </c>
      <c r="G323" s="1">
        <f>IFERROR(__xludf.DUMMYFUNCTION("""COMPUTED_VALUE"""),89.0)</f>
        <v>89</v>
      </c>
      <c r="H323" s="1">
        <f>IFERROR(__xludf.DUMMYFUNCTION("""COMPUTED_VALUE"""),63.0)</f>
        <v>63</v>
      </c>
      <c r="I323" s="1">
        <f>IFERROR(__xludf.DUMMYFUNCTION("""COMPUTED_VALUE"""),81.0)</f>
        <v>81</v>
      </c>
      <c r="J323" s="1">
        <f>IFERROR(__xludf.DUMMYFUNCTION("""COMPUTED_VALUE"""),24.0)</f>
        <v>24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 t="str">
        <f>IFERROR(__xludf.DUMMYFUNCTION("""COMPUTED_VALUE"""),"C")</f>
        <v>C</v>
      </c>
      <c r="E324" s="1">
        <f>IFERROR(__xludf.DUMMYFUNCTION("""COMPUTED_VALUE"""),85.0)</f>
        <v>85</v>
      </c>
      <c r="F324" s="1">
        <f>IFERROR(__xludf.DUMMYFUNCTION("""COMPUTED_VALUE"""),34.0)</f>
        <v>34</v>
      </c>
      <c r="G324" s="1">
        <f>IFERROR(__xludf.DUMMYFUNCTION("""COMPUTED_VALUE"""),55.0)</f>
        <v>55</v>
      </c>
      <c r="H324" s="1">
        <f>IFERROR(__xludf.DUMMYFUNCTION("""COMPUTED_VALUE"""),29.0)</f>
        <v>29</v>
      </c>
      <c r="I324" s="1">
        <f>IFERROR(__xludf.DUMMYFUNCTION("""COMPUTED_VALUE"""),66.0)</f>
        <v>66</v>
      </c>
      <c r="J324" s="1">
        <f>IFERROR(__xludf.DUMMYFUNCTION("""COMPUTED_VALUE"""),68.0)</f>
        <v>68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 t="str">
        <f>IFERROR(__xludf.DUMMYFUNCTION("""COMPUTED_VALUE"""),"C")</f>
        <v>C</v>
      </c>
      <c r="E325" s="1">
        <f>IFERROR(__xludf.DUMMYFUNCTION("""COMPUTED_VALUE"""),76.0)</f>
        <v>76</v>
      </c>
      <c r="F325" s="1">
        <f>IFERROR(__xludf.DUMMYFUNCTION("""COMPUTED_VALUE"""),32.0)</f>
        <v>32</v>
      </c>
      <c r="G325" s="1">
        <f>IFERROR(__xludf.DUMMYFUNCTION("""COMPUTED_VALUE"""),28.0)</f>
        <v>28</v>
      </c>
      <c r="H325" s="1">
        <f>IFERROR(__xludf.DUMMYFUNCTION("""COMPUTED_VALUE"""),36.0)</f>
        <v>36</v>
      </c>
      <c r="I325" s="1">
        <f>IFERROR(__xludf.DUMMYFUNCTION("""COMPUTED_VALUE"""),29.0)</f>
        <v>29</v>
      </c>
      <c r="J325" s="1">
        <f>IFERROR(__xludf.DUMMYFUNCTION("""COMPUTED_VALUE"""),24.0)</f>
        <v>24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 t="str">
        <f>IFERROR(__xludf.DUMMYFUNCTION("""COMPUTED_VALUE"""),"D")</f>
        <v>D</v>
      </c>
      <c r="E326" s="1">
        <f>IFERROR(__xludf.DUMMYFUNCTION("""COMPUTED_VALUE"""),37.0)</f>
        <v>37</v>
      </c>
      <c r="F326" s="1">
        <f>IFERROR(__xludf.DUMMYFUNCTION("""COMPUTED_VALUE"""),21.0)</f>
        <v>21</v>
      </c>
      <c r="G326" s="1">
        <f>IFERROR(__xludf.DUMMYFUNCTION("""COMPUTED_VALUE"""),84.0)</f>
        <v>84</v>
      </c>
      <c r="H326" s="1">
        <f>IFERROR(__xludf.DUMMYFUNCTION("""COMPUTED_VALUE"""),60.0)</f>
        <v>60</v>
      </c>
      <c r="I326" s="1">
        <f>IFERROR(__xludf.DUMMYFUNCTION("""COMPUTED_VALUE"""),25.0)</f>
        <v>25</v>
      </c>
      <c r="J326" s="1">
        <f>IFERROR(__xludf.DUMMYFUNCTION("""COMPUTED_VALUE"""),81.0)</f>
        <v>81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 t="str">
        <f>IFERROR(__xludf.DUMMYFUNCTION("""COMPUTED_VALUE"""),"C")</f>
        <v>C</v>
      </c>
      <c r="E327" s="1">
        <f>IFERROR(__xludf.DUMMYFUNCTION("""COMPUTED_VALUE"""),65.0)</f>
        <v>65</v>
      </c>
      <c r="F327" s="1">
        <f>IFERROR(__xludf.DUMMYFUNCTION("""COMPUTED_VALUE"""),22.0)</f>
        <v>22</v>
      </c>
      <c r="G327" s="1">
        <f>IFERROR(__xludf.DUMMYFUNCTION("""COMPUTED_VALUE"""),75.0)</f>
        <v>75</v>
      </c>
      <c r="H327" s="1">
        <f>IFERROR(__xludf.DUMMYFUNCTION("""COMPUTED_VALUE"""),58.0)</f>
        <v>58</v>
      </c>
      <c r="I327" s="1">
        <f>IFERROR(__xludf.DUMMYFUNCTION("""COMPUTED_VALUE"""),80.0)</f>
        <v>80</v>
      </c>
      <c r="J327" s="1">
        <f>IFERROR(__xludf.DUMMYFUNCTION("""COMPUTED_VALUE"""),95.0)</f>
        <v>95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 t="str">
        <f>IFERROR(__xludf.DUMMYFUNCTION("""COMPUTED_VALUE"""),"A")</f>
        <v>A</v>
      </c>
      <c r="E328" s="1">
        <f>IFERROR(__xludf.DUMMYFUNCTION("""COMPUTED_VALUE"""),87.0)</f>
        <v>87</v>
      </c>
      <c r="F328" s="1">
        <f>IFERROR(__xludf.DUMMYFUNCTION("""COMPUTED_VALUE"""),46.0)</f>
        <v>46</v>
      </c>
      <c r="G328" s="1">
        <f>IFERROR(__xludf.DUMMYFUNCTION("""COMPUTED_VALUE"""),99.0)</f>
        <v>99</v>
      </c>
      <c r="H328" s="1">
        <f>IFERROR(__xludf.DUMMYFUNCTION("""COMPUTED_VALUE"""),70.0)</f>
        <v>70</v>
      </c>
      <c r="I328" s="1">
        <f>IFERROR(__xludf.DUMMYFUNCTION("""COMPUTED_VALUE"""),93.0)</f>
        <v>93</v>
      </c>
      <c r="J328" s="1">
        <f>IFERROR(__xludf.DUMMYFUNCTION("""COMPUTED_VALUE"""),89.0)</f>
        <v>89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 t="str">
        <f>IFERROR(__xludf.DUMMYFUNCTION("""COMPUTED_VALUE"""),"A")</f>
        <v>A</v>
      </c>
      <c r="E329" s="1">
        <f>IFERROR(__xludf.DUMMYFUNCTION("""COMPUTED_VALUE"""),17.0)</f>
        <v>17</v>
      </c>
      <c r="F329" s="1">
        <f>IFERROR(__xludf.DUMMYFUNCTION("""COMPUTED_VALUE"""),27.0)</f>
        <v>27</v>
      </c>
      <c r="G329" s="1">
        <f>IFERROR(__xludf.DUMMYFUNCTION("""COMPUTED_VALUE"""),64.0)</f>
        <v>64</v>
      </c>
      <c r="H329" s="1">
        <f>IFERROR(__xludf.DUMMYFUNCTION("""COMPUTED_VALUE"""),72.0)</f>
        <v>72</v>
      </c>
      <c r="I329" s="1">
        <f>IFERROR(__xludf.DUMMYFUNCTION("""COMPUTED_VALUE"""),41.0)</f>
        <v>41</v>
      </c>
      <c r="J329" s="1">
        <f>IFERROR(__xludf.DUMMYFUNCTION("""COMPUTED_VALUE"""),60.0)</f>
        <v>60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 t="str">
        <f>IFERROR(__xludf.DUMMYFUNCTION("""COMPUTED_VALUE"""),"C")</f>
        <v>C</v>
      </c>
      <c r="E330" s="1">
        <f>IFERROR(__xludf.DUMMYFUNCTION("""COMPUTED_VALUE"""),13.0)</f>
        <v>13</v>
      </c>
      <c r="F330" s="1">
        <f>IFERROR(__xludf.DUMMYFUNCTION("""COMPUTED_VALUE"""),73.0)</f>
        <v>73</v>
      </c>
      <c r="G330" s="1">
        <f>IFERROR(__xludf.DUMMYFUNCTION("""COMPUTED_VALUE"""),73.0)</f>
        <v>73</v>
      </c>
      <c r="H330" s="1">
        <f>IFERROR(__xludf.DUMMYFUNCTION("""COMPUTED_VALUE"""),68.0)</f>
        <v>68</v>
      </c>
      <c r="I330" s="1">
        <f>IFERROR(__xludf.DUMMYFUNCTION("""COMPUTED_VALUE"""),33.0)</f>
        <v>33</v>
      </c>
      <c r="J330" s="1">
        <f>IFERROR(__xludf.DUMMYFUNCTION("""COMPUTED_VALUE"""),76.0)</f>
        <v>76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 t="str">
        <f>IFERROR(__xludf.DUMMYFUNCTION("""COMPUTED_VALUE"""),"A")</f>
        <v>A</v>
      </c>
      <c r="E331" s="1">
        <f>IFERROR(__xludf.DUMMYFUNCTION("""COMPUTED_VALUE"""),91.0)</f>
        <v>91</v>
      </c>
      <c r="F331" s="1">
        <f>IFERROR(__xludf.DUMMYFUNCTION("""COMPUTED_VALUE"""),64.0)</f>
        <v>64</v>
      </c>
      <c r="G331" s="1">
        <f>IFERROR(__xludf.DUMMYFUNCTION("""COMPUTED_VALUE"""),86.0)</f>
        <v>86</v>
      </c>
      <c r="H331" s="1">
        <f>IFERROR(__xludf.DUMMYFUNCTION("""COMPUTED_VALUE"""),59.0)</f>
        <v>59</v>
      </c>
      <c r="I331" s="1">
        <f>IFERROR(__xludf.DUMMYFUNCTION("""COMPUTED_VALUE"""),63.0)</f>
        <v>63</v>
      </c>
      <c r="J331" s="1">
        <f>IFERROR(__xludf.DUMMYFUNCTION("""COMPUTED_VALUE"""),28.0)</f>
        <v>28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 t="str">
        <f>IFERROR(__xludf.DUMMYFUNCTION("""COMPUTED_VALUE"""),"A")</f>
        <v>A</v>
      </c>
      <c r="E332" s="1">
        <f>IFERROR(__xludf.DUMMYFUNCTION("""COMPUTED_VALUE"""),35.0)</f>
        <v>35</v>
      </c>
      <c r="F332" s="1">
        <f>IFERROR(__xludf.DUMMYFUNCTION("""COMPUTED_VALUE"""),79.0)</f>
        <v>79</v>
      </c>
      <c r="G332" s="1">
        <f>IFERROR(__xludf.DUMMYFUNCTION("""COMPUTED_VALUE"""),34.0)</f>
        <v>34</v>
      </c>
      <c r="H332" s="1">
        <f>IFERROR(__xludf.DUMMYFUNCTION("""COMPUTED_VALUE"""),98.0)</f>
        <v>98</v>
      </c>
      <c r="I332" s="1">
        <f>IFERROR(__xludf.DUMMYFUNCTION("""COMPUTED_VALUE"""),41.0)</f>
        <v>41</v>
      </c>
      <c r="J332" s="1">
        <f>IFERROR(__xludf.DUMMYFUNCTION("""COMPUTED_VALUE"""),55.0)</f>
        <v>55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 t="str">
        <f>IFERROR(__xludf.DUMMYFUNCTION("""COMPUTED_VALUE"""),"C")</f>
        <v>C</v>
      </c>
      <c r="E333" s="1">
        <f>IFERROR(__xludf.DUMMYFUNCTION("""COMPUTED_VALUE"""),61.0)</f>
        <v>61</v>
      </c>
      <c r="F333" s="1">
        <f>IFERROR(__xludf.DUMMYFUNCTION("""COMPUTED_VALUE"""),74.0)</f>
        <v>74</v>
      </c>
      <c r="G333" s="1">
        <f>IFERROR(__xludf.DUMMYFUNCTION("""COMPUTED_VALUE"""),48.0)</f>
        <v>48</v>
      </c>
      <c r="H333" s="1">
        <f>IFERROR(__xludf.DUMMYFUNCTION("""COMPUTED_VALUE"""),95.0)</f>
        <v>95</v>
      </c>
      <c r="I333" s="1">
        <f>IFERROR(__xludf.DUMMYFUNCTION("""COMPUTED_VALUE"""),90.0)</f>
        <v>90</v>
      </c>
      <c r="J333" s="1">
        <f>IFERROR(__xludf.DUMMYFUNCTION("""COMPUTED_VALUE"""),21.0)</f>
        <v>21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 t="str">
        <f>IFERROR(__xludf.DUMMYFUNCTION("""COMPUTED_VALUE"""),"C")</f>
        <v>C</v>
      </c>
      <c r="E334" s="1">
        <f>IFERROR(__xludf.DUMMYFUNCTION("""COMPUTED_VALUE"""),35.0)</f>
        <v>35</v>
      </c>
      <c r="F334" s="1">
        <f>IFERROR(__xludf.DUMMYFUNCTION("""COMPUTED_VALUE"""),31.0)</f>
        <v>31</v>
      </c>
      <c r="G334" s="1">
        <f>IFERROR(__xludf.DUMMYFUNCTION("""COMPUTED_VALUE"""),99.0)</f>
        <v>99</v>
      </c>
      <c r="H334" s="1">
        <f>IFERROR(__xludf.DUMMYFUNCTION("""COMPUTED_VALUE"""),62.0)</f>
        <v>62</v>
      </c>
      <c r="I334" s="1">
        <f>IFERROR(__xludf.DUMMYFUNCTION("""COMPUTED_VALUE"""),47.0)</f>
        <v>47</v>
      </c>
      <c r="J334" s="1">
        <f>IFERROR(__xludf.DUMMYFUNCTION("""COMPUTED_VALUE"""),77.0)</f>
        <v>77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 t="str">
        <f>IFERROR(__xludf.DUMMYFUNCTION("""COMPUTED_VALUE"""),"B")</f>
        <v>B</v>
      </c>
      <c r="E335" s="1">
        <f>IFERROR(__xludf.DUMMYFUNCTION("""COMPUTED_VALUE"""),38.0)</f>
        <v>38</v>
      </c>
      <c r="F335" s="1">
        <f>IFERROR(__xludf.DUMMYFUNCTION("""COMPUTED_VALUE"""),29.0)</f>
        <v>29</v>
      </c>
      <c r="G335" s="1">
        <f>IFERROR(__xludf.DUMMYFUNCTION("""COMPUTED_VALUE"""),73.0)</f>
        <v>73</v>
      </c>
      <c r="H335" s="1">
        <f>IFERROR(__xludf.DUMMYFUNCTION("""COMPUTED_VALUE"""),59.0)</f>
        <v>59</v>
      </c>
      <c r="I335" s="1">
        <f>IFERROR(__xludf.DUMMYFUNCTION("""COMPUTED_VALUE"""),87.0)</f>
        <v>87</v>
      </c>
      <c r="J335" s="1">
        <f>IFERROR(__xludf.DUMMYFUNCTION("""COMPUTED_VALUE"""),39.0)</f>
        <v>39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 t="str">
        <f>IFERROR(__xludf.DUMMYFUNCTION("""COMPUTED_VALUE"""),"D")</f>
        <v>D</v>
      </c>
      <c r="E336" s="1">
        <f>IFERROR(__xludf.DUMMYFUNCTION("""COMPUTED_VALUE"""),18.0)</f>
        <v>18</v>
      </c>
      <c r="F336" s="1">
        <f>IFERROR(__xludf.DUMMYFUNCTION("""COMPUTED_VALUE"""),59.0)</f>
        <v>59</v>
      </c>
      <c r="G336" s="1">
        <f>IFERROR(__xludf.DUMMYFUNCTION("""COMPUTED_VALUE"""),79.0)</f>
        <v>79</v>
      </c>
      <c r="H336" s="1">
        <f>IFERROR(__xludf.DUMMYFUNCTION("""COMPUTED_VALUE"""),49.0)</f>
        <v>49</v>
      </c>
      <c r="I336" s="1">
        <f>IFERROR(__xludf.DUMMYFUNCTION("""COMPUTED_VALUE"""),34.0)</f>
        <v>34</v>
      </c>
      <c r="J336" s="1">
        <f>IFERROR(__xludf.DUMMYFUNCTION("""COMPUTED_VALUE"""),90.0)</f>
        <v>90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 t="str">
        <f>IFERROR(__xludf.DUMMYFUNCTION("""COMPUTED_VALUE"""),"B")</f>
        <v>B</v>
      </c>
      <c r="E337" s="1">
        <f>IFERROR(__xludf.DUMMYFUNCTION("""COMPUTED_VALUE"""),68.0)</f>
        <v>68</v>
      </c>
      <c r="F337" s="1">
        <f>IFERROR(__xludf.DUMMYFUNCTION("""COMPUTED_VALUE"""),99.0)</f>
        <v>99</v>
      </c>
      <c r="G337" s="1">
        <f>IFERROR(__xludf.DUMMYFUNCTION("""COMPUTED_VALUE"""),55.0)</f>
        <v>55</v>
      </c>
      <c r="H337" s="1">
        <f>IFERROR(__xludf.DUMMYFUNCTION("""COMPUTED_VALUE"""),27.0)</f>
        <v>27</v>
      </c>
      <c r="I337" s="1">
        <f>IFERROR(__xludf.DUMMYFUNCTION("""COMPUTED_VALUE"""),86.0)</f>
        <v>86</v>
      </c>
      <c r="J337" s="1">
        <f>IFERROR(__xludf.DUMMYFUNCTION("""COMPUTED_VALUE"""),29.0)</f>
        <v>29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 t="str">
        <f>IFERROR(__xludf.DUMMYFUNCTION("""COMPUTED_VALUE"""),"C")</f>
        <v>C</v>
      </c>
      <c r="E338" s="1">
        <f>IFERROR(__xludf.DUMMYFUNCTION("""COMPUTED_VALUE"""),43.0)</f>
        <v>43</v>
      </c>
      <c r="F338" s="1">
        <f>IFERROR(__xludf.DUMMYFUNCTION("""COMPUTED_VALUE"""),40.0)</f>
        <v>40</v>
      </c>
      <c r="G338" s="1">
        <f>IFERROR(__xludf.DUMMYFUNCTION("""COMPUTED_VALUE"""),39.0)</f>
        <v>39</v>
      </c>
      <c r="H338" s="1">
        <f>IFERROR(__xludf.DUMMYFUNCTION("""COMPUTED_VALUE"""),25.0)</f>
        <v>25</v>
      </c>
      <c r="I338" s="1">
        <f>IFERROR(__xludf.DUMMYFUNCTION("""COMPUTED_VALUE"""),36.0)</f>
        <v>36</v>
      </c>
      <c r="J338" s="1">
        <f>IFERROR(__xludf.DUMMYFUNCTION("""COMPUTED_VALUE"""),81.0)</f>
        <v>81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 t="str">
        <f>IFERROR(__xludf.DUMMYFUNCTION("""COMPUTED_VALUE"""),"B")</f>
        <v>B</v>
      </c>
      <c r="E339" s="1">
        <f>IFERROR(__xludf.DUMMYFUNCTION("""COMPUTED_VALUE"""),41.0)</f>
        <v>41</v>
      </c>
      <c r="F339" s="1">
        <f>IFERROR(__xludf.DUMMYFUNCTION("""COMPUTED_VALUE"""),54.0)</f>
        <v>54</v>
      </c>
      <c r="G339" s="1">
        <f>IFERROR(__xludf.DUMMYFUNCTION("""COMPUTED_VALUE"""),55.0)</f>
        <v>55</v>
      </c>
      <c r="H339" s="1">
        <f>IFERROR(__xludf.DUMMYFUNCTION("""COMPUTED_VALUE"""),65.0)</f>
        <v>65</v>
      </c>
      <c r="I339" s="1">
        <f>IFERROR(__xludf.DUMMYFUNCTION("""COMPUTED_VALUE"""),98.0)</f>
        <v>98</v>
      </c>
      <c r="J339" s="1">
        <f>IFERROR(__xludf.DUMMYFUNCTION("""COMPUTED_VALUE"""),34.0)</f>
        <v>34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 t="str">
        <f>IFERROR(__xludf.DUMMYFUNCTION("""COMPUTED_VALUE"""),"A")</f>
        <v>A</v>
      </c>
      <c r="E340" s="1">
        <f>IFERROR(__xludf.DUMMYFUNCTION("""COMPUTED_VALUE"""),72.0)</f>
        <v>72</v>
      </c>
      <c r="F340" s="1">
        <f>IFERROR(__xludf.DUMMYFUNCTION("""COMPUTED_VALUE"""),40.0)</f>
        <v>40</v>
      </c>
      <c r="G340" s="1">
        <f>IFERROR(__xludf.DUMMYFUNCTION("""COMPUTED_VALUE"""),38.0)</f>
        <v>38</v>
      </c>
      <c r="H340" s="1">
        <f>IFERROR(__xludf.DUMMYFUNCTION("""COMPUTED_VALUE"""),78.0)</f>
        <v>78</v>
      </c>
      <c r="I340" s="1">
        <f>IFERROR(__xludf.DUMMYFUNCTION("""COMPUTED_VALUE"""),29.0)</f>
        <v>29</v>
      </c>
      <c r="J340" s="1">
        <f>IFERROR(__xludf.DUMMYFUNCTION("""COMPUTED_VALUE"""),83.0)</f>
        <v>83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 t="str">
        <f>IFERROR(__xludf.DUMMYFUNCTION("""COMPUTED_VALUE"""),"A")</f>
        <v>A</v>
      </c>
      <c r="E341" s="1">
        <f>IFERROR(__xludf.DUMMYFUNCTION("""COMPUTED_VALUE"""),77.0)</f>
        <v>77</v>
      </c>
      <c r="F341" s="1">
        <f>IFERROR(__xludf.DUMMYFUNCTION("""COMPUTED_VALUE"""),26.0)</f>
        <v>26</v>
      </c>
      <c r="G341" s="1">
        <f>IFERROR(__xludf.DUMMYFUNCTION("""COMPUTED_VALUE"""),91.0)</f>
        <v>91</v>
      </c>
      <c r="H341" s="1">
        <f>IFERROR(__xludf.DUMMYFUNCTION("""COMPUTED_VALUE"""),79.0)</f>
        <v>79</v>
      </c>
      <c r="I341" s="1">
        <f>IFERROR(__xludf.DUMMYFUNCTION("""COMPUTED_VALUE"""),64.0)</f>
        <v>64</v>
      </c>
      <c r="J341" s="1">
        <f>IFERROR(__xludf.DUMMYFUNCTION("""COMPUTED_VALUE"""),68.0)</f>
        <v>68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 t="str">
        <f>IFERROR(__xludf.DUMMYFUNCTION("""COMPUTED_VALUE"""),"C")</f>
        <v>C</v>
      </c>
      <c r="E342" s="1">
        <f>IFERROR(__xludf.DUMMYFUNCTION("""COMPUTED_VALUE"""),95.0)</f>
        <v>95</v>
      </c>
      <c r="F342" s="1">
        <f>IFERROR(__xludf.DUMMYFUNCTION("""COMPUTED_VALUE"""),73.0)</f>
        <v>73</v>
      </c>
      <c r="G342" s="1">
        <f>IFERROR(__xludf.DUMMYFUNCTION("""COMPUTED_VALUE"""),42.0)</f>
        <v>42</v>
      </c>
      <c r="H342" s="1">
        <f>IFERROR(__xludf.DUMMYFUNCTION("""COMPUTED_VALUE"""),59.0)</f>
        <v>59</v>
      </c>
      <c r="I342" s="1">
        <f>IFERROR(__xludf.DUMMYFUNCTION("""COMPUTED_VALUE"""),52.0)</f>
        <v>52</v>
      </c>
      <c r="J342" s="1">
        <f>IFERROR(__xludf.DUMMYFUNCTION("""COMPUTED_VALUE"""),44.0)</f>
        <v>44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 t="str">
        <f>IFERROR(__xludf.DUMMYFUNCTION("""COMPUTED_VALUE"""),"D")</f>
        <v>D</v>
      </c>
      <c r="E343" s="1">
        <f>IFERROR(__xludf.DUMMYFUNCTION("""COMPUTED_VALUE"""),58.0)</f>
        <v>58</v>
      </c>
      <c r="F343" s="1">
        <f>IFERROR(__xludf.DUMMYFUNCTION("""COMPUTED_VALUE"""),82.0)</f>
        <v>82</v>
      </c>
      <c r="G343" s="1">
        <f>IFERROR(__xludf.DUMMYFUNCTION("""COMPUTED_VALUE"""),71.0)</f>
        <v>71</v>
      </c>
      <c r="H343" s="1">
        <f>IFERROR(__xludf.DUMMYFUNCTION("""COMPUTED_VALUE"""),83.0)</f>
        <v>83</v>
      </c>
      <c r="I343" s="1">
        <f>IFERROR(__xludf.DUMMYFUNCTION("""COMPUTED_VALUE"""),39.0)</f>
        <v>39</v>
      </c>
      <c r="J343" s="1">
        <f>IFERROR(__xludf.DUMMYFUNCTION("""COMPUTED_VALUE"""),45.0)</f>
        <v>45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 t="str">
        <f>IFERROR(__xludf.DUMMYFUNCTION("""COMPUTED_VALUE"""),"D")</f>
        <v>D</v>
      </c>
      <c r="E344" s="1">
        <f>IFERROR(__xludf.DUMMYFUNCTION("""COMPUTED_VALUE"""),46.0)</f>
        <v>46</v>
      </c>
      <c r="F344" s="1">
        <f>IFERROR(__xludf.DUMMYFUNCTION("""COMPUTED_VALUE"""),97.0)</f>
        <v>97</v>
      </c>
      <c r="G344" s="1">
        <f>IFERROR(__xludf.DUMMYFUNCTION("""COMPUTED_VALUE"""),26.0)</f>
        <v>26</v>
      </c>
      <c r="H344" s="1">
        <f>IFERROR(__xludf.DUMMYFUNCTION("""COMPUTED_VALUE"""),47.0)</f>
        <v>47</v>
      </c>
      <c r="I344" s="1">
        <f>IFERROR(__xludf.DUMMYFUNCTION("""COMPUTED_VALUE"""),74.0)</f>
        <v>74</v>
      </c>
      <c r="J344" s="1">
        <f>IFERROR(__xludf.DUMMYFUNCTION("""COMPUTED_VALUE"""),89.0)</f>
        <v>89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 t="str">
        <f>IFERROR(__xludf.DUMMYFUNCTION("""COMPUTED_VALUE"""),"B")</f>
        <v>B</v>
      </c>
      <c r="E345" s="1">
        <f>IFERROR(__xludf.DUMMYFUNCTION("""COMPUTED_VALUE"""),31.0)</f>
        <v>31</v>
      </c>
      <c r="F345" s="1">
        <f>IFERROR(__xludf.DUMMYFUNCTION("""COMPUTED_VALUE"""),40.0)</f>
        <v>40</v>
      </c>
      <c r="G345" s="1">
        <f>IFERROR(__xludf.DUMMYFUNCTION("""COMPUTED_VALUE"""),40.0)</f>
        <v>40</v>
      </c>
      <c r="H345" s="1">
        <f>IFERROR(__xludf.DUMMYFUNCTION("""COMPUTED_VALUE"""),85.0)</f>
        <v>85</v>
      </c>
      <c r="I345" s="1">
        <f>IFERROR(__xludf.DUMMYFUNCTION("""COMPUTED_VALUE"""),87.0)</f>
        <v>87</v>
      </c>
      <c r="J345" s="1">
        <f>IFERROR(__xludf.DUMMYFUNCTION("""COMPUTED_VALUE"""),41.0)</f>
        <v>41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 t="str">
        <f>IFERROR(__xludf.DUMMYFUNCTION("""COMPUTED_VALUE"""),"B")</f>
        <v>B</v>
      </c>
      <c r="E346" s="1">
        <f>IFERROR(__xludf.DUMMYFUNCTION("""COMPUTED_VALUE"""),80.0)</f>
        <v>80</v>
      </c>
      <c r="F346" s="1">
        <f>IFERROR(__xludf.DUMMYFUNCTION("""COMPUTED_VALUE"""),78.0)</f>
        <v>78</v>
      </c>
      <c r="G346" s="1">
        <f>IFERROR(__xludf.DUMMYFUNCTION("""COMPUTED_VALUE"""),61.0)</f>
        <v>61</v>
      </c>
      <c r="H346" s="1">
        <f>IFERROR(__xludf.DUMMYFUNCTION("""COMPUTED_VALUE"""),87.0)</f>
        <v>87</v>
      </c>
      <c r="I346" s="1">
        <f>IFERROR(__xludf.DUMMYFUNCTION("""COMPUTED_VALUE"""),32.0)</f>
        <v>32</v>
      </c>
      <c r="J346" s="1">
        <f>IFERROR(__xludf.DUMMYFUNCTION("""COMPUTED_VALUE"""),61.0)</f>
        <v>61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 t="str">
        <f>IFERROR(__xludf.DUMMYFUNCTION("""COMPUTED_VALUE"""),"B")</f>
        <v>B</v>
      </c>
      <c r="E347" s="1">
        <f>IFERROR(__xludf.DUMMYFUNCTION("""COMPUTED_VALUE"""),24.0)</f>
        <v>24</v>
      </c>
      <c r="F347" s="1">
        <f>IFERROR(__xludf.DUMMYFUNCTION("""COMPUTED_VALUE"""),37.0)</f>
        <v>37</v>
      </c>
      <c r="G347" s="1">
        <f>IFERROR(__xludf.DUMMYFUNCTION("""COMPUTED_VALUE"""),86.0)</f>
        <v>86</v>
      </c>
      <c r="H347" s="1">
        <f>IFERROR(__xludf.DUMMYFUNCTION("""COMPUTED_VALUE"""),93.0)</f>
        <v>93</v>
      </c>
      <c r="I347" s="1">
        <f>IFERROR(__xludf.DUMMYFUNCTION("""COMPUTED_VALUE"""),50.0)</f>
        <v>50</v>
      </c>
      <c r="J347" s="1">
        <f>IFERROR(__xludf.DUMMYFUNCTION("""COMPUTED_VALUE"""),26.0)</f>
        <v>26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 t="str">
        <f>IFERROR(__xludf.DUMMYFUNCTION("""COMPUTED_VALUE"""),"A")</f>
        <v>A</v>
      </c>
      <c r="E348" s="1">
        <f>IFERROR(__xludf.DUMMYFUNCTION("""COMPUTED_VALUE"""),89.0)</f>
        <v>89</v>
      </c>
      <c r="F348" s="1">
        <f>IFERROR(__xludf.DUMMYFUNCTION("""COMPUTED_VALUE"""),42.0)</f>
        <v>42</v>
      </c>
      <c r="G348" s="1">
        <f>IFERROR(__xludf.DUMMYFUNCTION("""COMPUTED_VALUE"""),84.0)</f>
        <v>84</v>
      </c>
      <c r="H348" s="1">
        <f>IFERROR(__xludf.DUMMYFUNCTION("""COMPUTED_VALUE"""),58.0)</f>
        <v>58</v>
      </c>
      <c r="I348" s="1">
        <f>IFERROR(__xludf.DUMMYFUNCTION("""COMPUTED_VALUE"""),46.0)</f>
        <v>46</v>
      </c>
      <c r="J348" s="1">
        <f>IFERROR(__xludf.DUMMYFUNCTION("""COMPUTED_VALUE"""),53.0)</f>
        <v>53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 t="str">
        <f>IFERROR(__xludf.DUMMYFUNCTION("""COMPUTED_VALUE"""),"D")</f>
        <v>D</v>
      </c>
      <c r="E349" s="1">
        <f>IFERROR(__xludf.DUMMYFUNCTION("""COMPUTED_VALUE"""),29.0)</f>
        <v>29</v>
      </c>
      <c r="F349" s="1">
        <f>IFERROR(__xludf.DUMMYFUNCTION("""COMPUTED_VALUE"""),66.0)</f>
        <v>66</v>
      </c>
      <c r="G349" s="1">
        <f>IFERROR(__xludf.DUMMYFUNCTION("""COMPUTED_VALUE"""),66.0)</f>
        <v>66</v>
      </c>
      <c r="H349" s="1">
        <f>IFERROR(__xludf.DUMMYFUNCTION("""COMPUTED_VALUE"""),72.0)</f>
        <v>72</v>
      </c>
      <c r="I349" s="1">
        <f>IFERROR(__xludf.DUMMYFUNCTION("""COMPUTED_VALUE"""),46.0)</f>
        <v>46</v>
      </c>
      <c r="J349" s="1">
        <f>IFERROR(__xludf.DUMMYFUNCTION("""COMPUTED_VALUE"""),88.0)</f>
        <v>88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 t="str">
        <f>IFERROR(__xludf.DUMMYFUNCTION("""COMPUTED_VALUE"""),"D")</f>
        <v>D</v>
      </c>
      <c r="E350" s="1">
        <f>IFERROR(__xludf.DUMMYFUNCTION("""COMPUTED_VALUE"""),18.0)</f>
        <v>18</v>
      </c>
      <c r="F350" s="1">
        <f>IFERROR(__xludf.DUMMYFUNCTION("""COMPUTED_VALUE"""),38.0)</f>
        <v>38</v>
      </c>
      <c r="G350" s="1">
        <f>IFERROR(__xludf.DUMMYFUNCTION("""COMPUTED_VALUE"""),80.0)</f>
        <v>80</v>
      </c>
      <c r="H350" s="1">
        <f>IFERROR(__xludf.DUMMYFUNCTION("""COMPUTED_VALUE"""),22.0)</f>
        <v>22</v>
      </c>
      <c r="I350" s="1">
        <f>IFERROR(__xludf.DUMMYFUNCTION("""COMPUTED_VALUE"""),40.0)</f>
        <v>40</v>
      </c>
      <c r="J350" s="1">
        <f>IFERROR(__xludf.DUMMYFUNCTION("""COMPUTED_VALUE"""),24.0)</f>
        <v>24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 t="str">
        <f>IFERROR(__xludf.DUMMYFUNCTION("""COMPUTED_VALUE"""),"B")</f>
        <v>B</v>
      </c>
      <c r="E351" s="1">
        <f>IFERROR(__xludf.DUMMYFUNCTION("""COMPUTED_VALUE"""),74.0)</f>
        <v>74</v>
      </c>
      <c r="F351" s="1">
        <f>IFERROR(__xludf.DUMMYFUNCTION("""COMPUTED_VALUE"""),79.0)</f>
        <v>79</v>
      </c>
      <c r="G351" s="1">
        <f>IFERROR(__xludf.DUMMYFUNCTION("""COMPUTED_VALUE"""),75.0)</f>
        <v>75</v>
      </c>
      <c r="H351" s="1">
        <f>IFERROR(__xludf.DUMMYFUNCTION("""COMPUTED_VALUE"""),60.0)</f>
        <v>60</v>
      </c>
      <c r="I351" s="1">
        <f>IFERROR(__xludf.DUMMYFUNCTION("""COMPUTED_VALUE"""),70.0)</f>
        <v>70</v>
      </c>
      <c r="J351" s="1">
        <f>IFERROR(__xludf.DUMMYFUNCTION("""COMPUTED_VALUE"""),85.0)</f>
        <v>85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 t="str">
        <f>IFERROR(__xludf.DUMMYFUNCTION("""COMPUTED_VALUE"""),"B")</f>
        <v>B</v>
      </c>
      <c r="E352" s="1">
        <f>IFERROR(__xludf.DUMMYFUNCTION("""COMPUTED_VALUE"""),49.0)</f>
        <v>49</v>
      </c>
      <c r="F352" s="1">
        <f>IFERROR(__xludf.DUMMYFUNCTION("""COMPUTED_VALUE"""),84.0)</f>
        <v>84</v>
      </c>
      <c r="G352" s="1">
        <f>IFERROR(__xludf.DUMMYFUNCTION("""COMPUTED_VALUE"""),42.0)</f>
        <v>42</v>
      </c>
      <c r="H352" s="1">
        <f>IFERROR(__xludf.DUMMYFUNCTION("""COMPUTED_VALUE"""),50.0)</f>
        <v>50</v>
      </c>
      <c r="I352" s="1">
        <f>IFERROR(__xludf.DUMMYFUNCTION("""COMPUTED_VALUE"""),27.0)</f>
        <v>27</v>
      </c>
      <c r="J352" s="1">
        <f>IFERROR(__xludf.DUMMYFUNCTION("""COMPUTED_VALUE"""),92.0)</f>
        <v>92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 t="str">
        <f>IFERROR(__xludf.DUMMYFUNCTION("""COMPUTED_VALUE"""),"D")</f>
        <v>D</v>
      </c>
      <c r="E353" s="1">
        <f>IFERROR(__xludf.DUMMYFUNCTION("""COMPUTED_VALUE"""),92.0)</f>
        <v>92</v>
      </c>
      <c r="F353" s="1">
        <f>IFERROR(__xludf.DUMMYFUNCTION("""COMPUTED_VALUE"""),83.0)</f>
        <v>83</v>
      </c>
      <c r="G353" s="1">
        <f>IFERROR(__xludf.DUMMYFUNCTION("""COMPUTED_VALUE"""),61.0)</f>
        <v>61</v>
      </c>
      <c r="H353" s="1">
        <f>IFERROR(__xludf.DUMMYFUNCTION("""COMPUTED_VALUE"""),67.0)</f>
        <v>67</v>
      </c>
      <c r="I353" s="1">
        <f>IFERROR(__xludf.DUMMYFUNCTION("""COMPUTED_VALUE"""),21.0)</f>
        <v>21</v>
      </c>
      <c r="J353" s="1">
        <f>IFERROR(__xludf.DUMMYFUNCTION("""COMPUTED_VALUE"""),69.0)</f>
        <v>69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 t="str">
        <f>IFERROR(__xludf.DUMMYFUNCTION("""COMPUTED_VALUE"""),"D")</f>
        <v>D</v>
      </c>
      <c r="E354" s="1">
        <f>IFERROR(__xludf.DUMMYFUNCTION("""COMPUTED_VALUE"""),56.0)</f>
        <v>56</v>
      </c>
      <c r="F354" s="1">
        <f>IFERROR(__xludf.DUMMYFUNCTION("""COMPUTED_VALUE"""),24.0)</f>
        <v>24</v>
      </c>
      <c r="G354" s="1">
        <f>IFERROR(__xludf.DUMMYFUNCTION("""COMPUTED_VALUE"""),77.0)</f>
        <v>77</v>
      </c>
      <c r="H354" s="1">
        <f>IFERROR(__xludf.DUMMYFUNCTION("""COMPUTED_VALUE"""),52.0)</f>
        <v>52</v>
      </c>
      <c r="I354" s="1">
        <f>IFERROR(__xludf.DUMMYFUNCTION("""COMPUTED_VALUE"""),86.0)</f>
        <v>86</v>
      </c>
      <c r="J354" s="1">
        <f>IFERROR(__xludf.DUMMYFUNCTION("""COMPUTED_VALUE"""),80.0)</f>
        <v>80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 t="str">
        <f>IFERROR(__xludf.DUMMYFUNCTION("""COMPUTED_VALUE"""),"A")</f>
        <v>A</v>
      </c>
      <c r="E355" s="1">
        <f>IFERROR(__xludf.DUMMYFUNCTION("""COMPUTED_VALUE"""),100.0)</f>
        <v>100</v>
      </c>
      <c r="F355" s="1">
        <f>IFERROR(__xludf.DUMMYFUNCTION("""COMPUTED_VALUE"""),88.0)</f>
        <v>88</v>
      </c>
      <c r="G355" s="1">
        <f>IFERROR(__xludf.DUMMYFUNCTION("""COMPUTED_VALUE"""),25.0)</f>
        <v>25</v>
      </c>
      <c r="H355" s="1">
        <f>IFERROR(__xludf.DUMMYFUNCTION("""COMPUTED_VALUE"""),50.0)</f>
        <v>50</v>
      </c>
      <c r="I355" s="1">
        <f>IFERROR(__xludf.DUMMYFUNCTION("""COMPUTED_VALUE"""),27.0)</f>
        <v>27</v>
      </c>
      <c r="J355" s="1">
        <f>IFERROR(__xludf.DUMMYFUNCTION("""COMPUTED_VALUE"""),94.0)</f>
        <v>94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 t="str">
        <f>IFERROR(__xludf.DUMMYFUNCTION("""COMPUTED_VALUE"""),"C")</f>
        <v>C</v>
      </c>
      <c r="E356" s="1">
        <f>IFERROR(__xludf.DUMMYFUNCTION("""COMPUTED_VALUE"""),36.0)</f>
        <v>36</v>
      </c>
      <c r="F356" s="1">
        <f>IFERROR(__xludf.DUMMYFUNCTION("""COMPUTED_VALUE"""),86.0)</f>
        <v>86</v>
      </c>
      <c r="G356" s="1">
        <f>IFERROR(__xludf.DUMMYFUNCTION("""COMPUTED_VALUE"""),75.0)</f>
        <v>75</v>
      </c>
      <c r="H356" s="1">
        <f>IFERROR(__xludf.DUMMYFUNCTION("""COMPUTED_VALUE"""),76.0)</f>
        <v>76</v>
      </c>
      <c r="I356" s="1">
        <f>IFERROR(__xludf.DUMMYFUNCTION("""COMPUTED_VALUE"""),33.0)</f>
        <v>33</v>
      </c>
      <c r="J356" s="1">
        <f>IFERROR(__xludf.DUMMYFUNCTION("""COMPUTED_VALUE"""),49.0)</f>
        <v>49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 t="str">
        <f>IFERROR(__xludf.DUMMYFUNCTION("""COMPUTED_VALUE"""),"D")</f>
        <v>D</v>
      </c>
      <c r="E357" s="1">
        <f>IFERROR(__xludf.DUMMYFUNCTION("""COMPUTED_VALUE"""),11.0)</f>
        <v>11</v>
      </c>
      <c r="F357" s="1">
        <f>IFERROR(__xludf.DUMMYFUNCTION("""COMPUTED_VALUE"""),99.0)</f>
        <v>99</v>
      </c>
      <c r="G357" s="1">
        <f>IFERROR(__xludf.DUMMYFUNCTION("""COMPUTED_VALUE"""),80.0)</f>
        <v>80</v>
      </c>
      <c r="H357" s="1">
        <f>IFERROR(__xludf.DUMMYFUNCTION("""COMPUTED_VALUE"""),93.0)</f>
        <v>93</v>
      </c>
      <c r="I357" s="1">
        <f>IFERROR(__xludf.DUMMYFUNCTION("""COMPUTED_VALUE"""),55.0)</f>
        <v>55</v>
      </c>
      <c r="J357" s="1">
        <f>IFERROR(__xludf.DUMMYFUNCTION("""COMPUTED_VALUE"""),75.0)</f>
        <v>75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 t="str">
        <f>IFERROR(__xludf.DUMMYFUNCTION("""COMPUTED_VALUE"""),"B")</f>
        <v>B</v>
      </c>
      <c r="E358" s="1">
        <f>IFERROR(__xludf.DUMMYFUNCTION("""COMPUTED_VALUE"""),59.0)</f>
        <v>59</v>
      </c>
      <c r="F358" s="1">
        <f>IFERROR(__xludf.DUMMYFUNCTION("""COMPUTED_VALUE"""),51.0)</f>
        <v>51</v>
      </c>
      <c r="G358" s="1">
        <f>IFERROR(__xludf.DUMMYFUNCTION("""COMPUTED_VALUE"""),36.0)</f>
        <v>36</v>
      </c>
      <c r="H358" s="1">
        <f>IFERROR(__xludf.DUMMYFUNCTION("""COMPUTED_VALUE"""),89.0)</f>
        <v>89</v>
      </c>
      <c r="I358" s="1">
        <f>IFERROR(__xludf.DUMMYFUNCTION("""COMPUTED_VALUE"""),72.0)</f>
        <v>72</v>
      </c>
      <c r="J358" s="1">
        <f>IFERROR(__xludf.DUMMYFUNCTION("""COMPUTED_VALUE"""),37.0)</f>
        <v>37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 t="str">
        <f>IFERROR(__xludf.DUMMYFUNCTION("""COMPUTED_VALUE"""),"D")</f>
        <v>D</v>
      </c>
      <c r="E359" s="1">
        <f>IFERROR(__xludf.DUMMYFUNCTION("""COMPUTED_VALUE"""),39.0)</f>
        <v>39</v>
      </c>
      <c r="F359" s="1">
        <f>IFERROR(__xludf.DUMMYFUNCTION("""COMPUTED_VALUE"""),32.0)</f>
        <v>32</v>
      </c>
      <c r="G359" s="1">
        <f>IFERROR(__xludf.DUMMYFUNCTION("""COMPUTED_VALUE"""),20.0)</f>
        <v>20</v>
      </c>
      <c r="H359" s="1">
        <f>IFERROR(__xludf.DUMMYFUNCTION("""COMPUTED_VALUE"""),69.0)</f>
        <v>69</v>
      </c>
      <c r="I359" s="1">
        <f>IFERROR(__xludf.DUMMYFUNCTION("""COMPUTED_VALUE"""),83.0)</f>
        <v>83</v>
      </c>
      <c r="J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 t="str">
        <f>IFERROR(__xludf.DUMMYFUNCTION("""COMPUTED_VALUE"""),"C")</f>
        <v>C</v>
      </c>
      <c r="E360" s="1">
        <f>IFERROR(__xludf.DUMMYFUNCTION("""COMPUTED_VALUE"""),57.0)</f>
        <v>57</v>
      </c>
      <c r="F360" s="1">
        <f>IFERROR(__xludf.DUMMYFUNCTION("""COMPUTED_VALUE"""),32.0)</f>
        <v>32</v>
      </c>
      <c r="G360" s="1">
        <f>IFERROR(__xludf.DUMMYFUNCTION("""COMPUTED_VALUE"""),25.0)</f>
        <v>25</v>
      </c>
      <c r="H360" s="1">
        <f>IFERROR(__xludf.DUMMYFUNCTION("""COMPUTED_VALUE"""),92.0)</f>
        <v>92</v>
      </c>
      <c r="I360" s="1">
        <f>IFERROR(__xludf.DUMMYFUNCTION("""COMPUTED_VALUE"""),41.0)</f>
        <v>41</v>
      </c>
      <c r="J360" s="1">
        <f>IFERROR(__xludf.DUMMYFUNCTION("""COMPUTED_VALUE"""),94.0)</f>
        <v>94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 t="str">
        <f>IFERROR(__xludf.DUMMYFUNCTION("""COMPUTED_VALUE"""),"D")</f>
        <v>D</v>
      </c>
      <c r="E361" s="1">
        <f>IFERROR(__xludf.DUMMYFUNCTION("""COMPUTED_VALUE"""),16.0)</f>
        <v>16</v>
      </c>
      <c r="F361" s="1">
        <f>IFERROR(__xludf.DUMMYFUNCTION("""COMPUTED_VALUE"""),96.0)</f>
        <v>96</v>
      </c>
      <c r="G361" s="1">
        <f>IFERROR(__xludf.DUMMYFUNCTION("""COMPUTED_VALUE"""),29.0)</f>
        <v>29</v>
      </c>
      <c r="H361" s="1">
        <f>IFERROR(__xludf.DUMMYFUNCTION("""COMPUTED_VALUE"""),59.0)</f>
        <v>59</v>
      </c>
      <c r="I361" s="1">
        <f>IFERROR(__xludf.DUMMYFUNCTION("""COMPUTED_VALUE"""),46.0)</f>
        <v>46</v>
      </c>
      <c r="J361" s="1">
        <f>IFERROR(__xludf.DUMMYFUNCTION("""COMPUTED_VALUE"""),70.0)</f>
        <v>70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 t="str">
        <f>IFERROR(__xludf.DUMMYFUNCTION("""COMPUTED_VALUE"""),"A")</f>
        <v>A</v>
      </c>
      <c r="E362" s="1">
        <f>IFERROR(__xludf.DUMMYFUNCTION("""COMPUTED_VALUE"""),22.0)</f>
        <v>22</v>
      </c>
      <c r="F362" s="1">
        <f>IFERROR(__xludf.DUMMYFUNCTION("""COMPUTED_VALUE"""),83.0)</f>
        <v>83</v>
      </c>
      <c r="G362" s="1">
        <f>IFERROR(__xludf.DUMMYFUNCTION("""COMPUTED_VALUE"""),35.0)</f>
        <v>35</v>
      </c>
      <c r="H362" s="1">
        <f>IFERROR(__xludf.DUMMYFUNCTION("""COMPUTED_VALUE"""),90.0)</f>
        <v>90</v>
      </c>
      <c r="I362" s="1">
        <f>IFERROR(__xludf.DUMMYFUNCTION("""COMPUTED_VALUE"""),39.0)</f>
        <v>39</v>
      </c>
      <c r="J362" s="1">
        <f>IFERROR(__xludf.DUMMYFUNCTION("""COMPUTED_VALUE"""),72.0)</f>
        <v>72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 t="str">
        <f>IFERROR(__xludf.DUMMYFUNCTION("""COMPUTED_VALUE"""),"C")</f>
        <v>C</v>
      </c>
      <c r="E363" s="1">
        <f>IFERROR(__xludf.DUMMYFUNCTION("""COMPUTED_VALUE"""),86.0)</f>
        <v>86</v>
      </c>
      <c r="F363" s="1">
        <f>IFERROR(__xludf.DUMMYFUNCTION("""COMPUTED_VALUE"""),74.0)</f>
        <v>74</v>
      </c>
      <c r="G363" s="1">
        <f>IFERROR(__xludf.DUMMYFUNCTION("""COMPUTED_VALUE"""),65.0)</f>
        <v>65</v>
      </c>
      <c r="H363" s="1">
        <f>IFERROR(__xludf.DUMMYFUNCTION("""COMPUTED_VALUE"""),68.0)</f>
        <v>68</v>
      </c>
      <c r="I363" s="1">
        <f>IFERROR(__xludf.DUMMYFUNCTION("""COMPUTED_VALUE"""),31.0)</f>
        <v>31</v>
      </c>
      <c r="J363" s="1">
        <f>IFERROR(__xludf.DUMMYFUNCTION("""COMPUTED_VALUE"""),39.0)</f>
        <v>39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 t="str">
        <f>IFERROR(__xludf.DUMMYFUNCTION("""COMPUTED_VALUE"""),"B")</f>
        <v>B</v>
      </c>
      <c r="E364" s="1">
        <f>IFERROR(__xludf.DUMMYFUNCTION("""COMPUTED_VALUE"""),56.0)</f>
        <v>56</v>
      </c>
      <c r="F364" s="1">
        <f>IFERROR(__xludf.DUMMYFUNCTION("""COMPUTED_VALUE"""),28.0)</f>
        <v>28</v>
      </c>
      <c r="G364" s="1">
        <f>IFERROR(__xludf.DUMMYFUNCTION("""COMPUTED_VALUE"""),39.0)</f>
        <v>39</v>
      </c>
      <c r="H364" s="1">
        <f>IFERROR(__xludf.DUMMYFUNCTION("""COMPUTED_VALUE"""),39.0)</f>
        <v>39</v>
      </c>
      <c r="I364" s="1">
        <f>IFERROR(__xludf.DUMMYFUNCTION("""COMPUTED_VALUE"""),61.0)</f>
        <v>61</v>
      </c>
      <c r="J364" s="1">
        <f>IFERROR(__xludf.DUMMYFUNCTION("""COMPUTED_VALUE"""),97.0)</f>
        <v>97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 t="str">
        <f>IFERROR(__xludf.DUMMYFUNCTION("""COMPUTED_VALUE"""),"B")</f>
        <v>B</v>
      </c>
      <c r="E365" s="1">
        <f>IFERROR(__xludf.DUMMYFUNCTION("""COMPUTED_VALUE"""),29.0)</f>
        <v>29</v>
      </c>
      <c r="F365" s="1">
        <f>IFERROR(__xludf.DUMMYFUNCTION("""COMPUTED_VALUE"""),70.0)</f>
        <v>70</v>
      </c>
      <c r="G365" s="1">
        <f>IFERROR(__xludf.DUMMYFUNCTION("""COMPUTED_VALUE"""),32.0)</f>
        <v>32</v>
      </c>
      <c r="H365" s="1">
        <f>IFERROR(__xludf.DUMMYFUNCTION("""COMPUTED_VALUE"""),59.0)</f>
        <v>59</v>
      </c>
      <c r="I365" s="1">
        <f>IFERROR(__xludf.DUMMYFUNCTION("""COMPUTED_VALUE"""),93.0)</f>
        <v>93</v>
      </c>
      <c r="J365" s="1">
        <f>IFERROR(__xludf.DUMMYFUNCTION("""COMPUTED_VALUE"""),45.0)</f>
        <v>45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 t="str">
        <f>IFERROR(__xludf.DUMMYFUNCTION("""COMPUTED_VALUE"""),"C")</f>
        <v>C</v>
      </c>
      <c r="E366" s="1">
        <f>IFERROR(__xludf.DUMMYFUNCTION("""COMPUTED_VALUE"""),32.0)</f>
        <v>32</v>
      </c>
      <c r="F366" s="1">
        <f>IFERROR(__xludf.DUMMYFUNCTION("""COMPUTED_VALUE"""),52.0)</f>
        <v>52</v>
      </c>
      <c r="G366" s="1">
        <f>IFERROR(__xludf.DUMMYFUNCTION("""COMPUTED_VALUE"""),57.0)</f>
        <v>57</v>
      </c>
      <c r="H366" s="1">
        <f>IFERROR(__xludf.DUMMYFUNCTION("""COMPUTED_VALUE"""),48.0)</f>
        <v>48</v>
      </c>
      <c r="I366" s="1">
        <f>IFERROR(__xludf.DUMMYFUNCTION("""COMPUTED_VALUE"""),25.0)</f>
        <v>25</v>
      </c>
      <c r="J366" s="1">
        <f>IFERROR(__xludf.DUMMYFUNCTION("""COMPUTED_VALUE"""),50.0)</f>
        <v>50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 t="str">
        <f>IFERROR(__xludf.DUMMYFUNCTION("""COMPUTED_VALUE"""),"D")</f>
        <v>D</v>
      </c>
      <c r="E367" s="1">
        <f>IFERROR(__xludf.DUMMYFUNCTION("""COMPUTED_VALUE"""),84.0)</f>
        <v>84</v>
      </c>
      <c r="F367" s="1">
        <f>IFERROR(__xludf.DUMMYFUNCTION("""COMPUTED_VALUE"""),63.0)</f>
        <v>63</v>
      </c>
      <c r="G367" s="1">
        <f>IFERROR(__xludf.DUMMYFUNCTION("""COMPUTED_VALUE"""),98.0)</f>
        <v>98</v>
      </c>
      <c r="H367" s="1">
        <f>IFERROR(__xludf.DUMMYFUNCTION("""COMPUTED_VALUE"""),33.0)</f>
        <v>33</v>
      </c>
      <c r="I367" s="1">
        <f>IFERROR(__xludf.DUMMYFUNCTION("""COMPUTED_VALUE"""),38.0)</f>
        <v>38</v>
      </c>
      <c r="J367" s="1">
        <f>IFERROR(__xludf.DUMMYFUNCTION("""COMPUTED_VALUE"""),40.0)</f>
        <v>40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 t="str">
        <f>IFERROR(__xludf.DUMMYFUNCTION("""COMPUTED_VALUE"""),"A")</f>
        <v>A</v>
      </c>
      <c r="E368" s="1">
        <f>IFERROR(__xludf.DUMMYFUNCTION("""COMPUTED_VALUE"""),81.0)</f>
        <v>81</v>
      </c>
      <c r="F368" s="1">
        <f>IFERROR(__xludf.DUMMYFUNCTION("""COMPUTED_VALUE"""),98.0)</f>
        <v>98</v>
      </c>
      <c r="G368" s="1">
        <f>IFERROR(__xludf.DUMMYFUNCTION("""COMPUTED_VALUE"""),57.0)</f>
        <v>57</v>
      </c>
      <c r="H368" s="1">
        <f>IFERROR(__xludf.DUMMYFUNCTION("""COMPUTED_VALUE"""),30.0)</f>
        <v>30</v>
      </c>
      <c r="I368" s="1">
        <f>IFERROR(__xludf.DUMMYFUNCTION("""COMPUTED_VALUE"""),50.0)</f>
        <v>50</v>
      </c>
      <c r="J368" s="1">
        <f>IFERROR(__xludf.DUMMYFUNCTION("""COMPUTED_VALUE"""),35.0)</f>
        <v>35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 t="str">
        <f>IFERROR(__xludf.DUMMYFUNCTION("""COMPUTED_VALUE"""),"C")</f>
        <v>C</v>
      </c>
      <c r="E369" s="1">
        <f>IFERROR(__xludf.DUMMYFUNCTION("""COMPUTED_VALUE"""),81.0)</f>
        <v>81</v>
      </c>
      <c r="F369" s="1">
        <f>IFERROR(__xludf.DUMMYFUNCTION("""COMPUTED_VALUE"""),38.0)</f>
        <v>38</v>
      </c>
      <c r="G369" s="1">
        <f>IFERROR(__xludf.DUMMYFUNCTION("""COMPUTED_VALUE"""),61.0)</f>
        <v>61</v>
      </c>
      <c r="H369" s="1">
        <f>IFERROR(__xludf.DUMMYFUNCTION("""COMPUTED_VALUE"""),51.0)</f>
        <v>51</v>
      </c>
      <c r="I369" s="1">
        <f>IFERROR(__xludf.DUMMYFUNCTION("""COMPUTED_VALUE"""),24.0)</f>
        <v>24</v>
      </c>
      <c r="J369" s="1">
        <f>IFERROR(__xludf.DUMMYFUNCTION("""COMPUTED_VALUE"""),83.0)</f>
        <v>83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 t="str">
        <f>IFERROR(__xludf.DUMMYFUNCTION("""COMPUTED_VALUE"""),"B")</f>
        <v>B</v>
      </c>
      <c r="E370" s="1">
        <f>IFERROR(__xludf.DUMMYFUNCTION("""COMPUTED_VALUE"""),15.0)</f>
        <v>15</v>
      </c>
      <c r="F370" s="1">
        <f>IFERROR(__xludf.DUMMYFUNCTION("""COMPUTED_VALUE"""),77.0)</f>
        <v>77</v>
      </c>
      <c r="G370" s="1">
        <f>IFERROR(__xludf.DUMMYFUNCTION("""COMPUTED_VALUE"""),56.0)</f>
        <v>56</v>
      </c>
      <c r="H370" s="1">
        <f>IFERROR(__xludf.DUMMYFUNCTION("""COMPUTED_VALUE"""),83.0)</f>
        <v>83</v>
      </c>
      <c r="I370" s="1">
        <f>IFERROR(__xludf.DUMMYFUNCTION("""COMPUTED_VALUE"""),95.0)</f>
        <v>95</v>
      </c>
      <c r="J370" s="1">
        <f>IFERROR(__xludf.DUMMYFUNCTION("""COMPUTED_VALUE"""),84.0)</f>
        <v>84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 t="str">
        <f>IFERROR(__xludf.DUMMYFUNCTION("""COMPUTED_VALUE"""),"B")</f>
        <v>B</v>
      </c>
      <c r="E371" s="1">
        <f>IFERROR(__xludf.DUMMYFUNCTION("""COMPUTED_VALUE"""),96.0)</f>
        <v>96</v>
      </c>
      <c r="F371" s="1">
        <f>IFERROR(__xludf.DUMMYFUNCTION("""COMPUTED_VALUE"""),80.0)</f>
        <v>80</v>
      </c>
      <c r="G371" s="1">
        <f>IFERROR(__xludf.DUMMYFUNCTION("""COMPUTED_VALUE"""),49.0)</f>
        <v>49</v>
      </c>
      <c r="H371" s="1">
        <f>IFERROR(__xludf.DUMMYFUNCTION("""COMPUTED_VALUE"""),43.0)</f>
        <v>43</v>
      </c>
      <c r="I371" s="1">
        <f>IFERROR(__xludf.DUMMYFUNCTION("""COMPUTED_VALUE"""),50.0)</f>
        <v>50</v>
      </c>
      <c r="J371" s="1">
        <f>IFERROR(__xludf.DUMMYFUNCTION("""COMPUTED_VALUE"""),49.0)</f>
        <v>49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 t="str">
        <f>IFERROR(__xludf.DUMMYFUNCTION("""COMPUTED_VALUE"""),"B")</f>
        <v>B</v>
      </c>
      <c r="E372" s="1">
        <f>IFERROR(__xludf.DUMMYFUNCTION("""COMPUTED_VALUE"""),87.0)</f>
        <v>87</v>
      </c>
      <c r="F372" s="1">
        <f>IFERROR(__xludf.DUMMYFUNCTION("""COMPUTED_VALUE"""),51.0)</f>
        <v>51</v>
      </c>
      <c r="G372" s="1">
        <f>IFERROR(__xludf.DUMMYFUNCTION("""COMPUTED_VALUE"""),90.0)</f>
        <v>90</v>
      </c>
      <c r="H372" s="1">
        <f>IFERROR(__xludf.DUMMYFUNCTION("""COMPUTED_VALUE"""),37.0)</f>
        <v>37</v>
      </c>
      <c r="I372" s="1">
        <f>IFERROR(__xludf.DUMMYFUNCTION("""COMPUTED_VALUE"""),83.0)</f>
        <v>83</v>
      </c>
      <c r="J372" s="1">
        <f>IFERROR(__xludf.DUMMYFUNCTION("""COMPUTED_VALUE"""),34.0)</f>
        <v>34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 t="str">
        <f>IFERROR(__xludf.DUMMYFUNCTION("""COMPUTED_VALUE"""),"B")</f>
        <v>B</v>
      </c>
      <c r="E373" s="1">
        <f>IFERROR(__xludf.DUMMYFUNCTION("""COMPUTED_VALUE"""),97.0)</f>
        <v>97</v>
      </c>
      <c r="F373" s="1">
        <f>IFERROR(__xludf.DUMMYFUNCTION("""COMPUTED_VALUE"""),29.0)</f>
        <v>29</v>
      </c>
      <c r="G373" s="1">
        <f>IFERROR(__xludf.DUMMYFUNCTION("""COMPUTED_VALUE"""),39.0)</f>
        <v>39</v>
      </c>
      <c r="H373" s="1">
        <f>IFERROR(__xludf.DUMMYFUNCTION("""COMPUTED_VALUE"""),39.0)</f>
        <v>39</v>
      </c>
      <c r="I373" s="1">
        <f>IFERROR(__xludf.DUMMYFUNCTION("""COMPUTED_VALUE"""),33.0)</f>
        <v>33</v>
      </c>
      <c r="J373" s="1">
        <f>IFERROR(__xludf.DUMMYFUNCTION("""COMPUTED_VALUE"""),45.0)</f>
        <v>45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 t="str">
        <f>IFERROR(__xludf.DUMMYFUNCTION("""COMPUTED_VALUE"""),"A")</f>
        <v>A</v>
      </c>
      <c r="E374" s="1">
        <f>IFERROR(__xludf.DUMMYFUNCTION("""COMPUTED_VALUE"""),18.0)</f>
        <v>18</v>
      </c>
      <c r="F374" s="1">
        <f>IFERROR(__xludf.DUMMYFUNCTION("""COMPUTED_VALUE"""),92.0)</f>
        <v>92</v>
      </c>
      <c r="G374" s="1">
        <f>IFERROR(__xludf.DUMMYFUNCTION("""COMPUTED_VALUE"""),36.0)</f>
        <v>36</v>
      </c>
      <c r="H374" s="1">
        <f>IFERROR(__xludf.DUMMYFUNCTION("""COMPUTED_VALUE"""),32.0)</f>
        <v>32</v>
      </c>
      <c r="I374" s="1">
        <f>IFERROR(__xludf.DUMMYFUNCTION("""COMPUTED_VALUE"""),92.0)</f>
        <v>92</v>
      </c>
      <c r="J374" s="1">
        <f>IFERROR(__xludf.DUMMYFUNCTION("""COMPUTED_VALUE"""),91.0)</f>
        <v>91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 t="str">
        <f>IFERROR(__xludf.DUMMYFUNCTION("""COMPUTED_VALUE"""),"A")</f>
        <v>A</v>
      </c>
      <c r="E375" s="1">
        <f>IFERROR(__xludf.DUMMYFUNCTION("""COMPUTED_VALUE"""),34.0)</f>
        <v>34</v>
      </c>
      <c r="F375" s="1">
        <f>IFERROR(__xludf.DUMMYFUNCTION("""COMPUTED_VALUE"""),66.0)</f>
        <v>66</v>
      </c>
      <c r="G375" s="1">
        <f>IFERROR(__xludf.DUMMYFUNCTION("""COMPUTED_VALUE"""),69.0)</f>
        <v>69</v>
      </c>
      <c r="H375" s="1">
        <f>IFERROR(__xludf.DUMMYFUNCTION("""COMPUTED_VALUE"""),46.0)</f>
        <v>46</v>
      </c>
      <c r="I375" s="1">
        <f>IFERROR(__xludf.DUMMYFUNCTION("""COMPUTED_VALUE"""),45.0)</f>
        <v>45</v>
      </c>
      <c r="J375" s="1">
        <f>IFERROR(__xludf.DUMMYFUNCTION("""COMPUTED_VALUE"""),51.0)</f>
        <v>51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 t="str">
        <f>IFERROR(__xludf.DUMMYFUNCTION("""COMPUTED_VALUE"""),"C")</f>
        <v>C</v>
      </c>
      <c r="E376" s="1">
        <f>IFERROR(__xludf.DUMMYFUNCTION("""COMPUTED_VALUE"""),89.0)</f>
        <v>89</v>
      </c>
      <c r="F376" s="1">
        <f>IFERROR(__xludf.DUMMYFUNCTION("""COMPUTED_VALUE"""),60.0)</f>
        <v>60</v>
      </c>
      <c r="G376" s="1">
        <f>IFERROR(__xludf.DUMMYFUNCTION("""COMPUTED_VALUE"""),55.0)</f>
        <v>55</v>
      </c>
      <c r="H376" s="1">
        <f>IFERROR(__xludf.DUMMYFUNCTION("""COMPUTED_VALUE"""),80.0)</f>
        <v>80</v>
      </c>
      <c r="I376" s="1">
        <f>IFERROR(__xludf.DUMMYFUNCTION("""COMPUTED_VALUE"""),22.0)</f>
        <v>22</v>
      </c>
      <c r="J376" s="1">
        <f>IFERROR(__xludf.DUMMYFUNCTION("""COMPUTED_VALUE"""),79.0)</f>
        <v>79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 t="str">
        <f>IFERROR(__xludf.DUMMYFUNCTION("""COMPUTED_VALUE"""),"D")</f>
        <v>D</v>
      </c>
      <c r="E377" s="1">
        <f>IFERROR(__xludf.DUMMYFUNCTION("""COMPUTED_VALUE"""),73.0)</f>
        <v>73</v>
      </c>
      <c r="F377" s="1">
        <f>IFERROR(__xludf.DUMMYFUNCTION("""COMPUTED_VALUE"""),97.0)</f>
        <v>97</v>
      </c>
      <c r="G377" s="1">
        <f>IFERROR(__xludf.DUMMYFUNCTION("""COMPUTED_VALUE"""),93.0)</f>
        <v>93</v>
      </c>
      <c r="H377" s="1">
        <f>IFERROR(__xludf.DUMMYFUNCTION("""COMPUTED_VALUE"""),28.0)</f>
        <v>28</v>
      </c>
      <c r="I377" s="1">
        <f>IFERROR(__xludf.DUMMYFUNCTION("""COMPUTED_VALUE"""),98.0)</f>
        <v>98</v>
      </c>
      <c r="J377" s="1">
        <f>IFERROR(__xludf.DUMMYFUNCTION("""COMPUTED_VALUE"""),53.0)</f>
        <v>53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 t="str">
        <f>IFERROR(__xludf.DUMMYFUNCTION("""COMPUTED_VALUE"""),"C")</f>
        <v>C</v>
      </c>
      <c r="E378" s="1">
        <f>IFERROR(__xludf.DUMMYFUNCTION("""COMPUTED_VALUE"""),48.0)</f>
        <v>48</v>
      </c>
      <c r="F378" s="1">
        <f>IFERROR(__xludf.DUMMYFUNCTION("""COMPUTED_VALUE"""),89.0)</f>
        <v>89</v>
      </c>
      <c r="G378" s="1">
        <f>IFERROR(__xludf.DUMMYFUNCTION("""COMPUTED_VALUE"""),94.0)</f>
        <v>94</v>
      </c>
      <c r="H378" s="1">
        <f>IFERROR(__xludf.DUMMYFUNCTION("""COMPUTED_VALUE"""),42.0)</f>
        <v>42</v>
      </c>
      <c r="I378" s="1">
        <f>IFERROR(__xludf.DUMMYFUNCTION("""COMPUTED_VALUE"""),94.0)</f>
        <v>94</v>
      </c>
      <c r="J378" s="1">
        <f>IFERROR(__xludf.DUMMYFUNCTION("""COMPUTED_VALUE"""),72.0)</f>
        <v>72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 t="str">
        <f>IFERROR(__xludf.DUMMYFUNCTION("""COMPUTED_VALUE"""),"A")</f>
        <v>A</v>
      </c>
      <c r="E379" s="1">
        <f>IFERROR(__xludf.DUMMYFUNCTION("""COMPUTED_VALUE"""),54.0)</f>
        <v>54</v>
      </c>
      <c r="F379" s="1">
        <f>IFERROR(__xludf.DUMMYFUNCTION("""COMPUTED_VALUE"""),54.0)</f>
        <v>54</v>
      </c>
      <c r="G379" s="1">
        <f>IFERROR(__xludf.DUMMYFUNCTION("""COMPUTED_VALUE"""),49.0)</f>
        <v>49</v>
      </c>
      <c r="H379" s="1">
        <f>IFERROR(__xludf.DUMMYFUNCTION("""COMPUTED_VALUE"""),67.0)</f>
        <v>67</v>
      </c>
      <c r="I379" s="1">
        <f>IFERROR(__xludf.DUMMYFUNCTION("""COMPUTED_VALUE"""),97.0)</f>
        <v>97</v>
      </c>
      <c r="J379" s="1">
        <f>IFERROR(__xludf.DUMMYFUNCTION("""COMPUTED_VALUE"""),67.0)</f>
        <v>67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 t="str">
        <f>IFERROR(__xludf.DUMMYFUNCTION("""COMPUTED_VALUE"""),"D")</f>
        <v>D</v>
      </c>
      <c r="E380" s="1">
        <f>IFERROR(__xludf.DUMMYFUNCTION("""COMPUTED_VALUE"""),21.0)</f>
        <v>21</v>
      </c>
      <c r="F380" s="1">
        <f>IFERROR(__xludf.DUMMYFUNCTION("""COMPUTED_VALUE"""),21.0)</f>
        <v>21</v>
      </c>
      <c r="G380" s="1">
        <f>IFERROR(__xludf.DUMMYFUNCTION("""COMPUTED_VALUE"""),81.0)</f>
        <v>81</v>
      </c>
      <c r="H380" s="1">
        <f>IFERROR(__xludf.DUMMYFUNCTION("""COMPUTED_VALUE"""),48.0)</f>
        <v>48</v>
      </c>
      <c r="I380" s="1">
        <f>IFERROR(__xludf.DUMMYFUNCTION("""COMPUTED_VALUE"""),35.0)</f>
        <v>35</v>
      </c>
      <c r="J380" s="1">
        <f>IFERROR(__xludf.DUMMYFUNCTION("""COMPUTED_VALUE"""),72.0)</f>
        <v>72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 t="str">
        <f>IFERROR(__xludf.DUMMYFUNCTION("""COMPUTED_VALUE"""),"B")</f>
        <v>B</v>
      </c>
      <c r="E381" s="1">
        <f>IFERROR(__xludf.DUMMYFUNCTION("""COMPUTED_VALUE"""),99.0)</f>
        <v>99</v>
      </c>
      <c r="F381" s="1">
        <f>IFERROR(__xludf.DUMMYFUNCTION("""COMPUTED_VALUE"""),31.0)</f>
        <v>31</v>
      </c>
      <c r="G381" s="1">
        <f>IFERROR(__xludf.DUMMYFUNCTION("""COMPUTED_VALUE"""),59.0)</f>
        <v>59</v>
      </c>
      <c r="H381" s="1">
        <f>IFERROR(__xludf.DUMMYFUNCTION("""COMPUTED_VALUE"""),89.0)</f>
        <v>89</v>
      </c>
      <c r="I381" s="1">
        <f>IFERROR(__xludf.DUMMYFUNCTION("""COMPUTED_VALUE"""),62.0)</f>
        <v>62</v>
      </c>
      <c r="J381" s="1">
        <f>IFERROR(__xludf.DUMMYFUNCTION("""COMPUTED_VALUE"""),71.0)</f>
        <v>71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 t="str">
        <f>IFERROR(__xludf.DUMMYFUNCTION("""COMPUTED_VALUE"""),"B")</f>
        <v>B</v>
      </c>
      <c r="E382" s="1">
        <f>IFERROR(__xludf.DUMMYFUNCTION("""COMPUTED_VALUE"""),56.0)</f>
        <v>56</v>
      </c>
      <c r="F382" s="1">
        <f>IFERROR(__xludf.DUMMYFUNCTION("""COMPUTED_VALUE"""),63.0)</f>
        <v>63</v>
      </c>
      <c r="G382" s="1">
        <f>IFERROR(__xludf.DUMMYFUNCTION("""COMPUTED_VALUE"""),58.0)</f>
        <v>58</v>
      </c>
      <c r="H382" s="1">
        <f>IFERROR(__xludf.DUMMYFUNCTION("""COMPUTED_VALUE"""),54.0)</f>
        <v>54</v>
      </c>
      <c r="I382" s="1">
        <f>IFERROR(__xludf.DUMMYFUNCTION("""COMPUTED_VALUE"""),59.0)</f>
        <v>59</v>
      </c>
      <c r="J382" s="1">
        <f>IFERROR(__xludf.DUMMYFUNCTION("""COMPUTED_VALUE"""),71.0)</f>
        <v>71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 t="str">
        <f>IFERROR(__xludf.DUMMYFUNCTION("""COMPUTED_VALUE"""),"D")</f>
        <v>D</v>
      </c>
      <c r="E383" s="1">
        <f>IFERROR(__xludf.DUMMYFUNCTION("""COMPUTED_VALUE"""),100.0)</f>
        <v>100</v>
      </c>
      <c r="F383" s="1">
        <f>IFERROR(__xludf.DUMMYFUNCTION("""COMPUTED_VALUE"""),68.0)</f>
        <v>68</v>
      </c>
      <c r="G383" s="1">
        <f>IFERROR(__xludf.DUMMYFUNCTION("""COMPUTED_VALUE"""),79.0)</f>
        <v>79</v>
      </c>
      <c r="H383" s="1">
        <f>IFERROR(__xludf.DUMMYFUNCTION("""COMPUTED_VALUE"""),91.0)</f>
        <v>91</v>
      </c>
      <c r="I383" s="1">
        <f>IFERROR(__xludf.DUMMYFUNCTION("""COMPUTED_VALUE"""),72.0)</f>
        <v>72</v>
      </c>
      <c r="J383" s="1">
        <f>IFERROR(__xludf.DUMMYFUNCTION("""COMPUTED_VALUE"""),81.0)</f>
        <v>81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 t="str">
        <f>IFERROR(__xludf.DUMMYFUNCTION("""COMPUTED_VALUE"""),"B")</f>
        <v>B</v>
      </c>
      <c r="E384" s="1">
        <f>IFERROR(__xludf.DUMMYFUNCTION("""COMPUTED_VALUE"""),14.0)</f>
        <v>14</v>
      </c>
      <c r="F384" s="1">
        <f>IFERROR(__xludf.DUMMYFUNCTION("""COMPUTED_VALUE"""),34.0)</f>
        <v>34</v>
      </c>
      <c r="G384" s="1">
        <f>IFERROR(__xludf.DUMMYFUNCTION("""COMPUTED_VALUE"""),81.0)</f>
        <v>81</v>
      </c>
      <c r="H384" s="1">
        <f>IFERROR(__xludf.DUMMYFUNCTION("""COMPUTED_VALUE"""),56.0)</f>
        <v>56</v>
      </c>
      <c r="I384" s="1">
        <f>IFERROR(__xludf.DUMMYFUNCTION("""COMPUTED_VALUE"""),41.0)</f>
        <v>41</v>
      </c>
      <c r="J384" s="1">
        <f>IFERROR(__xludf.DUMMYFUNCTION("""COMPUTED_VALUE"""),94.0)</f>
        <v>94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 t="str">
        <f>IFERROR(__xludf.DUMMYFUNCTION("""COMPUTED_VALUE"""),"A")</f>
        <v>A</v>
      </c>
      <c r="E385" s="1">
        <f>IFERROR(__xludf.DUMMYFUNCTION("""COMPUTED_VALUE"""),76.0)</f>
        <v>76</v>
      </c>
      <c r="F385" s="1">
        <f>IFERROR(__xludf.DUMMYFUNCTION("""COMPUTED_VALUE"""),29.0)</f>
        <v>29</v>
      </c>
      <c r="G385" s="1">
        <f>IFERROR(__xludf.DUMMYFUNCTION("""COMPUTED_VALUE"""),82.0)</f>
        <v>82</v>
      </c>
      <c r="H385" s="1">
        <f>IFERROR(__xludf.DUMMYFUNCTION("""COMPUTED_VALUE"""),35.0)</f>
        <v>35</v>
      </c>
      <c r="I385" s="1">
        <f>IFERROR(__xludf.DUMMYFUNCTION("""COMPUTED_VALUE"""),44.0)</f>
        <v>44</v>
      </c>
      <c r="J385" s="1">
        <f>IFERROR(__xludf.DUMMYFUNCTION("""COMPUTED_VALUE"""),46.0)</f>
        <v>46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 t="str">
        <f>IFERROR(__xludf.DUMMYFUNCTION("""COMPUTED_VALUE"""),"B")</f>
        <v>B</v>
      </c>
      <c r="E386" s="1">
        <f>IFERROR(__xludf.DUMMYFUNCTION("""COMPUTED_VALUE"""),30.0)</f>
        <v>30</v>
      </c>
      <c r="F386" s="1">
        <f>IFERROR(__xludf.DUMMYFUNCTION("""COMPUTED_VALUE"""),51.0)</f>
        <v>51</v>
      </c>
      <c r="G386" s="1">
        <f>IFERROR(__xludf.DUMMYFUNCTION("""COMPUTED_VALUE"""),37.0)</f>
        <v>37</v>
      </c>
      <c r="H386" s="1">
        <f>IFERROR(__xludf.DUMMYFUNCTION("""COMPUTED_VALUE"""),91.0)</f>
        <v>91</v>
      </c>
      <c r="I386" s="1">
        <f>IFERROR(__xludf.DUMMYFUNCTION("""COMPUTED_VALUE"""),78.0)</f>
        <v>78</v>
      </c>
      <c r="J386" s="1">
        <f>IFERROR(__xludf.DUMMYFUNCTION("""COMPUTED_VALUE"""),26.0)</f>
        <v>26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 t="str">
        <f>IFERROR(__xludf.DUMMYFUNCTION("""COMPUTED_VALUE"""),"C")</f>
        <v>C</v>
      </c>
      <c r="E387" s="1">
        <f>IFERROR(__xludf.DUMMYFUNCTION("""COMPUTED_VALUE"""),19.0)</f>
        <v>19</v>
      </c>
      <c r="F387" s="1">
        <f>IFERROR(__xludf.DUMMYFUNCTION("""COMPUTED_VALUE"""),89.0)</f>
        <v>89</v>
      </c>
      <c r="G387" s="1">
        <f>IFERROR(__xludf.DUMMYFUNCTION("""COMPUTED_VALUE"""),36.0)</f>
        <v>36</v>
      </c>
      <c r="H387" s="1">
        <f>IFERROR(__xludf.DUMMYFUNCTION("""COMPUTED_VALUE"""),34.0)</f>
        <v>34</v>
      </c>
      <c r="I387" s="1">
        <f>IFERROR(__xludf.DUMMYFUNCTION("""COMPUTED_VALUE"""),82.0)</f>
        <v>82</v>
      </c>
      <c r="J387" s="1">
        <f>IFERROR(__xludf.DUMMYFUNCTION("""COMPUTED_VALUE"""),77.0)</f>
        <v>77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 t="str">
        <f>IFERROR(__xludf.DUMMYFUNCTION("""COMPUTED_VALUE"""),"A")</f>
        <v>A</v>
      </c>
      <c r="E388" s="1">
        <f>IFERROR(__xludf.DUMMYFUNCTION("""COMPUTED_VALUE"""),88.0)</f>
        <v>88</v>
      </c>
      <c r="F388" s="1">
        <f>IFERROR(__xludf.DUMMYFUNCTION("""COMPUTED_VALUE"""),69.0)</f>
        <v>69</v>
      </c>
      <c r="G388" s="1">
        <f>IFERROR(__xludf.DUMMYFUNCTION("""COMPUTED_VALUE"""),27.0)</f>
        <v>27</v>
      </c>
      <c r="H388" s="1">
        <f>IFERROR(__xludf.DUMMYFUNCTION("""COMPUTED_VALUE"""),78.0)</f>
        <v>78</v>
      </c>
      <c r="I388" s="1">
        <f>IFERROR(__xludf.DUMMYFUNCTION("""COMPUTED_VALUE"""),65.0)</f>
        <v>65</v>
      </c>
      <c r="J388" s="1">
        <f>IFERROR(__xludf.DUMMYFUNCTION("""COMPUTED_VALUE"""),24.0)</f>
        <v>24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 t="str">
        <f>IFERROR(__xludf.DUMMYFUNCTION("""COMPUTED_VALUE"""),"A")</f>
        <v>A</v>
      </c>
      <c r="E389" s="1">
        <f>IFERROR(__xludf.DUMMYFUNCTION("""COMPUTED_VALUE"""),62.0)</f>
        <v>62</v>
      </c>
      <c r="F389" s="1">
        <f>IFERROR(__xludf.DUMMYFUNCTION("""COMPUTED_VALUE"""),49.0)</f>
        <v>49</v>
      </c>
      <c r="G389" s="1">
        <f>IFERROR(__xludf.DUMMYFUNCTION("""COMPUTED_VALUE"""),60.0)</f>
        <v>60</v>
      </c>
      <c r="H389" s="1">
        <f>IFERROR(__xludf.DUMMYFUNCTION("""COMPUTED_VALUE"""),21.0)</f>
        <v>21</v>
      </c>
      <c r="I389" s="1">
        <f>IFERROR(__xludf.DUMMYFUNCTION("""COMPUTED_VALUE"""),69.0)</f>
        <v>69</v>
      </c>
      <c r="J389" s="1">
        <f>IFERROR(__xludf.DUMMYFUNCTION("""COMPUTED_VALUE"""),94.0)</f>
        <v>94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 t="str">
        <f>IFERROR(__xludf.DUMMYFUNCTION("""COMPUTED_VALUE"""),"B")</f>
        <v>B</v>
      </c>
      <c r="E390" s="1">
        <f>IFERROR(__xludf.DUMMYFUNCTION("""COMPUTED_VALUE"""),26.0)</f>
        <v>26</v>
      </c>
      <c r="F390" s="1">
        <f>IFERROR(__xludf.DUMMYFUNCTION("""COMPUTED_VALUE"""),52.0)</f>
        <v>52</v>
      </c>
      <c r="G390" s="1">
        <f>IFERROR(__xludf.DUMMYFUNCTION("""COMPUTED_VALUE"""),32.0)</f>
        <v>32</v>
      </c>
      <c r="H390" s="1">
        <f>IFERROR(__xludf.DUMMYFUNCTION("""COMPUTED_VALUE"""),27.0)</f>
        <v>27</v>
      </c>
      <c r="I390" s="1">
        <f>IFERROR(__xludf.DUMMYFUNCTION("""COMPUTED_VALUE"""),60.0)</f>
        <v>60</v>
      </c>
      <c r="J390" s="1">
        <f>IFERROR(__xludf.DUMMYFUNCTION("""COMPUTED_VALUE"""),64.0)</f>
        <v>64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 t="str">
        <f>IFERROR(__xludf.DUMMYFUNCTION("""COMPUTED_VALUE"""),"C")</f>
        <v>C</v>
      </c>
      <c r="E391" s="1">
        <f>IFERROR(__xludf.DUMMYFUNCTION("""COMPUTED_VALUE"""),28.0)</f>
        <v>28</v>
      </c>
      <c r="F391" s="1">
        <f>IFERROR(__xludf.DUMMYFUNCTION("""COMPUTED_VALUE"""),81.0)</f>
        <v>81</v>
      </c>
      <c r="G391" s="1">
        <f>IFERROR(__xludf.DUMMYFUNCTION("""COMPUTED_VALUE"""),43.0)</f>
        <v>43</v>
      </c>
      <c r="H391" s="1">
        <f>IFERROR(__xludf.DUMMYFUNCTION("""COMPUTED_VALUE"""),30.0)</f>
        <v>30</v>
      </c>
      <c r="I391" s="1">
        <f>IFERROR(__xludf.DUMMYFUNCTION("""COMPUTED_VALUE"""),91.0)</f>
        <v>91</v>
      </c>
      <c r="J391" s="1">
        <f>IFERROR(__xludf.DUMMYFUNCTION("""COMPUTED_VALUE"""),96.0)</f>
        <v>96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 t="str">
        <f>IFERROR(__xludf.DUMMYFUNCTION("""COMPUTED_VALUE"""),"B")</f>
        <v>B</v>
      </c>
      <c r="E392" s="1">
        <f>IFERROR(__xludf.DUMMYFUNCTION("""COMPUTED_VALUE"""),44.0)</f>
        <v>44</v>
      </c>
      <c r="F392" s="1">
        <f>IFERROR(__xludf.DUMMYFUNCTION("""COMPUTED_VALUE"""),98.0)</f>
        <v>98</v>
      </c>
      <c r="G392" s="1">
        <f>IFERROR(__xludf.DUMMYFUNCTION("""COMPUTED_VALUE"""),48.0)</f>
        <v>48</v>
      </c>
      <c r="H392" s="1">
        <f>IFERROR(__xludf.DUMMYFUNCTION("""COMPUTED_VALUE"""),26.0)</f>
        <v>26</v>
      </c>
      <c r="I392" s="1">
        <f>IFERROR(__xludf.DUMMYFUNCTION("""COMPUTED_VALUE"""),31.0)</f>
        <v>31</v>
      </c>
      <c r="J392" s="1">
        <f>IFERROR(__xludf.DUMMYFUNCTION("""COMPUTED_VALUE"""),77.0)</f>
        <v>77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 t="str">
        <f>IFERROR(__xludf.DUMMYFUNCTION("""COMPUTED_VALUE"""),"C")</f>
        <v>C</v>
      </c>
      <c r="E393" s="1">
        <f>IFERROR(__xludf.DUMMYFUNCTION("""COMPUTED_VALUE"""),96.0)</f>
        <v>96</v>
      </c>
      <c r="F393" s="1">
        <f>IFERROR(__xludf.DUMMYFUNCTION("""COMPUTED_VALUE"""),95.0)</f>
        <v>95</v>
      </c>
      <c r="G393" s="1">
        <f>IFERROR(__xludf.DUMMYFUNCTION("""COMPUTED_VALUE"""),42.0)</f>
        <v>42</v>
      </c>
      <c r="H393" s="1">
        <f>IFERROR(__xludf.DUMMYFUNCTION("""COMPUTED_VALUE"""),87.0)</f>
        <v>87</v>
      </c>
      <c r="I393" s="1">
        <f>IFERROR(__xludf.DUMMYFUNCTION("""COMPUTED_VALUE"""),60.0)</f>
        <v>60</v>
      </c>
      <c r="J393" s="1">
        <f>IFERROR(__xludf.DUMMYFUNCTION("""COMPUTED_VALUE"""),30.0)</f>
        <v>30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 t="str">
        <f>IFERROR(__xludf.DUMMYFUNCTION("""COMPUTED_VALUE"""),"C")</f>
        <v>C</v>
      </c>
      <c r="E394" s="1">
        <f>IFERROR(__xludf.DUMMYFUNCTION("""COMPUTED_VALUE"""),38.0)</f>
        <v>38</v>
      </c>
      <c r="F394" s="1">
        <f>IFERROR(__xludf.DUMMYFUNCTION("""COMPUTED_VALUE"""),81.0)</f>
        <v>81</v>
      </c>
      <c r="G394" s="1">
        <f>IFERROR(__xludf.DUMMYFUNCTION("""COMPUTED_VALUE"""),99.0)</f>
        <v>99</v>
      </c>
      <c r="H394" s="1">
        <f>IFERROR(__xludf.DUMMYFUNCTION("""COMPUTED_VALUE"""),96.0)</f>
        <v>96</v>
      </c>
      <c r="I394" s="1">
        <f>IFERROR(__xludf.DUMMYFUNCTION("""COMPUTED_VALUE"""),49.0)</f>
        <v>49</v>
      </c>
      <c r="J394" s="1">
        <f>IFERROR(__xludf.DUMMYFUNCTION("""COMPUTED_VALUE"""),62.0)</f>
        <v>62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 t="str">
        <f>IFERROR(__xludf.DUMMYFUNCTION("""COMPUTED_VALUE"""),"A")</f>
        <v>A</v>
      </c>
      <c r="E395" s="1">
        <f>IFERROR(__xludf.DUMMYFUNCTION("""COMPUTED_VALUE"""),14.0)</f>
        <v>14</v>
      </c>
      <c r="F395" s="1">
        <f>IFERROR(__xludf.DUMMYFUNCTION("""COMPUTED_VALUE"""),89.0)</f>
        <v>89</v>
      </c>
      <c r="G395" s="1">
        <f>IFERROR(__xludf.DUMMYFUNCTION("""COMPUTED_VALUE"""),63.0)</f>
        <v>63</v>
      </c>
      <c r="H395" s="1">
        <f>IFERROR(__xludf.DUMMYFUNCTION("""COMPUTED_VALUE"""),48.0)</f>
        <v>48</v>
      </c>
      <c r="I395" s="1">
        <f>IFERROR(__xludf.DUMMYFUNCTION("""COMPUTED_VALUE"""),62.0)</f>
        <v>62</v>
      </c>
      <c r="J395" s="1">
        <f>IFERROR(__xludf.DUMMYFUNCTION("""COMPUTED_VALUE"""),73.0)</f>
        <v>73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 t="str">
        <f>IFERROR(__xludf.DUMMYFUNCTION("""COMPUTED_VALUE"""),"B")</f>
        <v>B</v>
      </c>
      <c r="E396" s="1">
        <f>IFERROR(__xludf.DUMMYFUNCTION("""COMPUTED_VALUE"""),28.0)</f>
        <v>28</v>
      </c>
      <c r="F396" s="1">
        <f>IFERROR(__xludf.DUMMYFUNCTION("""COMPUTED_VALUE"""),56.0)</f>
        <v>56</v>
      </c>
      <c r="G396" s="1">
        <f>IFERROR(__xludf.DUMMYFUNCTION("""COMPUTED_VALUE"""),92.0)</f>
        <v>92</v>
      </c>
      <c r="H396" s="1">
        <f>IFERROR(__xludf.DUMMYFUNCTION("""COMPUTED_VALUE"""),98.0)</f>
        <v>98</v>
      </c>
      <c r="I396" s="1">
        <f>IFERROR(__xludf.DUMMYFUNCTION("""COMPUTED_VALUE"""),96.0)</f>
        <v>96</v>
      </c>
      <c r="J396" s="1">
        <f>IFERROR(__xludf.DUMMYFUNCTION("""COMPUTED_VALUE"""),88.0)</f>
        <v>88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 t="str">
        <f>IFERROR(__xludf.DUMMYFUNCTION("""COMPUTED_VALUE"""),"A")</f>
        <v>A</v>
      </c>
      <c r="E397" s="1">
        <f>IFERROR(__xludf.DUMMYFUNCTION("""COMPUTED_VALUE"""),82.0)</f>
        <v>82</v>
      </c>
      <c r="F397" s="1">
        <f>IFERROR(__xludf.DUMMYFUNCTION("""COMPUTED_VALUE"""),40.0)</f>
        <v>40</v>
      </c>
      <c r="G397" s="1">
        <f>IFERROR(__xludf.DUMMYFUNCTION("""COMPUTED_VALUE"""),45.0)</f>
        <v>45</v>
      </c>
      <c r="H397" s="1">
        <f>IFERROR(__xludf.DUMMYFUNCTION("""COMPUTED_VALUE"""),78.0)</f>
        <v>78</v>
      </c>
      <c r="I397" s="1">
        <f>IFERROR(__xludf.DUMMYFUNCTION("""COMPUTED_VALUE"""),86.0)</f>
        <v>86</v>
      </c>
      <c r="J397" s="1">
        <f>IFERROR(__xludf.DUMMYFUNCTION("""COMPUTED_VALUE"""),25.0)</f>
        <v>25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 t="str">
        <f>IFERROR(__xludf.DUMMYFUNCTION("""COMPUTED_VALUE"""),"B")</f>
        <v>B</v>
      </c>
      <c r="E398" s="1">
        <f>IFERROR(__xludf.DUMMYFUNCTION("""COMPUTED_VALUE"""),14.0)</f>
        <v>14</v>
      </c>
      <c r="F398" s="1">
        <f>IFERROR(__xludf.DUMMYFUNCTION("""COMPUTED_VALUE"""),61.0)</f>
        <v>61</v>
      </c>
      <c r="G398" s="1">
        <f>IFERROR(__xludf.DUMMYFUNCTION("""COMPUTED_VALUE"""),37.0)</f>
        <v>37</v>
      </c>
      <c r="H398" s="1">
        <f>IFERROR(__xludf.DUMMYFUNCTION("""COMPUTED_VALUE"""),25.0)</f>
        <v>25</v>
      </c>
      <c r="I398" s="1">
        <f>IFERROR(__xludf.DUMMYFUNCTION("""COMPUTED_VALUE"""),45.0)</f>
        <v>45</v>
      </c>
      <c r="J398" s="1">
        <f>IFERROR(__xludf.DUMMYFUNCTION("""COMPUTED_VALUE"""),44.0)</f>
        <v>44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 t="str">
        <f>IFERROR(__xludf.DUMMYFUNCTION("""COMPUTED_VALUE"""),"C")</f>
        <v>C</v>
      </c>
      <c r="E399" s="1">
        <f>IFERROR(__xludf.DUMMYFUNCTION("""COMPUTED_VALUE"""),62.0)</f>
        <v>62</v>
      </c>
      <c r="F399" s="1">
        <f>IFERROR(__xludf.DUMMYFUNCTION("""COMPUTED_VALUE"""),43.0)</f>
        <v>43</v>
      </c>
      <c r="G399" s="1">
        <f>IFERROR(__xludf.DUMMYFUNCTION("""COMPUTED_VALUE"""),63.0)</f>
        <v>63</v>
      </c>
      <c r="H399" s="1">
        <f>IFERROR(__xludf.DUMMYFUNCTION("""COMPUTED_VALUE"""),83.0)</f>
        <v>83</v>
      </c>
      <c r="I399" s="1">
        <f>IFERROR(__xludf.DUMMYFUNCTION("""COMPUTED_VALUE"""),24.0)</f>
        <v>24</v>
      </c>
      <c r="J399" s="1">
        <f>IFERROR(__xludf.DUMMYFUNCTION("""COMPUTED_VALUE"""),43.0)</f>
        <v>43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 t="str">
        <f>IFERROR(__xludf.DUMMYFUNCTION("""COMPUTED_VALUE"""),"A")</f>
        <v>A</v>
      </c>
      <c r="E400" s="1">
        <f>IFERROR(__xludf.DUMMYFUNCTION("""COMPUTED_VALUE"""),50.0)</f>
        <v>50</v>
      </c>
      <c r="F400" s="1">
        <f>IFERROR(__xludf.DUMMYFUNCTION("""COMPUTED_VALUE"""),45.0)</f>
        <v>45</v>
      </c>
      <c r="G400" s="1">
        <f>IFERROR(__xludf.DUMMYFUNCTION("""COMPUTED_VALUE"""),69.0)</f>
        <v>69</v>
      </c>
      <c r="H400" s="1">
        <f>IFERROR(__xludf.DUMMYFUNCTION("""COMPUTED_VALUE"""),73.0)</f>
        <v>73</v>
      </c>
      <c r="I400" s="1">
        <f>IFERROR(__xludf.DUMMYFUNCTION("""COMPUTED_VALUE"""),80.0)</f>
        <v>80</v>
      </c>
      <c r="J400" s="1">
        <f>IFERROR(__xludf.DUMMYFUNCTION("""COMPUTED_VALUE"""),36.0)</f>
        <v>36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 t="str">
        <f>IFERROR(__xludf.DUMMYFUNCTION("""COMPUTED_VALUE"""),"D")</f>
        <v>D</v>
      </c>
      <c r="E401" s="1">
        <f>IFERROR(__xludf.DUMMYFUNCTION("""COMPUTED_VALUE"""),74.0)</f>
        <v>74</v>
      </c>
      <c r="F401" s="1">
        <f>IFERROR(__xludf.DUMMYFUNCTION("""COMPUTED_VALUE"""),68.0)</f>
        <v>68</v>
      </c>
      <c r="G401" s="1">
        <f>IFERROR(__xludf.DUMMYFUNCTION("""COMPUTED_VALUE"""),65.0)</f>
        <v>65</v>
      </c>
      <c r="H401" s="1">
        <f>IFERROR(__xludf.DUMMYFUNCTION("""COMPUTED_VALUE"""),80.0)</f>
        <v>80</v>
      </c>
      <c r="I401" s="1">
        <f>IFERROR(__xludf.DUMMYFUNCTION("""COMPUTED_VALUE"""),24.0)</f>
        <v>24</v>
      </c>
      <c r="J401" s="1">
        <f>IFERROR(__xludf.DUMMYFUNCTION("""COMPUTED_VALUE"""),93.0)</f>
        <v>93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 t="str">
        <f>IFERROR(__xludf.DUMMYFUNCTION("""COMPUTED_VALUE"""),"A")</f>
        <v>A</v>
      </c>
      <c r="E402" s="1">
        <f>IFERROR(__xludf.DUMMYFUNCTION("""COMPUTED_VALUE"""),30.0)</f>
        <v>30</v>
      </c>
      <c r="F402" s="1">
        <f>IFERROR(__xludf.DUMMYFUNCTION("""COMPUTED_VALUE"""),96.0)</f>
        <v>96</v>
      </c>
      <c r="G402" s="1">
        <f>IFERROR(__xludf.DUMMYFUNCTION("""COMPUTED_VALUE"""),22.0)</f>
        <v>22</v>
      </c>
      <c r="H402" s="1">
        <f>IFERROR(__xludf.DUMMYFUNCTION("""COMPUTED_VALUE"""),88.0)</f>
        <v>88</v>
      </c>
      <c r="I402" s="1">
        <f>IFERROR(__xludf.DUMMYFUNCTION("""COMPUTED_VALUE"""),42.0)</f>
        <v>42</v>
      </c>
      <c r="J402" s="1">
        <f>IFERROR(__xludf.DUMMYFUNCTION("""COMPUTED_VALUE"""),79.0)</f>
        <v>79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 t="str">
        <f>IFERROR(__xludf.DUMMYFUNCTION("""COMPUTED_VALUE"""),"C")</f>
        <v>C</v>
      </c>
      <c r="E403" s="1">
        <f>IFERROR(__xludf.DUMMYFUNCTION("""COMPUTED_VALUE"""),99.0)</f>
        <v>99</v>
      </c>
      <c r="F403" s="1">
        <f>IFERROR(__xludf.DUMMYFUNCTION("""COMPUTED_VALUE"""),69.0)</f>
        <v>69</v>
      </c>
      <c r="G403" s="1">
        <f>IFERROR(__xludf.DUMMYFUNCTION("""COMPUTED_VALUE"""),68.0)</f>
        <v>68</v>
      </c>
      <c r="H403" s="1">
        <f>IFERROR(__xludf.DUMMYFUNCTION("""COMPUTED_VALUE"""),95.0)</f>
        <v>95</v>
      </c>
      <c r="I403" s="1">
        <f>IFERROR(__xludf.DUMMYFUNCTION("""COMPUTED_VALUE"""),32.0)</f>
        <v>32</v>
      </c>
      <c r="J403" s="1">
        <f>IFERROR(__xludf.DUMMYFUNCTION("""COMPUTED_VALUE"""),73.0)</f>
        <v>73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 t="str">
        <f>IFERROR(__xludf.DUMMYFUNCTION("""COMPUTED_VALUE"""),"D")</f>
        <v>D</v>
      </c>
      <c r="E404" s="1">
        <f>IFERROR(__xludf.DUMMYFUNCTION("""COMPUTED_VALUE"""),60.0)</f>
        <v>60</v>
      </c>
      <c r="F404" s="1">
        <f>IFERROR(__xludf.DUMMYFUNCTION("""COMPUTED_VALUE"""),54.0)</f>
        <v>54</v>
      </c>
      <c r="G404" s="1">
        <f>IFERROR(__xludf.DUMMYFUNCTION("""COMPUTED_VALUE"""),37.0)</f>
        <v>37</v>
      </c>
      <c r="H404" s="1">
        <f>IFERROR(__xludf.DUMMYFUNCTION("""COMPUTED_VALUE"""),72.0)</f>
        <v>72</v>
      </c>
      <c r="I404" s="1">
        <f>IFERROR(__xludf.DUMMYFUNCTION("""COMPUTED_VALUE"""),51.0)</f>
        <v>51</v>
      </c>
      <c r="J404" s="1">
        <f>IFERROR(__xludf.DUMMYFUNCTION("""COMPUTED_VALUE"""),93.0)</f>
        <v>93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 t="str">
        <f>IFERROR(__xludf.DUMMYFUNCTION("""COMPUTED_VALUE"""),"D")</f>
        <v>D</v>
      </c>
      <c r="E405" s="1">
        <f>IFERROR(__xludf.DUMMYFUNCTION("""COMPUTED_VALUE"""),87.0)</f>
        <v>87</v>
      </c>
      <c r="F405" s="1">
        <f>IFERROR(__xludf.DUMMYFUNCTION("""COMPUTED_VALUE"""),31.0)</f>
        <v>31</v>
      </c>
      <c r="G405" s="1">
        <f>IFERROR(__xludf.DUMMYFUNCTION("""COMPUTED_VALUE"""),92.0)</f>
        <v>92</v>
      </c>
      <c r="H405" s="1">
        <f>IFERROR(__xludf.DUMMYFUNCTION("""COMPUTED_VALUE"""),47.0)</f>
        <v>47</v>
      </c>
      <c r="I405" s="1">
        <f>IFERROR(__xludf.DUMMYFUNCTION("""COMPUTED_VALUE"""),93.0)</f>
        <v>93</v>
      </c>
      <c r="J405" s="1">
        <f>IFERROR(__xludf.DUMMYFUNCTION("""COMPUTED_VALUE"""),71.0)</f>
        <v>71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 t="str">
        <f>IFERROR(__xludf.DUMMYFUNCTION("""COMPUTED_VALUE"""),"B")</f>
        <v>B</v>
      </c>
      <c r="E406" s="1">
        <f>IFERROR(__xludf.DUMMYFUNCTION("""COMPUTED_VALUE"""),38.0)</f>
        <v>38</v>
      </c>
      <c r="F406" s="1">
        <f>IFERROR(__xludf.DUMMYFUNCTION("""COMPUTED_VALUE"""),94.0)</f>
        <v>94</v>
      </c>
      <c r="G406" s="1">
        <f>IFERROR(__xludf.DUMMYFUNCTION("""COMPUTED_VALUE"""),94.0)</f>
        <v>94</v>
      </c>
      <c r="H406" s="1">
        <f>IFERROR(__xludf.DUMMYFUNCTION("""COMPUTED_VALUE"""),43.0)</f>
        <v>43</v>
      </c>
      <c r="I406" s="1">
        <f>IFERROR(__xludf.DUMMYFUNCTION("""COMPUTED_VALUE"""),73.0)</f>
        <v>73</v>
      </c>
      <c r="J406" s="1">
        <f>IFERROR(__xludf.DUMMYFUNCTION("""COMPUTED_VALUE"""),83.0)</f>
        <v>83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 t="str">
        <f>IFERROR(__xludf.DUMMYFUNCTION("""COMPUTED_VALUE"""),"B")</f>
        <v>B</v>
      </c>
      <c r="E407" s="1">
        <f>IFERROR(__xludf.DUMMYFUNCTION("""COMPUTED_VALUE"""),100.0)</f>
        <v>100</v>
      </c>
      <c r="F407" s="1">
        <f>IFERROR(__xludf.DUMMYFUNCTION("""COMPUTED_VALUE"""),65.0)</f>
        <v>65</v>
      </c>
      <c r="G407" s="1">
        <f>IFERROR(__xludf.DUMMYFUNCTION("""COMPUTED_VALUE"""),35.0)</f>
        <v>35</v>
      </c>
      <c r="H407" s="1">
        <f>IFERROR(__xludf.DUMMYFUNCTION("""COMPUTED_VALUE"""),64.0)</f>
        <v>64</v>
      </c>
      <c r="I407" s="1">
        <f>IFERROR(__xludf.DUMMYFUNCTION("""COMPUTED_VALUE"""),49.0)</f>
        <v>49</v>
      </c>
      <c r="J407" s="1">
        <f>IFERROR(__xludf.DUMMYFUNCTION("""COMPUTED_VALUE"""),68.0)</f>
        <v>68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 t="str">
        <f>IFERROR(__xludf.DUMMYFUNCTION("""COMPUTED_VALUE"""),"A")</f>
        <v>A</v>
      </c>
      <c r="E408" s="1">
        <f>IFERROR(__xludf.DUMMYFUNCTION("""COMPUTED_VALUE"""),67.0)</f>
        <v>67</v>
      </c>
      <c r="F408" s="1">
        <f>IFERROR(__xludf.DUMMYFUNCTION("""COMPUTED_VALUE"""),61.0)</f>
        <v>61</v>
      </c>
      <c r="G408" s="1">
        <f>IFERROR(__xludf.DUMMYFUNCTION("""COMPUTED_VALUE"""),91.0)</f>
        <v>91</v>
      </c>
      <c r="H408" s="1">
        <f>IFERROR(__xludf.DUMMYFUNCTION("""COMPUTED_VALUE"""),25.0)</f>
        <v>25</v>
      </c>
      <c r="I408" s="1">
        <f>IFERROR(__xludf.DUMMYFUNCTION("""COMPUTED_VALUE"""),22.0)</f>
        <v>22</v>
      </c>
      <c r="J408" s="1">
        <f>IFERROR(__xludf.DUMMYFUNCTION("""COMPUTED_VALUE"""),71.0)</f>
        <v>71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 t="str">
        <f>IFERROR(__xludf.DUMMYFUNCTION("""COMPUTED_VALUE"""),"D")</f>
        <v>D</v>
      </c>
      <c r="E409" s="1">
        <f>IFERROR(__xludf.DUMMYFUNCTION("""COMPUTED_VALUE"""),45.0)</f>
        <v>45</v>
      </c>
      <c r="F409" s="1">
        <f>IFERROR(__xludf.DUMMYFUNCTION("""COMPUTED_VALUE"""),91.0)</f>
        <v>91</v>
      </c>
      <c r="G409" s="1">
        <f>IFERROR(__xludf.DUMMYFUNCTION("""COMPUTED_VALUE"""),38.0)</f>
        <v>38</v>
      </c>
      <c r="H409" s="1">
        <f>IFERROR(__xludf.DUMMYFUNCTION("""COMPUTED_VALUE"""),63.0)</f>
        <v>63</v>
      </c>
      <c r="I409" s="1">
        <f>IFERROR(__xludf.DUMMYFUNCTION("""COMPUTED_VALUE"""),87.0)</f>
        <v>87</v>
      </c>
      <c r="J409" s="1">
        <f>IFERROR(__xludf.DUMMYFUNCTION("""COMPUTED_VALUE"""),78.0)</f>
        <v>78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 t="str">
        <f>IFERROR(__xludf.DUMMYFUNCTION("""COMPUTED_VALUE"""),"C")</f>
        <v>C</v>
      </c>
      <c r="E410" s="1">
        <f>IFERROR(__xludf.DUMMYFUNCTION("""COMPUTED_VALUE"""),37.0)</f>
        <v>37</v>
      </c>
      <c r="F410" s="1">
        <f>IFERROR(__xludf.DUMMYFUNCTION("""COMPUTED_VALUE"""),65.0)</f>
        <v>65</v>
      </c>
      <c r="G410" s="1">
        <f>IFERROR(__xludf.DUMMYFUNCTION("""COMPUTED_VALUE"""),68.0)</f>
        <v>68</v>
      </c>
      <c r="H410" s="1">
        <f>IFERROR(__xludf.DUMMYFUNCTION("""COMPUTED_VALUE"""),75.0)</f>
        <v>75</v>
      </c>
      <c r="I410" s="1">
        <f>IFERROR(__xludf.DUMMYFUNCTION("""COMPUTED_VALUE"""),57.0)</f>
        <v>57</v>
      </c>
      <c r="J410" s="1">
        <f>IFERROR(__xludf.DUMMYFUNCTION("""COMPUTED_VALUE"""),72.0)</f>
        <v>72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 t="str">
        <f>IFERROR(__xludf.DUMMYFUNCTION("""COMPUTED_VALUE"""),"D")</f>
        <v>D</v>
      </c>
      <c r="E411" s="1">
        <f>IFERROR(__xludf.DUMMYFUNCTION("""COMPUTED_VALUE"""),39.0)</f>
        <v>39</v>
      </c>
      <c r="F411" s="1">
        <f>IFERROR(__xludf.DUMMYFUNCTION("""COMPUTED_VALUE"""),78.0)</f>
        <v>78</v>
      </c>
      <c r="G411" s="1">
        <f>IFERROR(__xludf.DUMMYFUNCTION("""COMPUTED_VALUE"""),37.0)</f>
        <v>37</v>
      </c>
      <c r="H411" s="1">
        <f>IFERROR(__xludf.DUMMYFUNCTION("""COMPUTED_VALUE"""),53.0)</f>
        <v>53</v>
      </c>
      <c r="I411" s="1">
        <f>IFERROR(__xludf.DUMMYFUNCTION("""COMPUTED_VALUE"""),98.0)</f>
        <v>98</v>
      </c>
      <c r="J411" s="1">
        <f>IFERROR(__xludf.DUMMYFUNCTION("""COMPUTED_VALUE"""),87.0)</f>
        <v>87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 t="str">
        <f>IFERROR(__xludf.DUMMYFUNCTION("""COMPUTED_VALUE"""),"A")</f>
        <v>A</v>
      </c>
      <c r="E412" s="1">
        <f>IFERROR(__xludf.DUMMYFUNCTION("""COMPUTED_VALUE"""),73.0)</f>
        <v>73</v>
      </c>
      <c r="F412" s="1">
        <f>IFERROR(__xludf.DUMMYFUNCTION("""COMPUTED_VALUE"""),83.0)</f>
        <v>83</v>
      </c>
      <c r="G412" s="1">
        <f>IFERROR(__xludf.DUMMYFUNCTION("""COMPUTED_VALUE"""),52.0)</f>
        <v>52</v>
      </c>
      <c r="H412" s="1">
        <f>IFERROR(__xludf.DUMMYFUNCTION("""COMPUTED_VALUE"""),64.0)</f>
        <v>64</v>
      </c>
      <c r="I412" s="1">
        <f>IFERROR(__xludf.DUMMYFUNCTION("""COMPUTED_VALUE"""),29.0)</f>
        <v>29</v>
      </c>
      <c r="J412" s="1">
        <f>IFERROR(__xludf.DUMMYFUNCTION("""COMPUTED_VALUE"""),33.0)</f>
        <v>33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 t="str">
        <f>IFERROR(__xludf.DUMMYFUNCTION("""COMPUTED_VALUE"""),"D")</f>
        <v>D</v>
      </c>
      <c r="E413" s="1">
        <f>IFERROR(__xludf.DUMMYFUNCTION("""COMPUTED_VALUE"""),41.0)</f>
        <v>41</v>
      </c>
      <c r="F413" s="1">
        <f>IFERROR(__xludf.DUMMYFUNCTION("""COMPUTED_VALUE"""),39.0)</f>
        <v>39</v>
      </c>
      <c r="G413" s="1">
        <f>IFERROR(__xludf.DUMMYFUNCTION("""COMPUTED_VALUE"""),23.0)</f>
        <v>23</v>
      </c>
      <c r="H413" s="1">
        <f>IFERROR(__xludf.DUMMYFUNCTION("""COMPUTED_VALUE"""),64.0)</f>
        <v>64</v>
      </c>
      <c r="I413" s="1">
        <f>IFERROR(__xludf.DUMMYFUNCTION("""COMPUTED_VALUE"""),34.0)</f>
        <v>34</v>
      </c>
      <c r="J413" s="1">
        <f>IFERROR(__xludf.DUMMYFUNCTION("""COMPUTED_VALUE"""),81.0)</f>
        <v>81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 t="str">
        <f>IFERROR(__xludf.DUMMYFUNCTION("""COMPUTED_VALUE"""),"B")</f>
        <v>B</v>
      </c>
      <c r="E414" s="1">
        <f>IFERROR(__xludf.DUMMYFUNCTION("""COMPUTED_VALUE"""),18.0)</f>
        <v>18</v>
      </c>
      <c r="F414" s="1">
        <f>IFERROR(__xludf.DUMMYFUNCTION("""COMPUTED_VALUE"""),42.0)</f>
        <v>42</v>
      </c>
      <c r="G414" s="1">
        <f>IFERROR(__xludf.DUMMYFUNCTION("""COMPUTED_VALUE"""),98.0)</f>
        <v>98</v>
      </c>
      <c r="H414" s="1">
        <f>IFERROR(__xludf.DUMMYFUNCTION("""COMPUTED_VALUE"""),61.0)</f>
        <v>61</v>
      </c>
      <c r="I414" s="1">
        <f>IFERROR(__xludf.DUMMYFUNCTION("""COMPUTED_VALUE"""),97.0)</f>
        <v>97</v>
      </c>
      <c r="J414" s="1">
        <f>IFERROR(__xludf.DUMMYFUNCTION("""COMPUTED_VALUE"""),76.0)</f>
        <v>76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 t="str">
        <f>IFERROR(__xludf.DUMMYFUNCTION("""COMPUTED_VALUE"""),"D")</f>
        <v>D</v>
      </c>
      <c r="E415" s="1">
        <f>IFERROR(__xludf.DUMMYFUNCTION("""COMPUTED_VALUE"""),89.0)</f>
        <v>89</v>
      </c>
      <c r="F415" s="1">
        <f>IFERROR(__xludf.DUMMYFUNCTION("""COMPUTED_VALUE"""),64.0)</f>
        <v>64</v>
      </c>
      <c r="G415" s="1">
        <f>IFERROR(__xludf.DUMMYFUNCTION("""COMPUTED_VALUE"""),77.0)</f>
        <v>77</v>
      </c>
      <c r="H415" s="1">
        <f>IFERROR(__xludf.DUMMYFUNCTION("""COMPUTED_VALUE"""),87.0)</f>
        <v>87</v>
      </c>
      <c r="I415" s="1">
        <f>IFERROR(__xludf.DUMMYFUNCTION("""COMPUTED_VALUE"""),80.0)</f>
        <v>80</v>
      </c>
      <c r="J415" s="1">
        <f>IFERROR(__xludf.DUMMYFUNCTION("""COMPUTED_VALUE"""),42.0)</f>
        <v>42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 t="str">
        <f>IFERROR(__xludf.DUMMYFUNCTION("""COMPUTED_VALUE"""),"C")</f>
        <v>C</v>
      </c>
      <c r="E416" s="1">
        <f>IFERROR(__xludf.DUMMYFUNCTION("""COMPUTED_VALUE"""),47.0)</f>
        <v>47</v>
      </c>
      <c r="F416" s="1">
        <f>IFERROR(__xludf.DUMMYFUNCTION("""COMPUTED_VALUE"""),84.0)</f>
        <v>84</v>
      </c>
      <c r="G416" s="1">
        <f>IFERROR(__xludf.DUMMYFUNCTION("""COMPUTED_VALUE"""),59.0)</f>
        <v>59</v>
      </c>
      <c r="H416" s="1">
        <f>IFERROR(__xludf.DUMMYFUNCTION("""COMPUTED_VALUE"""),26.0)</f>
        <v>26</v>
      </c>
      <c r="I416" s="1">
        <f>IFERROR(__xludf.DUMMYFUNCTION("""COMPUTED_VALUE"""),90.0)</f>
        <v>90</v>
      </c>
      <c r="J416" s="1">
        <f>IFERROR(__xludf.DUMMYFUNCTION("""COMPUTED_VALUE"""),82.0)</f>
        <v>82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 t="str">
        <f>IFERROR(__xludf.DUMMYFUNCTION("""COMPUTED_VALUE"""),"B")</f>
        <v>B</v>
      </c>
      <c r="E417" s="1">
        <f>IFERROR(__xludf.DUMMYFUNCTION("""COMPUTED_VALUE"""),56.0)</f>
        <v>56</v>
      </c>
      <c r="F417" s="1">
        <f>IFERROR(__xludf.DUMMYFUNCTION("""COMPUTED_VALUE"""),28.0)</f>
        <v>28</v>
      </c>
      <c r="G417" s="1">
        <f>IFERROR(__xludf.DUMMYFUNCTION("""COMPUTED_VALUE"""),39.0)</f>
        <v>39</v>
      </c>
      <c r="H417" s="1">
        <f>IFERROR(__xludf.DUMMYFUNCTION("""COMPUTED_VALUE"""),55.0)</f>
        <v>55</v>
      </c>
      <c r="I417" s="1">
        <f>IFERROR(__xludf.DUMMYFUNCTION("""COMPUTED_VALUE"""),63.0)</f>
        <v>63</v>
      </c>
      <c r="J417" s="1">
        <f>IFERROR(__xludf.DUMMYFUNCTION("""COMPUTED_VALUE"""),92.0)</f>
        <v>92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 t="str">
        <f>IFERROR(__xludf.DUMMYFUNCTION("""COMPUTED_VALUE"""),"A")</f>
        <v>A</v>
      </c>
      <c r="E418" s="1">
        <f>IFERROR(__xludf.DUMMYFUNCTION("""COMPUTED_VALUE"""),85.0)</f>
        <v>85</v>
      </c>
      <c r="F418" s="1">
        <f>IFERROR(__xludf.DUMMYFUNCTION("""COMPUTED_VALUE"""),43.0)</f>
        <v>43</v>
      </c>
      <c r="G418" s="1">
        <f>IFERROR(__xludf.DUMMYFUNCTION("""COMPUTED_VALUE"""),91.0)</f>
        <v>91</v>
      </c>
      <c r="H418" s="1">
        <f>IFERROR(__xludf.DUMMYFUNCTION("""COMPUTED_VALUE"""),66.0)</f>
        <v>66</v>
      </c>
      <c r="I418" s="1">
        <f>IFERROR(__xludf.DUMMYFUNCTION("""COMPUTED_VALUE"""),26.0)</f>
        <v>26</v>
      </c>
      <c r="J418" s="1">
        <f>IFERROR(__xludf.DUMMYFUNCTION("""COMPUTED_VALUE"""),38.0)</f>
        <v>38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 t="str">
        <f>IFERROR(__xludf.DUMMYFUNCTION("""COMPUTED_VALUE"""),"C")</f>
        <v>C</v>
      </c>
      <c r="E419" s="1">
        <f>IFERROR(__xludf.DUMMYFUNCTION("""COMPUTED_VALUE"""),58.0)</f>
        <v>58</v>
      </c>
      <c r="F419" s="1">
        <f>IFERROR(__xludf.DUMMYFUNCTION("""COMPUTED_VALUE"""),62.0)</f>
        <v>62</v>
      </c>
      <c r="G419" s="1">
        <f>IFERROR(__xludf.DUMMYFUNCTION("""COMPUTED_VALUE"""),34.0)</f>
        <v>34</v>
      </c>
      <c r="H419" s="1">
        <f>IFERROR(__xludf.DUMMYFUNCTION("""COMPUTED_VALUE"""),94.0)</f>
        <v>94</v>
      </c>
      <c r="I419" s="1">
        <f>IFERROR(__xludf.DUMMYFUNCTION("""COMPUTED_VALUE"""),54.0)</f>
        <v>54</v>
      </c>
      <c r="J419" s="1">
        <f>IFERROR(__xludf.DUMMYFUNCTION("""COMPUTED_VALUE"""),80.0)</f>
        <v>80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 t="str">
        <f>IFERROR(__xludf.DUMMYFUNCTION("""COMPUTED_VALUE"""),"D")</f>
        <v>D</v>
      </c>
      <c r="E420" s="1">
        <f>IFERROR(__xludf.DUMMYFUNCTION("""COMPUTED_VALUE"""),67.0)</f>
        <v>67</v>
      </c>
      <c r="F420" s="1">
        <f>IFERROR(__xludf.DUMMYFUNCTION("""COMPUTED_VALUE"""),35.0)</f>
        <v>35</v>
      </c>
      <c r="G420" s="1">
        <f>IFERROR(__xludf.DUMMYFUNCTION("""COMPUTED_VALUE"""),78.0)</f>
        <v>78</v>
      </c>
      <c r="H420" s="1">
        <f>IFERROR(__xludf.DUMMYFUNCTION("""COMPUTED_VALUE"""),45.0)</f>
        <v>45</v>
      </c>
      <c r="I420" s="1">
        <f>IFERROR(__xludf.DUMMYFUNCTION("""COMPUTED_VALUE"""),33.0)</f>
        <v>33</v>
      </c>
      <c r="J420" s="1">
        <f>IFERROR(__xludf.DUMMYFUNCTION("""COMPUTED_VALUE"""),41.0)</f>
        <v>41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 t="str">
        <f>IFERROR(__xludf.DUMMYFUNCTION("""COMPUTED_VALUE"""),"D")</f>
        <v>D</v>
      </c>
      <c r="E421" s="1">
        <f>IFERROR(__xludf.DUMMYFUNCTION("""COMPUTED_VALUE"""),71.0)</f>
        <v>71</v>
      </c>
      <c r="F421" s="1">
        <f>IFERROR(__xludf.DUMMYFUNCTION("""COMPUTED_VALUE"""),76.0)</f>
        <v>76</v>
      </c>
      <c r="G421" s="1">
        <f>IFERROR(__xludf.DUMMYFUNCTION("""COMPUTED_VALUE"""),94.0)</f>
        <v>94</v>
      </c>
      <c r="H421" s="1">
        <f>IFERROR(__xludf.DUMMYFUNCTION("""COMPUTED_VALUE"""),34.0)</f>
        <v>34</v>
      </c>
      <c r="I421" s="1">
        <f>IFERROR(__xludf.DUMMYFUNCTION("""COMPUTED_VALUE"""),93.0)</f>
        <v>93</v>
      </c>
      <c r="J421" s="1">
        <f>IFERROR(__xludf.DUMMYFUNCTION("""COMPUTED_VALUE"""),84.0)</f>
        <v>84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 t="str">
        <f>IFERROR(__xludf.DUMMYFUNCTION("""COMPUTED_VALUE"""),"B")</f>
        <v>B</v>
      </c>
      <c r="E422" s="1">
        <f>IFERROR(__xludf.DUMMYFUNCTION("""COMPUTED_VALUE"""),14.0)</f>
        <v>14</v>
      </c>
      <c r="F422" s="1">
        <f>IFERROR(__xludf.DUMMYFUNCTION("""COMPUTED_VALUE"""),54.0)</f>
        <v>54</v>
      </c>
      <c r="G422" s="1">
        <f>IFERROR(__xludf.DUMMYFUNCTION("""COMPUTED_VALUE"""),88.0)</f>
        <v>88</v>
      </c>
      <c r="H422" s="1">
        <f>IFERROR(__xludf.DUMMYFUNCTION("""COMPUTED_VALUE"""),82.0)</f>
        <v>82</v>
      </c>
      <c r="I422" s="1">
        <f>IFERROR(__xludf.DUMMYFUNCTION("""COMPUTED_VALUE"""),93.0)</f>
        <v>93</v>
      </c>
      <c r="J422" s="1">
        <f>IFERROR(__xludf.DUMMYFUNCTION("""COMPUTED_VALUE"""),94.0)</f>
        <v>94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 t="str">
        <f>IFERROR(__xludf.DUMMYFUNCTION("""COMPUTED_VALUE"""),"B")</f>
        <v>B</v>
      </c>
      <c r="E423" s="1">
        <f>IFERROR(__xludf.DUMMYFUNCTION("""COMPUTED_VALUE"""),64.0)</f>
        <v>64</v>
      </c>
      <c r="F423" s="1">
        <f>IFERROR(__xludf.DUMMYFUNCTION("""COMPUTED_VALUE"""),65.0)</f>
        <v>65</v>
      </c>
      <c r="G423" s="1">
        <f>IFERROR(__xludf.DUMMYFUNCTION("""COMPUTED_VALUE"""),54.0)</f>
        <v>54</v>
      </c>
      <c r="H423" s="1">
        <f>IFERROR(__xludf.DUMMYFUNCTION("""COMPUTED_VALUE"""),20.0)</f>
        <v>20</v>
      </c>
      <c r="I423" s="1">
        <f>IFERROR(__xludf.DUMMYFUNCTION("""COMPUTED_VALUE"""),40.0)</f>
        <v>40</v>
      </c>
      <c r="J423" s="1">
        <f>IFERROR(__xludf.DUMMYFUNCTION("""COMPUTED_VALUE"""),84.0)</f>
        <v>84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 t="str">
        <f>IFERROR(__xludf.DUMMYFUNCTION("""COMPUTED_VALUE"""),"B")</f>
        <v>B</v>
      </c>
      <c r="E424" s="1">
        <f>IFERROR(__xludf.DUMMYFUNCTION("""COMPUTED_VALUE"""),47.0)</f>
        <v>47</v>
      </c>
      <c r="F424" s="1">
        <f>IFERROR(__xludf.DUMMYFUNCTION("""COMPUTED_VALUE"""),26.0)</f>
        <v>26</v>
      </c>
      <c r="G424" s="1">
        <f>IFERROR(__xludf.DUMMYFUNCTION("""COMPUTED_VALUE"""),92.0)</f>
        <v>92</v>
      </c>
      <c r="H424" s="1">
        <f>IFERROR(__xludf.DUMMYFUNCTION("""COMPUTED_VALUE"""),58.0)</f>
        <v>58</v>
      </c>
      <c r="I424" s="1">
        <f>IFERROR(__xludf.DUMMYFUNCTION("""COMPUTED_VALUE"""),66.0)</f>
        <v>66</v>
      </c>
      <c r="J424" s="1">
        <f>IFERROR(__xludf.DUMMYFUNCTION("""COMPUTED_VALUE"""),36.0)</f>
        <v>36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 t="str">
        <f>IFERROR(__xludf.DUMMYFUNCTION("""COMPUTED_VALUE"""),"C")</f>
        <v>C</v>
      </c>
      <c r="E425" s="1">
        <f>IFERROR(__xludf.DUMMYFUNCTION("""COMPUTED_VALUE"""),41.0)</f>
        <v>41</v>
      </c>
      <c r="F425" s="1">
        <f>IFERROR(__xludf.DUMMYFUNCTION("""COMPUTED_VALUE"""),55.0)</f>
        <v>55</v>
      </c>
      <c r="G425" s="1">
        <f>IFERROR(__xludf.DUMMYFUNCTION("""COMPUTED_VALUE"""),30.0)</f>
        <v>30</v>
      </c>
      <c r="H425" s="1">
        <f>IFERROR(__xludf.DUMMYFUNCTION("""COMPUTED_VALUE"""),79.0)</f>
        <v>79</v>
      </c>
      <c r="I425" s="1">
        <f>IFERROR(__xludf.DUMMYFUNCTION("""COMPUTED_VALUE"""),53.0)</f>
        <v>53</v>
      </c>
      <c r="J425" s="1">
        <f>IFERROR(__xludf.DUMMYFUNCTION("""COMPUTED_VALUE"""),88.0)</f>
        <v>88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 t="str">
        <f>IFERROR(__xludf.DUMMYFUNCTION("""COMPUTED_VALUE"""),"C")</f>
        <v>C</v>
      </c>
      <c r="E426" s="1">
        <f>IFERROR(__xludf.DUMMYFUNCTION("""COMPUTED_VALUE"""),90.0)</f>
        <v>90</v>
      </c>
      <c r="F426" s="1">
        <f>IFERROR(__xludf.DUMMYFUNCTION("""COMPUTED_VALUE"""),32.0)</f>
        <v>32</v>
      </c>
      <c r="G426" s="1">
        <f>IFERROR(__xludf.DUMMYFUNCTION("""COMPUTED_VALUE"""),94.0)</f>
        <v>94</v>
      </c>
      <c r="H426" s="1">
        <f>IFERROR(__xludf.DUMMYFUNCTION("""COMPUTED_VALUE"""),99.0)</f>
        <v>99</v>
      </c>
      <c r="I426" s="1">
        <f>IFERROR(__xludf.DUMMYFUNCTION("""COMPUTED_VALUE"""),83.0)</f>
        <v>83</v>
      </c>
      <c r="J426" s="1">
        <f>IFERROR(__xludf.DUMMYFUNCTION("""COMPUTED_VALUE"""),44.0)</f>
        <v>44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 t="str">
        <f>IFERROR(__xludf.DUMMYFUNCTION("""COMPUTED_VALUE"""),"C")</f>
        <v>C</v>
      </c>
      <c r="E427" s="1">
        <f>IFERROR(__xludf.DUMMYFUNCTION("""COMPUTED_VALUE"""),51.0)</f>
        <v>51</v>
      </c>
      <c r="F427" s="1">
        <f>IFERROR(__xludf.DUMMYFUNCTION("""COMPUTED_VALUE"""),69.0)</f>
        <v>69</v>
      </c>
      <c r="G427" s="1">
        <f>IFERROR(__xludf.DUMMYFUNCTION("""COMPUTED_VALUE"""),33.0)</f>
        <v>33</v>
      </c>
      <c r="H427" s="1">
        <f>IFERROR(__xludf.DUMMYFUNCTION("""COMPUTED_VALUE"""),50.0)</f>
        <v>50</v>
      </c>
      <c r="I427" s="1">
        <f>IFERROR(__xludf.DUMMYFUNCTION("""COMPUTED_VALUE"""),26.0)</f>
        <v>26</v>
      </c>
      <c r="J427" s="1">
        <f>IFERROR(__xludf.DUMMYFUNCTION("""COMPUTED_VALUE"""),49.0)</f>
        <v>49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 t="str">
        <f>IFERROR(__xludf.DUMMYFUNCTION("""COMPUTED_VALUE"""),"A")</f>
        <v>A</v>
      </c>
      <c r="E428" s="1">
        <f>IFERROR(__xludf.DUMMYFUNCTION("""COMPUTED_VALUE"""),90.0)</f>
        <v>90</v>
      </c>
      <c r="F428" s="1">
        <f>IFERROR(__xludf.DUMMYFUNCTION("""COMPUTED_VALUE"""),91.0)</f>
        <v>91</v>
      </c>
      <c r="G428" s="1">
        <f>IFERROR(__xludf.DUMMYFUNCTION("""COMPUTED_VALUE"""),45.0)</f>
        <v>45</v>
      </c>
      <c r="H428" s="1">
        <f>IFERROR(__xludf.DUMMYFUNCTION("""COMPUTED_VALUE"""),22.0)</f>
        <v>22</v>
      </c>
      <c r="I428" s="1">
        <f>IFERROR(__xludf.DUMMYFUNCTION("""COMPUTED_VALUE"""),46.0)</f>
        <v>46</v>
      </c>
      <c r="J428" s="1">
        <f>IFERROR(__xludf.DUMMYFUNCTION("""COMPUTED_VALUE"""),53.0)</f>
        <v>53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 t="str">
        <f>IFERROR(__xludf.DUMMYFUNCTION("""COMPUTED_VALUE"""),"C")</f>
        <v>C</v>
      </c>
      <c r="E429" s="1">
        <f>IFERROR(__xludf.DUMMYFUNCTION("""COMPUTED_VALUE"""),46.0)</f>
        <v>46</v>
      </c>
      <c r="F429" s="1">
        <f>IFERROR(__xludf.DUMMYFUNCTION("""COMPUTED_VALUE"""),91.0)</f>
        <v>91</v>
      </c>
      <c r="G429" s="1">
        <f>IFERROR(__xludf.DUMMYFUNCTION("""COMPUTED_VALUE"""),51.0)</f>
        <v>51</v>
      </c>
      <c r="H429" s="1">
        <f>IFERROR(__xludf.DUMMYFUNCTION("""COMPUTED_VALUE"""),26.0)</f>
        <v>26</v>
      </c>
      <c r="I429" s="1">
        <f>IFERROR(__xludf.DUMMYFUNCTION("""COMPUTED_VALUE"""),86.0)</f>
        <v>86</v>
      </c>
      <c r="J429" s="1">
        <f>IFERROR(__xludf.DUMMYFUNCTION("""COMPUTED_VALUE"""),87.0)</f>
        <v>87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 t="str">
        <f>IFERROR(__xludf.DUMMYFUNCTION("""COMPUTED_VALUE"""),"A")</f>
        <v>A</v>
      </c>
      <c r="E430" s="1">
        <f>IFERROR(__xludf.DUMMYFUNCTION("""COMPUTED_VALUE"""),47.0)</f>
        <v>47</v>
      </c>
      <c r="F430" s="1">
        <f>IFERROR(__xludf.DUMMYFUNCTION("""COMPUTED_VALUE"""),58.0)</f>
        <v>58</v>
      </c>
      <c r="G430" s="1">
        <f>IFERROR(__xludf.DUMMYFUNCTION("""COMPUTED_VALUE"""),65.0)</f>
        <v>65</v>
      </c>
      <c r="H430" s="1">
        <f>IFERROR(__xludf.DUMMYFUNCTION("""COMPUTED_VALUE"""),54.0)</f>
        <v>54</v>
      </c>
      <c r="I430" s="1">
        <f>IFERROR(__xludf.DUMMYFUNCTION("""COMPUTED_VALUE"""),79.0)</f>
        <v>79</v>
      </c>
      <c r="J430" s="1">
        <f>IFERROR(__xludf.DUMMYFUNCTION("""COMPUTED_VALUE"""),76.0)</f>
        <v>76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 t="str">
        <f>IFERROR(__xludf.DUMMYFUNCTION("""COMPUTED_VALUE"""),"B")</f>
        <v>B</v>
      </c>
      <c r="E431" s="1">
        <f>IFERROR(__xludf.DUMMYFUNCTION("""COMPUTED_VALUE"""),62.0)</f>
        <v>62</v>
      </c>
      <c r="F431" s="1">
        <f>IFERROR(__xludf.DUMMYFUNCTION("""COMPUTED_VALUE"""),78.0)</f>
        <v>78</v>
      </c>
      <c r="G431" s="1">
        <f>IFERROR(__xludf.DUMMYFUNCTION("""COMPUTED_VALUE"""),67.0)</f>
        <v>67</v>
      </c>
      <c r="H431" s="1">
        <f>IFERROR(__xludf.DUMMYFUNCTION("""COMPUTED_VALUE"""),22.0)</f>
        <v>22</v>
      </c>
      <c r="I431" s="1">
        <f>IFERROR(__xludf.DUMMYFUNCTION("""COMPUTED_VALUE"""),30.0)</f>
        <v>30</v>
      </c>
      <c r="J431" s="1">
        <f>IFERROR(__xludf.DUMMYFUNCTION("""COMPUTED_VALUE"""),41.0)</f>
        <v>41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 t="str">
        <f>IFERROR(__xludf.DUMMYFUNCTION("""COMPUTED_VALUE"""),"B")</f>
        <v>B</v>
      </c>
      <c r="E432" s="1">
        <f>IFERROR(__xludf.DUMMYFUNCTION("""COMPUTED_VALUE"""),38.0)</f>
        <v>38</v>
      </c>
      <c r="F432" s="1">
        <f>IFERROR(__xludf.DUMMYFUNCTION("""COMPUTED_VALUE"""),94.0)</f>
        <v>94</v>
      </c>
      <c r="G432" s="1">
        <f>IFERROR(__xludf.DUMMYFUNCTION("""COMPUTED_VALUE"""),91.0)</f>
        <v>91</v>
      </c>
      <c r="H432" s="1">
        <f>IFERROR(__xludf.DUMMYFUNCTION("""COMPUTED_VALUE"""),32.0)</f>
        <v>32</v>
      </c>
      <c r="I432" s="1">
        <f>IFERROR(__xludf.DUMMYFUNCTION("""COMPUTED_VALUE"""),75.0)</f>
        <v>75</v>
      </c>
      <c r="J432" s="1">
        <f>IFERROR(__xludf.DUMMYFUNCTION("""COMPUTED_VALUE"""),86.0)</f>
        <v>86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 t="str">
        <f>IFERROR(__xludf.DUMMYFUNCTION("""COMPUTED_VALUE"""),"D")</f>
        <v>D</v>
      </c>
      <c r="E433" s="1">
        <f>IFERROR(__xludf.DUMMYFUNCTION("""COMPUTED_VALUE"""),31.0)</f>
        <v>31</v>
      </c>
      <c r="F433" s="1">
        <f>IFERROR(__xludf.DUMMYFUNCTION("""COMPUTED_VALUE"""),65.0)</f>
        <v>65</v>
      </c>
      <c r="G433" s="1">
        <f>IFERROR(__xludf.DUMMYFUNCTION("""COMPUTED_VALUE"""),79.0)</f>
        <v>79</v>
      </c>
      <c r="H433" s="1">
        <f>IFERROR(__xludf.DUMMYFUNCTION("""COMPUTED_VALUE"""),20.0)</f>
        <v>20</v>
      </c>
      <c r="I433" s="1">
        <f>IFERROR(__xludf.DUMMYFUNCTION("""COMPUTED_VALUE"""),51.0)</f>
        <v>51</v>
      </c>
      <c r="J433" s="1">
        <f>IFERROR(__xludf.DUMMYFUNCTION("""COMPUTED_VALUE"""),28.0)</f>
        <v>28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 t="str">
        <f>IFERROR(__xludf.DUMMYFUNCTION("""COMPUTED_VALUE"""),"B")</f>
        <v>B</v>
      </c>
      <c r="E434" s="1">
        <f>IFERROR(__xludf.DUMMYFUNCTION("""COMPUTED_VALUE"""),27.0)</f>
        <v>27</v>
      </c>
      <c r="F434" s="1">
        <f>IFERROR(__xludf.DUMMYFUNCTION("""COMPUTED_VALUE"""),61.0)</f>
        <v>61</v>
      </c>
      <c r="G434" s="1">
        <f>IFERROR(__xludf.DUMMYFUNCTION("""COMPUTED_VALUE"""),33.0)</f>
        <v>33</v>
      </c>
      <c r="H434" s="1">
        <f>IFERROR(__xludf.DUMMYFUNCTION("""COMPUTED_VALUE"""),59.0)</f>
        <v>59</v>
      </c>
      <c r="I434" s="1">
        <f>IFERROR(__xludf.DUMMYFUNCTION("""COMPUTED_VALUE"""),67.0)</f>
        <v>67</v>
      </c>
      <c r="J434" s="1">
        <f>IFERROR(__xludf.DUMMYFUNCTION("""COMPUTED_VALUE"""),38.0)</f>
        <v>38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 t="str">
        <f>IFERROR(__xludf.DUMMYFUNCTION("""COMPUTED_VALUE"""),"A")</f>
        <v>A</v>
      </c>
      <c r="E435" s="1">
        <f>IFERROR(__xludf.DUMMYFUNCTION("""COMPUTED_VALUE"""),60.0)</f>
        <v>60</v>
      </c>
      <c r="F435" s="1">
        <f>IFERROR(__xludf.DUMMYFUNCTION("""COMPUTED_VALUE"""),23.0)</f>
        <v>23</v>
      </c>
      <c r="G435" s="1">
        <f>IFERROR(__xludf.DUMMYFUNCTION("""COMPUTED_VALUE"""),54.0)</f>
        <v>54</v>
      </c>
      <c r="H435" s="1">
        <f>IFERROR(__xludf.DUMMYFUNCTION("""COMPUTED_VALUE"""),65.0)</f>
        <v>65</v>
      </c>
      <c r="I435" s="1">
        <f>IFERROR(__xludf.DUMMYFUNCTION("""COMPUTED_VALUE"""),39.0)</f>
        <v>39</v>
      </c>
      <c r="J435" s="1">
        <f>IFERROR(__xludf.DUMMYFUNCTION("""COMPUTED_VALUE"""),40.0)</f>
        <v>40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 t="str">
        <f>IFERROR(__xludf.DUMMYFUNCTION("""COMPUTED_VALUE"""),"B")</f>
        <v>B</v>
      </c>
      <c r="E436" s="1">
        <f>IFERROR(__xludf.DUMMYFUNCTION("""COMPUTED_VALUE"""),83.0)</f>
        <v>83</v>
      </c>
      <c r="F436" s="1">
        <f>IFERROR(__xludf.DUMMYFUNCTION("""COMPUTED_VALUE"""),28.0)</f>
        <v>28</v>
      </c>
      <c r="G436" s="1">
        <f>IFERROR(__xludf.DUMMYFUNCTION("""COMPUTED_VALUE"""),37.0)</f>
        <v>37</v>
      </c>
      <c r="H436" s="1">
        <f>IFERROR(__xludf.DUMMYFUNCTION("""COMPUTED_VALUE"""),35.0)</f>
        <v>35</v>
      </c>
      <c r="I436" s="1">
        <f>IFERROR(__xludf.DUMMYFUNCTION("""COMPUTED_VALUE"""),92.0)</f>
        <v>92</v>
      </c>
      <c r="J436" s="1">
        <f>IFERROR(__xludf.DUMMYFUNCTION("""COMPUTED_VALUE"""),55.0)</f>
        <v>55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 t="str">
        <f>IFERROR(__xludf.DUMMYFUNCTION("""COMPUTED_VALUE"""),"D")</f>
        <v>D</v>
      </c>
      <c r="E437" s="1">
        <f>IFERROR(__xludf.DUMMYFUNCTION("""COMPUTED_VALUE"""),66.0)</f>
        <v>66</v>
      </c>
      <c r="F437" s="1">
        <f>IFERROR(__xludf.DUMMYFUNCTION("""COMPUTED_VALUE"""),68.0)</f>
        <v>68</v>
      </c>
      <c r="G437" s="1">
        <f>IFERROR(__xludf.DUMMYFUNCTION("""COMPUTED_VALUE"""),52.0)</f>
        <v>52</v>
      </c>
      <c r="H437" s="1">
        <f>IFERROR(__xludf.DUMMYFUNCTION("""COMPUTED_VALUE"""),31.0)</f>
        <v>31</v>
      </c>
      <c r="I437" s="1">
        <f>IFERROR(__xludf.DUMMYFUNCTION("""COMPUTED_VALUE"""),37.0)</f>
        <v>37</v>
      </c>
      <c r="J437" s="1">
        <f>IFERROR(__xludf.DUMMYFUNCTION("""COMPUTED_VALUE"""),96.0)</f>
        <v>96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 t="str">
        <f>IFERROR(__xludf.DUMMYFUNCTION("""COMPUTED_VALUE"""),"B")</f>
        <v>B</v>
      </c>
      <c r="E438" s="1">
        <f>IFERROR(__xludf.DUMMYFUNCTION("""COMPUTED_VALUE"""),99.0)</f>
        <v>99</v>
      </c>
      <c r="F438" s="1">
        <f>IFERROR(__xludf.DUMMYFUNCTION("""COMPUTED_VALUE"""),63.0)</f>
        <v>63</v>
      </c>
      <c r="G438" s="1">
        <f>IFERROR(__xludf.DUMMYFUNCTION("""COMPUTED_VALUE"""),95.0)</f>
        <v>95</v>
      </c>
      <c r="H438" s="1">
        <f>IFERROR(__xludf.DUMMYFUNCTION("""COMPUTED_VALUE"""),60.0)</f>
        <v>60</v>
      </c>
      <c r="I438" s="1">
        <f>IFERROR(__xludf.DUMMYFUNCTION("""COMPUTED_VALUE"""),54.0)</f>
        <v>54</v>
      </c>
      <c r="J438" s="1">
        <f>IFERROR(__xludf.DUMMYFUNCTION("""COMPUTED_VALUE"""),57.0)</f>
        <v>57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 t="str">
        <f>IFERROR(__xludf.DUMMYFUNCTION("""COMPUTED_VALUE"""),"D")</f>
        <v>D</v>
      </c>
      <c r="E439" s="1">
        <f>IFERROR(__xludf.DUMMYFUNCTION("""COMPUTED_VALUE"""),54.0)</f>
        <v>54</v>
      </c>
      <c r="F439" s="1">
        <f>IFERROR(__xludf.DUMMYFUNCTION("""COMPUTED_VALUE"""),84.0)</f>
        <v>84</v>
      </c>
      <c r="G439" s="1">
        <f>IFERROR(__xludf.DUMMYFUNCTION("""COMPUTED_VALUE"""),51.0)</f>
        <v>51</v>
      </c>
      <c r="H439" s="1">
        <f>IFERROR(__xludf.DUMMYFUNCTION("""COMPUTED_VALUE"""),83.0)</f>
        <v>83</v>
      </c>
      <c r="I439" s="1">
        <f>IFERROR(__xludf.DUMMYFUNCTION("""COMPUTED_VALUE"""),63.0)</f>
        <v>63</v>
      </c>
      <c r="J439" s="1">
        <f>IFERROR(__xludf.DUMMYFUNCTION("""COMPUTED_VALUE"""),49.0)</f>
        <v>49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 t="str">
        <f>IFERROR(__xludf.DUMMYFUNCTION("""COMPUTED_VALUE"""),"A")</f>
        <v>A</v>
      </c>
      <c r="E440" s="1">
        <f>IFERROR(__xludf.DUMMYFUNCTION("""COMPUTED_VALUE"""),46.0)</f>
        <v>46</v>
      </c>
      <c r="F440" s="1">
        <f>IFERROR(__xludf.DUMMYFUNCTION("""COMPUTED_VALUE"""),86.0)</f>
        <v>86</v>
      </c>
      <c r="G440" s="1">
        <f>IFERROR(__xludf.DUMMYFUNCTION("""COMPUTED_VALUE"""),90.0)</f>
        <v>90</v>
      </c>
      <c r="H440" s="1">
        <f>IFERROR(__xludf.DUMMYFUNCTION("""COMPUTED_VALUE"""),57.0)</f>
        <v>57</v>
      </c>
      <c r="I440" s="1">
        <f>IFERROR(__xludf.DUMMYFUNCTION("""COMPUTED_VALUE"""),92.0)</f>
        <v>92</v>
      </c>
      <c r="J440" s="1">
        <f>IFERROR(__xludf.DUMMYFUNCTION("""COMPUTED_VALUE"""),83.0)</f>
        <v>83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 t="str">
        <f>IFERROR(__xludf.DUMMYFUNCTION("""COMPUTED_VALUE"""),"D")</f>
        <v>D</v>
      </c>
      <c r="E441" s="1">
        <f>IFERROR(__xludf.DUMMYFUNCTION("""COMPUTED_VALUE"""),58.0)</f>
        <v>58</v>
      </c>
      <c r="F441" s="1">
        <f>IFERROR(__xludf.DUMMYFUNCTION("""COMPUTED_VALUE"""),89.0)</f>
        <v>89</v>
      </c>
      <c r="G441" s="1">
        <f>IFERROR(__xludf.DUMMYFUNCTION("""COMPUTED_VALUE"""),86.0)</f>
        <v>86</v>
      </c>
      <c r="H441" s="1">
        <f>IFERROR(__xludf.DUMMYFUNCTION("""COMPUTED_VALUE"""),60.0)</f>
        <v>60</v>
      </c>
      <c r="I441" s="1">
        <f>IFERROR(__xludf.DUMMYFUNCTION("""COMPUTED_VALUE"""),20.0)</f>
        <v>20</v>
      </c>
      <c r="J441" s="1">
        <f>IFERROR(__xludf.DUMMYFUNCTION("""COMPUTED_VALUE"""),42.0)</f>
        <v>42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 t="str">
        <f>IFERROR(__xludf.DUMMYFUNCTION("""COMPUTED_VALUE"""),"C")</f>
        <v>C</v>
      </c>
      <c r="E442" s="1">
        <f>IFERROR(__xludf.DUMMYFUNCTION("""COMPUTED_VALUE"""),46.0)</f>
        <v>46</v>
      </c>
      <c r="F442" s="1">
        <f>IFERROR(__xludf.DUMMYFUNCTION("""COMPUTED_VALUE"""),87.0)</f>
        <v>87</v>
      </c>
      <c r="G442" s="1">
        <f>IFERROR(__xludf.DUMMYFUNCTION("""COMPUTED_VALUE"""),30.0)</f>
        <v>30</v>
      </c>
      <c r="H442" s="1">
        <f>IFERROR(__xludf.DUMMYFUNCTION("""COMPUTED_VALUE"""),26.0)</f>
        <v>26</v>
      </c>
      <c r="I442" s="1">
        <f>IFERROR(__xludf.DUMMYFUNCTION("""COMPUTED_VALUE"""),85.0)</f>
        <v>85</v>
      </c>
      <c r="J442" s="1">
        <f>IFERROR(__xludf.DUMMYFUNCTION("""COMPUTED_VALUE"""),80.0)</f>
        <v>80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 t="str">
        <f>IFERROR(__xludf.DUMMYFUNCTION("""COMPUTED_VALUE"""),"C")</f>
        <v>C</v>
      </c>
      <c r="E443" s="1">
        <f>IFERROR(__xludf.DUMMYFUNCTION("""COMPUTED_VALUE"""),88.0)</f>
        <v>88</v>
      </c>
      <c r="F443" s="1">
        <f>IFERROR(__xludf.DUMMYFUNCTION("""COMPUTED_VALUE"""),99.0)</f>
        <v>99</v>
      </c>
      <c r="G443" s="1">
        <f>IFERROR(__xludf.DUMMYFUNCTION("""COMPUTED_VALUE"""),80.0)</f>
        <v>80</v>
      </c>
      <c r="H443" s="1">
        <f>IFERROR(__xludf.DUMMYFUNCTION("""COMPUTED_VALUE"""),80.0)</f>
        <v>80</v>
      </c>
      <c r="I443" s="1">
        <f>IFERROR(__xludf.DUMMYFUNCTION("""COMPUTED_VALUE"""),56.0)</f>
        <v>56</v>
      </c>
      <c r="J443" s="1">
        <f>IFERROR(__xludf.DUMMYFUNCTION("""COMPUTED_VALUE"""),98.0)</f>
        <v>98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 t="str">
        <f>IFERROR(__xludf.DUMMYFUNCTION("""COMPUTED_VALUE"""),"C")</f>
        <v>C</v>
      </c>
      <c r="E444" s="1">
        <f>IFERROR(__xludf.DUMMYFUNCTION("""COMPUTED_VALUE"""),61.0)</f>
        <v>61</v>
      </c>
      <c r="F444" s="1">
        <f>IFERROR(__xludf.DUMMYFUNCTION("""COMPUTED_VALUE"""),73.0)</f>
        <v>73</v>
      </c>
      <c r="G444" s="1">
        <f>IFERROR(__xludf.DUMMYFUNCTION("""COMPUTED_VALUE"""),86.0)</f>
        <v>86</v>
      </c>
      <c r="H444" s="1">
        <f>IFERROR(__xludf.DUMMYFUNCTION("""COMPUTED_VALUE"""),50.0)</f>
        <v>50</v>
      </c>
      <c r="I444" s="1">
        <f>IFERROR(__xludf.DUMMYFUNCTION("""COMPUTED_VALUE"""),90.0)</f>
        <v>90</v>
      </c>
      <c r="J444" s="1">
        <f>IFERROR(__xludf.DUMMYFUNCTION("""COMPUTED_VALUE"""),87.0)</f>
        <v>87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 t="str">
        <f>IFERROR(__xludf.DUMMYFUNCTION("""COMPUTED_VALUE"""),"D")</f>
        <v>D</v>
      </c>
      <c r="E445" s="1">
        <f>IFERROR(__xludf.DUMMYFUNCTION("""COMPUTED_VALUE"""),95.0)</f>
        <v>95</v>
      </c>
      <c r="F445" s="1">
        <f>IFERROR(__xludf.DUMMYFUNCTION("""COMPUTED_VALUE"""),25.0)</f>
        <v>25</v>
      </c>
      <c r="G445" s="1">
        <f>IFERROR(__xludf.DUMMYFUNCTION("""COMPUTED_VALUE"""),46.0)</f>
        <v>46</v>
      </c>
      <c r="H445" s="1">
        <f>IFERROR(__xludf.DUMMYFUNCTION("""COMPUTED_VALUE"""),69.0)</f>
        <v>69</v>
      </c>
      <c r="I445" s="1">
        <f>IFERROR(__xludf.DUMMYFUNCTION("""COMPUTED_VALUE"""),82.0)</f>
        <v>82</v>
      </c>
      <c r="J445" s="1">
        <f>IFERROR(__xludf.DUMMYFUNCTION("""COMPUTED_VALUE"""),59.0)</f>
        <v>59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 t="str">
        <f>IFERROR(__xludf.DUMMYFUNCTION("""COMPUTED_VALUE"""),"D")</f>
        <v>D</v>
      </c>
      <c r="E446" s="1">
        <f>IFERROR(__xludf.DUMMYFUNCTION("""COMPUTED_VALUE"""),39.0)</f>
        <v>39</v>
      </c>
      <c r="F446" s="1">
        <f>IFERROR(__xludf.DUMMYFUNCTION("""COMPUTED_VALUE"""),51.0)</f>
        <v>51</v>
      </c>
      <c r="G446" s="1">
        <f>IFERROR(__xludf.DUMMYFUNCTION("""COMPUTED_VALUE"""),62.0)</f>
        <v>62</v>
      </c>
      <c r="H446" s="1">
        <f>IFERROR(__xludf.DUMMYFUNCTION("""COMPUTED_VALUE"""),30.0)</f>
        <v>30</v>
      </c>
      <c r="I446" s="1">
        <f>IFERROR(__xludf.DUMMYFUNCTION("""COMPUTED_VALUE"""),99.0)</f>
        <v>99</v>
      </c>
      <c r="J446" s="1">
        <f>IFERROR(__xludf.DUMMYFUNCTION("""COMPUTED_VALUE"""),79.0)</f>
        <v>79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 t="str">
        <f>IFERROR(__xludf.DUMMYFUNCTION("""COMPUTED_VALUE"""),"C")</f>
        <v>C</v>
      </c>
      <c r="E447" s="1">
        <f>IFERROR(__xludf.DUMMYFUNCTION("""COMPUTED_VALUE"""),57.0)</f>
        <v>57</v>
      </c>
      <c r="F447" s="1">
        <f>IFERROR(__xludf.DUMMYFUNCTION("""COMPUTED_VALUE"""),44.0)</f>
        <v>44</v>
      </c>
      <c r="G447" s="1">
        <f>IFERROR(__xludf.DUMMYFUNCTION("""COMPUTED_VALUE"""),31.0)</f>
        <v>31</v>
      </c>
      <c r="H447" s="1">
        <f>IFERROR(__xludf.DUMMYFUNCTION("""COMPUTED_VALUE"""),47.0)</f>
        <v>47</v>
      </c>
      <c r="I447" s="1">
        <f>IFERROR(__xludf.DUMMYFUNCTION("""COMPUTED_VALUE"""),73.0)</f>
        <v>73</v>
      </c>
      <c r="J447" s="1">
        <f>IFERROR(__xludf.DUMMYFUNCTION("""COMPUTED_VALUE"""),95.0)</f>
        <v>95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 t="str">
        <f>IFERROR(__xludf.DUMMYFUNCTION("""COMPUTED_VALUE"""),"B")</f>
        <v>B</v>
      </c>
      <c r="E448" s="1">
        <f>IFERROR(__xludf.DUMMYFUNCTION("""COMPUTED_VALUE"""),92.0)</f>
        <v>92</v>
      </c>
      <c r="F448" s="1">
        <f>IFERROR(__xludf.DUMMYFUNCTION("""COMPUTED_VALUE"""),97.0)</f>
        <v>97</v>
      </c>
      <c r="G448" s="1">
        <f>IFERROR(__xludf.DUMMYFUNCTION("""COMPUTED_VALUE"""),67.0)</f>
        <v>67</v>
      </c>
      <c r="H448" s="1">
        <f>IFERROR(__xludf.DUMMYFUNCTION("""COMPUTED_VALUE"""),89.0)</f>
        <v>89</v>
      </c>
      <c r="I448" s="1">
        <f>IFERROR(__xludf.DUMMYFUNCTION("""COMPUTED_VALUE"""),29.0)</f>
        <v>29</v>
      </c>
      <c r="J448" s="1">
        <f>IFERROR(__xludf.DUMMYFUNCTION("""COMPUTED_VALUE"""),43.0)</f>
        <v>43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 t="str">
        <f>IFERROR(__xludf.DUMMYFUNCTION("""COMPUTED_VALUE"""),"A")</f>
        <v>A</v>
      </c>
      <c r="E449" s="1">
        <f>IFERROR(__xludf.DUMMYFUNCTION("""COMPUTED_VALUE"""),87.0)</f>
        <v>87</v>
      </c>
      <c r="F449" s="1">
        <f>IFERROR(__xludf.DUMMYFUNCTION("""COMPUTED_VALUE"""),48.0)</f>
        <v>48</v>
      </c>
      <c r="G449" s="1">
        <f>IFERROR(__xludf.DUMMYFUNCTION("""COMPUTED_VALUE"""),43.0)</f>
        <v>43</v>
      </c>
      <c r="H449" s="1">
        <f>IFERROR(__xludf.DUMMYFUNCTION("""COMPUTED_VALUE"""),68.0)</f>
        <v>68</v>
      </c>
      <c r="I449" s="1">
        <f>IFERROR(__xludf.DUMMYFUNCTION("""COMPUTED_VALUE"""),43.0)</f>
        <v>43</v>
      </c>
      <c r="J449" s="1">
        <f>IFERROR(__xludf.DUMMYFUNCTION("""COMPUTED_VALUE"""),80.0)</f>
        <v>80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 t="str">
        <f>IFERROR(__xludf.DUMMYFUNCTION("""COMPUTED_VALUE"""),"D")</f>
        <v>D</v>
      </c>
      <c r="E450" s="1">
        <f>IFERROR(__xludf.DUMMYFUNCTION("""COMPUTED_VALUE"""),72.0)</f>
        <v>72</v>
      </c>
      <c r="F450" s="1">
        <f>IFERROR(__xludf.DUMMYFUNCTION("""COMPUTED_VALUE"""),69.0)</f>
        <v>69</v>
      </c>
      <c r="G450" s="1">
        <f>IFERROR(__xludf.DUMMYFUNCTION("""COMPUTED_VALUE"""),79.0)</f>
        <v>79</v>
      </c>
      <c r="H450" s="1">
        <f>IFERROR(__xludf.DUMMYFUNCTION("""COMPUTED_VALUE"""),67.0)</f>
        <v>67</v>
      </c>
      <c r="I450" s="1">
        <f>IFERROR(__xludf.DUMMYFUNCTION("""COMPUTED_VALUE"""),35.0)</f>
        <v>35</v>
      </c>
      <c r="J450" s="1">
        <f>IFERROR(__xludf.DUMMYFUNCTION("""COMPUTED_VALUE"""),97.0)</f>
        <v>97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 t="str">
        <f>IFERROR(__xludf.DUMMYFUNCTION("""COMPUTED_VALUE"""),"C")</f>
        <v>C</v>
      </c>
      <c r="E451" s="1">
        <f>IFERROR(__xludf.DUMMYFUNCTION("""COMPUTED_VALUE"""),17.0)</f>
        <v>17</v>
      </c>
      <c r="F451" s="1">
        <f>IFERROR(__xludf.DUMMYFUNCTION("""COMPUTED_VALUE"""),61.0)</f>
        <v>61</v>
      </c>
      <c r="G451" s="1">
        <f>IFERROR(__xludf.DUMMYFUNCTION("""COMPUTED_VALUE"""),74.0)</f>
        <v>74</v>
      </c>
      <c r="H451" s="1">
        <f>IFERROR(__xludf.DUMMYFUNCTION("""COMPUTED_VALUE"""),21.0)</f>
        <v>21</v>
      </c>
      <c r="I451" s="1">
        <f>IFERROR(__xludf.DUMMYFUNCTION("""COMPUTED_VALUE"""),50.0)</f>
        <v>50</v>
      </c>
      <c r="J451" s="1">
        <f>IFERROR(__xludf.DUMMYFUNCTION("""COMPUTED_VALUE"""),83.0)</f>
        <v>83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 t="str">
        <f>IFERROR(__xludf.DUMMYFUNCTION("""COMPUTED_VALUE"""),"B")</f>
        <v>B</v>
      </c>
      <c r="E452" s="1">
        <f>IFERROR(__xludf.DUMMYFUNCTION("""COMPUTED_VALUE"""),87.0)</f>
        <v>87</v>
      </c>
      <c r="F452" s="1">
        <f>IFERROR(__xludf.DUMMYFUNCTION("""COMPUTED_VALUE"""),56.0)</f>
        <v>56</v>
      </c>
      <c r="G452" s="1">
        <f>IFERROR(__xludf.DUMMYFUNCTION("""COMPUTED_VALUE"""),45.0)</f>
        <v>45</v>
      </c>
      <c r="H452" s="1">
        <f>IFERROR(__xludf.DUMMYFUNCTION("""COMPUTED_VALUE"""),55.0)</f>
        <v>55</v>
      </c>
      <c r="I452" s="1">
        <f>IFERROR(__xludf.DUMMYFUNCTION("""COMPUTED_VALUE"""),55.0)</f>
        <v>55</v>
      </c>
      <c r="J452" s="1">
        <f>IFERROR(__xludf.DUMMYFUNCTION("""COMPUTED_VALUE"""),50.0)</f>
        <v>50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 t="str">
        <f>IFERROR(__xludf.DUMMYFUNCTION("""COMPUTED_VALUE"""),"B")</f>
        <v>B</v>
      </c>
      <c r="E453" s="1">
        <f>IFERROR(__xludf.DUMMYFUNCTION("""COMPUTED_VALUE"""),98.0)</f>
        <v>98</v>
      </c>
      <c r="F453" s="1">
        <f>IFERROR(__xludf.DUMMYFUNCTION("""COMPUTED_VALUE"""),56.0)</f>
        <v>56</v>
      </c>
      <c r="G453" s="1">
        <f>IFERROR(__xludf.DUMMYFUNCTION("""COMPUTED_VALUE"""),22.0)</f>
        <v>22</v>
      </c>
      <c r="H453" s="1">
        <f>IFERROR(__xludf.DUMMYFUNCTION("""COMPUTED_VALUE"""),30.0)</f>
        <v>30</v>
      </c>
      <c r="I453" s="1">
        <f>IFERROR(__xludf.DUMMYFUNCTION("""COMPUTED_VALUE"""),21.0)</f>
        <v>21</v>
      </c>
      <c r="J453" s="1">
        <f>IFERROR(__xludf.DUMMYFUNCTION("""COMPUTED_VALUE"""),47.0)</f>
        <v>47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 t="str">
        <f>IFERROR(__xludf.DUMMYFUNCTION("""COMPUTED_VALUE"""),"A")</f>
        <v>A</v>
      </c>
      <c r="E454" s="1">
        <f>IFERROR(__xludf.DUMMYFUNCTION("""COMPUTED_VALUE"""),30.0)</f>
        <v>30</v>
      </c>
      <c r="F454" s="1">
        <f>IFERROR(__xludf.DUMMYFUNCTION("""COMPUTED_VALUE"""),36.0)</f>
        <v>36</v>
      </c>
      <c r="G454" s="1">
        <f>IFERROR(__xludf.DUMMYFUNCTION("""COMPUTED_VALUE"""),52.0)</f>
        <v>52</v>
      </c>
      <c r="H454" s="1">
        <f>IFERROR(__xludf.DUMMYFUNCTION("""COMPUTED_VALUE"""),70.0)</f>
        <v>70</v>
      </c>
      <c r="I454" s="1">
        <f>IFERROR(__xludf.DUMMYFUNCTION("""COMPUTED_VALUE"""),92.0)</f>
        <v>92</v>
      </c>
      <c r="J454" s="1">
        <f>IFERROR(__xludf.DUMMYFUNCTION("""COMPUTED_VALUE"""),66.0)</f>
        <v>66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 t="str">
        <f>IFERROR(__xludf.DUMMYFUNCTION("""COMPUTED_VALUE"""),"A")</f>
        <v>A</v>
      </c>
      <c r="E455" s="1">
        <f>IFERROR(__xludf.DUMMYFUNCTION("""COMPUTED_VALUE"""),70.0)</f>
        <v>70</v>
      </c>
      <c r="F455" s="1">
        <f>IFERROR(__xludf.DUMMYFUNCTION("""COMPUTED_VALUE"""),45.0)</f>
        <v>45</v>
      </c>
      <c r="G455" s="1">
        <f>IFERROR(__xludf.DUMMYFUNCTION("""COMPUTED_VALUE"""),69.0)</f>
        <v>69</v>
      </c>
      <c r="H455" s="1">
        <f>IFERROR(__xludf.DUMMYFUNCTION("""COMPUTED_VALUE"""),39.0)</f>
        <v>39</v>
      </c>
      <c r="I455" s="1">
        <f>IFERROR(__xludf.DUMMYFUNCTION("""COMPUTED_VALUE"""),24.0)</f>
        <v>24</v>
      </c>
      <c r="J455" s="1">
        <f>IFERROR(__xludf.DUMMYFUNCTION("""COMPUTED_VALUE"""),49.0)</f>
        <v>49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 t="str">
        <f>IFERROR(__xludf.DUMMYFUNCTION("""COMPUTED_VALUE"""),"A")</f>
        <v>A</v>
      </c>
      <c r="E456" s="1">
        <f>IFERROR(__xludf.DUMMYFUNCTION("""COMPUTED_VALUE"""),16.0)</f>
        <v>16</v>
      </c>
      <c r="F456" s="1">
        <f>IFERROR(__xludf.DUMMYFUNCTION("""COMPUTED_VALUE"""),40.0)</f>
        <v>40</v>
      </c>
      <c r="G456" s="1">
        <f>IFERROR(__xludf.DUMMYFUNCTION("""COMPUTED_VALUE"""),20.0)</f>
        <v>20</v>
      </c>
      <c r="H456" s="1">
        <f>IFERROR(__xludf.DUMMYFUNCTION("""COMPUTED_VALUE"""),72.0)</f>
        <v>72</v>
      </c>
      <c r="I456" s="1">
        <f>IFERROR(__xludf.DUMMYFUNCTION("""COMPUTED_VALUE"""),94.0)</f>
        <v>94</v>
      </c>
      <c r="J456" s="1">
        <f>IFERROR(__xludf.DUMMYFUNCTION("""COMPUTED_VALUE"""),72.0)</f>
        <v>72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 t="str">
        <f>IFERROR(__xludf.DUMMYFUNCTION("""COMPUTED_VALUE"""),"B")</f>
        <v>B</v>
      </c>
      <c r="E457" s="1">
        <f>IFERROR(__xludf.DUMMYFUNCTION("""COMPUTED_VALUE"""),19.0)</f>
        <v>19</v>
      </c>
      <c r="F457" s="1">
        <f>IFERROR(__xludf.DUMMYFUNCTION("""COMPUTED_VALUE"""),81.0)</f>
        <v>81</v>
      </c>
      <c r="G457" s="1">
        <f>IFERROR(__xludf.DUMMYFUNCTION("""COMPUTED_VALUE"""),26.0)</f>
        <v>26</v>
      </c>
      <c r="H457" s="1">
        <f>IFERROR(__xludf.DUMMYFUNCTION("""COMPUTED_VALUE"""),34.0)</f>
        <v>34</v>
      </c>
      <c r="I457" s="1">
        <f>IFERROR(__xludf.DUMMYFUNCTION("""COMPUTED_VALUE"""),96.0)</f>
        <v>96</v>
      </c>
      <c r="J457" s="1">
        <f>IFERROR(__xludf.DUMMYFUNCTION("""COMPUTED_VALUE"""),20.0)</f>
        <v>20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 t="str">
        <f>IFERROR(__xludf.DUMMYFUNCTION("""COMPUTED_VALUE"""),"D")</f>
        <v>D</v>
      </c>
      <c r="E458" s="1">
        <f>IFERROR(__xludf.DUMMYFUNCTION("""COMPUTED_VALUE"""),57.0)</f>
        <v>57</v>
      </c>
      <c r="F458" s="1">
        <f>IFERROR(__xludf.DUMMYFUNCTION("""COMPUTED_VALUE"""),40.0)</f>
        <v>40</v>
      </c>
      <c r="G458" s="1">
        <f>IFERROR(__xludf.DUMMYFUNCTION("""COMPUTED_VALUE"""),84.0)</f>
        <v>84</v>
      </c>
      <c r="H458" s="1">
        <f>IFERROR(__xludf.DUMMYFUNCTION("""COMPUTED_VALUE"""),64.0)</f>
        <v>64</v>
      </c>
      <c r="I458" s="1">
        <f>IFERROR(__xludf.DUMMYFUNCTION("""COMPUTED_VALUE"""),58.0)</f>
        <v>58</v>
      </c>
      <c r="J458" s="1">
        <f>IFERROR(__xludf.DUMMYFUNCTION("""COMPUTED_VALUE"""),82.0)</f>
        <v>82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 t="str">
        <f>IFERROR(__xludf.DUMMYFUNCTION("""COMPUTED_VALUE"""),"B")</f>
        <v>B</v>
      </c>
      <c r="E459" s="1">
        <f>IFERROR(__xludf.DUMMYFUNCTION("""COMPUTED_VALUE"""),19.0)</f>
        <v>19</v>
      </c>
      <c r="F459" s="1">
        <f>IFERROR(__xludf.DUMMYFUNCTION("""COMPUTED_VALUE"""),96.0)</f>
        <v>96</v>
      </c>
      <c r="G459" s="1">
        <f>IFERROR(__xludf.DUMMYFUNCTION("""COMPUTED_VALUE"""),94.0)</f>
        <v>94</v>
      </c>
      <c r="H459" s="1">
        <f>IFERROR(__xludf.DUMMYFUNCTION("""COMPUTED_VALUE"""),97.0)</f>
        <v>97</v>
      </c>
      <c r="I459" s="1">
        <f>IFERROR(__xludf.DUMMYFUNCTION("""COMPUTED_VALUE"""),45.0)</f>
        <v>45</v>
      </c>
      <c r="J459" s="1">
        <f>IFERROR(__xludf.DUMMYFUNCTION("""COMPUTED_VALUE"""),77.0)</f>
        <v>77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 t="str">
        <f>IFERROR(__xludf.DUMMYFUNCTION("""COMPUTED_VALUE"""),"B")</f>
        <v>B</v>
      </c>
      <c r="E460" s="1">
        <f>IFERROR(__xludf.DUMMYFUNCTION("""COMPUTED_VALUE"""),83.0)</f>
        <v>83</v>
      </c>
      <c r="F460" s="1">
        <f>IFERROR(__xludf.DUMMYFUNCTION("""COMPUTED_VALUE"""),35.0)</f>
        <v>35</v>
      </c>
      <c r="G460" s="1">
        <f>IFERROR(__xludf.DUMMYFUNCTION("""COMPUTED_VALUE"""),38.0)</f>
        <v>38</v>
      </c>
      <c r="H460" s="1">
        <f>IFERROR(__xludf.DUMMYFUNCTION("""COMPUTED_VALUE"""),42.0)</f>
        <v>42</v>
      </c>
      <c r="I460" s="1">
        <f>IFERROR(__xludf.DUMMYFUNCTION("""COMPUTED_VALUE"""),36.0)</f>
        <v>36</v>
      </c>
      <c r="J460" s="1">
        <f>IFERROR(__xludf.DUMMYFUNCTION("""COMPUTED_VALUE"""),22.0)</f>
        <v>22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 t="str">
        <f>IFERROR(__xludf.DUMMYFUNCTION("""COMPUTED_VALUE"""),"A")</f>
        <v>A</v>
      </c>
      <c r="E461" s="1">
        <f>IFERROR(__xludf.DUMMYFUNCTION("""COMPUTED_VALUE"""),94.0)</f>
        <v>94</v>
      </c>
      <c r="F461" s="1">
        <f>IFERROR(__xludf.DUMMYFUNCTION("""COMPUTED_VALUE"""),51.0)</f>
        <v>51</v>
      </c>
      <c r="G461" s="1">
        <f>IFERROR(__xludf.DUMMYFUNCTION("""COMPUTED_VALUE"""),58.0)</f>
        <v>58</v>
      </c>
      <c r="H461" s="1">
        <f>IFERROR(__xludf.DUMMYFUNCTION("""COMPUTED_VALUE"""),98.0)</f>
        <v>98</v>
      </c>
      <c r="I461" s="1">
        <f>IFERROR(__xludf.DUMMYFUNCTION("""COMPUTED_VALUE"""),60.0)</f>
        <v>60</v>
      </c>
      <c r="J461" s="1">
        <f>IFERROR(__xludf.DUMMYFUNCTION("""COMPUTED_VALUE"""),98.0)</f>
        <v>98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 t="str">
        <f>IFERROR(__xludf.DUMMYFUNCTION("""COMPUTED_VALUE"""),"C")</f>
        <v>C</v>
      </c>
      <c r="E462" s="1">
        <f>IFERROR(__xludf.DUMMYFUNCTION("""COMPUTED_VALUE"""),54.0)</f>
        <v>54</v>
      </c>
      <c r="F462" s="1">
        <f>IFERROR(__xludf.DUMMYFUNCTION("""COMPUTED_VALUE"""),69.0)</f>
        <v>69</v>
      </c>
      <c r="G462" s="1">
        <f>IFERROR(__xludf.DUMMYFUNCTION("""COMPUTED_VALUE"""),28.0)</f>
        <v>28</v>
      </c>
      <c r="H462" s="1">
        <f>IFERROR(__xludf.DUMMYFUNCTION("""COMPUTED_VALUE"""),53.0)</f>
        <v>53</v>
      </c>
      <c r="I462" s="1">
        <f>IFERROR(__xludf.DUMMYFUNCTION("""COMPUTED_VALUE"""),26.0)</f>
        <v>26</v>
      </c>
      <c r="J462" s="1">
        <f>IFERROR(__xludf.DUMMYFUNCTION("""COMPUTED_VALUE"""),52.0)</f>
        <v>52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 t="str">
        <f>IFERROR(__xludf.DUMMYFUNCTION("""COMPUTED_VALUE"""),"D")</f>
        <v>D</v>
      </c>
      <c r="E463" s="1">
        <f>IFERROR(__xludf.DUMMYFUNCTION("""COMPUTED_VALUE"""),66.0)</f>
        <v>66</v>
      </c>
      <c r="F463" s="1">
        <f>IFERROR(__xludf.DUMMYFUNCTION("""COMPUTED_VALUE"""),69.0)</f>
        <v>69</v>
      </c>
      <c r="G463" s="1">
        <f>IFERROR(__xludf.DUMMYFUNCTION("""COMPUTED_VALUE"""),43.0)</f>
        <v>43</v>
      </c>
      <c r="H463" s="1">
        <f>IFERROR(__xludf.DUMMYFUNCTION("""COMPUTED_VALUE"""),43.0)</f>
        <v>43</v>
      </c>
      <c r="I463" s="1">
        <f>IFERROR(__xludf.DUMMYFUNCTION("""COMPUTED_VALUE"""),56.0)</f>
        <v>56</v>
      </c>
      <c r="J463" s="1">
        <f>IFERROR(__xludf.DUMMYFUNCTION("""COMPUTED_VALUE"""),51.0)</f>
        <v>51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 t="str">
        <f>IFERROR(__xludf.DUMMYFUNCTION("""COMPUTED_VALUE"""),"C")</f>
        <v>C</v>
      </c>
      <c r="E464" s="1">
        <f>IFERROR(__xludf.DUMMYFUNCTION("""COMPUTED_VALUE"""),88.0)</f>
        <v>88</v>
      </c>
      <c r="F464" s="1">
        <f>IFERROR(__xludf.DUMMYFUNCTION("""COMPUTED_VALUE"""),57.0)</f>
        <v>57</v>
      </c>
      <c r="G464" s="1">
        <f>IFERROR(__xludf.DUMMYFUNCTION("""COMPUTED_VALUE"""),71.0)</f>
        <v>71</v>
      </c>
      <c r="H464" s="1">
        <f>IFERROR(__xludf.DUMMYFUNCTION("""COMPUTED_VALUE"""),54.0)</f>
        <v>54</v>
      </c>
      <c r="I464" s="1">
        <f>IFERROR(__xludf.DUMMYFUNCTION("""COMPUTED_VALUE"""),65.0)</f>
        <v>65</v>
      </c>
      <c r="J464" s="1">
        <f>IFERROR(__xludf.DUMMYFUNCTION("""COMPUTED_VALUE"""),63.0)</f>
        <v>63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 t="str">
        <f>IFERROR(__xludf.DUMMYFUNCTION("""COMPUTED_VALUE"""),"B")</f>
        <v>B</v>
      </c>
      <c r="E465" s="1">
        <f>IFERROR(__xludf.DUMMYFUNCTION("""COMPUTED_VALUE"""),60.0)</f>
        <v>60</v>
      </c>
      <c r="F465" s="1">
        <f>IFERROR(__xludf.DUMMYFUNCTION("""COMPUTED_VALUE"""),26.0)</f>
        <v>26</v>
      </c>
      <c r="G465" s="1">
        <f>IFERROR(__xludf.DUMMYFUNCTION("""COMPUTED_VALUE"""),85.0)</f>
        <v>85</v>
      </c>
      <c r="H465" s="1">
        <f>IFERROR(__xludf.DUMMYFUNCTION("""COMPUTED_VALUE"""),70.0)</f>
        <v>70</v>
      </c>
      <c r="I465" s="1">
        <f>IFERROR(__xludf.DUMMYFUNCTION("""COMPUTED_VALUE"""),49.0)</f>
        <v>49</v>
      </c>
      <c r="J465" s="1">
        <f>IFERROR(__xludf.DUMMYFUNCTION("""COMPUTED_VALUE"""),63.0)</f>
        <v>63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 t="str">
        <f>IFERROR(__xludf.DUMMYFUNCTION("""COMPUTED_VALUE"""),"B")</f>
        <v>B</v>
      </c>
      <c r="E466" s="1">
        <f>IFERROR(__xludf.DUMMYFUNCTION("""COMPUTED_VALUE"""),41.0)</f>
        <v>41</v>
      </c>
      <c r="F466" s="1">
        <f>IFERROR(__xludf.DUMMYFUNCTION("""COMPUTED_VALUE"""),66.0)</f>
        <v>66</v>
      </c>
      <c r="G466" s="1">
        <f>IFERROR(__xludf.DUMMYFUNCTION("""COMPUTED_VALUE"""),38.0)</f>
        <v>38</v>
      </c>
      <c r="H466" s="1">
        <f>IFERROR(__xludf.DUMMYFUNCTION("""COMPUTED_VALUE"""),67.0)</f>
        <v>67</v>
      </c>
      <c r="I466" s="1">
        <f>IFERROR(__xludf.DUMMYFUNCTION("""COMPUTED_VALUE"""),55.0)</f>
        <v>55</v>
      </c>
      <c r="J466" s="1">
        <f>IFERROR(__xludf.DUMMYFUNCTION("""COMPUTED_VALUE"""),20.0)</f>
        <v>20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 t="str">
        <f>IFERROR(__xludf.DUMMYFUNCTION("""COMPUTED_VALUE"""),"A")</f>
        <v>A</v>
      </c>
      <c r="E467" s="1">
        <f>IFERROR(__xludf.DUMMYFUNCTION("""COMPUTED_VALUE"""),87.0)</f>
        <v>87</v>
      </c>
      <c r="F467" s="1">
        <f>IFERROR(__xludf.DUMMYFUNCTION("""COMPUTED_VALUE"""),31.0)</f>
        <v>31</v>
      </c>
      <c r="G467" s="1">
        <f>IFERROR(__xludf.DUMMYFUNCTION("""COMPUTED_VALUE"""),75.0)</f>
        <v>75</v>
      </c>
      <c r="H467" s="1">
        <f>IFERROR(__xludf.DUMMYFUNCTION("""COMPUTED_VALUE"""),68.0)</f>
        <v>68</v>
      </c>
      <c r="I467" s="1">
        <f>IFERROR(__xludf.DUMMYFUNCTION("""COMPUTED_VALUE"""),26.0)</f>
        <v>26</v>
      </c>
      <c r="J467" s="1">
        <f>IFERROR(__xludf.DUMMYFUNCTION("""COMPUTED_VALUE"""),36.0)</f>
        <v>36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 t="str">
        <f>IFERROR(__xludf.DUMMYFUNCTION("""COMPUTED_VALUE"""),"A")</f>
        <v>A</v>
      </c>
      <c r="E468" s="1">
        <f>IFERROR(__xludf.DUMMYFUNCTION("""COMPUTED_VALUE"""),34.0)</f>
        <v>34</v>
      </c>
      <c r="F468" s="1">
        <f>IFERROR(__xludf.DUMMYFUNCTION("""COMPUTED_VALUE"""),29.0)</f>
        <v>29</v>
      </c>
      <c r="G468" s="1">
        <f>IFERROR(__xludf.DUMMYFUNCTION("""COMPUTED_VALUE"""),24.0)</f>
        <v>24</v>
      </c>
      <c r="H468" s="1">
        <f>IFERROR(__xludf.DUMMYFUNCTION("""COMPUTED_VALUE"""),79.0)</f>
        <v>79</v>
      </c>
      <c r="I468" s="1">
        <f>IFERROR(__xludf.DUMMYFUNCTION("""COMPUTED_VALUE"""),72.0)</f>
        <v>72</v>
      </c>
      <c r="J468" s="1">
        <f>IFERROR(__xludf.DUMMYFUNCTION("""COMPUTED_VALUE"""),48.0)</f>
        <v>48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 t="str">
        <f>IFERROR(__xludf.DUMMYFUNCTION("""COMPUTED_VALUE"""),"C")</f>
        <v>C</v>
      </c>
      <c r="E469" s="1">
        <f>IFERROR(__xludf.DUMMYFUNCTION("""COMPUTED_VALUE"""),57.0)</f>
        <v>57</v>
      </c>
      <c r="F469" s="1">
        <f>IFERROR(__xludf.DUMMYFUNCTION("""COMPUTED_VALUE"""),60.0)</f>
        <v>60</v>
      </c>
      <c r="G469" s="1">
        <f>IFERROR(__xludf.DUMMYFUNCTION("""COMPUTED_VALUE"""),31.0)</f>
        <v>31</v>
      </c>
      <c r="H469" s="1">
        <f>IFERROR(__xludf.DUMMYFUNCTION("""COMPUTED_VALUE"""),57.0)</f>
        <v>57</v>
      </c>
      <c r="I469" s="1">
        <f>IFERROR(__xludf.DUMMYFUNCTION("""COMPUTED_VALUE"""),84.0)</f>
        <v>84</v>
      </c>
      <c r="J469" s="1">
        <f>IFERROR(__xludf.DUMMYFUNCTION("""COMPUTED_VALUE"""),87.0)</f>
        <v>87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 t="str">
        <f>IFERROR(__xludf.DUMMYFUNCTION("""COMPUTED_VALUE"""),"C")</f>
        <v>C</v>
      </c>
      <c r="E470" s="1">
        <f>IFERROR(__xludf.DUMMYFUNCTION("""COMPUTED_VALUE"""),96.0)</f>
        <v>96</v>
      </c>
      <c r="F470" s="1">
        <f>IFERROR(__xludf.DUMMYFUNCTION("""COMPUTED_VALUE"""),82.0)</f>
        <v>82</v>
      </c>
      <c r="G470" s="1">
        <f>IFERROR(__xludf.DUMMYFUNCTION("""COMPUTED_VALUE"""),93.0)</f>
        <v>93</v>
      </c>
      <c r="H470" s="1">
        <f>IFERROR(__xludf.DUMMYFUNCTION("""COMPUTED_VALUE"""),30.0)</f>
        <v>30</v>
      </c>
      <c r="I470" s="1">
        <f>IFERROR(__xludf.DUMMYFUNCTION("""COMPUTED_VALUE"""),58.0)</f>
        <v>58</v>
      </c>
      <c r="J470" s="1">
        <f>IFERROR(__xludf.DUMMYFUNCTION("""COMPUTED_VALUE"""),26.0)</f>
        <v>26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 t="str">
        <f>IFERROR(__xludf.DUMMYFUNCTION("""COMPUTED_VALUE"""),"A")</f>
        <v>A</v>
      </c>
      <c r="E471" s="1">
        <f>IFERROR(__xludf.DUMMYFUNCTION("""COMPUTED_VALUE"""),12.0)</f>
        <v>12</v>
      </c>
      <c r="F471" s="1">
        <f>IFERROR(__xludf.DUMMYFUNCTION("""COMPUTED_VALUE"""),53.0)</f>
        <v>53</v>
      </c>
      <c r="G471" s="1">
        <f>IFERROR(__xludf.DUMMYFUNCTION("""COMPUTED_VALUE"""),93.0)</f>
        <v>93</v>
      </c>
      <c r="H471" s="1">
        <f>IFERROR(__xludf.DUMMYFUNCTION("""COMPUTED_VALUE"""),61.0)</f>
        <v>61</v>
      </c>
      <c r="I471" s="1">
        <f>IFERROR(__xludf.DUMMYFUNCTION("""COMPUTED_VALUE"""),62.0)</f>
        <v>62</v>
      </c>
      <c r="J471" s="1">
        <f>IFERROR(__xludf.DUMMYFUNCTION("""COMPUTED_VALUE"""),28.0)</f>
        <v>28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 t="str">
        <f>IFERROR(__xludf.DUMMYFUNCTION("""COMPUTED_VALUE"""),"C")</f>
        <v>C</v>
      </c>
      <c r="E472" s="1">
        <f>IFERROR(__xludf.DUMMYFUNCTION("""COMPUTED_VALUE"""),29.0)</f>
        <v>29</v>
      </c>
      <c r="F472" s="1">
        <f>IFERROR(__xludf.DUMMYFUNCTION("""COMPUTED_VALUE"""),78.0)</f>
        <v>78</v>
      </c>
      <c r="G472" s="1">
        <f>IFERROR(__xludf.DUMMYFUNCTION("""COMPUTED_VALUE"""),95.0)</f>
        <v>95</v>
      </c>
      <c r="H472" s="1">
        <f>IFERROR(__xludf.DUMMYFUNCTION("""COMPUTED_VALUE"""),21.0)</f>
        <v>21</v>
      </c>
      <c r="I472" s="1">
        <f>IFERROR(__xludf.DUMMYFUNCTION("""COMPUTED_VALUE"""),54.0)</f>
        <v>54</v>
      </c>
      <c r="J472" s="1">
        <f>IFERROR(__xludf.DUMMYFUNCTION("""COMPUTED_VALUE"""),65.0)</f>
        <v>65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 t="str">
        <f>IFERROR(__xludf.DUMMYFUNCTION("""COMPUTED_VALUE"""),"D")</f>
        <v>D</v>
      </c>
      <c r="E473" s="1">
        <f>IFERROR(__xludf.DUMMYFUNCTION("""COMPUTED_VALUE"""),46.0)</f>
        <v>46</v>
      </c>
      <c r="F473" s="1">
        <f>IFERROR(__xludf.DUMMYFUNCTION("""COMPUTED_VALUE"""),38.0)</f>
        <v>38</v>
      </c>
      <c r="G473" s="1">
        <f>IFERROR(__xludf.DUMMYFUNCTION("""COMPUTED_VALUE"""),23.0)</f>
        <v>23</v>
      </c>
      <c r="H473" s="1">
        <f>IFERROR(__xludf.DUMMYFUNCTION("""COMPUTED_VALUE"""),21.0)</f>
        <v>21</v>
      </c>
      <c r="I473" s="1">
        <f>IFERROR(__xludf.DUMMYFUNCTION("""COMPUTED_VALUE"""),57.0)</f>
        <v>57</v>
      </c>
      <c r="J473" s="1">
        <f>IFERROR(__xludf.DUMMYFUNCTION("""COMPUTED_VALUE"""),67.0)</f>
        <v>67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 t="str">
        <f>IFERROR(__xludf.DUMMYFUNCTION("""COMPUTED_VALUE"""),"D")</f>
        <v>D</v>
      </c>
      <c r="E474" s="1">
        <f>IFERROR(__xludf.DUMMYFUNCTION("""COMPUTED_VALUE"""),86.0)</f>
        <v>86</v>
      </c>
      <c r="F474" s="1">
        <f>IFERROR(__xludf.DUMMYFUNCTION("""COMPUTED_VALUE"""),64.0)</f>
        <v>64</v>
      </c>
      <c r="G474" s="1">
        <f>IFERROR(__xludf.DUMMYFUNCTION("""COMPUTED_VALUE"""),36.0)</f>
        <v>36</v>
      </c>
      <c r="H474" s="1">
        <f>IFERROR(__xludf.DUMMYFUNCTION("""COMPUTED_VALUE"""),62.0)</f>
        <v>62</v>
      </c>
      <c r="I474" s="1">
        <f>IFERROR(__xludf.DUMMYFUNCTION("""COMPUTED_VALUE"""),69.0)</f>
        <v>69</v>
      </c>
      <c r="J474" s="1">
        <f>IFERROR(__xludf.DUMMYFUNCTION("""COMPUTED_VALUE"""),61.0)</f>
        <v>61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 t="str">
        <f>IFERROR(__xludf.DUMMYFUNCTION("""COMPUTED_VALUE"""),"C")</f>
        <v>C</v>
      </c>
      <c r="E475" s="1">
        <f>IFERROR(__xludf.DUMMYFUNCTION("""COMPUTED_VALUE"""),42.0)</f>
        <v>42</v>
      </c>
      <c r="F475" s="1">
        <f>IFERROR(__xludf.DUMMYFUNCTION("""COMPUTED_VALUE"""),27.0)</f>
        <v>27</v>
      </c>
      <c r="G475" s="1">
        <f>IFERROR(__xludf.DUMMYFUNCTION("""COMPUTED_VALUE"""),43.0)</f>
        <v>43</v>
      </c>
      <c r="H475" s="1">
        <f>IFERROR(__xludf.DUMMYFUNCTION("""COMPUTED_VALUE"""),48.0)</f>
        <v>48</v>
      </c>
      <c r="I475" s="1">
        <f>IFERROR(__xludf.DUMMYFUNCTION("""COMPUTED_VALUE"""),84.0)</f>
        <v>84</v>
      </c>
      <c r="J475" s="1">
        <f>IFERROR(__xludf.DUMMYFUNCTION("""COMPUTED_VALUE"""),65.0)</f>
        <v>65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 t="str">
        <f>IFERROR(__xludf.DUMMYFUNCTION("""COMPUTED_VALUE"""),"D")</f>
        <v>D</v>
      </c>
      <c r="E476" s="1">
        <f>IFERROR(__xludf.DUMMYFUNCTION("""COMPUTED_VALUE"""),53.0)</f>
        <v>53</v>
      </c>
      <c r="F476" s="1">
        <f>IFERROR(__xludf.DUMMYFUNCTION("""COMPUTED_VALUE"""),51.0)</f>
        <v>51</v>
      </c>
      <c r="G476" s="1">
        <f>IFERROR(__xludf.DUMMYFUNCTION("""COMPUTED_VALUE"""),47.0)</f>
        <v>47</v>
      </c>
      <c r="H476" s="1">
        <f>IFERROR(__xludf.DUMMYFUNCTION("""COMPUTED_VALUE"""),48.0)</f>
        <v>48</v>
      </c>
      <c r="I476" s="1">
        <f>IFERROR(__xludf.DUMMYFUNCTION("""COMPUTED_VALUE"""),75.0)</f>
        <v>75</v>
      </c>
      <c r="J476" s="1">
        <f>IFERROR(__xludf.DUMMYFUNCTION("""COMPUTED_VALUE"""),60.0)</f>
        <v>60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 t="str">
        <f>IFERROR(__xludf.DUMMYFUNCTION("""COMPUTED_VALUE"""),"A")</f>
        <v>A</v>
      </c>
      <c r="E477" s="1">
        <f>IFERROR(__xludf.DUMMYFUNCTION("""COMPUTED_VALUE"""),14.0)</f>
        <v>14</v>
      </c>
      <c r="F477" s="1">
        <f>IFERROR(__xludf.DUMMYFUNCTION("""COMPUTED_VALUE"""),45.0)</f>
        <v>45</v>
      </c>
      <c r="G477" s="1">
        <f>IFERROR(__xludf.DUMMYFUNCTION("""COMPUTED_VALUE"""),20.0)</f>
        <v>20</v>
      </c>
      <c r="H477" s="1">
        <f>IFERROR(__xludf.DUMMYFUNCTION("""COMPUTED_VALUE"""),79.0)</f>
        <v>79</v>
      </c>
      <c r="I477" s="1">
        <f>IFERROR(__xludf.DUMMYFUNCTION("""COMPUTED_VALUE"""),95.0)</f>
        <v>95</v>
      </c>
      <c r="J477" s="1">
        <f>IFERROR(__xludf.DUMMYFUNCTION("""COMPUTED_VALUE"""),88.0)</f>
        <v>88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 t="str">
        <f>IFERROR(__xludf.DUMMYFUNCTION("""COMPUTED_VALUE"""),"B")</f>
        <v>B</v>
      </c>
      <c r="E478" s="1">
        <f>IFERROR(__xludf.DUMMYFUNCTION("""COMPUTED_VALUE"""),39.0)</f>
        <v>39</v>
      </c>
      <c r="F478" s="1">
        <f>IFERROR(__xludf.DUMMYFUNCTION("""COMPUTED_VALUE"""),52.0)</f>
        <v>52</v>
      </c>
      <c r="G478" s="1">
        <f>IFERROR(__xludf.DUMMYFUNCTION("""COMPUTED_VALUE"""),69.0)</f>
        <v>69</v>
      </c>
      <c r="H478" s="1">
        <f>IFERROR(__xludf.DUMMYFUNCTION("""COMPUTED_VALUE"""),21.0)</f>
        <v>21</v>
      </c>
      <c r="I478" s="1">
        <f>IFERROR(__xludf.DUMMYFUNCTION("""COMPUTED_VALUE"""),43.0)</f>
        <v>43</v>
      </c>
      <c r="J478" s="1">
        <f>IFERROR(__xludf.DUMMYFUNCTION("""COMPUTED_VALUE"""),75.0)</f>
        <v>75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 t="str">
        <f>IFERROR(__xludf.DUMMYFUNCTION("""COMPUTED_VALUE"""),"B")</f>
        <v>B</v>
      </c>
      <c r="E479" s="1">
        <f>IFERROR(__xludf.DUMMYFUNCTION("""COMPUTED_VALUE"""),78.0)</f>
        <v>78</v>
      </c>
      <c r="F479" s="1">
        <f>IFERROR(__xludf.DUMMYFUNCTION("""COMPUTED_VALUE"""),93.0)</f>
        <v>93</v>
      </c>
      <c r="G479" s="1">
        <f>IFERROR(__xludf.DUMMYFUNCTION("""COMPUTED_VALUE"""),25.0)</f>
        <v>25</v>
      </c>
      <c r="H479" s="1">
        <f>IFERROR(__xludf.DUMMYFUNCTION("""COMPUTED_VALUE"""),95.0)</f>
        <v>95</v>
      </c>
      <c r="I479" s="1">
        <f>IFERROR(__xludf.DUMMYFUNCTION("""COMPUTED_VALUE"""),93.0)</f>
        <v>93</v>
      </c>
      <c r="J479" s="1">
        <f>IFERROR(__xludf.DUMMYFUNCTION("""COMPUTED_VALUE"""),79.0)</f>
        <v>79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 t="str">
        <f>IFERROR(__xludf.DUMMYFUNCTION("""COMPUTED_VALUE"""),"D")</f>
        <v>D</v>
      </c>
      <c r="E480" s="1">
        <f>IFERROR(__xludf.DUMMYFUNCTION("""COMPUTED_VALUE"""),14.0)</f>
        <v>14</v>
      </c>
      <c r="F480" s="1">
        <f>IFERROR(__xludf.DUMMYFUNCTION("""COMPUTED_VALUE"""),66.0)</f>
        <v>66</v>
      </c>
      <c r="G480" s="1">
        <f>IFERROR(__xludf.DUMMYFUNCTION("""COMPUTED_VALUE"""),47.0)</f>
        <v>47</v>
      </c>
      <c r="H480" s="1">
        <f>IFERROR(__xludf.DUMMYFUNCTION("""COMPUTED_VALUE"""),89.0)</f>
        <v>89</v>
      </c>
      <c r="I480" s="1">
        <f>IFERROR(__xludf.DUMMYFUNCTION("""COMPUTED_VALUE"""),34.0)</f>
        <v>34</v>
      </c>
      <c r="J480" s="1">
        <f>IFERROR(__xludf.DUMMYFUNCTION("""COMPUTED_VALUE"""),56.0)</f>
        <v>56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 t="str">
        <f>IFERROR(__xludf.DUMMYFUNCTION("""COMPUTED_VALUE"""),"A")</f>
        <v>A</v>
      </c>
      <c r="E481" s="1">
        <f>IFERROR(__xludf.DUMMYFUNCTION("""COMPUTED_VALUE"""),69.0)</f>
        <v>69</v>
      </c>
      <c r="F481" s="1">
        <f>IFERROR(__xludf.DUMMYFUNCTION("""COMPUTED_VALUE"""),36.0)</f>
        <v>36</v>
      </c>
      <c r="G481" s="1">
        <f>IFERROR(__xludf.DUMMYFUNCTION("""COMPUTED_VALUE"""),94.0)</f>
        <v>94</v>
      </c>
      <c r="H481" s="1">
        <f>IFERROR(__xludf.DUMMYFUNCTION("""COMPUTED_VALUE"""),98.0)</f>
        <v>98</v>
      </c>
      <c r="I481" s="1">
        <f>IFERROR(__xludf.DUMMYFUNCTION("""COMPUTED_VALUE"""),44.0)</f>
        <v>44</v>
      </c>
      <c r="J481" s="1">
        <f>IFERROR(__xludf.DUMMYFUNCTION("""COMPUTED_VALUE"""),36.0)</f>
        <v>36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 t="str">
        <f>IFERROR(__xludf.DUMMYFUNCTION("""COMPUTED_VALUE"""),"D")</f>
        <v>D</v>
      </c>
      <c r="E482" s="1">
        <f>IFERROR(__xludf.DUMMYFUNCTION("""COMPUTED_VALUE"""),70.0)</f>
        <v>70</v>
      </c>
      <c r="F482" s="1">
        <f>IFERROR(__xludf.DUMMYFUNCTION("""COMPUTED_VALUE"""),33.0)</f>
        <v>33</v>
      </c>
      <c r="G482" s="1">
        <f>IFERROR(__xludf.DUMMYFUNCTION("""COMPUTED_VALUE"""),20.0)</f>
        <v>20</v>
      </c>
      <c r="H482" s="1">
        <f>IFERROR(__xludf.DUMMYFUNCTION("""COMPUTED_VALUE"""),24.0)</f>
        <v>24</v>
      </c>
      <c r="I482" s="1">
        <f>IFERROR(__xludf.DUMMYFUNCTION("""COMPUTED_VALUE"""),95.0)</f>
        <v>95</v>
      </c>
      <c r="J482" s="1">
        <f>IFERROR(__xludf.DUMMYFUNCTION("""COMPUTED_VALUE"""),91.0)</f>
        <v>91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 t="str">
        <f>IFERROR(__xludf.DUMMYFUNCTION("""COMPUTED_VALUE"""),"D")</f>
        <v>D</v>
      </c>
      <c r="E483" s="1">
        <f>IFERROR(__xludf.DUMMYFUNCTION("""COMPUTED_VALUE"""),35.0)</f>
        <v>35</v>
      </c>
      <c r="F483" s="1">
        <f>IFERROR(__xludf.DUMMYFUNCTION("""COMPUTED_VALUE"""),22.0)</f>
        <v>22</v>
      </c>
      <c r="G483" s="1">
        <f>IFERROR(__xludf.DUMMYFUNCTION("""COMPUTED_VALUE"""),84.0)</f>
        <v>84</v>
      </c>
      <c r="H483" s="1">
        <f>IFERROR(__xludf.DUMMYFUNCTION("""COMPUTED_VALUE"""),82.0)</f>
        <v>82</v>
      </c>
      <c r="I483" s="1">
        <f>IFERROR(__xludf.DUMMYFUNCTION("""COMPUTED_VALUE"""),77.0)</f>
        <v>77</v>
      </c>
      <c r="J483" s="1">
        <f>IFERROR(__xludf.DUMMYFUNCTION("""COMPUTED_VALUE"""),31.0)</f>
        <v>31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 t="str">
        <f>IFERROR(__xludf.DUMMYFUNCTION("""COMPUTED_VALUE"""),"A")</f>
        <v>A</v>
      </c>
      <c r="E484" s="1">
        <f>IFERROR(__xludf.DUMMYFUNCTION("""COMPUTED_VALUE"""),87.0)</f>
        <v>87</v>
      </c>
      <c r="F484" s="1">
        <f>IFERROR(__xludf.DUMMYFUNCTION("""COMPUTED_VALUE"""),46.0)</f>
        <v>46</v>
      </c>
      <c r="G484" s="1">
        <f>IFERROR(__xludf.DUMMYFUNCTION("""COMPUTED_VALUE"""),57.0)</f>
        <v>57</v>
      </c>
      <c r="H484" s="1">
        <f>IFERROR(__xludf.DUMMYFUNCTION("""COMPUTED_VALUE"""),53.0)</f>
        <v>53</v>
      </c>
      <c r="I484" s="1">
        <f>IFERROR(__xludf.DUMMYFUNCTION("""COMPUTED_VALUE"""),42.0)</f>
        <v>42</v>
      </c>
      <c r="J484" s="1">
        <f>IFERROR(__xludf.DUMMYFUNCTION("""COMPUTED_VALUE"""),40.0)</f>
        <v>40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 t="str">
        <f>IFERROR(__xludf.DUMMYFUNCTION("""COMPUTED_VALUE"""),"A")</f>
        <v>A</v>
      </c>
      <c r="E485" s="1">
        <f>IFERROR(__xludf.DUMMYFUNCTION("""COMPUTED_VALUE"""),76.0)</f>
        <v>76</v>
      </c>
      <c r="F485" s="1">
        <f>IFERROR(__xludf.DUMMYFUNCTION("""COMPUTED_VALUE"""),68.0)</f>
        <v>68</v>
      </c>
      <c r="G485" s="1">
        <f>IFERROR(__xludf.DUMMYFUNCTION("""COMPUTED_VALUE"""),26.0)</f>
        <v>26</v>
      </c>
      <c r="H485" s="1">
        <f>IFERROR(__xludf.DUMMYFUNCTION("""COMPUTED_VALUE"""),37.0)</f>
        <v>37</v>
      </c>
      <c r="I485" s="1">
        <f>IFERROR(__xludf.DUMMYFUNCTION("""COMPUTED_VALUE"""),57.0)</f>
        <v>57</v>
      </c>
      <c r="J485" s="1">
        <f>IFERROR(__xludf.DUMMYFUNCTION("""COMPUTED_VALUE"""),65.0)</f>
        <v>65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 t="str">
        <f>IFERROR(__xludf.DUMMYFUNCTION("""COMPUTED_VALUE"""),"A")</f>
        <v>A</v>
      </c>
      <c r="E486" s="1">
        <f>IFERROR(__xludf.DUMMYFUNCTION("""COMPUTED_VALUE"""),95.0)</f>
        <v>95</v>
      </c>
      <c r="F486" s="1">
        <f>IFERROR(__xludf.DUMMYFUNCTION("""COMPUTED_VALUE"""),45.0)</f>
        <v>45</v>
      </c>
      <c r="G486" s="1">
        <f>IFERROR(__xludf.DUMMYFUNCTION("""COMPUTED_VALUE"""),84.0)</f>
        <v>84</v>
      </c>
      <c r="H486" s="1">
        <f>IFERROR(__xludf.DUMMYFUNCTION("""COMPUTED_VALUE"""),32.0)</f>
        <v>32</v>
      </c>
      <c r="I486" s="1">
        <f>IFERROR(__xludf.DUMMYFUNCTION("""COMPUTED_VALUE"""),60.0)</f>
        <v>60</v>
      </c>
      <c r="J486" s="1">
        <f>IFERROR(__xludf.DUMMYFUNCTION("""COMPUTED_VALUE"""),57.0)</f>
        <v>57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 t="str">
        <f>IFERROR(__xludf.DUMMYFUNCTION("""COMPUTED_VALUE"""),"C")</f>
        <v>C</v>
      </c>
      <c r="E487" s="1">
        <f>IFERROR(__xludf.DUMMYFUNCTION("""COMPUTED_VALUE"""),63.0)</f>
        <v>63</v>
      </c>
      <c r="F487" s="1">
        <f>IFERROR(__xludf.DUMMYFUNCTION("""COMPUTED_VALUE"""),22.0)</f>
        <v>22</v>
      </c>
      <c r="G487" s="1">
        <f>IFERROR(__xludf.DUMMYFUNCTION("""COMPUTED_VALUE"""),88.0)</f>
        <v>88</v>
      </c>
      <c r="H487" s="1">
        <f>IFERROR(__xludf.DUMMYFUNCTION("""COMPUTED_VALUE"""),49.0)</f>
        <v>49</v>
      </c>
      <c r="I487" s="1">
        <f>IFERROR(__xludf.DUMMYFUNCTION("""COMPUTED_VALUE"""),82.0)</f>
        <v>82</v>
      </c>
      <c r="J487" s="1">
        <f>IFERROR(__xludf.DUMMYFUNCTION("""COMPUTED_VALUE"""),77.0)</f>
        <v>77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 t="str">
        <f>IFERROR(__xludf.DUMMYFUNCTION("""COMPUTED_VALUE"""),"B")</f>
        <v>B</v>
      </c>
      <c r="E488" s="1">
        <f>IFERROR(__xludf.DUMMYFUNCTION("""COMPUTED_VALUE"""),44.0)</f>
        <v>44</v>
      </c>
      <c r="F488" s="1">
        <f>IFERROR(__xludf.DUMMYFUNCTION("""COMPUTED_VALUE"""),90.0)</f>
        <v>90</v>
      </c>
      <c r="G488" s="1">
        <f>IFERROR(__xludf.DUMMYFUNCTION("""COMPUTED_VALUE"""),23.0)</f>
        <v>23</v>
      </c>
      <c r="H488" s="1">
        <f>IFERROR(__xludf.DUMMYFUNCTION("""COMPUTED_VALUE"""),91.0)</f>
        <v>91</v>
      </c>
      <c r="I488" s="1">
        <f>IFERROR(__xludf.DUMMYFUNCTION("""COMPUTED_VALUE"""),40.0)</f>
        <v>40</v>
      </c>
      <c r="J488" s="1">
        <f>IFERROR(__xludf.DUMMYFUNCTION("""COMPUTED_VALUE"""),86.0)</f>
        <v>86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 t="str">
        <f>IFERROR(__xludf.DUMMYFUNCTION("""COMPUTED_VALUE"""),"C")</f>
        <v>C</v>
      </c>
      <c r="E489" s="1">
        <f>IFERROR(__xludf.DUMMYFUNCTION("""COMPUTED_VALUE"""),64.0)</f>
        <v>64</v>
      </c>
      <c r="F489" s="1">
        <f>IFERROR(__xludf.DUMMYFUNCTION("""COMPUTED_VALUE"""),52.0)</f>
        <v>52</v>
      </c>
      <c r="G489" s="1">
        <f>IFERROR(__xludf.DUMMYFUNCTION("""COMPUTED_VALUE"""),47.0)</f>
        <v>47</v>
      </c>
      <c r="H489" s="1">
        <f>IFERROR(__xludf.DUMMYFUNCTION("""COMPUTED_VALUE"""),99.0)</f>
        <v>99</v>
      </c>
      <c r="I489" s="1">
        <f>IFERROR(__xludf.DUMMYFUNCTION("""COMPUTED_VALUE"""),59.0)</f>
        <v>59</v>
      </c>
      <c r="J489" s="1">
        <f>IFERROR(__xludf.DUMMYFUNCTION("""COMPUTED_VALUE"""),70.0)</f>
        <v>70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 t="str">
        <f>IFERROR(__xludf.DUMMYFUNCTION("""COMPUTED_VALUE"""),"B")</f>
        <v>B</v>
      </c>
      <c r="E490" s="1">
        <f>IFERROR(__xludf.DUMMYFUNCTION("""COMPUTED_VALUE"""),47.0)</f>
        <v>47</v>
      </c>
      <c r="F490" s="1">
        <f>IFERROR(__xludf.DUMMYFUNCTION("""COMPUTED_VALUE"""),58.0)</f>
        <v>58</v>
      </c>
      <c r="G490" s="1">
        <f>IFERROR(__xludf.DUMMYFUNCTION("""COMPUTED_VALUE"""),34.0)</f>
        <v>34</v>
      </c>
      <c r="H490" s="1">
        <f>IFERROR(__xludf.DUMMYFUNCTION("""COMPUTED_VALUE"""),37.0)</f>
        <v>37</v>
      </c>
      <c r="I490" s="1">
        <f>IFERROR(__xludf.DUMMYFUNCTION("""COMPUTED_VALUE"""),41.0)</f>
        <v>41</v>
      </c>
      <c r="J490" s="1">
        <f>IFERROR(__xludf.DUMMYFUNCTION("""COMPUTED_VALUE"""),26.0)</f>
        <v>26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 t="str">
        <f>IFERROR(__xludf.DUMMYFUNCTION("""COMPUTED_VALUE"""),"C")</f>
        <v>C</v>
      </c>
      <c r="E491" s="1">
        <f>IFERROR(__xludf.DUMMYFUNCTION("""COMPUTED_VALUE"""),82.0)</f>
        <v>82</v>
      </c>
      <c r="F491" s="1">
        <f>IFERROR(__xludf.DUMMYFUNCTION("""COMPUTED_VALUE"""),86.0)</f>
        <v>86</v>
      </c>
      <c r="G491" s="1">
        <f>IFERROR(__xludf.DUMMYFUNCTION("""COMPUTED_VALUE"""),46.0)</f>
        <v>46</v>
      </c>
      <c r="H491" s="1">
        <f>IFERROR(__xludf.DUMMYFUNCTION("""COMPUTED_VALUE"""),68.0)</f>
        <v>68</v>
      </c>
      <c r="I491" s="1">
        <f>IFERROR(__xludf.DUMMYFUNCTION("""COMPUTED_VALUE"""),56.0)</f>
        <v>56</v>
      </c>
      <c r="J491" s="1">
        <f>IFERROR(__xludf.DUMMYFUNCTION("""COMPUTED_VALUE"""),24.0)</f>
        <v>24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 t="str">
        <f>IFERROR(__xludf.DUMMYFUNCTION("""COMPUTED_VALUE"""),"A")</f>
        <v>A</v>
      </c>
      <c r="E492" s="1">
        <f>IFERROR(__xludf.DUMMYFUNCTION("""COMPUTED_VALUE"""),70.0)</f>
        <v>70</v>
      </c>
      <c r="F492" s="1">
        <f>IFERROR(__xludf.DUMMYFUNCTION("""COMPUTED_VALUE"""),32.0)</f>
        <v>32</v>
      </c>
      <c r="G492" s="1">
        <f>IFERROR(__xludf.DUMMYFUNCTION("""COMPUTED_VALUE"""),30.0)</f>
        <v>30</v>
      </c>
      <c r="H492" s="1">
        <f>IFERROR(__xludf.DUMMYFUNCTION("""COMPUTED_VALUE"""),55.0)</f>
        <v>55</v>
      </c>
      <c r="I492" s="1">
        <f>IFERROR(__xludf.DUMMYFUNCTION("""COMPUTED_VALUE"""),78.0)</f>
        <v>78</v>
      </c>
      <c r="J492" s="1">
        <f>IFERROR(__xludf.DUMMYFUNCTION("""COMPUTED_VALUE"""),35.0)</f>
        <v>35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 t="str">
        <f>IFERROR(__xludf.DUMMYFUNCTION("""COMPUTED_VALUE"""),"C")</f>
        <v>C</v>
      </c>
      <c r="E493" s="1">
        <f>IFERROR(__xludf.DUMMYFUNCTION("""COMPUTED_VALUE"""),26.0)</f>
        <v>26</v>
      </c>
      <c r="F493" s="1">
        <f>IFERROR(__xludf.DUMMYFUNCTION("""COMPUTED_VALUE"""),60.0)</f>
        <v>60</v>
      </c>
      <c r="G493" s="1">
        <f>IFERROR(__xludf.DUMMYFUNCTION("""COMPUTED_VALUE"""),78.0)</f>
        <v>78</v>
      </c>
      <c r="H493" s="1">
        <f>IFERROR(__xludf.DUMMYFUNCTION("""COMPUTED_VALUE"""),53.0)</f>
        <v>53</v>
      </c>
      <c r="I493" s="1">
        <f>IFERROR(__xludf.DUMMYFUNCTION("""COMPUTED_VALUE"""),93.0)</f>
        <v>93</v>
      </c>
      <c r="J493" s="1">
        <f>IFERROR(__xludf.DUMMYFUNCTION("""COMPUTED_VALUE"""),84.0)</f>
        <v>84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 t="str">
        <f>IFERROR(__xludf.DUMMYFUNCTION("""COMPUTED_VALUE"""),"C")</f>
        <v>C</v>
      </c>
      <c r="E494" s="1">
        <f>IFERROR(__xludf.DUMMYFUNCTION("""COMPUTED_VALUE"""),51.0)</f>
        <v>51</v>
      </c>
      <c r="F494" s="1">
        <f>IFERROR(__xludf.DUMMYFUNCTION("""COMPUTED_VALUE"""),82.0)</f>
        <v>82</v>
      </c>
      <c r="G494" s="1">
        <f>IFERROR(__xludf.DUMMYFUNCTION("""COMPUTED_VALUE"""),34.0)</f>
        <v>34</v>
      </c>
      <c r="H494" s="1">
        <f>IFERROR(__xludf.DUMMYFUNCTION("""COMPUTED_VALUE"""),42.0)</f>
        <v>42</v>
      </c>
      <c r="I494" s="1">
        <f>IFERROR(__xludf.DUMMYFUNCTION("""COMPUTED_VALUE"""),43.0)</f>
        <v>43</v>
      </c>
      <c r="J494" s="1">
        <f>IFERROR(__xludf.DUMMYFUNCTION("""COMPUTED_VALUE"""),81.0)</f>
        <v>81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 t="str">
        <f>IFERROR(__xludf.DUMMYFUNCTION("""COMPUTED_VALUE"""),"A")</f>
        <v>A</v>
      </c>
      <c r="E495" s="1">
        <f>IFERROR(__xludf.DUMMYFUNCTION("""COMPUTED_VALUE"""),18.0)</f>
        <v>18</v>
      </c>
      <c r="F495" s="1">
        <f>IFERROR(__xludf.DUMMYFUNCTION("""COMPUTED_VALUE"""),22.0)</f>
        <v>22</v>
      </c>
      <c r="G495" s="1">
        <f>IFERROR(__xludf.DUMMYFUNCTION("""COMPUTED_VALUE"""),44.0)</f>
        <v>44</v>
      </c>
      <c r="H495" s="1">
        <f>IFERROR(__xludf.DUMMYFUNCTION("""COMPUTED_VALUE"""),34.0)</f>
        <v>34</v>
      </c>
      <c r="I495" s="1">
        <f>IFERROR(__xludf.DUMMYFUNCTION("""COMPUTED_VALUE"""),21.0)</f>
        <v>21</v>
      </c>
      <c r="J495" s="1">
        <f>IFERROR(__xludf.DUMMYFUNCTION("""COMPUTED_VALUE"""),73.0)</f>
        <v>73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 t="str">
        <f>IFERROR(__xludf.DUMMYFUNCTION("""COMPUTED_VALUE"""),"C")</f>
        <v>C</v>
      </c>
      <c r="E496" s="1">
        <f>IFERROR(__xludf.DUMMYFUNCTION("""COMPUTED_VALUE"""),69.0)</f>
        <v>69</v>
      </c>
      <c r="F496" s="1">
        <f>IFERROR(__xludf.DUMMYFUNCTION("""COMPUTED_VALUE"""),50.0)</f>
        <v>50</v>
      </c>
      <c r="G496" s="1">
        <f>IFERROR(__xludf.DUMMYFUNCTION("""COMPUTED_VALUE"""),76.0)</f>
        <v>76</v>
      </c>
      <c r="H496" s="1">
        <f>IFERROR(__xludf.DUMMYFUNCTION("""COMPUTED_VALUE"""),25.0)</f>
        <v>25</v>
      </c>
      <c r="I496" s="1">
        <f>IFERROR(__xludf.DUMMYFUNCTION("""COMPUTED_VALUE"""),69.0)</f>
        <v>69</v>
      </c>
      <c r="J496" s="1">
        <f>IFERROR(__xludf.DUMMYFUNCTION("""COMPUTED_VALUE"""),74.0)</f>
        <v>74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 t="str">
        <f>IFERROR(__xludf.DUMMYFUNCTION("""COMPUTED_VALUE"""),"D")</f>
        <v>D</v>
      </c>
      <c r="E497" s="1">
        <f>IFERROR(__xludf.DUMMYFUNCTION("""COMPUTED_VALUE"""),24.0)</f>
        <v>24</v>
      </c>
      <c r="F497" s="1">
        <f>IFERROR(__xludf.DUMMYFUNCTION("""COMPUTED_VALUE"""),61.0)</f>
        <v>61</v>
      </c>
      <c r="G497" s="1">
        <f>IFERROR(__xludf.DUMMYFUNCTION("""COMPUTED_VALUE"""),78.0)</f>
        <v>78</v>
      </c>
      <c r="H497" s="1">
        <f>IFERROR(__xludf.DUMMYFUNCTION("""COMPUTED_VALUE"""),26.0)</f>
        <v>26</v>
      </c>
      <c r="I497" s="1">
        <f>IFERROR(__xludf.DUMMYFUNCTION("""COMPUTED_VALUE"""),21.0)</f>
        <v>21</v>
      </c>
      <c r="J497" s="1">
        <f>IFERROR(__xludf.DUMMYFUNCTION("""COMPUTED_VALUE"""),74.0)</f>
        <v>74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 t="str">
        <f>IFERROR(__xludf.DUMMYFUNCTION("""COMPUTED_VALUE"""),"A")</f>
        <v>A</v>
      </c>
      <c r="E498" s="1">
        <f>IFERROR(__xludf.DUMMYFUNCTION("""COMPUTED_VALUE"""),23.0)</f>
        <v>23</v>
      </c>
      <c r="F498" s="1">
        <f>IFERROR(__xludf.DUMMYFUNCTION("""COMPUTED_VALUE"""),23.0)</f>
        <v>23</v>
      </c>
      <c r="G498" s="1">
        <f>IFERROR(__xludf.DUMMYFUNCTION("""COMPUTED_VALUE"""),39.0)</f>
        <v>39</v>
      </c>
      <c r="H498" s="1">
        <f>IFERROR(__xludf.DUMMYFUNCTION("""COMPUTED_VALUE"""),50.0)</f>
        <v>50</v>
      </c>
      <c r="I498" s="1">
        <f>IFERROR(__xludf.DUMMYFUNCTION("""COMPUTED_VALUE"""),99.0)</f>
        <v>99</v>
      </c>
      <c r="J498" s="1">
        <f>IFERROR(__xludf.DUMMYFUNCTION("""COMPUTED_VALUE"""),39.0)</f>
        <v>39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 t="str">
        <f>IFERROR(__xludf.DUMMYFUNCTION("""COMPUTED_VALUE"""),"C")</f>
        <v>C</v>
      </c>
      <c r="E499" s="1">
        <f>IFERROR(__xludf.DUMMYFUNCTION("""COMPUTED_VALUE"""),88.0)</f>
        <v>88</v>
      </c>
      <c r="F499" s="1">
        <f>IFERROR(__xludf.DUMMYFUNCTION("""COMPUTED_VALUE"""),78.0)</f>
        <v>78</v>
      </c>
      <c r="G499" s="1">
        <f>IFERROR(__xludf.DUMMYFUNCTION("""COMPUTED_VALUE"""),40.0)</f>
        <v>40</v>
      </c>
      <c r="H499" s="1">
        <f>IFERROR(__xludf.DUMMYFUNCTION("""COMPUTED_VALUE"""),79.0)</f>
        <v>79</v>
      </c>
      <c r="I499" s="1">
        <f>IFERROR(__xludf.DUMMYFUNCTION("""COMPUTED_VALUE"""),50.0)</f>
        <v>50</v>
      </c>
      <c r="J499" s="1">
        <f>IFERROR(__xludf.DUMMYFUNCTION("""COMPUTED_VALUE"""),75.0)</f>
        <v>75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 t="str">
        <f>IFERROR(__xludf.DUMMYFUNCTION("""COMPUTED_VALUE"""),"C")</f>
        <v>C</v>
      </c>
      <c r="E500" s="1">
        <f>IFERROR(__xludf.DUMMYFUNCTION("""COMPUTED_VALUE"""),11.0)</f>
        <v>11</v>
      </c>
      <c r="F500" s="1">
        <f>IFERROR(__xludf.DUMMYFUNCTION("""COMPUTED_VALUE"""),54.0)</f>
        <v>54</v>
      </c>
      <c r="G500" s="1">
        <f>IFERROR(__xludf.DUMMYFUNCTION("""COMPUTED_VALUE"""),76.0)</f>
        <v>76</v>
      </c>
      <c r="H500" s="1">
        <f>IFERROR(__xludf.DUMMYFUNCTION("""COMPUTED_VALUE"""),46.0)</f>
        <v>46</v>
      </c>
      <c r="I500" s="1">
        <f>IFERROR(__xludf.DUMMYFUNCTION("""COMPUTED_VALUE"""),83.0)</f>
        <v>83</v>
      </c>
      <c r="J500" s="1">
        <f>IFERROR(__xludf.DUMMYFUNCTION("""COMPUTED_VALUE"""),84.0)</f>
        <v>84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 t="str">
        <f>IFERROR(__xludf.DUMMYFUNCTION("""COMPUTED_VALUE"""),"C")</f>
        <v>C</v>
      </c>
      <c r="E501" s="1">
        <f>IFERROR(__xludf.DUMMYFUNCTION("""COMPUTED_VALUE"""),37.0)</f>
        <v>37</v>
      </c>
      <c r="F501" s="1">
        <f>IFERROR(__xludf.DUMMYFUNCTION("""COMPUTED_VALUE"""),90.0)</f>
        <v>90</v>
      </c>
      <c r="G501" s="1">
        <f>IFERROR(__xludf.DUMMYFUNCTION("""COMPUTED_VALUE"""),73.0)</f>
        <v>73</v>
      </c>
      <c r="H501" s="1">
        <f>IFERROR(__xludf.DUMMYFUNCTION("""COMPUTED_VALUE"""),24.0)</f>
        <v>24</v>
      </c>
      <c r="I501" s="1">
        <f>IFERROR(__xludf.DUMMYFUNCTION("""COMPUTED_VALUE"""),23.0)</f>
        <v>23</v>
      </c>
      <c r="J501" s="1">
        <f>IFERROR(__xludf.DUMMYFUNCTION("""COMPUTED_VALUE"""),79.0)</f>
        <v>79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 t="str">
        <f>IFERROR(__xludf.DUMMYFUNCTION("""COMPUTED_VALUE"""),"B")</f>
        <v>B</v>
      </c>
      <c r="E502" s="1">
        <f>IFERROR(__xludf.DUMMYFUNCTION("""COMPUTED_VALUE"""),95.0)</f>
        <v>95</v>
      </c>
      <c r="F502" s="1">
        <f>IFERROR(__xludf.DUMMYFUNCTION("""COMPUTED_VALUE"""),20.0)</f>
        <v>20</v>
      </c>
      <c r="G502" s="1">
        <f>IFERROR(__xludf.DUMMYFUNCTION("""COMPUTED_VALUE"""),50.0)</f>
        <v>50</v>
      </c>
      <c r="H502" s="1">
        <f>IFERROR(__xludf.DUMMYFUNCTION("""COMPUTED_VALUE"""),69.0)</f>
        <v>69</v>
      </c>
      <c r="I502" s="1">
        <f>IFERROR(__xludf.DUMMYFUNCTION("""COMPUTED_VALUE"""),88.0)</f>
        <v>88</v>
      </c>
      <c r="J502" s="1">
        <f>IFERROR(__xludf.DUMMYFUNCTION("""COMPUTED_VALUE"""),65.0)</f>
        <v>65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 t="str">
        <f>IFERROR(__xludf.DUMMYFUNCTION("""COMPUTED_VALUE"""),"B")</f>
        <v>B</v>
      </c>
      <c r="E503" s="1">
        <f>IFERROR(__xludf.DUMMYFUNCTION("""COMPUTED_VALUE"""),46.0)</f>
        <v>46</v>
      </c>
      <c r="F503" s="1">
        <f>IFERROR(__xludf.DUMMYFUNCTION("""COMPUTED_VALUE"""),54.0)</f>
        <v>54</v>
      </c>
      <c r="G503" s="1">
        <f>IFERROR(__xludf.DUMMYFUNCTION("""COMPUTED_VALUE"""),47.0)</f>
        <v>47</v>
      </c>
      <c r="H503" s="1">
        <f>IFERROR(__xludf.DUMMYFUNCTION("""COMPUTED_VALUE"""),61.0)</f>
        <v>61</v>
      </c>
      <c r="I503" s="1">
        <f>IFERROR(__xludf.DUMMYFUNCTION("""COMPUTED_VALUE"""),89.0)</f>
        <v>89</v>
      </c>
      <c r="J503" s="1">
        <f>IFERROR(__xludf.DUMMYFUNCTION("""COMPUTED_VALUE"""),24.0)</f>
        <v>24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 t="str">
        <f>IFERROR(__xludf.DUMMYFUNCTION("""COMPUTED_VALUE"""),"C")</f>
        <v>C</v>
      </c>
      <c r="E504" s="1">
        <f>IFERROR(__xludf.DUMMYFUNCTION("""COMPUTED_VALUE"""),56.0)</f>
        <v>56</v>
      </c>
      <c r="F504" s="1">
        <f>IFERROR(__xludf.DUMMYFUNCTION("""COMPUTED_VALUE"""),99.0)</f>
        <v>99</v>
      </c>
      <c r="G504" s="1">
        <f>IFERROR(__xludf.DUMMYFUNCTION("""COMPUTED_VALUE"""),50.0)</f>
        <v>50</v>
      </c>
      <c r="H504" s="1">
        <f>IFERROR(__xludf.DUMMYFUNCTION("""COMPUTED_VALUE"""),36.0)</f>
        <v>36</v>
      </c>
      <c r="I504" s="1">
        <f>IFERROR(__xludf.DUMMYFUNCTION("""COMPUTED_VALUE"""),99.0)</f>
        <v>99</v>
      </c>
      <c r="J504" s="1">
        <f>IFERROR(__xludf.DUMMYFUNCTION("""COMPUTED_VALUE"""),60.0)</f>
        <v>60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 t="str">
        <f>IFERROR(__xludf.DUMMYFUNCTION("""COMPUTED_VALUE"""),"D")</f>
        <v>D</v>
      </c>
      <c r="E505" s="1">
        <f>IFERROR(__xludf.DUMMYFUNCTION("""COMPUTED_VALUE"""),77.0)</f>
        <v>77</v>
      </c>
      <c r="F505" s="1">
        <f>IFERROR(__xludf.DUMMYFUNCTION("""COMPUTED_VALUE"""),96.0)</f>
        <v>96</v>
      </c>
      <c r="G505" s="1">
        <f>IFERROR(__xludf.DUMMYFUNCTION("""COMPUTED_VALUE"""),86.0)</f>
        <v>86</v>
      </c>
      <c r="H505" s="1">
        <f>IFERROR(__xludf.DUMMYFUNCTION("""COMPUTED_VALUE"""),53.0)</f>
        <v>53</v>
      </c>
      <c r="I505" s="1">
        <f>IFERROR(__xludf.DUMMYFUNCTION("""COMPUTED_VALUE"""),74.0)</f>
        <v>74</v>
      </c>
      <c r="J505" s="1">
        <f>IFERROR(__xludf.DUMMYFUNCTION("""COMPUTED_VALUE"""),62.0)</f>
        <v>62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 t="str">
        <f>IFERROR(__xludf.DUMMYFUNCTION("""COMPUTED_VALUE"""),"C")</f>
        <v>C</v>
      </c>
      <c r="E506" s="1">
        <f>IFERROR(__xludf.DUMMYFUNCTION("""COMPUTED_VALUE"""),77.0)</f>
        <v>77</v>
      </c>
      <c r="F506" s="1">
        <f>IFERROR(__xludf.DUMMYFUNCTION("""COMPUTED_VALUE"""),63.0)</f>
        <v>63</v>
      </c>
      <c r="G506" s="1">
        <f>IFERROR(__xludf.DUMMYFUNCTION("""COMPUTED_VALUE"""),41.0)</f>
        <v>41</v>
      </c>
      <c r="H506" s="1">
        <f>IFERROR(__xludf.DUMMYFUNCTION("""COMPUTED_VALUE"""),32.0)</f>
        <v>32</v>
      </c>
      <c r="I506" s="1">
        <f>IFERROR(__xludf.DUMMYFUNCTION("""COMPUTED_VALUE"""),54.0)</f>
        <v>54</v>
      </c>
      <c r="J506" s="1">
        <f>IFERROR(__xludf.DUMMYFUNCTION("""COMPUTED_VALUE"""),88.0)</f>
        <v>88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 t="str">
        <f>IFERROR(__xludf.DUMMYFUNCTION("""COMPUTED_VALUE"""),"D")</f>
        <v>D</v>
      </c>
      <c r="E507" s="1">
        <f>IFERROR(__xludf.DUMMYFUNCTION("""COMPUTED_VALUE"""),67.0)</f>
        <v>67</v>
      </c>
      <c r="F507" s="1">
        <f>IFERROR(__xludf.DUMMYFUNCTION("""COMPUTED_VALUE"""),87.0)</f>
        <v>87</v>
      </c>
      <c r="G507" s="1">
        <f>IFERROR(__xludf.DUMMYFUNCTION("""COMPUTED_VALUE"""),62.0)</f>
        <v>62</v>
      </c>
      <c r="H507" s="1">
        <f>IFERROR(__xludf.DUMMYFUNCTION("""COMPUTED_VALUE"""),67.0)</f>
        <v>67</v>
      </c>
      <c r="I507" s="1">
        <f>IFERROR(__xludf.DUMMYFUNCTION("""COMPUTED_VALUE"""),74.0)</f>
        <v>74</v>
      </c>
      <c r="J507" s="1">
        <f>IFERROR(__xludf.DUMMYFUNCTION("""COMPUTED_VALUE"""),77.0)</f>
        <v>77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 t="str">
        <f>IFERROR(__xludf.DUMMYFUNCTION("""COMPUTED_VALUE"""),"A")</f>
        <v>A</v>
      </c>
      <c r="E508" s="1">
        <f>IFERROR(__xludf.DUMMYFUNCTION("""COMPUTED_VALUE"""),15.0)</f>
        <v>15</v>
      </c>
      <c r="F508" s="1">
        <f>IFERROR(__xludf.DUMMYFUNCTION("""COMPUTED_VALUE"""),79.0)</f>
        <v>79</v>
      </c>
      <c r="G508" s="1">
        <f>IFERROR(__xludf.DUMMYFUNCTION("""COMPUTED_VALUE"""),89.0)</f>
        <v>89</v>
      </c>
      <c r="H508" s="1">
        <f>IFERROR(__xludf.DUMMYFUNCTION("""COMPUTED_VALUE"""),28.0)</f>
        <v>28</v>
      </c>
      <c r="I508" s="1">
        <f>IFERROR(__xludf.DUMMYFUNCTION("""COMPUTED_VALUE"""),45.0)</f>
        <v>45</v>
      </c>
      <c r="J508" s="1">
        <f>IFERROR(__xludf.DUMMYFUNCTION("""COMPUTED_VALUE"""),68.0)</f>
        <v>68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 t="str">
        <f>IFERROR(__xludf.DUMMYFUNCTION("""COMPUTED_VALUE"""),"D")</f>
        <v>D</v>
      </c>
      <c r="E509" s="1">
        <f>IFERROR(__xludf.DUMMYFUNCTION("""COMPUTED_VALUE"""),12.0)</f>
        <v>12</v>
      </c>
      <c r="F509" s="1">
        <f>IFERROR(__xludf.DUMMYFUNCTION("""COMPUTED_VALUE"""),72.0)</f>
        <v>72</v>
      </c>
      <c r="G509" s="1">
        <f>IFERROR(__xludf.DUMMYFUNCTION("""COMPUTED_VALUE"""),42.0)</f>
        <v>42</v>
      </c>
      <c r="H509" s="1">
        <f>IFERROR(__xludf.DUMMYFUNCTION("""COMPUTED_VALUE"""),77.0)</f>
        <v>77</v>
      </c>
      <c r="I509" s="1">
        <f>IFERROR(__xludf.DUMMYFUNCTION("""COMPUTED_VALUE"""),96.0)</f>
        <v>96</v>
      </c>
      <c r="J509" s="1">
        <f>IFERROR(__xludf.DUMMYFUNCTION("""COMPUTED_VALUE"""),54.0)</f>
        <v>54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 t="str">
        <f>IFERROR(__xludf.DUMMYFUNCTION("""COMPUTED_VALUE"""),"C")</f>
        <v>C</v>
      </c>
      <c r="E510" s="1">
        <f>IFERROR(__xludf.DUMMYFUNCTION("""COMPUTED_VALUE"""),74.0)</f>
        <v>74</v>
      </c>
      <c r="F510" s="1">
        <f>IFERROR(__xludf.DUMMYFUNCTION("""COMPUTED_VALUE"""),21.0)</f>
        <v>21</v>
      </c>
      <c r="G510" s="1">
        <f>IFERROR(__xludf.DUMMYFUNCTION("""COMPUTED_VALUE"""),57.0)</f>
        <v>57</v>
      </c>
      <c r="H510" s="1">
        <f>IFERROR(__xludf.DUMMYFUNCTION("""COMPUTED_VALUE"""),77.0)</f>
        <v>77</v>
      </c>
      <c r="I510" s="1">
        <f>IFERROR(__xludf.DUMMYFUNCTION("""COMPUTED_VALUE"""),64.0)</f>
        <v>64</v>
      </c>
      <c r="J510" s="1">
        <f>IFERROR(__xludf.DUMMYFUNCTION("""COMPUTED_VALUE"""),99.0)</f>
        <v>99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 t="str">
        <f>IFERROR(__xludf.DUMMYFUNCTION("""COMPUTED_VALUE"""),"A")</f>
        <v>A</v>
      </c>
      <c r="E511" s="1">
        <f>IFERROR(__xludf.DUMMYFUNCTION("""COMPUTED_VALUE"""),99.0)</f>
        <v>99</v>
      </c>
      <c r="F511" s="1">
        <f>IFERROR(__xludf.DUMMYFUNCTION("""COMPUTED_VALUE"""),22.0)</f>
        <v>22</v>
      </c>
      <c r="G511" s="1">
        <f>IFERROR(__xludf.DUMMYFUNCTION("""COMPUTED_VALUE"""),78.0)</f>
        <v>78</v>
      </c>
      <c r="H511" s="1">
        <f>IFERROR(__xludf.DUMMYFUNCTION("""COMPUTED_VALUE"""),23.0)</f>
        <v>23</v>
      </c>
      <c r="I511" s="1">
        <f>IFERROR(__xludf.DUMMYFUNCTION("""COMPUTED_VALUE"""),53.0)</f>
        <v>53</v>
      </c>
      <c r="J511" s="1">
        <f>IFERROR(__xludf.DUMMYFUNCTION("""COMPUTED_VALUE"""),83.0)</f>
        <v>83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 t="str">
        <f>IFERROR(__xludf.DUMMYFUNCTION("""COMPUTED_VALUE"""),"D")</f>
        <v>D</v>
      </c>
      <c r="E512" s="1">
        <f>IFERROR(__xludf.DUMMYFUNCTION("""COMPUTED_VALUE"""),12.0)</f>
        <v>12</v>
      </c>
      <c r="F512" s="1">
        <f>IFERROR(__xludf.DUMMYFUNCTION("""COMPUTED_VALUE"""),85.0)</f>
        <v>85</v>
      </c>
      <c r="G512" s="1">
        <f>IFERROR(__xludf.DUMMYFUNCTION("""COMPUTED_VALUE"""),98.0)</f>
        <v>98</v>
      </c>
      <c r="H512" s="1">
        <f>IFERROR(__xludf.DUMMYFUNCTION("""COMPUTED_VALUE"""),37.0)</f>
        <v>37</v>
      </c>
      <c r="I512" s="1">
        <f>IFERROR(__xludf.DUMMYFUNCTION("""COMPUTED_VALUE"""),81.0)</f>
        <v>81</v>
      </c>
      <c r="J512" s="1">
        <f>IFERROR(__xludf.DUMMYFUNCTION("""COMPUTED_VALUE"""),87.0)</f>
        <v>87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 t="str">
        <f>IFERROR(__xludf.DUMMYFUNCTION("""COMPUTED_VALUE"""),"A")</f>
        <v>A</v>
      </c>
      <c r="E513" s="1">
        <f>IFERROR(__xludf.DUMMYFUNCTION("""COMPUTED_VALUE"""),42.0)</f>
        <v>42</v>
      </c>
      <c r="F513" s="1">
        <f>IFERROR(__xludf.DUMMYFUNCTION("""COMPUTED_VALUE"""),77.0)</f>
        <v>77</v>
      </c>
      <c r="G513" s="1">
        <f>IFERROR(__xludf.DUMMYFUNCTION("""COMPUTED_VALUE"""),87.0)</f>
        <v>87</v>
      </c>
      <c r="H513" s="1">
        <f>IFERROR(__xludf.DUMMYFUNCTION("""COMPUTED_VALUE"""),73.0)</f>
        <v>73</v>
      </c>
      <c r="I513" s="1">
        <f>IFERROR(__xludf.DUMMYFUNCTION("""COMPUTED_VALUE"""),51.0)</f>
        <v>51</v>
      </c>
      <c r="J513" s="1">
        <f>IFERROR(__xludf.DUMMYFUNCTION("""COMPUTED_VALUE"""),37.0)</f>
        <v>37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 t="str">
        <f>IFERROR(__xludf.DUMMYFUNCTION("""COMPUTED_VALUE"""),"C")</f>
        <v>C</v>
      </c>
      <c r="E514" s="1">
        <f>IFERROR(__xludf.DUMMYFUNCTION("""COMPUTED_VALUE"""),13.0)</f>
        <v>13</v>
      </c>
      <c r="F514" s="1">
        <f>IFERROR(__xludf.DUMMYFUNCTION("""COMPUTED_VALUE"""),67.0)</f>
        <v>67</v>
      </c>
      <c r="G514" s="1">
        <f>IFERROR(__xludf.DUMMYFUNCTION("""COMPUTED_VALUE"""),43.0)</f>
        <v>43</v>
      </c>
      <c r="H514" s="1">
        <f>IFERROR(__xludf.DUMMYFUNCTION("""COMPUTED_VALUE"""),71.0)</f>
        <v>71</v>
      </c>
      <c r="I514" s="1">
        <f>IFERROR(__xludf.DUMMYFUNCTION("""COMPUTED_VALUE"""),97.0)</f>
        <v>97</v>
      </c>
      <c r="J514" s="1">
        <f>IFERROR(__xludf.DUMMYFUNCTION("""COMPUTED_VALUE"""),73.0)</f>
        <v>73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 t="str">
        <f>IFERROR(__xludf.DUMMYFUNCTION("""COMPUTED_VALUE"""),"A")</f>
        <v>A</v>
      </c>
      <c r="E515" s="1">
        <f>IFERROR(__xludf.DUMMYFUNCTION("""COMPUTED_VALUE"""),56.0)</f>
        <v>56</v>
      </c>
      <c r="F515" s="1">
        <f>IFERROR(__xludf.DUMMYFUNCTION("""COMPUTED_VALUE"""),22.0)</f>
        <v>22</v>
      </c>
      <c r="G515" s="1">
        <f>IFERROR(__xludf.DUMMYFUNCTION("""COMPUTED_VALUE"""),85.0)</f>
        <v>85</v>
      </c>
      <c r="H515" s="1">
        <f>IFERROR(__xludf.DUMMYFUNCTION("""COMPUTED_VALUE"""),64.0)</f>
        <v>64</v>
      </c>
      <c r="I515" s="1">
        <f>IFERROR(__xludf.DUMMYFUNCTION("""COMPUTED_VALUE"""),70.0)</f>
        <v>70</v>
      </c>
      <c r="J515" s="1">
        <f>IFERROR(__xludf.DUMMYFUNCTION("""COMPUTED_VALUE"""),24.0)</f>
        <v>24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 t="str">
        <f>IFERROR(__xludf.DUMMYFUNCTION("""COMPUTED_VALUE"""),"A")</f>
        <v>A</v>
      </c>
      <c r="E516" s="1">
        <f>IFERROR(__xludf.DUMMYFUNCTION("""COMPUTED_VALUE"""),44.0)</f>
        <v>44</v>
      </c>
      <c r="F516" s="1">
        <f>IFERROR(__xludf.DUMMYFUNCTION("""COMPUTED_VALUE"""),81.0)</f>
        <v>81</v>
      </c>
      <c r="G516" s="1">
        <f>IFERROR(__xludf.DUMMYFUNCTION("""COMPUTED_VALUE"""),96.0)</f>
        <v>96</v>
      </c>
      <c r="H516" s="1">
        <f>IFERROR(__xludf.DUMMYFUNCTION("""COMPUTED_VALUE"""),83.0)</f>
        <v>83</v>
      </c>
      <c r="I516" s="1">
        <f>IFERROR(__xludf.DUMMYFUNCTION("""COMPUTED_VALUE"""),75.0)</f>
        <v>75</v>
      </c>
      <c r="J516" s="1">
        <f>IFERROR(__xludf.DUMMYFUNCTION("""COMPUTED_VALUE"""),53.0)</f>
        <v>53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 t="str">
        <f>IFERROR(__xludf.DUMMYFUNCTION("""COMPUTED_VALUE"""),"C")</f>
        <v>C</v>
      </c>
      <c r="E517" s="1">
        <f>IFERROR(__xludf.DUMMYFUNCTION("""COMPUTED_VALUE"""),44.0)</f>
        <v>44</v>
      </c>
      <c r="F517" s="1">
        <f>IFERROR(__xludf.DUMMYFUNCTION("""COMPUTED_VALUE"""),71.0)</f>
        <v>71</v>
      </c>
      <c r="G517" s="1">
        <f>IFERROR(__xludf.DUMMYFUNCTION("""COMPUTED_VALUE"""),70.0)</f>
        <v>70</v>
      </c>
      <c r="H517" s="1">
        <f>IFERROR(__xludf.DUMMYFUNCTION("""COMPUTED_VALUE"""),22.0)</f>
        <v>22</v>
      </c>
      <c r="I517" s="1">
        <f>IFERROR(__xludf.DUMMYFUNCTION("""COMPUTED_VALUE"""),45.0)</f>
        <v>45</v>
      </c>
      <c r="J517" s="1">
        <f>IFERROR(__xludf.DUMMYFUNCTION("""COMPUTED_VALUE"""),54.0)</f>
        <v>54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 t="str">
        <f>IFERROR(__xludf.DUMMYFUNCTION("""COMPUTED_VALUE"""),"D")</f>
        <v>D</v>
      </c>
      <c r="E518" s="1">
        <f>IFERROR(__xludf.DUMMYFUNCTION("""COMPUTED_VALUE"""),67.0)</f>
        <v>67</v>
      </c>
      <c r="F518" s="1">
        <f>IFERROR(__xludf.DUMMYFUNCTION("""COMPUTED_VALUE"""),33.0)</f>
        <v>33</v>
      </c>
      <c r="G518" s="1">
        <f>IFERROR(__xludf.DUMMYFUNCTION("""COMPUTED_VALUE"""),52.0)</f>
        <v>52</v>
      </c>
      <c r="H518" s="1">
        <f>IFERROR(__xludf.DUMMYFUNCTION("""COMPUTED_VALUE"""),36.0)</f>
        <v>36</v>
      </c>
      <c r="I518" s="1">
        <f>IFERROR(__xludf.DUMMYFUNCTION("""COMPUTED_VALUE"""),98.0)</f>
        <v>98</v>
      </c>
      <c r="J518" s="1">
        <f>IFERROR(__xludf.DUMMYFUNCTION("""COMPUTED_VALUE"""),34.0)</f>
        <v>34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 t="str">
        <f>IFERROR(__xludf.DUMMYFUNCTION("""COMPUTED_VALUE"""),"C")</f>
        <v>C</v>
      </c>
      <c r="E519" s="1">
        <f>IFERROR(__xludf.DUMMYFUNCTION("""COMPUTED_VALUE"""),93.0)</f>
        <v>93</v>
      </c>
      <c r="F519" s="1">
        <f>IFERROR(__xludf.DUMMYFUNCTION("""COMPUTED_VALUE"""),93.0)</f>
        <v>93</v>
      </c>
      <c r="G519" s="1">
        <f>IFERROR(__xludf.DUMMYFUNCTION("""COMPUTED_VALUE"""),49.0)</f>
        <v>49</v>
      </c>
      <c r="H519" s="1">
        <f>IFERROR(__xludf.DUMMYFUNCTION("""COMPUTED_VALUE"""),57.0)</f>
        <v>57</v>
      </c>
      <c r="I519" s="1">
        <f>IFERROR(__xludf.DUMMYFUNCTION("""COMPUTED_VALUE"""),88.0)</f>
        <v>88</v>
      </c>
      <c r="J519" s="1">
        <f>IFERROR(__xludf.DUMMYFUNCTION("""COMPUTED_VALUE"""),64.0)</f>
        <v>64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 t="str">
        <f>IFERROR(__xludf.DUMMYFUNCTION("""COMPUTED_VALUE"""),"A")</f>
        <v>A</v>
      </c>
      <c r="E520" s="1">
        <f>IFERROR(__xludf.DUMMYFUNCTION("""COMPUTED_VALUE"""),75.0)</f>
        <v>75</v>
      </c>
      <c r="F520" s="1">
        <f>IFERROR(__xludf.DUMMYFUNCTION("""COMPUTED_VALUE"""),82.0)</f>
        <v>82</v>
      </c>
      <c r="G520" s="1">
        <f>IFERROR(__xludf.DUMMYFUNCTION("""COMPUTED_VALUE"""),94.0)</f>
        <v>94</v>
      </c>
      <c r="H520" s="1">
        <f>IFERROR(__xludf.DUMMYFUNCTION("""COMPUTED_VALUE"""),83.0)</f>
        <v>83</v>
      </c>
      <c r="I520" s="1">
        <f>IFERROR(__xludf.DUMMYFUNCTION("""COMPUTED_VALUE"""),87.0)</f>
        <v>87</v>
      </c>
      <c r="J520" s="1">
        <f>IFERROR(__xludf.DUMMYFUNCTION("""COMPUTED_VALUE"""),28.0)</f>
        <v>28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 t="str">
        <f>IFERROR(__xludf.DUMMYFUNCTION("""COMPUTED_VALUE"""),"D")</f>
        <v>D</v>
      </c>
      <c r="E521" s="1">
        <f>IFERROR(__xludf.DUMMYFUNCTION("""COMPUTED_VALUE"""),80.0)</f>
        <v>80</v>
      </c>
      <c r="F521" s="1">
        <f>IFERROR(__xludf.DUMMYFUNCTION("""COMPUTED_VALUE"""),80.0)</f>
        <v>80</v>
      </c>
      <c r="G521" s="1">
        <f>IFERROR(__xludf.DUMMYFUNCTION("""COMPUTED_VALUE"""),84.0)</f>
        <v>84</v>
      </c>
      <c r="H521" s="1">
        <f>IFERROR(__xludf.DUMMYFUNCTION("""COMPUTED_VALUE"""),49.0)</f>
        <v>49</v>
      </c>
      <c r="I521" s="1">
        <f>IFERROR(__xludf.DUMMYFUNCTION("""COMPUTED_VALUE"""),70.0)</f>
        <v>70</v>
      </c>
      <c r="J521" s="1">
        <f>IFERROR(__xludf.DUMMYFUNCTION("""COMPUTED_VALUE"""),72.0)</f>
        <v>72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 t="str">
        <f>IFERROR(__xludf.DUMMYFUNCTION("""COMPUTED_VALUE"""),"B")</f>
        <v>B</v>
      </c>
      <c r="E522" s="1">
        <f>IFERROR(__xludf.DUMMYFUNCTION("""COMPUTED_VALUE"""),66.0)</f>
        <v>66</v>
      </c>
      <c r="F522" s="1">
        <f>IFERROR(__xludf.DUMMYFUNCTION("""COMPUTED_VALUE"""),41.0)</f>
        <v>41</v>
      </c>
      <c r="G522" s="1">
        <f>IFERROR(__xludf.DUMMYFUNCTION("""COMPUTED_VALUE"""),20.0)</f>
        <v>20</v>
      </c>
      <c r="H522" s="1">
        <f>IFERROR(__xludf.DUMMYFUNCTION("""COMPUTED_VALUE"""),35.0)</f>
        <v>35</v>
      </c>
      <c r="I522" s="1">
        <f>IFERROR(__xludf.DUMMYFUNCTION("""COMPUTED_VALUE"""),97.0)</f>
        <v>97</v>
      </c>
      <c r="J522" s="1">
        <f>IFERROR(__xludf.DUMMYFUNCTION("""COMPUTED_VALUE"""),21.0)</f>
        <v>21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 t="str">
        <f>IFERROR(__xludf.DUMMYFUNCTION("""COMPUTED_VALUE"""),"B")</f>
        <v>B</v>
      </c>
      <c r="E523" s="1">
        <f>IFERROR(__xludf.DUMMYFUNCTION("""COMPUTED_VALUE"""),74.0)</f>
        <v>74</v>
      </c>
      <c r="F523" s="1">
        <f>IFERROR(__xludf.DUMMYFUNCTION("""COMPUTED_VALUE"""),28.0)</f>
        <v>28</v>
      </c>
      <c r="G523" s="1">
        <f>IFERROR(__xludf.DUMMYFUNCTION("""COMPUTED_VALUE"""),44.0)</f>
        <v>44</v>
      </c>
      <c r="H523" s="1">
        <f>IFERROR(__xludf.DUMMYFUNCTION("""COMPUTED_VALUE"""),85.0)</f>
        <v>85</v>
      </c>
      <c r="I523" s="1">
        <f>IFERROR(__xludf.DUMMYFUNCTION("""COMPUTED_VALUE"""),60.0)</f>
        <v>60</v>
      </c>
      <c r="J523" s="1">
        <f>IFERROR(__xludf.DUMMYFUNCTION("""COMPUTED_VALUE"""),92.0)</f>
        <v>92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 t="str">
        <f>IFERROR(__xludf.DUMMYFUNCTION("""COMPUTED_VALUE"""),"D")</f>
        <v>D</v>
      </c>
      <c r="E524" s="1">
        <f>IFERROR(__xludf.DUMMYFUNCTION("""COMPUTED_VALUE"""),68.0)</f>
        <v>68</v>
      </c>
      <c r="F524" s="1">
        <f>IFERROR(__xludf.DUMMYFUNCTION("""COMPUTED_VALUE"""),47.0)</f>
        <v>47</v>
      </c>
      <c r="G524" s="1">
        <f>IFERROR(__xludf.DUMMYFUNCTION("""COMPUTED_VALUE"""),37.0)</f>
        <v>37</v>
      </c>
      <c r="H524" s="1">
        <f>IFERROR(__xludf.DUMMYFUNCTION("""COMPUTED_VALUE"""),27.0)</f>
        <v>27</v>
      </c>
      <c r="I524" s="1">
        <f>IFERROR(__xludf.DUMMYFUNCTION("""COMPUTED_VALUE"""),68.0)</f>
        <v>68</v>
      </c>
      <c r="J524" s="1">
        <f>IFERROR(__xludf.DUMMYFUNCTION("""COMPUTED_VALUE"""),61.0)</f>
        <v>61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 t="str">
        <f>IFERROR(__xludf.DUMMYFUNCTION("""COMPUTED_VALUE"""),"A")</f>
        <v>A</v>
      </c>
      <c r="E525" s="1">
        <f>IFERROR(__xludf.DUMMYFUNCTION("""COMPUTED_VALUE"""),29.0)</f>
        <v>29</v>
      </c>
      <c r="F525" s="1">
        <f>IFERROR(__xludf.DUMMYFUNCTION("""COMPUTED_VALUE"""),36.0)</f>
        <v>36</v>
      </c>
      <c r="G525" s="1">
        <f>IFERROR(__xludf.DUMMYFUNCTION("""COMPUTED_VALUE"""),31.0)</f>
        <v>31</v>
      </c>
      <c r="H525" s="1">
        <f>IFERROR(__xludf.DUMMYFUNCTION("""COMPUTED_VALUE"""),90.0)</f>
        <v>90</v>
      </c>
      <c r="I525" s="1">
        <f>IFERROR(__xludf.DUMMYFUNCTION("""COMPUTED_VALUE"""),94.0)</f>
        <v>94</v>
      </c>
      <c r="J525" s="1">
        <f>IFERROR(__xludf.DUMMYFUNCTION("""COMPUTED_VALUE"""),31.0)</f>
        <v>31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 t="str">
        <f>IFERROR(__xludf.DUMMYFUNCTION("""COMPUTED_VALUE"""),"A")</f>
        <v>A</v>
      </c>
      <c r="E526" s="1">
        <f>IFERROR(__xludf.DUMMYFUNCTION("""COMPUTED_VALUE"""),25.0)</f>
        <v>25</v>
      </c>
      <c r="F526" s="1">
        <f>IFERROR(__xludf.DUMMYFUNCTION("""COMPUTED_VALUE"""),55.0)</f>
        <v>55</v>
      </c>
      <c r="G526" s="1">
        <f>IFERROR(__xludf.DUMMYFUNCTION("""COMPUTED_VALUE"""),48.0)</f>
        <v>48</v>
      </c>
      <c r="H526" s="1">
        <f>IFERROR(__xludf.DUMMYFUNCTION("""COMPUTED_VALUE"""),71.0)</f>
        <v>71</v>
      </c>
      <c r="I526" s="1">
        <f>IFERROR(__xludf.DUMMYFUNCTION("""COMPUTED_VALUE"""),71.0)</f>
        <v>71</v>
      </c>
      <c r="J526" s="1">
        <f>IFERROR(__xludf.DUMMYFUNCTION("""COMPUTED_VALUE"""),34.0)</f>
        <v>34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 t="str">
        <f>IFERROR(__xludf.DUMMYFUNCTION("""COMPUTED_VALUE"""),"C")</f>
        <v>C</v>
      </c>
      <c r="E527" s="1">
        <f>IFERROR(__xludf.DUMMYFUNCTION("""COMPUTED_VALUE"""),59.0)</f>
        <v>59</v>
      </c>
      <c r="F527" s="1">
        <f>IFERROR(__xludf.DUMMYFUNCTION("""COMPUTED_VALUE"""),28.0)</f>
        <v>28</v>
      </c>
      <c r="G527" s="1">
        <f>IFERROR(__xludf.DUMMYFUNCTION("""COMPUTED_VALUE"""),79.0)</f>
        <v>79</v>
      </c>
      <c r="H527" s="1">
        <f>IFERROR(__xludf.DUMMYFUNCTION("""COMPUTED_VALUE"""),27.0)</f>
        <v>27</v>
      </c>
      <c r="I527" s="1">
        <f>IFERROR(__xludf.DUMMYFUNCTION("""COMPUTED_VALUE"""),74.0)</f>
        <v>74</v>
      </c>
      <c r="J527" s="1">
        <f>IFERROR(__xludf.DUMMYFUNCTION("""COMPUTED_VALUE"""),75.0)</f>
        <v>75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 t="str">
        <f>IFERROR(__xludf.DUMMYFUNCTION("""COMPUTED_VALUE"""),"B")</f>
        <v>B</v>
      </c>
      <c r="E528" s="1">
        <f>IFERROR(__xludf.DUMMYFUNCTION("""COMPUTED_VALUE"""),60.0)</f>
        <v>60</v>
      </c>
      <c r="F528" s="1">
        <f>IFERROR(__xludf.DUMMYFUNCTION("""COMPUTED_VALUE"""),68.0)</f>
        <v>68</v>
      </c>
      <c r="G528" s="1">
        <f>IFERROR(__xludf.DUMMYFUNCTION("""COMPUTED_VALUE"""),75.0)</f>
        <v>75</v>
      </c>
      <c r="H528" s="1">
        <f>IFERROR(__xludf.DUMMYFUNCTION("""COMPUTED_VALUE"""),32.0)</f>
        <v>32</v>
      </c>
      <c r="I528" s="1">
        <f>IFERROR(__xludf.DUMMYFUNCTION("""COMPUTED_VALUE"""),81.0)</f>
        <v>81</v>
      </c>
      <c r="J528" s="1">
        <f>IFERROR(__xludf.DUMMYFUNCTION("""COMPUTED_VALUE"""),85.0)</f>
        <v>85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 t="str">
        <f>IFERROR(__xludf.DUMMYFUNCTION("""COMPUTED_VALUE"""),"D")</f>
        <v>D</v>
      </c>
      <c r="E529" s="1">
        <f>IFERROR(__xludf.DUMMYFUNCTION("""COMPUTED_VALUE"""),43.0)</f>
        <v>43</v>
      </c>
      <c r="F529" s="1">
        <f>IFERROR(__xludf.DUMMYFUNCTION("""COMPUTED_VALUE"""),44.0)</f>
        <v>44</v>
      </c>
      <c r="G529" s="1">
        <f>IFERROR(__xludf.DUMMYFUNCTION("""COMPUTED_VALUE"""),81.0)</f>
        <v>81</v>
      </c>
      <c r="H529" s="1">
        <f>IFERROR(__xludf.DUMMYFUNCTION("""COMPUTED_VALUE"""),64.0)</f>
        <v>64</v>
      </c>
      <c r="I529" s="1">
        <f>IFERROR(__xludf.DUMMYFUNCTION("""COMPUTED_VALUE"""),67.0)</f>
        <v>67</v>
      </c>
      <c r="J529" s="1">
        <f>IFERROR(__xludf.DUMMYFUNCTION("""COMPUTED_VALUE"""),26.0)</f>
        <v>26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 t="str">
        <f>IFERROR(__xludf.DUMMYFUNCTION("""COMPUTED_VALUE"""),"A")</f>
        <v>A</v>
      </c>
      <c r="E530" s="1">
        <f>IFERROR(__xludf.DUMMYFUNCTION("""COMPUTED_VALUE"""),50.0)</f>
        <v>50</v>
      </c>
      <c r="F530" s="1">
        <f>IFERROR(__xludf.DUMMYFUNCTION("""COMPUTED_VALUE"""),71.0)</f>
        <v>71</v>
      </c>
      <c r="G530" s="1">
        <f>IFERROR(__xludf.DUMMYFUNCTION("""COMPUTED_VALUE"""),92.0)</f>
        <v>92</v>
      </c>
      <c r="H530" s="1">
        <f>IFERROR(__xludf.DUMMYFUNCTION("""COMPUTED_VALUE"""),79.0)</f>
        <v>79</v>
      </c>
      <c r="I530" s="1">
        <f>IFERROR(__xludf.DUMMYFUNCTION("""COMPUTED_VALUE"""),79.0)</f>
        <v>79</v>
      </c>
      <c r="J530" s="1">
        <f>IFERROR(__xludf.DUMMYFUNCTION("""COMPUTED_VALUE"""),33.0)</f>
        <v>33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 t="str">
        <f>IFERROR(__xludf.DUMMYFUNCTION("""COMPUTED_VALUE"""),"B")</f>
        <v>B</v>
      </c>
      <c r="E531" s="1">
        <f>IFERROR(__xludf.DUMMYFUNCTION("""COMPUTED_VALUE"""),95.0)</f>
        <v>95</v>
      </c>
      <c r="F531" s="1">
        <f>IFERROR(__xludf.DUMMYFUNCTION("""COMPUTED_VALUE"""),61.0)</f>
        <v>61</v>
      </c>
      <c r="G531" s="1">
        <f>IFERROR(__xludf.DUMMYFUNCTION("""COMPUTED_VALUE"""),21.0)</f>
        <v>21</v>
      </c>
      <c r="H531" s="1">
        <f>IFERROR(__xludf.DUMMYFUNCTION("""COMPUTED_VALUE"""),25.0)</f>
        <v>25</v>
      </c>
      <c r="I531" s="1">
        <f>IFERROR(__xludf.DUMMYFUNCTION("""COMPUTED_VALUE"""),20.0)</f>
        <v>20</v>
      </c>
      <c r="J531" s="1">
        <f>IFERROR(__xludf.DUMMYFUNCTION("""COMPUTED_VALUE"""),87.0)</f>
        <v>87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 t="str">
        <f>IFERROR(__xludf.DUMMYFUNCTION("""COMPUTED_VALUE"""),"C")</f>
        <v>C</v>
      </c>
      <c r="E532" s="1">
        <f>IFERROR(__xludf.DUMMYFUNCTION("""COMPUTED_VALUE"""),92.0)</f>
        <v>92</v>
      </c>
      <c r="F532" s="1">
        <f>IFERROR(__xludf.DUMMYFUNCTION("""COMPUTED_VALUE"""),85.0)</f>
        <v>85</v>
      </c>
      <c r="G532" s="1">
        <f>IFERROR(__xludf.DUMMYFUNCTION("""COMPUTED_VALUE"""),83.0)</f>
        <v>83</v>
      </c>
      <c r="H532" s="1">
        <f>IFERROR(__xludf.DUMMYFUNCTION("""COMPUTED_VALUE"""),29.0)</f>
        <v>29</v>
      </c>
      <c r="I532" s="1">
        <f>IFERROR(__xludf.DUMMYFUNCTION("""COMPUTED_VALUE"""),62.0)</f>
        <v>62</v>
      </c>
      <c r="J532" s="1">
        <f>IFERROR(__xludf.DUMMYFUNCTION("""COMPUTED_VALUE"""),70.0)</f>
        <v>70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 t="str">
        <f>IFERROR(__xludf.DUMMYFUNCTION("""COMPUTED_VALUE"""),"C")</f>
        <v>C</v>
      </c>
      <c r="E533" s="1">
        <f>IFERROR(__xludf.DUMMYFUNCTION("""COMPUTED_VALUE"""),29.0)</f>
        <v>29</v>
      </c>
      <c r="F533" s="1">
        <f>IFERROR(__xludf.DUMMYFUNCTION("""COMPUTED_VALUE"""),71.0)</f>
        <v>71</v>
      </c>
      <c r="G533" s="1">
        <f>IFERROR(__xludf.DUMMYFUNCTION("""COMPUTED_VALUE"""),36.0)</f>
        <v>36</v>
      </c>
      <c r="H533" s="1">
        <f>IFERROR(__xludf.DUMMYFUNCTION("""COMPUTED_VALUE"""),94.0)</f>
        <v>94</v>
      </c>
      <c r="I533" s="1">
        <f>IFERROR(__xludf.DUMMYFUNCTION("""COMPUTED_VALUE"""),47.0)</f>
        <v>47</v>
      </c>
      <c r="J533" s="1">
        <f>IFERROR(__xludf.DUMMYFUNCTION("""COMPUTED_VALUE"""),25.0)</f>
        <v>25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 t="str">
        <f>IFERROR(__xludf.DUMMYFUNCTION("""COMPUTED_VALUE"""),"B")</f>
        <v>B</v>
      </c>
      <c r="E534" s="1">
        <f>IFERROR(__xludf.DUMMYFUNCTION("""COMPUTED_VALUE"""),47.0)</f>
        <v>47</v>
      </c>
      <c r="F534" s="1">
        <f>IFERROR(__xludf.DUMMYFUNCTION("""COMPUTED_VALUE"""),29.0)</f>
        <v>29</v>
      </c>
      <c r="G534" s="1">
        <f>IFERROR(__xludf.DUMMYFUNCTION("""COMPUTED_VALUE"""),58.0)</f>
        <v>58</v>
      </c>
      <c r="H534" s="1">
        <f>IFERROR(__xludf.DUMMYFUNCTION("""COMPUTED_VALUE"""),83.0)</f>
        <v>83</v>
      </c>
      <c r="I534" s="1">
        <f>IFERROR(__xludf.DUMMYFUNCTION("""COMPUTED_VALUE"""),59.0)</f>
        <v>59</v>
      </c>
      <c r="J534" s="1">
        <f>IFERROR(__xludf.DUMMYFUNCTION("""COMPUTED_VALUE"""),25.0)</f>
        <v>25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 t="str">
        <f>IFERROR(__xludf.DUMMYFUNCTION("""COMPUTED_VALUE"""),"B")</f>
        <v>B</v>
      </c>
      <c r="E535" s="1">
        <f>IFERROR(__xludf.DUMMYFUNCTION("""COMPUTED_VALUE"""),55.0)</f>
        <v>55</v>
      </c>
      <c r="F535" s="1">
        <f>IFERROR(__xludf.DUMMYFUNCTION("""COMPUTED_VALUE"""),82.0)</f>
        <v>82</v>
      </c>
      <c r="G535" s="1">
        <f>IFERROR(__xludf.DUMMYFUNCTION("""COMPUTED_VALUE"""),80.0)</f>
        <v>80</v>
      </c>
      <c r="H535" s="1">
        <f>IFERROR(__xludf.DUMMYFUNCTION("""COMPUTED_VALUE"""),64.0)</f>
        <v>64</v>
      </c>
      <c r="I535" s="1">
        <f>IFERROR(__xludf.DUMMYFUNCTION("""COMPUTED_VALUE"""),76.0)</f>
        <v>76</v>
      </c>
      <c r="J535" s="1">
        <f>IFERROR(__xludf.DUMMYFUNCTION("""COMPUTED_VALUE"""),54.0)</f>
        <v>54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 t="str">
        <f>IFERROR(__xludf.DUMMYFUNCTION("""COMPUTED_VALUE"""),"B")</f>
        <v>B</v>
      </c>
      <c r="E536" s="1">
        <f>IFERROR(__xludf.DUMMYFUNCTION("""COMPUTED_VALUE"""),79.0)</f>
        <v>79</v>
      </c>
      <c r="F536" s="1">
        <f>IFERROR(__xludf.DUMMYFUNCTION("""COMPUTED_VALUE"""),51.0)</f>
        <v>51</v>
      </c>
      <c r="G536" s="1">
        <f>IFERROR(__xludf.DUMMYFUNCTION("""COMPUTED_VALUE"""),72.0)</f>
        <v>72</v>
      </c>
      <c r="H536" s="1">
        <f>IFERROR(__xludf.DUMMYFUNCTION("""COMPUTED_VALUE"""),39.0)</f>
        <v>39</v>
      </c>
      <c r="I536" s="1">
        <f>IFERROR(__xludf.DUMMYFUNCTION("""COMPUTED_VALUE"""),72.0)</f>
        <v>72</v>
      </c>
      <c r="J536" s="1">
        <f>IFERROR(__xludf.DUMMYFUNCTION("""COMPUTED_VALUE"""),38.0)</f>
        <v>38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 t="str">
        <f>IFERROR(__xludf.DUMMYFUNCTION("""COMPUTED_VALUE"""),"D")</f>
        <v>D</v>
      </c>
      <c r="E537" s="1">
        <f>IFERROR(__xludf.DUMMYFUNCTION("""COMPUTED_VALUE"""),65.0)</f>
        <v>65</v>
      </c>
      <c r="F537" s="1">
        <f>IFERROR(__xludf.DUMMYFUNCTION("""COMPUTED_VALUE"""),84.0)</f>
        <v>84</v>
      </c>
      <c r="G537" s="1">
        <f>IFERROR(__xludf.DUMMYFUNCTION("""COMPUTED_VALUE"""),24.0)</f>
        <v>24</v>
      </c>
      <c r="H537" s="1">
        <f>IFERROR(__xludf.DUMMYFUNCTION("""COMPUTED_VALUE"""),97.0)</f>
        <v>97</v>
      </c>
      <c r="I537" s="1">
        <f>IFERROR(__xludf.DUMMYFUNCTION("""COMPUTED_VALUE"""),23.0)</f>
        <v>23</v>
      </c>
      <c r="J537" s="1">
        <f>IFERROR(__xludf.DUMMYFUNCTION("""COMPUTED_VALUE"""),46.0)</f>
        <v>46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 t="str">
        <f>IFERROR(__xludf.DUMMYFUNCTION("""COMPUTED_VALUE"""),"D")</f>
        <v>D</v>
      </c>
      <c r="E538" s="1">
        <f>IFERROR(__xludf.DUMMYFUNCTION("""COMPUTED_VALUE"""),34.0)</f>
        <v>34</v>
      </c>
      <c r="F538" s="1">
        <f>IFERROR(__xludf.DUMMYFUNCTION("""COMPUTED_VALUE"""),90.0)</f>
        <v>90</v>
      </c>
      <c r="G538" s="1">
        <f>IFERROR(__xludf.DUMMYFUNCTION("""COMPUTED_VALUE"""),74.0)</f>
        <v>74</v>
      </c>
      <c r="H538" s="1">
        <f>IFERROR(__xludf.DUMMYFUNCTION("""COMPUTED_VALUE"""),34.0)</f>
        <v>34</v>
      </c>
      <c r="I538" s="1">
        <f>IFERROR(__xludf.DUMMYFUNCTION("""COMPUTED_VALUE"""),64.0)</f>
        <v>64</v>
      </c>
      <c r="J538" s="1">
        <f>IFERROR(__xludf.DUMMYFUNCTION("""COMPUTED_VALUE"""),44.0)</f>
        <v>44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 t="str">
        <f>IFERROR(__xludf.DUMMYFUNCTION("""COMPUTED_VALUE"""),"D")</f>
        <v>D</v>
      </c>
      <c r="E539" s="1">
        <f>IFERROR(__xludf.DUMMYFUNCTION("""COMPUTED_VALUE"""),37.0)</f>
        <v>37</v>
      </c>
      <c r="F539" s="1">
        <f>IFERROR(__xludf.DUMMYFUNCTION("""COMPUTED_VALUE"""),76.0)</f>
        <v>76</v>
      </c>
      <c r="G539" s="1">
        <f>IFERROR(__xludf.DUMMYFUNCTION("""COMPUTED_VALUE"""),65.0)</f>
        <v>65</v>
      </c>
      <c r="H539" s="1">
        <f>IFERROR(__xludf.DUMMYFUNCTION("""COMPUTED_VALUE"""),45.0)</f>
        <v>45</v>
      </c>
      <c r="I539" s="1">
        <f>IFERROR(__xludf.DUMMYFUNCTION("""COMPUTED_VALUE"""),45.0)</f>
        <v>45</v>
      </c>
      <c r="J539" s="1">
        <f>IFERROR(__xludf.DUMMYFUNCTION("""COMPUTED_VALUE"""),80.0)</f>
        <v>80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 t="str">
        <f>IFERROR(__xludf.DUMMYFUNCTION("""COMPUTED_VALUE"""),"D")</f>
        <v>D</v>
      </c>
      <c r="E540" s="1">
        <f>IFERROR(__xludf.DUMMYFUNCTION("""COMPUTED_VALUE"""),53.0)</f>
        <v>53</v>
      </c>
      <c r="F540" s="1">
        <f>IFERROR(__xludf.DUMMYFUNCTION("""COMPUTED_VALUE"""),32.0)</f>
        <v>32</v>
      </c>
      <c r="G540" s="1">
        <f>IFERROR(__xludf.DUMMYFUNCTION("""COMPUTED_VALUE"""),68.0)</f>
        <v>68</v>
      </c>
      <c r="H540" s="1">
        <f>IFERROR(__xludf.DUMMYFUNCTION("""COMPUTED_VALUE"""),98.0)</f>
        <v>98</v>
      </c>
      <c r="I540" s="1">
        <f>IFERROR(__xludf.DUMMYFUNCTION("""COMPUTED_VALUE"""),55.0)</f>
        <v>55</v>
      </c>
      <c r="J540" s="1">
        <f>IFERROR(__xludf.DUMMYFUNCTION("""COMPUTED_VALUE"""),90.0)</f>
        <v>90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 t="str">
        <f>IFERROR(__xludf.DUMMYFUNCTION("""COMPUTED_VALUE"""),"D")</f>
        <v>D</v>
      </c>
      <c r="E541" s="1">
        <f>IFERROR(__xludf.DUMMYFUNCTION("""COMPUTED_VALUE"""),27.0)</f>
        <v>27</v>
      </c>
      <c r="F541" s="1">
        <f>IFERROR(__xludf.DUMMYFUNCTION("""COMPUTED_VALUE"""),89.0)</f>
        <v>89</v>
      </c>
      <c r="G541" s="1">
        <f>IFERROR(__xludf.DUMMYFUNCTION("""COMPUTED_VALUE"""),78.0)</f>
        <v>78</v>
      </c>
      <c r="H541" s="1">
        <f>IFERROR(__xludf.DUMMYFUNCTION("""COMPUTED_VALUE"""),48.0)</f>
        <v>48</v>
      </c>
      <c r="I541" s="1">
        <f>IFERROR(__xludf.DUMMYFUNCTION("""COMPUTED_VALUE"""),25.0)</f>
        <v>25</v>
      </c>
      <c r="J541" s="1">
        <f>IFERROR(__xludf.DUMMYFUNCTION("""COMPUTED_VALUE"""),48.0)</f>
        <v>48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 t="str">
        <f>IFERROR(__xludf.DUMMYFUNCTION("""COMPUTED_VALUE"""),"A")</f>
        <v>A</v>
      </c>
      <c r="E542" s="1">
        <f>IFERROR(__xludf.DUMMYFUNCTION("""COMPUTED_VALUE"""),79.0)</f>
        <v>79</v>
      </c>
      <c r="F542" s="1">
        <f>IFERROR(__xludf.DUMMYFUNCTION("""COMPUTED_VALUE"""),77.0)</f>
        <v>77</v>
      </c>
      <c r="G542" s="1">
        <f>IFERROR(__xludf.DUMMYFUNCTION("""COMPUTED_VALUE"""),56.0)</f>
        <v>56</v>
      </c>
      <c r="H542" s="1">
        <f>IFERROR(__xludf.DUMMYFUNCTION("""COMPUTED_VALUE"""),55.0)</f>
        <v>55</v>
      </c>
      <c r="I542" s="1">
        <f>IFERROR(__xludf.DUMMYFUNCTION("""COMPUTED_VALUE"""),92.0)</f>
        <v>92</v>
      </c>
      <c r="J542" s="1">
        <f>IFERROR(__xludf.DUMMYFUNCTION("""COMPUTED_VALUE"""),90.0)</f>
        <v>90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 t="str">
        <f>IFERROR(__xludf.DUMMYFUNCTION("""COMPUTED_VALUE"""),"C")</f>
        <v>C</v>
      </c>
      <c r="E543" s="1">
        <f>IFERROR(__xludf.DUMMYFUNCTION("""COMPUTED_VALUE"""),87.0)</f>
        <v>87</v>
      </c>
      <c r="F543" s="1">
        <f>IFERROR(__xludf.DUMMYFUNCTION("""COMPUTED_VALUE"""),94.0)</f>
        <v>94</v>
      </c>
      <c r="G543" s="1">
        <f>IFERROR(__xludf.DUMMYFUNCTION("""COMPUTED_VALUE"""),49.0)</f>
        <v>49</v>
      </c>
      <c r="H543" s="1">
        <f>IFERROR(__xludf.DUMMYFUNCTION("""COMPUTED_VALUE"""),41.0)</f>
        <v>41</v>
      </c>
      <c r="I543" s="1">
        <f>IFERROR(__xludf.DUMMYFUNCTION("""COMPUTED_VALUE"""),98.0)</f>
        <v>98</v>
      </c>
      <c r="J543" s="1">
        <f>IFERROR(__xludf.DUMMYFUNCTION("""COMPUTED_VALUE"""),75.0)</f>
        <v>75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 t="str">
        <f>IFERROR(__xludf.DUMMYFUNCTION("""COMPUTED_VALUE"""),"D")</f>
        <v>D</v>
      </c>
      <c r="E544" s="1">
        <f>IFERROR(__xludf.DUMMYFUNCTION("""COMPUTED_VALUE"""),66.0)</f>
        <v>66</v>
      </c>
      <c r="F544" s="1">
        <f>IFERROR(__xludf.DUMMYFUNCTION("""COMPUTED_VALUE"""),50.0)</f>
        <v>50</v>
      </c>
      <c r="G544" s="1">
        <f>IFERROR(__xludf.DUMMYFUNCTION("""COMPUTED_VALUE"""),27.0)</f>
        <v>27</v>
      </c>
      <c r="H544" s="1">
        <f>IFERROR(__xludf.DUMMYFUNCTION("""COMPUTED_VALUE"""),84.0)</f>
        <v>84</v>
      </c>
      <c r="I544" s="1">
        <f>IFERROR(__xludf.DUMMYFUNCTION("""COMPUTED_VALUE"""),23.0)</f>
        <v>23</v>
      </c>
      <c r="J544" s="1">
        <f>IFERROR(__xludf.DUMMYFUNCTION("""COMPUTED_VALUE"""),86.0)</f>
        <v>86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 t="str">
        <f>IFERROR(__xludf.DUMMYFUNCTION("""COMPUTED_VALUE"""),"A")</f>
        <v>A</v>
      </c>
      <c r="E545" s="1">
        <f>IFERROR(__xludf.DUMMYFUNCTION("""COMPUTED_VALUE"""),22.0)</f>
        <v>22</v>
      </c>
      <c r="F545" s="1">
        <f>IFERROR(__xludf.DUMMYFUNCTION("""COMPUTED_VALUE"""),93.0)</f>
        <v>93</v>
      </c>
      <c r="G545" s="1">
        <f>IFERROR(__xludf.DUMMYFUNCTION("""COMPUTED_VALUE"""),72.0)</f>
        <v>72</v>
      </c>
      <c r="H545" s="1">
        <f>IFERROR(__xludf.DUMMYFUNCTION("""COMPUTED_VALUE"""),47.0)</f>
        <v>47</v>
      </c>
      <c r="I545" s="1">
        <f>IFERROR(__xludf.DUMMYFUNCTION("""COMPUTED_VALUE"""),83.0)</f>
        <v>83</v>
      </c>
      <c r="J545" s="1">
        <f>IFERROR(__xludf.DUMMYFUNCTION("""COMPUTED_VALUE"""),82.0)</f>
        <v>82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 t="str">
        <f>IFERROR(__xludf.DUMMYFUNCTION("""COMPUTED_VALUE"""),"C")</f>
        <v>C</v>
      </c>
      <c r="E546" s="1">
        <f>IFERROR(__xludf.DUMMYFUNCTION("""COMPUTED_VALUE"""),89.0)</f>
        <v>89</v>
      </c>
      <c r="F546" s="1">
        <f>IFERROR(__xludf.DUMMYFUNCTION("""COMPUTED_VALUE"""),92.0)</f>
        <v>92</v>
      </c>
      <c r="G546" s="1">
        <f>IFERROR(__xludf.DUMMYFUNCTION("""COMPUTED_VALUE"""),35.0)</f>
        <v>35</v>
      </c>
      <c r="H546" s="1">
        <f>IFERROR(__xludf.DUMMYFUNCTION("""COMPUTED_VALUE"""),46.0)</f>
        <v>46</v>
      </c>
      <c r="I546" s="1">
        <f>IFERROR(__xludf.DUMMYFUNCTION("""COMPUTED_VALUE"""),24.0)</f>
        <v>24</v>
      </c>
      <c r="J546" s="1">
        <f>IFERROR(__xludf.DUMMYFUNCTION("""COMPUTED_VALUE"""),57.0)</f>
        <v>57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 t="str">
        <f>IFERROR(__xludf.DUMMYFUNCTION("""COMPUTED_VALUE"""),"A")</f>
        <v>A</v>
      </c>
      <c r="E547" s="1">
        <f>IFERROR(__xludf.DUMMYFUNCTION("""COMPUTED_VALUE"""),22.0)</f>
        <v>22</v>
      </c>
      <c r="F547" s="1">
        <f>IFERROR(__xludf.DUMMYFUNCTION("""COMPUTED_VALUE"""),80.0)</f>
        <v>80</v>
      </c>
      <c r="G547" s="1">
        <f>IFERROR(__xludf.DUMMYFUNCTION("""COMPUTED_VALUE"""),61.0)</f>
        <v>61</v>
      </c>
      <c r="H547" s="1">
        <f>IFERROR(__xludf.DUMMYFUNCTION("""COMPUTED_VALUE"""),97.0)</f>
        <v>97</v>
      </c>
      <c r="I547" s="1">
        <f>IFERROR(__xludf.DUMMYFUNCTION("""COMPUTED_VALUE"""),33.0)</f>
        <v>33</v>
      </c>
      <c r="J547" s="1">
        <f>IFERROR(__xludf.DUMMYFUNCTION("""COMPUTED_VALUE"""),48.0)</f>
        <v>48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 t="str">
        <f>IFERROR(__xludf.DUMMYFUNCTION("""COMPUTED_VALUE"""),"C")</f>
        <v>C</v>
      </c>
      <c r="E548" s="1">
        <f>IFERROR(__xludf.DUMMYFUNCTION("""COMPUTED_VALUE"""),16.0)</f>
        <v>16</v>
      </c>
      <c r="F548" s="1">
        <f>IFERROR(__xludf.DUMMYFUNCTION("""COMPUTED_VALUE"""),59.0)</f>
        <v>59</v>
      </c>
      <c r="G548" s="1">
        <f>IFERROR(__xludf.DUMMYFUNCTION("""COMPUTED_VALUE"""),38.0)</f>
        <v>38</v>
      </c>
      <c r="H548" s="1">
        <f>IFERROR(__xludf.DUMMYFUNCTION("""COMPUTED_VALUE"""),96.0)</f>
        <v>96</v>
      </c>
      <c r="I548" s="1">
        <f>IFERROR(__xludf.DUMMYFUNCTION("""COMPUTED_VALUE"""),21.0)</f>
        <v>21</v>
      </c>
      <c r="J548" s="1">
        <f>IFERROR(__xludf.DUMMYFUNCTION("""COMPUTED_VALUE"""),78.0)</f>
        <v>78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 t="str">
        <f>IFERROR(__xludf.DUMMYFUNCTION("""COMPUTED_VALUE"""),"A")</f>
        <v>A</v>
      </c>
      <c r="E549" s="1">
        <f>IFERROR(__xludf.DUMMYFUNCTION("""COMPUTED_VALUE"""),99.0)</f>
        <v>99</v>
      </c>
      <c r="F549" s="1">
        <f>IFERROR(__xludf.DUMMYFUNCTION("""COMPUTED_VALUE"""),52.0)</f>
        <v>52</v>
      </c>
      <c r="G549" s="1">
        <f>IFERROR(__xludf.DUMMYFUNCTION("""COMPUTED_VALUE"""),67.0)</f>
        <v>67</v>
      </c>
      <c r="H549" s="1">
        <f>IFERROR(__xludf.DUMMYFUNCTION("""COMPUTED_VALUE"""),53.0)</f>
        <v>53</v>
      </c>
      <c r="I549" s="1">
        <f>IFERROR(__xludf.DUMMYFUNCTION("""COMPUTED_VALUE"""),95.0)</f>
        <v>95</v>
      </c>
      <c r="J549" s="1">
        <f>IFERROR(__xludf.DUMMYFUNCTION("""COMPUTED_VALUE"""),29.0)</f>
        <v>29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 t="str">
        <f>IFERROR(__xludf.DUMMYFUNCTION("""COMPUTED_VALUE"""),"A")</f>
        <v>A</v>
      </c>
      <c r="E550" s="1">
        <f>IFERROR(__xludf.DUMMYFUNCTION("""COMPUTED_VALUE"""),87.0)</f>
        <v>87</v>
      </c>
      <c r="F550" s="1">
        <f>IFERROR(__xludf.DUMMYFUNCTION("""COMPUTED_VALUE"""),47.0)</f>
        <v>47</v>
      </c>
      <c r="G550" s="1">
        <f>IFERROR(__xludf.DUMMYFUNCTION("""COMPUTED_VALUE"""),76.0)</f>
        <v>76</v>
      </c>
      <c r="H550" s="1">
        <f>IFERROR(__xludf.DUMMYFUNCTION("""COMPUTED_VALUE"""),55.0)</f>
        <v>55</v>
      </c>
      <c r="I550" s="1">
        <f>IFERROR(__xludf.DUMMYFUNCTION("""COMPUTED_VALUE"""),43.0)</f>
        <v>43</v>
      </c>
      <c r="J550" s="1">
        <f>IFERROR(__xludf.DUMMYFUNCTION("""COMPUTED_VALUE"""),46.0)</f>
        <v>46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 t="str">
        <f>IFERROR(__xludf.DUMMYFUNCTION("""COMPUTED_VALUE"""),"A")</f>
        <v>A</v>
      </c>
      <c r="E551" s="1">
        <f>IFERROR(__xludf.DUMMYFUNCTION("""COMPUTED_VALUE"""),33.0)</f>
        <v>33</v>
      </c>
      <c r="F551" s="1">
        <f>IFERROR(__xludf.DUMMYFUNCTION("""COMPUTED_VALUE"""),28.0)</f>
        <v>28</v>
      </c>
      <c r="G551" s="1">
        <f>IFERROR(__xludf.DUMMYFUNCTION("""COMPUTED_VALUE"""),51.0)</f>
        <v>51</v>
      </c>
      <c r="H551" s="1">
        <f>IFERROR(__xludf.DUMMYFUNCTION("""COMPUTED_VALUE"""),69.0)</f>
        <v>69</v>
      </c>
      <c r="I551" s="1">
        <f>IFERROR(__xludf.DUMMYFUNCTION("""COMPUTED_VALUE"""),66.0)</f>
        <v>66</v>
      </c>
      <c r="J551" s="1">
        <f>IFERROR(__xludf.DUMMYFUNCTION("""COMPUTED_VALUE"""),72.0)</f>
        <v>72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 t="str">
        <f>IFERROR(__xludf.DUMMYFUNCTION("""COMPUTED_VALUE"""),"A")</f>
        <v>A</v>
      </c>
      <c r="E552" s="1">
        <f>IFERROR(__xludf.DUMMYFUNCTION("""COMPUTED_VALUE"""),98.0)</f>
        <v>98</v>
      </c>
      <c r="F552" s="1">
        <f>IFERROR(__xludf.DUMMYFUNCTION("""COMPUTED_VALUE"""),96.0)</f>
        <v>96</v>
      </c>
      <c r="G552" s="1">
        <f>IFERROR(__xludf.DUMMYFUNCTION("""COMPUTED_VALUE"""),53.0)</f>
        <v>53</v>
      </c>
      <c r="H552" s="1">
        <f>IFERROR(__xludf.DUMMYFUNCTION("""COMPUTED_VALUE"""),67.0)</f>
        <v>67</v>
      </c>
      <c r="I552" s="1">
        <f>IFERROR(__xludf.DUMMYFUNCTION("""COMPUTED_VALUE"""),23.0)</f>
        <v>23</v>
      </c>
      <c r="J552" s="1">
        <f>IFERROR(__xludf.DUMMYFUNCTION("""COMPUTED_VALUE"""),78.0)</f>
        <v>78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 t="str">
        <f>IFERROR(__xludf.DUMMYFUNCTION("""COMPUTED_VALUE"""),"D")</f>
        <v>D</v>
      </c>
      <c r="E553" s="1">
        <f>IFERROR(__xludf.DUMMYFUNCTION("""COMPUTED_VALUE"""),98.0)</f>
        <v>98</v>
      </c>
      <c r="F553" s="1">
        <f>IFERROR(__xludf.DUMMYFUNCTION("""COMPUTED_VALUE"""),93.0)</f>
        <v>93</v>
      </c>
      <c r="G553" s="1">
        <f>IFERROR(__xludf.DUMMYFUNCTION("""COMPUTED_VALUE"""),85.0)</f>
        <v>85</v>
      </c>
      <c r="H553" s="1">
        <f>IFERROR(__xludf.DUMMYFUNCTION("""COMPUTED_VALUE"""),98.0)</f>
        <v>98</v>
      </c>
      <c r="I553" s="1">
        <f>IFERROR(__xludf.DUMMYFUNCTION("""COMPUTED_VALUE"""),32.0)</f>
        <v>32</v>
      </c>
      <c r="J553" s="1">
        <f>IFERROR(__xludf.DUMMYFUNCTION("""COMPUTED_VALUE"""),39.0)</f>
        <v>39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 t="str">
        <f>IFERROR(__xludf.DUMMYFUNCTION("""COMPUTED_VALUE"""),"D")</f>
        <v>D</v>
      </c>
      <c r="E554" s="1">
        <f>IFERROR(__xludf.DUMMYFUNCTION("""COMPUTED_VALUE"""),35.0)</f>
        <v>35</v>
      </c>
      <c r="F554" s="1">
        <f>IFERROR(__xludf.DUMMYFUNCTION("""COMPUTED_VALUE"""),91.0)</f>
        <v>91</v>
      </c>
      <c r="G554" s="1">
        <f>IFERROR(__xludf.DUMMYFUNCTION("""COMPUTED_VALUE"""),90.0)</f>
        <v>90</v>
      </c>
      <c r="H554" s="1">
        <f>IFERROR(__xludf.DUMMYFUNCTION("""COMPUTED_VALUE"""),70.0)</f>
        <v>70</v>
      </c>
      <c r="I554" s="1">
        <f>IFERROR(__xludf.DUMMYFUNCTION("""COMPUTED_VALUE"""),53.0)</f>
        <v>53</v>
      </c>
      <c r="J554" s="1">
        <f>IFERROR(__xludf.DUMMYFUNCTION("""COMPUTED_VALUE"""),48.0)</f>
        <v>48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 t="str">
        <f>IFERROR(__xludf.DUMMYFUNCTION("""COMPUTED_VALUE"""),"B")</f>
        <v>B</v>
      </c>
      <c r="E555" s="1">
        <f>IFERROR(__xludf.DUMMYFUNCTION("""COMPUTED_VALUE"""),87.0)</f>
        <v>87</v>
      </c>
      <c r="F555" s="1">
        <f>IFERROR(__xludf.DUMMYFUNCTION("""COMPUTED_VALUE"""),87.0)</f>
        <v>87</v>
      </c>
      <c r="G555" s="1">
        <f>IFERROR(__xludf.DUMMYFUNCTION("""COMPUTED_VALUE"""),52.0)</f>
        <v>52</v>
      </c>
      <c r="H555" s="1">
        <f>IFERROR(__xludf.DUMMYFUNCTION("""COMPUTED_VALUE"""),62.0)</f>
        <v>62</v>
      </c>
      <c r="I555" s="1">
        <f>IFERROR(__xludf.DUMMYFUNCTION("""COMPUTED_VALUE"""),85.0)</f>
        <v>85</v>
      </c>
      <c r="J555" s="1">
        <f>IFERROR(__xludf.DUMMYFUNCTION("""COMPUTED_VALUE"""),35.0)</f>
        <v>35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 t="str">
        <f>IFERROR(__xludf.DUMMYFUNCTION("""COMPUTED_VALUE"""),"D")</f>
        <v>D</v>
      </c>
      <c r="E556" s="1">
        <f>IFERROR(__xludf.DUMMYFUNCTION("""COMPUTED_VALUE"""),40.0)</f>
        <v>40</v>
      </c>
      <c r="F556" s="1">
        <f>IFERROR(__xludf.DUMMYFUNCTION("""COMPUTED_VALUE"""),33.0)</f>
        <v>33</v>
      </c>
      <c r="G556" s="1">
        <f>IFERROR(__xludf.DUMMYFUNCTION("""COMPUTED_VALUE"""),82.0)</f>
        <v>82</v>
      </c>
      <c r="H556" s="1">
        <f>IFERROR(__xludf.DUMMYFUNCTION("""COMPUTED_VALUE"""),83.0)</f>
        <v>83</v>
      </c>
      <c r="I556" s="1">
        <f>IFERROR(__xludf.DUMMYFUNCTION("""COMPUTED_VALUE"""),39.0)</f>
        <v>39</v>
      </c>
      <c r="J556" s="1">
        <f>IFERROR(__xludf.DUMMYFUNCTION("""COMPUTED_VALUE"""),70.0)</f>
        <v>70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 t="str">
        <f>IFERROR(__xludf.DUMMYFUNCTION("""COMPUTED_VALUE"""),"B")</f>
        <v>B</v>
      </c>
      <c r="E557" s="1">
        <f>IFERROR(__xludf.DUMMYFUNCTION("""COMPUTED_VALUE"""),13.0)</f>
        <v>13</v>
      </c>
      <c r="F557" s="1">
        <f>IFERROR(__xludf.DUMMYFUNCTION("""COMPUTED_VALUE"""),79.0)</f>
        <v>79</v>
      </c>
      <c r="G557" s="1">
        <f>IFERROR(__xludf.DUMMYFUNCTION("""COMPUTED_VALUE"""),77.0)</f>
        <v>77</v>
      </c>
      <c r="H557" s="1">
        <f>IFERROR(__xludf.DUMMYFUNCTION("""COMPUTED_VALUE"""),92.0)</f>
        <v>92</v>
      </c>
      <c r="I557" s="1">
        <f>IFERROR(__xludf.DUMMYFUNCTION("""COMPUTED_VALUE"""),20.0)</f>
        <v>20</v>
      </c>
      <c r="J557" s="1">
        <f>IFERROR(__xludf.DUMMYFUNCTION("""COMPUTED_VALUE"""),24.0)</f>
        <v>24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 t="str">
        <f>IFERROR(__xludf.DUMMYFUNCTION("""COMPUTED_VALUE"""),"B")</f>
        <v>B</v>
      </c>
      <c r="E558" s="1">
        <f>IFERROR(__xludf.DUMMYFUNCTION("""COMPUTED_VALUE"""),69.0)</f>
        <v>69</v>
      </c>
      <c r="F558" s="1">
        <f>IFERROR(__xludf.DUMMYFUNCTION("""COMPUTED_VALUE"""),32.0)</f>
        <v>32</v>
      </c>
      <c r="G558" s="1">
        <f>IFERROR(__xludf.DUMMYFUNCTION("""COMPUTED_VALUE"""),61.0)</f>
        <v>61</v>
      </c>
      <c r="H558" s="1">
        <f>IFERROR(__xludf.DUMMYFUNCTION("""COMPUTED_VALUE"""),57.0)</f>
        <v>57</v>
      </c>
      <c r="I558" s="1">
        <f>IFERROR(__xludf.DUMMYFUNCTION("""COMPUTED_VALUE"""),88.0)</f>
        <v>88</v>
      </c>
      <c r="J558" s="1">
        <f>IFERROR(__xludf.DUMMYFUNCTION("""COMPUTED_VALUE"""),61.0)</f>
        <v>61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 t="str">
        <f>IFERROR(__xludf.DUMMYFUNCTION("""COMPUTED_VALUE"""),"A")</f>
        <v>A</v>
      </c>
      <c r="E559" s="1">
        <f>IFERROR(__xludf.DUMMYFUNCTION("""COMPUTED_VALUE"""),83.0)</f>
        <v>83</v>
      </c>
      <c r="F559" s="1">
        <f>IFERROR(__xludf.DUMMYFUNCTION("""COMPUTED_VALUE"""),62.0)</f>
        <v>62</v>
      </c>
      <c r="G559" s="1">
        <f>IFERROR(__xludf.DUMMYFUNCTION("""COMPUTED_VALUE"""),87.0)</f>
        <v>87</v>
      </c>
      <c r="H559" s="1">
        <f>IFERROR(__xludf.DUMMYFUNCTION("""COMPUTED_VALUE"""),69.0)</f>
        <v>69</v>
      </c>
      <c r="I559" s="1">
        <f>IFERROR(__xludf.DUMMYFUNCTION("""COMPUTED_VALUE"""),35.0)</f>
        <v>35</v>
      </c>
      <c r="J559" s="1">
        <f>IFERROR(__xludf.DUMMYFUNCTION("""COMPUTED_VALUE"""),27.0)</f>
        <v>27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 t="str">
        <f>IFERROR(__xludf.DUMMYFUNCTION("""COMPUTED_VALUE"""),"C")</f>
        <v>C</v>
      </c>
      <c r="E560" s="1">
        <f>IFERROR(__xludf.DUMMYFUNCTION("""COMPUTED_VALUE"""),63.0)</f>
        <v>63</v>
      </c>
      <c r="F560" s="1">
        <f>IFERROR(__xludf.DUMMYFUNCTION("""COMPUTED_VALUE"""),34.0)</f>
        <v>34</v>
      </c>
      <c r="G560" s="1">
        <f>IFERROR(__xludf.DUMMYFUNCTION("""COMPUTED_VALUE"""),27.0)</f>
        <v>27</v>
      </c>
      <c r="H560" s="1">
        <f>IFERROR(__xludf.DUMMYFUNCTION("""COMPUTED_VALUE"""),50.0)</f>
        <v>50</v>
      </c>
      <c r="I560" s="1">
        <f>IFERROR(__xludf.DUMMYFUNCTION("""COMPUTED_VALUE"""),90.0)</f>
        <v>90</v>
      </c>
      <c r="J560" s="1">
        <f>IFERROR(__xludf.DUMMYFUNCTION("""COMPUTED_VALUE"""),66.0)</f>
        <v>66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 t="str">
        <f>IFERROR(__xludf.DUMMYFUNCTION("""COMPUTED_VALUE"""),"D")</f>
        <v>D</v>
      </c>
      <c r="E561" s="1">
        <f>IFERROR(__xludf.DUMMYFUNCTION("""COMPUTED_VALUE"""),12.0)</f>
        <v>12</v>
      </c>
      <c r="F561" s="1">
        <f>IFERROR(__xludf.DUMMYFUNCTION("""COMPUTED_VALUE"""),23.0)</f>
        <v>23</v>
      </c>
      <c r="G561" s="1">
        <f>IFERROR(__xludf.DUMMYFUNCTION("""COMPUTED_VALUE"""),90.0)</f>
        <v>90</v>
      </c>
      <c r="H561" s="1">
        <f>IFERROR(__xludf.DUMMYFUNCTION("""COMPUTED_VALUE"""),24.0)</f>
        <v>24</v>
      </c>
      <c r="I561" s="1">
        <f>IFERROR(__xludf.DUMMYFUNCTION("""COMPUTED_VALUE"""),66.0)</f>
        <v>66</v>
      </c>
      <c r="J561" s="1">
        <f>IFERROR(__xludf.DUMMYFUNCTION("""COMPUTED_VALUE"""),33.0)</f>
        <v>33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 t="str">
        <f>IFERROR(__xludf.DUMMYFUNCTION("""COMPUTED_VALUE"""),"B")</f>
        <v>B</v>
      </c>
      <c r="E562" s="1">
        <f>IFERROR(__xludf.DUMMYFUNCTION("""COMPUTED_VALUE"""),35.0)</f>
        <v>35</v>
      </c>
      <c r="F562" s="1">
        <f>IFERROR(__xludf.DUMMYFUNCTION("""COMPUTED_VALUE"""),47.0)</f>
        <v>47</v>
      </c>
      <c r="G562" s="1">
        <f>IFERROR(__xludf.DUMMYFUNCTION("""COMPUTED_VALUE"""),62.0)</f>
        <v>62</v>
      </c>
      <c r="H562" s="1">
        <f>IFERROR(__xludf.DUMMYFUNCTION("""COMPUTED_VALUE"""),67.0)</f>
        <v>67</v>
      </c>
      <c r="I562" s="1">
        <f>IFERROR(__xludf.DUMMYFUNCTION("""COMPUTED_VALUE"""),97.0)</f>
        <v>97</v>
      </c>
      <c r="J562" s="1">
        <f>IFERROR(__xludf.DUMMYFUNCTION("""COMPUTED_VALUE"""),67.0)</f>
        <v>67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 t="str">
        <f>IFERROR(__xludf.DUMMYFUNCTION("""COMPUTED_VALUE"""),"C")</f>
        <v>C</v>
      </c>
      <c r="E563" s="1">
        <f>IFERROR(__xludf.DUMMYFUNCTION("""COMPUTED_VALUE"""),17.0)</f>
        <v>17</v>
      </c>
      <c r="F563" s="1">
        <f>IFERROR(__xludf.DUMMYFUNCTION("""COMPUTED_VALUE"""),59.0)</f>
        <v>59</v>
      </c>
      <c r="G563" s="1">
        <f>IFERROR(__xludf.DUMMYFUNCTION("""COMPUTED_VALUE"""),98.0)</f>
        <v>98</v>
      </c>
      <c r="H563" s="1">
        <f>IFERROR(__xludf.DUMMYFUNCTION("""COMPUTED_VALUE"""),34.0)</f>
        <v>34</v>
      </c>
      <c r="I563" s="1">
        <f>IFERROR(__xludf.DUMMYFUNCTION("""COMPUTED_VALUE"""),71.0)</f>
        <v>71</v>
      </c>
      <c r="J563" s="1">
        <f>IFERROR(__xludf.DUMMYFUNCTION("""COMPUTED_VALUE"""),44.0)</f>
        <v>44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 t="str">
        <f>IFERROR(__xludf.DUMMYFUNCTION("""COMPUTED_VALUE"""),"B")</f>
        <v>B</v>
      </c>
      <c r="E564" s="1">
        <f>IFERROR(__xludf.DUMMYFUNCTION("""COMPUTED_VALUE"""),71.0)</f>
        <v>71</v>
      </c>
      <c r="F564" s="1">
        <f>IFERROR(__xludf.DUMMYFUNCTION("""COMPUTED_VALUE"""),47.0)</f>
        <v>47</v>
      </c>
      <c r="G564" s="1">
        <f>IFERROR(__xludf.DUMMYFUNCTION("""COMPUTED_VALUE"""),67.0)</f>
        <v>67</v>
      </c>
      <c r="H564" s="1">
        <f>IFERROR(__xludf.DUMMYFUNCTION("""COMPUTED_VALUE"""),40.0)</f>
        <v>40</v>
      </c>
      <c r="I564" s="1">
        <f>IFERROR(__xludf.DUMMYFUNCTION("""COMPUTED_VALUE"""),20.0)</f>
        <v>20</v>
      </c>
      <c r="J564" s="1">
        <f>IFERROR(__xludf.DUMMYFUNCTION("""COMPUTED_VALUE"""),74.0)</f>
        <v>74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 t="str">
        <f>IFERROR(__xludf.DUMMYFUNCTION("""COMPUTED_VALUE"""),"C")</f>
        <v>C</v>
      </c>
      <c r="E565" s="1">
        <f>IFERROR(__xludf.DUMMYFUNCTION("""COMPUTED_VALUE"""),21.0)</f>
        <v>21</v>
      </c>
      <c r="F565" s="1">
        <f>IFERROR(__xludf.DUMMYFUNCTION("""COMPUTED_VALUE"""),61.0)</f>
        <v>61</v>
      </c>
      <c r="G565" s="1">
        <f>IFERROR(__xludf.DUMMYFUNCTION("""COMPUTED_VALUE"""),60.0)</f>
        <v>60</v>
      </c>
      <c r="H565" s="1">
        <f>IFERROR(__xludf.DUMMYFUNCTION("""COMPUTED_VALUE"""),91.0)</f>
        <v>91</v>
      </c>
      <c r="I565" s="1">
        <f>IFERROR(__xludf.DUMMYFUNCTION("""COMPUTED_VALUE"""),43.0)</f>
        <v>43</v>
      </c>
      <c r="J565" s="1">
        <f>IFERROR(__xludf.DUMMYFUNCTION("""COMPUTED_VALUE"""),75.0)</f>
        <v>75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 t="str">
        <f>IFERROR(__xludf.DUMMYFUNCTION("""COMPUTED_VALUE"""),"A")</f>
        <v>A</v>
      </c>
      <c r="E566" s="1">
        <f>IFERROR(__xludf.DUMMYFUNCTION("""COMPUTED_VALUE"""),39.0)</f>
        <v>39</v>
      </c>
      <c r="F566" s="1">
        <f>IFERROR(__xludf.DUMMYFUNCTION("""COMPUTED_VALUE"""),57.0)</f>
        <v>57</v>
      </c>
      <c r="G566" s="1">
        <f>IFERROR(__xludf.DUMMYFUNCTION("""COMPUTED_VALUE"""),23.0)</f>
        <v>23</v>
      </c>
      <c r="H566" s="1">
        <f>IFERROR(__xludf.DUMMYFUNCTION("""COMPUTED_VALUE"""),87.0)</f>
        <v>87</v>
      </c>
      <c r="I566" s="1">
        <f>IFERROR(__xludf.DUMMYFUNCTION("""COMPUTED_VALUE"""),35.0)</f>
        <v>35</v>
      </c>
      <c r="J566" s="1">
        <f>IFERROR(__xludf.DUMMYFUNCTION("""COMPUTED_VALUE"""),88.0)</f>
        <v>88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 t="str">
        <f>IFERROR(__xludf.DUMMYFUNCTION("""COMPUTED_VALUE"""),"B")</f>
        <v>B</v>
      </c>
      <c r="E567" s="1">
        <f>IFERROR(__xludf.DUMMYFUNCTION("""COMPUTED_VALUE"""),84.0)</f>
        <v>84</v>
      </c>
      <c r="F567" s="1">
        <f>IFERROR(__xludf.DUMMYFUNCTION("""COMPUTED_VALUE"""),69.0)</f>
        <v>69</v>
      </c>
      <c r="G567" s="1">
        <f>IFERROR(__xludf.DUMMYFUNCTION("""COMPUTED_VALUE"""),22.0)</f>
        <v>22</v>
      </c>
      <c r="H567" s="1">
        <f>IFERROR(__xludf.DUMMYFUNCTION("""COMPUTED_VALUE"""),46.0)</f>
        <v>46</v>
      </c>
      <c r="I567" s="1">
        <f>IFERROR(__xludf.DUMMYFUNCTION("""COMPUTED_VALUE"""),23.0)</f>
        <v>23</v>
      </c>
      <c r="J567" s="1">
        <f>IFERROR(__xludf.DUMMYFUNCTION("""COMPUTED_VALUE"""),98.0)</f>
        <v>98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 t="str">
        <f>IFERROR(__xludf.DUMMYFUNCTION("""COMPUTED_VALUE"""),"D")</f>
        <v>D</v>
      </c>
      <c r="E568" s="1">
        <f>IFERROR(__xludf.DUMMYFUNCTION("""COMPUTED_VALUE"""),10.0)</f>
        <v>10</v>
      </c>
      <c r="F568" s="1">
        <f>IFERROR(__xludf.DUMMYFUNCTION("""COMPUTED_VALUE"""),84.0)</f>
        <v>84</v>
      </c>
      <c r="G568" s="1">
        <f>IFERROR(__xludf.DUMMYFUNCTION("""COMPUTED_VALUE"""),61.0)</f>
        <v>61</v>
      </c>
      <c r="H568" s="1">
        <f>IFERROR(__xludf.DUMMYFUNCTION("""COMPUTED_VALUE"""),30.0)</f>
        <v>30</v>
      </c>
      <c r="I568" s="1">
        <f>IFERROR(__xludf.DUMMYFUNCTION("""COMPUTED_VALUE"""),78.0)</f>
        <v>78</v>
      </c>
      <c r="J568" s="1">
        <f>IFERROR(__xludf.DUMMYFUNCTION("""COMPUTED_VALUE"""),34.0)</f>
        <v>34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 t="str">
        <f>IFERROR(__xludf.DUMMYFUNCTION("""COMPUTED_VALUE"""),"C")</f>
        <v>C</v>
      </c>
      <c r="E569" s="1">
        <f>IFERROR(__xludf.DUMMYFUNCTION("""COMPUTED_VALUE"""),36.0)</f>
        <v>36</v>
      </c>
      <c r="F569" s="1">
        <f>IFERROR(__xludf.DUMMYFUNCTION("""COMPUTED_VALUE"""),84.0)</f>
        <v>84</v>
      </c>
      <c r="G569" s="1">
        <f>IFERROR(__xludf.DUMMYFUNCTION("""COMPUTED_VALUE"""),80.0)</f>
        <v>80</v>
      </c>
      <c r="H569" s="1">
        <f>IFERROR(__xludf.DUMMYFUNCTION("""COMPUTED_VALUE"""),68.0)</f>
        <v>68</v>
      </c>
      <c r="I569" s="1">
        <f>IFERROR(__xludf.DUMMYFUNCTION("""COMPUTED_VALUE"""),73.0)</f>
        <v>73</v>
      </c>
      <c r="J569" s="1">
        <f>IFERROR(__xludf.DUMMYFUNCTION("""COMPUTED_VALUE"""),83.0)</f>
        <v>83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 t="str">
        <f>IFERROR(__xludf.DUMMYFUNCTION("""COMPUTED_VALUE"""),"C")</f>
        <v>C</v>
      </c>
      <c r="E570" s="1">
        <f>IFERROR(__xludf.DUMMYFUNCTION("""COMPUTED_VALUE"""),58.0)</f>
        <v>58</v>
      </c>
      <c r="F570" s="1">
        <f>IFERROR(__xludf.DUMMYFUNCTION("""COMPUTED_VALUE"""),71.0)</f>
        <v>71</v>
      </c>
      <c r="G570" s="1">
        <f>IFERROR(__xludf.DUMMYFUNCTION("""COMPUTED_VALUE"""),40.0)</f>
        <v>40</v>
      </c>
      <c r="H570" s="1">
        <f>IFERROR(__xludf.DUMMYFUNCTION("""COMPUTED_VALUE"""),35.0)</f>
        <v>35</v>
      </c>
      <c r="I570" s="1">
        <f>IFERROR(__xludf.DUMMYFUNCTION("""COMPUTED_VALUE"""),44.0)</f>
        <v>44</v>
      </c>
      <c r="J570" s="1">
        <f>IFERROR(__xludf.DUMMYFUNCTION("""COMPUTED_VALUE"""),67.0)</f>
        <v>67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 t="str">
        <f>IFERROR(__xludf.DUMMYFUNCTION("""COMPUTED_VALUE"""),"A")</f>
        <v>A</v>
      </c>
      <c r="E571" s="1">
        <f>IFERROR(__xludf.DUMMYFUNCTION("""COMPUTED_VALUE"""),83.0)</f>
        <v>83</v>
      </c>
      <c r="F571" s="1">
        <f>IFERROR(__xludf.DUMMYFUNCTION("""COMPUTED_VALUE"""),46.0)</f>
        <v>46</v>
      </c>
      <c r="G571" s="1">
        <f>IFERROR(__xludf.DUMMYFUNCTION("""COMPUTED_VALUE"""),69.0)</f>
        <v>69</v>
      </c>
      <c r="H571" s="1">
        <f>IFERROR(__xludf.DUMMYFUNCTION("""COMPUTED_VALUE"""),70.0)</f>
        <v>70</v>
      </c>
      <c r="I571" s="1">
        <f>IFERROR(__xludf.DUMMYFUNCTION("""COMPUTED_VALUE"""),93.0)</f>
        <v>93</v>
      </c>
      <c r="J571" s="1">
        <f>IFERROR(__xludf.DUMMYFUNCTION("""COMPUTED_VALUE"""),67.0)</f>
        <v>67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 t="str">
        <f>IFERROR(__xludf.DUMMYFUNCTION("""COMPUTED_VALUE"""),"C")</f>
        <v>C</v>
      </c>
      <c r="E572" s="1">
        <f>IFERROR(__xludf.DUMMYFUNCTION("""COMPUTED_VALUE"""),67.0)</f>
        <v>67</v>
      </c>
      <c r="F572" s="1">
        <f>IFERROR(__xludf.DUMMYFUNCTION("""COMPUTED_VALUE"""),67.0)</f>
        <v>67</v>
      </c>
      <c r="G572" s="1">
        <f>IFERROR(__xludf.DUMMYFUNCTION("""COMPUTED_VALUE"""),59.0)</f>
        <v>59</v>
      </c>
      <c r="H572" s="1">
        <f>IFERROR(__xludf.DUMMYFUNCTION("""COMPUTED_VALUE"""),58.0)</f>
        <v>58</v>
      </c>
      <c r="I572" s="1">
        <f>IFERROR(__xludf.DUMMYFUNCTION("""COMPUTED_VALUE"""),74.0)</f>
        <v>74</v>
      </c>
      <c r="J572" s="1">
        <f>IFERROR(__xludf.DUMMYFUNCTION("""COMPUTED_VALUE"""),70.0)</f>
        <v>70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 t="str">
        <f>IFERROR(__xludf.DUMMYFUNCTION("""COMPUTED_VALUE"""),"B")</f>
        <v>B</v>
      </c>
      <c r="E573" s="1">
        <f>IFERROR(__xludf.DUMMYFUNCTION("""COMPUTED_VALUE"""),93.0)</f>
        <v>93</v>
      </c>
      <c r="F573" s="1">
        <f>IFERROR(__xludf.DUMMYFUNCTION("""COMPUTED_VALUE"""),31.0)</f>
        <v>31</v>
      </c>
      <c r="G573" s="1">
        <f>IFERROR(__xludf.DUMMYFUNCTION("""COMPUTED_VALUE"""),99.0)</f>
        <v>99</v>
      </c>
      <c r="H573" s="1">
        <f>IFERROR(__xludf.DUMMYFUNCTION("""COMPUTED_VALUE"""),43.0)</f>
        <v>43</v>
      </c>
      <c r="I573" s="1">
        <f>IFERROR(__xludf.DUMMYFUNCTION("""COMPUTED_VALUE"""),78.0)</f>
        <v>78</v>
      </c>
      <c r="J573" s="1">
        <f>IFERROR(__xludf.DUMMYFUNCTION("""COMPUTED_VALUE"""),49.0)</f>
        <v>49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 t="str">
        <f>IFERROR(__xludf.DUMMYFUNCTION("""COMPUTED_VALUE"""),"A")</f>
        <v>A</v>
      </c>
      <c r="E574" s="1">
        <f>IFERROR(__xludf.DUMMYFUNCTION("""COMPUTED_VALUE"""),26.0)</f>
        <v>26</v>
      </c>
      <c r="F574" s="1">
        <f>IFERROR(__xludf.DUMMYFUNCTION("""COMPUTED_VALUE"""),26.0)</f>
        <v>26</v>
      </c>
      <c r="G574" s="1">
        <f>IFERROR(__xludf.DUMMYFUNCTION("""COMPUTED_VALUE"""),56.0)</f>
        <v>56</v>
      </c>
      <c r="H574" s="1">
        <f>IFERROR(__xludf.DUMMYFUNCTION("""COMPUTED_VALUE"""),35.0)</f>
        <v>35</v>
      </c>
      <c r="I574" s="1">
        <f>IFERROR(__xludf.DUMMYFUNCTION("""COMPUTED_VALUE"""),96.0)</f>
        <v>96</v>
      </c>
      <c r="J574" s="1">
        <f>IFERROR(__xludf.DUMMYFUNCTION("""COMPUTED_VALUE"""),91.0)</f>
        <v>91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 t="str">
        <f>IFERROR(__xludf.DUMMYFUNCTION("""COMPUTED_VALUE"""),"D")</f>
        <v>D</v>
      </c>
      <c r="E575" s="1">
        <f>IFERROR(__xludf.DUMMYFUNCTION("""COMPUTED_VALUE"""),98.0)</f>
        <v>98</v>
      </c>
      <c r="F575" s="1">
        <f>IFERROR(__xludf.DUMMYFUNCTION("""COMPUTED_VALUE"""),96.0)</f>
        <v>96</v>
      </c>
      <c r="G575" s="1">
        <f>IFERROR(__xludf.DUMMYFUNCTION("""COMPUTED_VALUE"""),81.0)</f>
        <v>81</v>
      </c>
      <c r="H575" s="1">
        <f>IFERROR(__xludf.DUMMYFUNCTION("""COMPUTED_VALUE"""),54.0)</f>
        <v>54</v>
      </c>
      <c r="I575" s="1">
        <f>IFERROR(__xludf.DUMMYFUNCTION("""COMPUTED_VALUE"""),74.0)</f>
        <v>74</v>
      </c>
      <c r="J575" s="1">
        <f>IFERROR(__xludf.DUMMYFUNCTION("""COMPUTED_VALUE"""),32.0)</f>
        <v>32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 t="str">
        <f>IFERROR(__xludf.DUMMYFUNCTION("""COMPUTED_VALUE"""),"C")</f>
        <v>C</v>
      </c>
      <c r="E576" s="1">
        <f>IFERROR(__xludf.DUMMYFUNCTION("""COMPUTED_VALUE"""),35.0)</f>
        <v>35</v>
      </c>
      <c r="F576" s="1">
        <f>IFERROR(__xludf.DUMMYFUNCTION("""COMPUTED_VALUE"""),89.0)</f>
        <v>89</v>
      </c>
      <c r="G576" s="1">
        <f>IFERROR(__xludf.DUMMYFUNCTION("""COMPUTED_VALUE"""),69.0)</f>
        <v>69</v>
      </c>
      <c r="H576" s="1">
        <f>IFERROR(__xludf.DUMMYFUNCTION("""COMPUTED_VALUE"""),58.0)</f>
        <v>58</v>
      </c>
      <c r="I576" s="1">
        <f>IFERROR(__xludf.DUMMYFUNCTION("""COMPUTED_VALUE"""),39.0)</f>
        <v>39</v>
      </c>
      <c r="J576" s="1">
        <f>IFERROR(__xludf.DUMMYFUNCTION("""COMPUTED_VALUE"""),73.0)</f>
        <v>73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 t="str">
        <f>IFERROR(__xludf.DUMMYFUNCTION("""COMPUTED_VALUE"""),"A")</f>
        <v>A</v>
      </c>
      <c r="E577" s="1">
        <f>IFERROR(__xludf.DUMMYFUNCTION("""COMPUTED_VALUE"""),62.0)</f>
        <v>62</v>
      </c>
      <c r="F577" s="1">
        <f>IFERROR(__xludf.DUMMYFUNCTION("""COMPUTED_VALUE"""),62.0)</f>
        <v>62</v>
      </c>
      <c r="G577" s="1">
        <f>IFERROR(__xludf.DUMMYFUNCTION("""COMPUTED_VALUE"""),38.0)</f>
        <v>38</v>
      </c>
      <c r="H577" s="1">
        <f>IFERROR(__xludf.DUMMYFUNCTION("""COMPUTED_VALUE"""),90.0)</f>
        <v>90</v>
      </c>
      <c r="I577" s="1">
        <f>IFERROR(__xludf.DUMMYFUNCTION("""COMPUTED_VALUE"""),60.0)</f>
        <v>60</v>
      </c>
      <c r="J577" s="1">
        <f>IFERROR(__xludf.DUMMYFUNCTION("""COMPUTED_VALUE"""),98.0)</f>
        <v>98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 t="str">
        <f>IFERROR(__xludf.DUMMYFUNCTION("""COMPUTED_VALUE"""),"D")</f>
        <v>D</v>
      </c>
      <c r="E578" s="1">
        <f>IFERROR(__xludf.DUMMYFUNCTION("""COMPUTED_VALUE"""),74.0)</f>
        <v>74</v>
      </c>
      <c r="F578" s="1">
        <f>IFERROR(__xludf.DUMMYFUNCTION("""COMPUTED_VALUE"""),28.0)</f>
        <v>28</v>
      </c>
      <c r="G578" s="1">
        <f>IFERROR(__xludf.DUMMYFUNCTION("""COMPUTED_VALUE"""),84.0)</f>
        <v>84</v>
      </c>
      <c r="H578" s="1">
        <f>IFERROR(__xludf.DUMMYFUNCTION("""COMPUTED_VALUE"""),36.0)</f>
        <v>36</v>
      </c>
      <c r="I578" s="1">
        <f>IFERROR(__xludf.DUMMYFUNCTION("""COMPUTED_VALUE"""),90.0)</f>
        <v>90</v>
      </c>
      <c r="J578" s="1">
        <f>IFERROR(__xludf.DUMMYFUNCTION("""COMPUTED_VALUE"""),98.0)</f>
        <v>98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 t="str">
        <f>IFERROR(__xludf.DUMMYFUNCTION("""COMPUTED_VALUE"""),"D")</f>
        <v>D</v>
      </c>
      <c r="E579" s="1">
        <f>IFERROR(__xludf.DUMMYFUNCTION("""COMPUTED_VALUE"""),78.0)</f>
        <v>78</v>
      </c>
      <c r="F579" s="1">
        <f>IFERROR(__xludf.DUMMYFUNCTION("""COMPUTED_VALUE"""),37.0)</f>
        <v>37</v>
      </c>
      <c r="G579" s="1">
        <f>IFERROR(__xludf.DUMMYFUNCTION("""COMPUTED_VALUE"""),69.0)</f>
        <v>69</v>
      </c>
      <c r="H579" s="1">
        <f>IFERROR(__xludf.DUMMYFUNCTION("""COMPUTED_VALUE"""),35.0)</f>
        <v>35</v>
      </c>
      <c r="I579" s="1">
        <f>IFERROR(__xludf.DUMMYFUNCTION("""COMPUTED_VALUE"""),79.0)</f>
        <v>79</v>
      </c>
      <c r="J579" s="1">
        <f>IFERROR(__xludf.DUMMYFUNCTION("""COMPUTED_VALUE"""),42.0)</f>
        <v>42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 t="str">
        <f>IFERROR(__xludf.DUMMYFUNCTION("""COMPUTED_VALUE"""),"C")</f>
        <v>C</v>
      </c>
      <c r="E580" s="1">
        <f>IFERROR(__xludf.DUMMYFUNCTION("""COMPUTED_VALUE"""),90.0)</f>
        <v>90</v>
      </c>
      <c r="F580" s="1">
        <f>IFERROR(__xludf.DUMMYFUNCTION("""COMPUTED_VALUE"""),94.0)</f>
        <v>94</v>
      </c>
      <c r="G580" s="1">
        <f>IFERROR(__xludf.DUMMYFUNCTION("""COMPUTED_VALUE"""),67.0)</f>
        <v>67</v>
      </c>
      <c r="H580" s="1">
        <f>IFERROR(__xludf.DUMMYFUNCTION("""COMPUTED_VALUE"""),69.0)</f>
        <v>69</v>
      </c>
      <c r="I580" s="1">
        <f>IFERROR(__xludf.DUMMYFUNCTION("""COMPUTED_VALUE"""),91.0)</f>
        <v>91</v>
      </c>
      <c r="J580" s="1">
        <f>IFERROR(__xludf.DUMMYFUNCTION("""COMPUTED_VALUE"""),48.0)</f>
        <v>48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 t="str">
        <f>IFERROR(__xludf.DUMMYFUNCTION("""COMPUTED_VALUE"""),"D")</f>
        <v>D</v>
      </c>
      <c r="E581" s="1">
        <f>IFERROR(__xludf.DUMMYFUNCTION("""COMPUTED_VALUE"""),80.0)</f>
        <v>80</v>
      </c>
      <c r="F581" s="1">
        <f>IFERROR(__xludf.DUMMYFUNCTION("""COMPUTED_VALUE"""),50.0)</f>
        <v>50</v>
      </c>
      <c r="G581" s="1">
        <f>IFERROR(__xludf.DUMMYFUNCTION("""COMPUTED_VALUE"""),33.0)</f>
        <v>33</v>
      </c>
      <c r="H581" s="1">
        <f>IFERROR(__xludf.DUMMYFUNCTION("""COMPUTED_VALUE"""),43.0)</f>
        <v>43</v>
      </c>
      <c r="I581" s="1">
        <f>IFERROR(__xludf.DUMMYFUNCTION("""COMPUTED_VALUE"""),29.0)</f>
        <v>29</v>
      </c>
      <c r="J581" s="1">
        <f>IFERROR(__xludf.DUMMYFUNCTION("""COMPUTED_VALUE"""),88.0)</f>
        <v>88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 t="str">
        <f>IFERROR(__xludf.DUMMYFUNCTION("""COMPUTED_VALUE"""),"D")</f>
        <v>D</v>
      </c>
      <c r="E582" s="1">
        <f>IFERROR(__xludf.DUMMYFUNCTION("""COMPUTED_VALUE"""),60.0)</f>
        <v>60</v>
      </c>
      <c r="F582" s="1">
        <f>IFERROR(__xludf.DUMMYFUNCTION("""COMPUTED_VALUE"""),44.0)</f>
        <v>44</v>
      </c>
      <c r="G582" s="1">
        <f>IFERROR(__xludf.DUMMYFUNCTION("""COMPUTED_VALUE"""),94.0)</f>
        <v>94</v>
      </c>
      <c r="H582" s="1">
        <f>IFERROR(__xludf.DUMMYFUNCTION("""COMPUTED_VALUE"""),83.0)</f>
        <v>83</v>
      </c>
      <c r="I582" s="1">
        <f>IFERROR(__xludf.DUMMYFUNCTION("""COMPUTED_VALUE"""),45.0)</f>
        <v>45</v>
      </c>
      <c r="J582" s="1">
        <f>IFERROR(__xludf.DUMMYFUNCTION("""COMPUTED_VALUE"""),41.0)</f>
        <v>41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 t="str">
        <f>IFERROR(__xludf.DUMMYFUNCTION("""COMPUTED_VALUE"""),"D")</f>
        <v>D</v>
      </c>
      <c r="E583" s="1">
        <f>IFERROR(__xludf.DUMMYFUNCTION("""COMPUTED_VALUE"""),75.0)</f>
        <v>75</v>
      </c>
      <c r="F583" s="1">
        <f>IFERROR(__xludf.DUMMYFUNCTION("""COMPUTED_VALUE"""),33.0)</f>
        <v>33</v>
      </c>
      <c r="G583" s="1">
        <f>IFERROR(__xludf.DUMMYFUNCTION("""COMPUTED_VALUE"""),72.0)</f>
        <v>72</v>
      </c>
      <c r="H583" s="1">
        <f>IFERROR(__xludf.DUMMYFUNCTION("""COMPUTED_VALUE"""),73.0)</f>
        <v>73</v>
      </c>
      <c r="I583" s="1">
        <f>IFERROR(__xludf.DUMMYFUNCTION("""COMPUTED_VALUE"""),56.0)</f>
        <v>56</v>
      </c>
      <c r="J583" s="1">
        <f>IFERROR(__xludf.DUMMYFUNCTION("""COMPUTED_VALUE"""),70.0)</f>
        <v>70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 t="str">
        <f>IFERROR(__xludf.DUMMYFUNCTION("""COMPUTED_VALUE"""),"A")</f>
        <v>A</v>
      </c>
      <c r="E584" s="1">
        <f>IFERROR(__xludf.DUMMYFUNCTION("""COMPUTED_VALUE"""),88.0)</f>
        <v>88</v>
      </c>
      <c r="F584" s="1">
        <f>IFERROR(__xludf.DUMMYFUNCTION("""COMPUTED_VALUE"""),35.0)</f>
        <v>35</v>
      </c>
      <c r="G584" s="1">
        <f>IFERROR(__xludf.DUMMYFUNCTION("""COMPUTED_VALUE"""),48.0)</f>
        <v>48</v>
      </c>
      <c r="H584" s="1">
        <f>IFERROR(__xludf.DUMMYFUNCTION("""COMPUTED_VALUE"""),55.0)</f>
        <v>55</v>
      </c>
      <c r="I584" s="1">
        <f>IFERROR(__xludf.DUMMYFUNCTION("""COMPUTED_VALUE"""),52.0)</f>
        <v>52</v>
      </c>
      <c r="J584" s="1">
        <f>IFERROR(__xludf.DUMMYFUNCTION("""COMPUTED_VALUE"""),39.0)</f>
        <v>39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 t="str">
        <f>IFERROR(__xludf.DUMMYFUNCTION("""COMPUTED_VALUE"""),"A")</f>
        <v>A</v>
      </c>
      <c r="E585" s="1">
        <f>IFERROR(__xludf.DUMMYFUNCTION("""COMPUTED_VALUE"""),61.0)</f>
        <v>61</v>
      </c>
      <c r="F585" s="1">
        <f>IFERROR(__xludf.DUMMYFUNCTION("""COMPUTED_VALUE"""),48.0)</f>
        <v>48</v>
      </c>
      <c r="G585" s="1">
        <f>IFERROR(__xludf.DUMMYFUNCTION("""COMPUTED_VALUE"""),25.0)</f>
        <v>25</v>
      </c>
      <c r="H585" s="1">
        <f>IFERROR(__xludf.DUMMYFUNCTION("""COMPUTED_VALUE"""),61.0)</f>
        <v>61</v>
      </c>
      <c r="I585" s="1">
        <f>IFERROR(__xludf.DUMMYFUNCTION("""COMPUTED_VALUE"""),97.0)</f>
        <v>97</v>
      </c>
      <c r="J585" s="1">
        <f>IFERROR(__xludf.DUMMYFUNCTION("""COMPUTED_VALUE"""),81.0)</f>
        <v>81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 t="str">
        <f>IFERROR(__xludf.DUMMYFUNCTION("""COMPUTED_VALUE"""),"B")</f>
        <v>B</v>
      </c>
      <c r="E586" s="1">
        <f>IFERROR(__xludf.DUMMYFUNCTION("""COMPUTED_VALUE"""),52.0)</f>
        <v>52</v>
      </c>
      <c r="F586" s="1">
        <f>IFERROR(__xludf.DUMMYFUNCTION("""COMPUTED_VALUE"""),34.0)</f>
        <v>34</v>
      </c>
      <c r="G586" s="1">
        <f>IFERROR(__xludf.DUMMYFUNCTION("""COMPUTED_VALUE"""),90.0)</f>
        <v>90</v>
      </c>
      <c r="H586" s="1">
        <f>IFERROR(__xludf.DUMMYFUNCTION("""COMPUTED_VALUE"""),28.0)</f>
        <v>28</v>
      </c>
      <c r="I586" s="1">
        <f>IFERROR(__xludf.DUMMYFUNCTION("""COMPUTED_VALUE"""),37.0)</f>
        <v>37</v>
      </c>
      <c r="J586" s="1">
        <f>IFERROR(__xludf.DUMMYFUNCTION("""COMPUTED_VALUE"""),96.0)</f>
        <v>96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 t="str">
        <f>IFERROR(__xludf.DUMMYFUNCTION("""COMPUTED_VALUE"""),"A")</f>
        <v>A</v>
      </c>
      <c r="E587" s="1">
        <f>IFERROR(__xludf.DUMMYFUNCTION("""COMPUTED_VALUE"""),21.0)</f>
        <v>21</v>
      </c>
      <c r="F587" s="1">
        <f>IFERROR(__xludf.DUMMYFUNCTION("""COMPUTED_VALUE"""),87.0)</f>
        <v>87</v>
      </c>
      <c r="G587" s="1">
        <f>IFERROR(__xludf.DUMMYFUNCTION("""COMPUTED_VALUE"""),37.0)</f>
        <v>37</v>
      </c>
      <c r="H587" s="1">
        <f>IFERROR(__xludf.DUMMYFUNCTION("""COMPUTED_VALUE"""),40.0)</f>
        <v>40</v>
      </c>
      <c r="I587" s="1">
        <f>IFERROR(__xludf.DUMMYFUNCTION("""COMPUTED_VALUE"""),83.0)</f>
        <v>83</v>
      </c>
      <c r="J587" s="1">
        <f>IFERROR(__xludf.DUMMYFUNCTION("""COMPUTED_VALUE"""),21.0)</f>
        <v>21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 t="str">
        <f>IFERROR(__xludf.DUMMYFUNCTION("""COMPUTED_VALUE"""),"B")</f>
        <v>B</v>
      </c>
      <c r="E588" s="1">
        <f>IFERROR(__xludf.DUMMYFUNCTION("""COMPUTED_VALUE"""),50.0)</f>
        <v>50</v>
      </c>
      <c r="F588" s="1">
        <f>IFERROR(__xludf.DUMMYFUNCTION("""COMPUTED_VALUE"""),82.0)</f>
        <v>82</v>
      </c>
      <c r="G588" s="1">
        <f>IFERROR(__xludf.DUMMYFUNCTION("""COMPUTED_VALUE"""),59.0)</f>
        <v>59</v>
      </c>
      <c r="H588" s="1">
        <f>IFERROR(__xludf.DUMMYFUNCTION("""COMPUTED_VALUE"""),73.0)</f>
        <v>73</v>
      </c>
      <c r="I588" s="1">
        <f>IFERROR(__xludf.DUMMYFUNCTION("""COMPUTED_VALUE"""),88.0)</f>
        <v>88</v>
      </c>
      <c r="J588" s="1">
        <f>IFERROR(__xludf.DUMMYFUNCTION("""COMPUTED_VALUE"""),93.0)</f>
        <v>93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 t="str">
        <f>IFERROR(__xludf.DUMMYFUNCTION("""COMPUTED_VALUE"""),"C")</f>
        <v>C</v>
      </c>
      <c r="E589" s="1">
        <f>IFERROR(__xludf.DUMMYFUNCTION("""COMPUTED_VALUE"""),18.0)</f>
        <v>18</v>
      </c>
      <c r="F589" s="1">
        <f>IFERROR(__xludf.DUMMYFUNCTION("""COMPUTED_VALUE"""),97.0)</f>
        <v>97</v>
      </c>
      <c r="G589" s="1">
        <f>IFERROR(__xludf.DUMMYFUNCTION("""COMPUTED_VALUE"""),82.0)</f>
        <v>82</v>
      </c>
      <c r="H589" s="1">
        <f>IFERROR(__xludf.DUMMYFUNCTION("""COMPUTED_VALUE"""),49.0)</f>
        <v>49</v>
      </c>
      <c r="I589" s="1">
        <f>IFERROR(__xludf.DUMMYFUNCTION("""COMPUTED_VALUE"""),65.0)</f>
        <v>65</v>
      </c>
      <c r="J589" s="1">
        <f>IFERROR(__xludf.DUMMYFUNCTION("""COMPUTED_VALUE"""),85.0)</f>
        <v>85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 t="str">
        <f>IFERROR(__xludf.DUMMYFUNCTION("""COMPUTED_VALUE"""),"D")</f>
        <v>D</v>
      </c>
      <c r="E590" s="1">
        <f>IFERROR(__xludf.DUMMYFUNCTION("""COMPUTED_VALUE"""),68.0)</f>
        <v>68</v>
      </c>
      <c r="F590" s="1">
        <f>IFERROR(__xludf.DUMMYFUNCTION("""COMPUTED_VALUE"""),22.0)</f>
        <v>22</v>
      </c>
      <c r="G590" s="1">
        <f>IFERROR(__xludf.DUMMYFUNCTION("""COMPUTED_VALUE"""),76.0)</f>
        <v>76</v>
      </c>
      <c r="H590" s="1">
        <f>IFERROR(__xludf.DUMMYFUNCTION("""COMPUTED_VALUE"""),62.0)</f>
        <v>62</v>
      </c>
      <c r="I590" s="1">
        <f>IFERROR(__xludf.DUMMYFUNCTION("""COMPUTED_VALUE"""),86.0)</f>
        <v>86</v>
      </c>
      <c r="J590" s="1">
        <f>IFERROR(__xludf.DUMMYFUNCTION("""COMPUTED_VALUE"""),99.0)</f>
        <v>99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 t="str">
        <f>IFERROR(__xludf.DUMMYFUNCTION("""COMPUTED_VALUE"""),"B")</f>
        <v>B</v>
      </c>
      <c r="E591" s="1">
        <f>IFERROR(__xludf.DUMMYFUNCTION("""COMPUTED_VALUE"""),70.0)</f>
        <v>70</v>
      </c>
      <c r="F591" s="1">
        <f>IFERROR(__xludf.DUMMYFUNCTION("""COMPUTED_VALUE"""),91.0)</f>
        <v>91</v>
      </c>
      <c r="G591" s="1">
        <f>IFERROR(__xludf.DUMMYFUNCTION("""COMPUTED_VALUE"""),94.0)</f>
        <v>94</v>
      </c>
      <c r="H591" s="1">
        <f>IFERROR(__xludf.DUMMYFUNCTION("""COMPUTED_VALUE"""),86.0)</f>
        <v>86</v>
      </c>
      <c r="I591" s="1">
        <f>IFERROR(__xludf.DUMMYFUNCTION("""COMPUTED_VALUE"""),57.0)</f>
        <v>57</v>
      </c>
      <c r="J591" s="1">
        <f>IFERROR(__xludf.DUMMYFUNCTION("""COMPUTED_VALUE"""),72.0)</f>
        <v>72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 t="str">
        <f>IFERROR(__xludf.DUMMYFUNCTION("""COMPUTED_VALUE"""),"A")</f>
        <v>A</v>
      </c>
      <c r="E592" s="1">
        <f>IFERROR(__xludf.DUMMYFUNCTION("""COMPUTED_VALUE"""),63.0)</f>
        <v>63</v>
      </c>
      <c r="F592" s="1">
        <f>IFERROR(__xludf.DUMMYFUNCTION("""COMPUTED_VALUE"""),34.0)</f>
        <v>34</v>
      </c>
      <c r="G592" s="1">
        <f>IFERROR(__xludf.DUMMYFUNCTION("""COMPUTED_VALUE"""),93.0)</f>
        <v>93</v>
      </c>
      <c r="H592" s="1">
        <f>IFERROR(__xludf.DUMMYFUNCTION("""COMPUTED_VALUE"""),80.0)</f>
        <v>80</v>
      </c>
      <c r="I592" s="1">
        <f>IFERROR(__xludf.DUMMYFUNCTION("""COMPUTED_VALUE"""),57.0)</f>
        <v>57</v>
      </c>
      <c r="J592" s="1">
        <f>IFERROR(__xludf.DUMMYFUNCTION("""COMPUTED_VALUE"""),42.0)</f>
        <v>42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 t="str">
        <f>IFERROR(__xludf.DUMMYFUNCTION("""COMPUTED_VALUE"""),"B")</f>
        <v>B</v>
      </c>
      <c r="E593" s="1">
        <f>IFERROR(__xludf.DUMMYFUNCTION("""COMPUTED_VALUE"""),59.0)</f>
        <v>59</v>
      </c>
      <c r="F593" s="1">
        <f>IFERROR(__xludf.DUMMYFUNCTION("""COMPUTED_VALUE"""),69.0)</f>
        <v>69</v>
      </c>
      <c r="G593" s="1">
        <f>IFERROR(__xludf.DUMMYFUNCTION("""COMPUTED_VALUE"""),91.0)</f>
        <v>91</v>
      </c>
      <c r="H593" s="1">
        <f>IFERROR(__xludf.DUMMYFUNCTION("""COMPUTED_VALUE"""),20.0)</f>
        <v>20</v>
      </c>
      <c r="I593" s="1">
        <f>IFERROR(__xludf.DUMMYFUNCTION("""COMPUTED_VALUE"""),46.0)</f>
        <v>46</v>
      </c>
      <c r="J593" s="1">
        <f>IFERROR(__xludf.DUMMYFUNCTION("""COMPUTED_VALUE"""),87.0)</f>
        <v>87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 t="str">
        <f>IFERROR(__xludf.DUMMYFUNCTION("""COMPUTED_VALUE"""),"D")</f>
        <v>D</v>
      </c>
      <c r="E594" s="1">
        <f>IFERROR(__xludf.DUMMYFUNCTION("""COMPUTED_VALUE"""),38.0)</f>
        <v>38</v>
      </c>
      <c r="F594" s="1">
        <f>IFERROR(__xludf.DUMMYFUNCTION("""COMPUTED_VALUE"""),88.0)</f>
        <v>88</v>
      </c>
      <c r="G594" s="1">
        <f>IFERROR(__xludf.DUMMYFUNCTION("""COMPUTED_VALUE"""),64.0)</f>
        <v>64</v>
      </c>
      <c r="H594" s="1">
        <f>IFERROR(__xludf.DUMMYFUNCTION("""COMPUTED_VALUE"""),39.0)</f>
        <v>39</v>
      </c>
      <c r="I594" s="1">
        <f>IFERROR(__xludf.DUMMYFUNCTION("""COMPUTED_VALUE"""),71.0)</f>
        <v>71</v>
      </c>
      <c r="J594" s="1">
        <f>IFERROR(__xludf.DUMMYFUNCTION("""COMPUTED_VALUE"""),29.0)</f>
        <v>29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 t="str">
        <f>IFERROR(__xludf.DUMMYFUNCTION("""COMPUTED_VALUE"""),"A")</f>
        <v>A</v>
      </c>
      <c r="E595" s="1">
        <f>IFERROR(__xludf.DUMMYFUNCTION("""COMPUTED_VALUE"""),49.0)</f>
        <v>49</v>
      </c>
      <c r="F595" s="1">
        <f>IFERROR(__xludf.DUMMYFUNCTION("""COMPUTED_VALUE"""),79.0)</f>
        <v>79</v>
      </c>
      <c r="G595" s="1">
        <f>IFERROR(__xludf.DUMMYFUNCTION("""COMPUTED_VALUE"""),70.0)</f>
        <v>70</v>
      </c>
      <c r="H595" s="1">
        <f>IFERROR(__xludf.DUMMYFUNCTION("""COMPUTED_VALUE"""),80.0)</f>
        <v>80</v>
      </c>
      <c r="I595" s="1">
        <f>IFERROR(__xludf.DUMMYFUNCTION("""COMPUTED_VALUE"""),38.0)</f>
        <v>38</v>
      </c>
      <c r="J595" s="1">
        <f>IFERROR(__xludf.DUMMYFUNCTION("""COMPUTED_VALUE"""),26.0)</f>
        <v>26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 t="str">
        <f>IFERROR(__xludf.DUMMYFUNCTION("""COMPUTED_VALUE"""),"B")</f>
        <v>B</v>
      </c>
      <c r="E596" s="1">
        <f>IFERROR(__xludf.DUMMYFUNCTION("""COMPUTED_VALUE"""),20.0)</f>
        <v>20</v>
      </c>
      <c r="F596" s="1">
        <f>IFERROR(__xludf.DUMMYFUNCTION("""COMPUTED_VALUE"""),34.0)</f>
        <v>34</v>
      </c>
      <c r="G596" s="1">
        <f>IFERROR(__xludf.DUMMYFUNCTION("""COMPUTED_VALUE"""),94.0)</f>
        <v>94</v>
      </c>
      <c r="H596" s="1">
        <f>IFERROR(__xludf.DUMMYFUNCTION("""COMPUTED_VALUE"""),20.0)</f>
        <v>20</v>
      </c>
      <c r="I596" s="1">
        <f>IFERROR(__xludf.DUMMYFUNCTION("""COMPUTED_VALUE"""),28.0)</f>
        <v>28</v>
      </c>
      <c r="J596" s="1">
        <f>IFERROR(__xludf.DUMMYFUNCTION("""COMPUTED_VALUE"""),45.0)</f>
        <v>45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 t="str">
        <f>IFERROR(__xludf.DUMMYFUNCTION("""COMPUTED_VALUE"""),"B")</f>
        <v>B</v>
      </c>
      <c r="E597" s="1">
        <f>IFERROR(__xludf.DUMMYFUNCTION("""COMPUTED_VALUE"""),74.0)</f>
        <v>74</v>
      </c>
      <c r="F597" s="1">
        <f>IFERROR(__xludf.DUMMYFUNCTION("""COMPUTED_VALUE"""),46.0)</f>
        <v>46</v>
      </c>
      <c r="G597" s="1">
        <f>IFERROR(__xludf.DUMMYFUNCTION("""COMPUTED_VALUE"""),75.0)</f>
        <v>75</v>
      </c>
      <c r="H597" s="1">
        <f>IFERROR(__xludf.DUMMYFUNCTION("""COMPUTED_VALUE"""),78.0)</f>
        <v>78</v>
      </c>
      <c r="I597" s="1">
        <f>IFERROR(__xludf.DUMMYFUNCTION("""COMPUTED_VALUE"""),80.0)</f>
        <v>80</v>
      </c>
      <c r="J597" s="1">
        <f>IFERROR(__xludf.DUMMYFUNCTION("""COMPUTED_VALUE"""),32.0)</f>
        <v>32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 t="str">
        <f>IFERROR(__xludf.DUMMYFUNCTION("""COMPUTED_VALUE"""),"C")</f>
        <v>C</v>
      </c>
      <c r="E598" s="1">
        <f>IFERROR(__xludf.DUMMYFUNCTION("""COMPUTED_VALUE"""),25.0)</f>
        <v>25</v>
      </c>
      <c r="F598" s="1">
        <f>IFERROR(__xludf.DUMMYFUNCTION("""COMPUTED_VALUE"""),80.0)</f>
        <v>80</v>
      </c>
      <c r="G598" s="1">
        <f>IFERROR(__xludf.DUMMYFUNCTION("""COMPUTED_VALUE"""),46.0)</f>
        <v>46</v>
      </c>
      <c r="H598" s="1">
        <f>IFERROR(__xludf.DUMMYFUNCTION("""COMPUTED_VALUE"""),27.0)</f>
        <v>27</v>
      </c>
      <c r="I598" s="1">
        <f>IFERROR(__xludf.DUMMYFUNCTION("""COMPUTED_VALUE"""),78.0)</f>
        <v>78</v>
      </c>
      <c r="J598" s="1">
        <f>IFERROR(__xludf.DUMMYFUNCTION("""COMPUTED_VALUE"""),64.0)</f>
        <v>64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 t="str">
        <f>IFERROR(__xludf.DUMMYFUNCTION("""COMPUTED_VALUE"""),"D")</f>
        <v>D</v>
      </c>
      <c r="E599" s="1">
        <f>IFERROR(__xludf.DUMMYFUNCTION("""COMPUTED_VALUE"""),51.0)</f>
        <v>51</v>
      </c>
      <c r="F599" s="1">
        <f>IFERROR(__xludf.DUMMYFUNCTION("""COMPUTED_VALUE"""),89.0)</f>
        <v>89</v>
      </c>
      <c r="G599" s="1">
        <f>IFERROR(__xludf.DUMMYFUNCTION("""COMPUTED_VALUE"""),55.0)</f>
        <v>55</v>
      </c>
      <c r="H599" s="1">
        <f>IFERROR(__xludf.DUMMYFUNCTION("""COMPUTED_VALUE"""),25.0)</f>
        <v>25</v>
      </c>
      <c r="I599" s="1">
        <f>IFERROR(__xludf.DUMMYFUNCTION("""COMPUTED_VALUE"""),34.0)</f>
        <v>34</v>
      </c>
      <c r="J599" s="1">
        <f>IFERROR(__xludf.DUMMYFUNCTION("""COMPUTED_VALUE"""),77.0)</f>
        <v>77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 t="str">
        <f>IFERROR(__xludf.DUMMYFUNCTION("""COMPUTED_VALUE"""),"C")</f>
        <v>C</v>
      </c>
      <c r="E600" s="1">
        <f>IFERROR(__xludf.DUMMYFUNCTION("""COMPUTED_VALUE"""),76.0)</f>
        <v>76</v>
      </c>
      <c r="F600" s="1">
        <f>IFERROR(__xludf.DUMMYFUNCTION("""COMPUTED_VALUE"""),80.0)</f>
        <v>80</v>
      </c>
      <c r="G600" s="1">
        <f>IFERROR(__xludf.DUMMYFUNCTION("""COMPUTED_VALUE"""),77.0)</f>
        <v>77</v>
      </c>
      <c r="H600" s="1">
        <f>IFERROR(__xludf.DUMMYFUNCTION("""COMPUTED_VALUE"""),27.0)</f>
        <v>27</v>
      </c>
      <c r="I600" s="1">
        <f>IFERROR(__xludf.DUMMYFUNCTION("""COMPUTED_VALUE"""),31.0)</f>
        <v>31</v>
      </c>
      <c r="J600" s="1">
        <f>IFERROR(__xludf.DUMMYFUNCTION("""COMPUTED_VALUE"""),50.0)</f>
        <v>50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 t="str">
        <f>IFERROR(__xludf.DUMMYFUNCTION("""COMPUTED_VALUE"""),"A")</f>
        <v>A</v>
      </c>
      <c r="E601" s="1">
        <f>IFERROR(__xludf.DUMMYFUNCTION("""COMPUTED_VALUE"""),75.0)</f>
        <v>75</v>
      </c>
      <c r="F601" s="1">
        <f>IFERROR(__xludf.DUMMYFUNCTION("""COMPUTED_VALUE"""),97.0)</f>
        <v>97</v>
      </c>
      <c r="G601" s="1">
        <f>IFERROR(__xludf.DUMMYFUNCTION("""COMPUTED_VALUE"""),36.0)</f>
        <v>36</v>
      </c>
      <c r="H601" s="1">
        <f>IFERROR(__xludf.DUMMYFUNCTION("""COMPUTED_VALUE"""),36.0)</f>
        <v>36</v>
      </c>
      <c r="I601" s="1">
        <f>IFERROR(__xludf.DUMMYFUNCTION("""COMPUTED_VALUE"""),55.0)</f>
        <v>55</v>
      </c>
      <c r="J601" s="1">
        <f>IFERROR(__xludf.DUMMYFUNCTION("""COMPUTED_VALUE"""),68.0)</f>
        <v>68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 t="str">
        <f>IFERROR(__xludf.DUMMYFUNCTION("""COMPUTED_VALUE"""),"C")</f>
        <v>C</v>
      </c>
      <c r="E602" s="1">
        <f>IFERROR(__xludf.DUMMYFUNCTION("""COMPUTED_VALUE"""),34.0)</f>
        <v>34</v>
      </c>
      <c r="F602" s="1">
        <f>IFERROR(__xludf.DUMMYFUNCTION("""COMPUTED_VALUE"""),78.0)</f>
        <v>78</v>
      </c>
      <c r="G602" s="1">
        <f>IFERROR(__xludf.DUMMYFUNCTION("""COMPUTED_VALUE"""),83.0)</f>
        <v>83</v>
      </c>
      <c r="H602" s="1">
        <f>IFERROR(__xludf.DUMMYFUNCTION("""COMPUTED_VALUE"""),63.0)</f>
        <v>63</v>
      </c>
      <c r="I602" s="1">
        <f>IFERROR(__xludf.DUMMYFUNCTION("""COMPUTED_VALUE"""),37.0)</f>
        <v>37</v>
      </c>
      <c r="J602" s="1">
        <f>IFERROR(__xludf.DUMMYFUNCTION("""COMPUTED_VALUE"""),84.0)</f>
        <v>84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 t="str">
        <f>IFERROR(__xludf.DUMMYFUNCTION("""COMPUTED_VALUE"""),"B")</f>
        <v>B</v>
      </c>
      <c r="E603" s="1">
        <f>IFERROR(__xludf.DUMMYFUNCTION("""COMPUTED_VALUE"""),86.0)</f>
        <v>86</v>
      </c>
      <c r="F603" s="1">
        <f>IFERROR(__xludf.DUMMYFUNCTION("""COMPUTED_VALUE"""),88.0)</f>
        <v>88</v>
      </c>
      <c r="G603" s="1">
        <f>IFERROR(__xludf.DUMMYFUNCTION("""COMPUTED_VALUE"""),81.0)</f>
        <v>81</v>
      </c>
      <c r="H603" s="1">
        <f>IFERROR(__xludf.DUMMYFUNCTION("""COMPUTED_VALUE"""),24.0)</f>
        <v>24</v>
      </c>
      <c r="I603" s="1">
        <f>IFERROR(__xludf.DUMMYFUNCTION("""COMPUTED_VALUE"""),67.0)</f>
        <v>67</v>
      </c>
      <c r="J603" s="1">
        <f>IFERROR(__xludf.DUMMYFUNCTION("""COMPUTED_VALUE"""),33.0)</f>
        <v>33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 t="str">
        <f>IFERROR(__xludf.DUMMYFUNCTION("""COMPUTED_VALUE"""),"A")</f>
        <v>A</v>
      </c>
      <c r="E604" s="1">
        <f>IFERROR(__xludf.DUMMYFUNCTION("""COMPUTED_VALUE"""),95.0)</f>
        <v>95</v>
      </c>
      <c r="F604" s="1">
        <f>IFERROR(__xludf.DUMMYFUNCTION("""COMPUTED_VALUE"""),41.0)</f>
        <v>41</v>
      </c>
      <c r="G604" s="1">
        <f>IFERROR(__xludf.DUMMYFUNCTION("""COMPUTED_VALUE"""),31.0)</f>
        <v>31</v>
      </c>
      <c r="H604" s="1">
        <f>IFERROR(__xludf.DUMMYFUNCTION("""COMPUTED_VALUE"""),55.0)</f>
        <v>55</v>
      </c>
      <c r="I604" s="1">
        <f>IFERROR(__xludf.DUMMYFUNCTION("""COMPUTED_VALUE"""),58.0)</f>
        <v>58</v>
      </c>
      <c r="J604" s="1">
        <f>IFERROR(__xludf.DUMMYFUNCTION("""COMPUTED_VALUE"""),97.0)</f>
        <v>97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 t="str">
        <f>IFERROR(__xludf.DUMMYFUNCTION("""COMPUTED_VALUE"""),"A")</f>
        <v>A</v>
      </c>
      <c r="E605" s="1">
        <f>IFERROR(__xludf.DUMMYFUNCTION("""COMPUTED_VALUE"""),95.0)</f>
        <v>95</v>
      </c>
      <c r="F605" s="1">
        <f>IFERROR(__xludf.DUMMYFUNCTION("""COMPUTED_VALUE"""),69.0)</f>
        <v>69</v>
      </c>
      <c r="G605" s="1">
        <f>IFERROR(__xludf.DUMMYFUNCTION("""COMPUTED_VALUE"""),39.0)</f>
        <v>39</v>
      </c>
      <c r="H605" s="1">
        <f>IFERROR(__xludf.DUMMYFUNCTION("""COMPUTED_VALUE"""),51.0)</f>
        <v>51</v>
      </c>
      <c r="I605" s="1">
        <f>IFERROR(__xludf.DUMMYFUNCTION("""COMPUTED_VALUE"""),88.0)</f>
        <v>88</v>
      </c>
      <c r="J605" s="1">
        <f>IFERROR(__xludf.DUMMYFUNCTION("""COMPUTED_VALUE"""),83.0)</f>
        <v>83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 t="str">
        <f>IFERROR(__xludf.DUMMYFUNCTION("""COMPUTED_VALUE"""),"B")</f>
        <v>B</v>
      </c>
      <c r="E606" s="1">
        <f>IFERROR(__xludf.DUMMYFUNCTION("""COMPUTED_VALUE"""),89.0)</f>
        <v>89</v>
      </c>
      <c r="F606" s="1">
        <f>IFERROR(__xludf.DUMMYFUNCTION("""COMPUTED_VALUE"""),39.0)</f>
        <v>39</v>
      </c>
      <c r="G606" s="1">
        <f>IFERROR(__xludf.DUMMYFUNCTION("""COMPUTED_VALUE"""),71.0)</f>
        <v>71</v>
      </c>
      <c r="H606" s="1">
        <f>IFERROR(__xludf.DUMMYFUNCTION("""COMPUTED_VALUE"""),46.0)</f>
        <v>46</v>
      </c>
      <c r="I606" s="1">
        <f>IFERROR(__xludf.DUMMYFUNCTION("""COMPUTED_VALUE"""),52.0)</f>
        <v>52</v>
      </c>
      <c r="J606" s="1">
        <f>IFERROR(__xludf.DUMMYFUNCTION("""COMPUTED_VALUE"""),77.0)</f>
        <v>77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 t="str">
        <f>IFERROR(__xludf.DUMMYFUNCTION("""COMPUTED_VALUE"""),"B")</f>
        <v>B</v>
      </c>
      <c r="E607" s="1">
        <f>IFERROR(__xludf.DUMMYFUNCTION("""COMPUTED_VALUE"""),64.0)</f>
        <v>64</v>
      </c>
      <c r="F607" s="1">
        <f>IFERROR(__xludf.DUMMYFUNCTION("""COMPUTED_VALUE"""),54.0)</f>
        <v>54</v>
      </c>
      <c r="G607" s="1">
        <f>IFERROR(__xludf.DUMMYFUNCTION("""COMPUTED_VALUE"""),85.0)</f>
        <v>85</v>
      </c>
      <c r="H607" s="1">
        <f>IFERROR(__xludf.DUMMYFUNCTION("""COMPUTED_VALUE"""),21.0)</f>
        <v>21</v>
      </c>
      <c r="I607" s="1">
        <f>IFERROR(__xludf.DUMMYFUNCTION("""COMPUTED_VALUE"""),30.0)</f>
        <v>30</v>
      </c>
      <c r="J607" s="1">
        <f>IFERROR(__xludf.DUMMYFUNCTION("""COMPUTED_VALUE"""),67.0)</f>
        <v>67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 t="str">
        <f>IFERROR(__xludf.DUMMYFUNCTION("""COMPUTED_VALUE"""),"C")</f>
        <v>C</v>
      </c>
      <c r="E608" s="1">
        <f>IFERROR(__xludf.DUMMYFUNCTION("""COMPUTED_VALUE"""),17.0)</f>
        <v>17</v>
      </c>
      <c r="F608" s="1">
        <f>IFERROR(__xludf.DUMMYFUNCTION("""COMPUTED_VALUE"""),70.0)</f>
        <v>70</v>
      </c>
      <c r="G608" s="1">
        <f>IFERROR(__xludf.DUMMYFUNCTION("""COMPUTED_VALUE"""),41.0)</f>
        <v>41</v>
      </c>
      <c r="H608" s="1">
        <f>IFERROR(__xludf.DUMMYFUNCTION("""COMPUTED_VALUE"""),59.0)</f>
        <v>59</v>
      </c>
      <c r="I608" s="1">
        <f>IFERROR(__xludf.DUMMYFUNCTION("""COMPUTED_VALUE"""),40.0)</f>
        <v>40</v>
      </c>
      <c r="J608" s="1">
        <f>IFERROR(__xludf.DUMMYFUNCTION("""COMPUTED_VALUE"""),91.0)</f>
        <v>91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 t="str">
        <f>IFERROR(__xludf.DUMMYFUNCTION("""COMPUTED_VALUE"""),"C")</f>
        <v>C</v>
      </c>
      <c r="E609" s="1">
        <f>IFERROR(__xludf.DUMMYFUNCTION("""COMPUTED_VALUE"""),82.0)</f>
        <v>82</v>
      </c>
      <c r="F609" s="1">
        <f>IFERROR(__xludf.DUMMYFUNCTION("""COMPUTED_VALUE"""),21.0)</f>
        <v>21</v>
      </c>
      <c r="G609" s="1">
        <f>IFERROR(__xludf.DUMMYFUNCTION("""COMPUTED_VALUE"""),88.0)</f>
        <v>88</v>
      </c>
      <c r="H609" s="1">
        <f>IFERROR(__xludf.DUMMYFUNCTION("""COMPUTED_VALUE"""),73.0)</f>
        <v>73</v>
      </c>
      <c r="I609" s="1">
        <f>IFERROR(__xludf.DUMMYFUNCTION("""COMPUTED_VALUE"""),97.0)</f>
        <v>97</v>
      </c>
      <c r="J609" s="1">
        <f>IFERROR(__xludf.DUMMYFUNCTION("""COMPUTED_VALUE"""),57.0)</f>
        <v>57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 t="str">
        <f>IFERROR(__xludf.DUMMYFUNCTION("""COMPUTED_VALUE"""),"B")</f>
        <v>B</v>
      </c>
      <c r="E610" s="1">
        <f>IFERROR(__xludf.DUMMYFUNCTION("""COMPUTED_VALUE"""),78.0)</f>
        <v>78</v>
      </c>
      <c r="F610" s="1">
        <f>IFERROR(__xludf.DUMMYFUNCTION("""COMPUTED_VALUE"""),44.0)</f>
        <v>44</v>
      </c>
      <c r="G610" s="1">
        <f>IFERROR(__xludf.DUMMYFUNCTION("""COMPUTED_VALUE"""),30.0)</f>
        <v>30</v>
      </c>
      <c r="H610" s="1">
        <f>IFERROR(__xludf.DUMMYFUNCTION("""COMPUTED_VALUE"""),24.0)</f>
        <v>24</v>
      </c>
      <c r="I610" s="1">
        <f>IFERROR(__xludf.DUMMYFUNCTION("""COMPUTED_VALUE"""),31.0)</f>
        <v>31</v>
      </c>
      <c r="J610" s="1">
        <f>IFERROR(__xludf.DUMMYFUNCTION("""COMPUTED_VALUE"""),27.0)</f>
        <v>27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 t="str">
        <f>IFERROR(__xludf.DUMMYFUNCTION("""COMPUTED_VALUE"""),"A")</f>
        <v>A</v>
      </c>
      <c r="E611" s="1">
        <f>IFERROR(__xludf.DUMMYFUNCTION("""COMPUTED_VALUE"""),17.0)</f>
        <v>17</v>
      </c>
      <c r="F611" s="1">
        <f>IFERROR(__xludf.DUMMYFUNCTION("""COMPUTED_VALUE"""),56.0)</f>
        <v>56</v>
      </c>
      <c r="G611" s="1">
        <f>IFERROR(__xludf.DUMMYFUNCTION("""COMPUTED_VALUE"""),91.0)</f>
        <v>91</v>
      </c>
      <c r="H611" s="1">
        <f>IFERROR(__xludf.DUMMYFUNCTION("""COMPUTED_VALUE"""),90.0)</f>
        <v>90</v>
      </c>
      <c r="I611" s="1">
        <f>IFERROR(__xludf.DUMMYFUNCTION("""COMPUTED_VALUE"""),70.0)</f>
        <v>70</v>
      </c>
      <c r="J611" s="1">
        <f>IFERROR(__xludf.DUMMYFUNCTION("""COMPUTED_VALUE"""),92.0)</f>
        <v>92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 t="str">
        <f>IFERROR(__xludf.DUMMYFUNCTION("""COMPUTED_VALUE"""),"A")</f>
        <v>A</v>
      </c>
      <c r="E612" s="1">
        <f>IFERROR(__xludf.DUMMYFUNCTION("""COMPUTED_VALUE"""),61.0)</f>
        <v>61</v>
      </c>
      <c r="F612" s="1">
        <f>IFERROR(__xludf.DUMMYFUNCTION("""COMPUTED_VALUE"""),89.0)</f>
        <v>89</v>
      </c>
      <c r="G612" s="1">
        <f>IFERROR(__xludf.DUMMYFUNCTION("""COMPUTED_VALUE"""),99.0)</f>
        <v>99</v>
      </c>
      <c r="H612" s="1">
        <f>IFERROR(__xludf.DUMMYFUNCTION("""COMPUTED_VALUE"""),52.0)</f>
        <v>52</v>
      </c>
      <c r="I612" s="1">
        <f>IFERROR(__xludf.DUMMYFUNCTION("""COMPUTED_VALUE"""),24.0)</f>
        <v>24</v>
      </c>
      <c r="J612" s="1">
        <f>IFERROR(__xludf.DUMMYFUNCTION("""COMPUTED_VALUE"""),36.0)</f>
        <v>36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 t="str">
        <f>IFERROR(__xludf.DUMMYFUNCTION("""COMPUTED_VALUE"""),"C")</f>
        <v>C</v>
      </c>
      <c r="E613" s="1">
        <f>IFERROR(__xludf.DUMMYFUNCTION("""COMPUTED_VALUE"""),91.0)</f>
        <v>91</v>
      </c>
      <c r="F613" s="1">
        <f>IFERROR(__xludf.DUMMYFUNCTION("""COMPUTED_VALUE"""),69.0)</f>
        <v>69</v>
      </c>
      <c r="G613" s="1">
        <f>IFERROR(__xludf.DUMMYFUNCTION("""COMPUTED_VALUE"""),95.0)</f>
        <v>95</v>
      </c>
      <c r="H613" s="1">
        <f>IFERROR(__xludf.DUMMYFUNCTION("""COMPUTED_VALUE"""),53.0)</f>
        <v>53</v>
      </c>
      <c r="I613" s="1">
        <f>IFERROR(__xludf.DUMMYFUNCTION("""COMPUTED_VALUE"""),65.0)</f>
        <v>65</v>
      </c>
      <c r="J613" s="1">
        <f>IFERROR(__xludf.DUMMYFUNCTION("""COMPUTED_VALUE"""),35.0)</f>
        <v>35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 t="str">
        <f>IFERROR(__xludf.DUMMYFUNCTION("""COMPUTED_VALUE"""),"B")</f>
        <v>B</v>
      </c>
      <c r="E614" s="1">
        <f>IFERROR(__xludf.DUMMYFUNCTION("""COMPUTED_VALUE"""),99.0)</f>
        <v>99</v>
      </c>
      <c r="F614" s="1">
        <f>IFERROR(__xludf.DUMMYFUNCTION("""COMPUTED_VALUE"""),90.0)</f>
        <v>90</v>
      </c>
      <c r="G614" s="1">
        <f>IFERROR(__xludf.DUMMYFUNCTION("""COMPUTED_VALUE"""),62.0)</f>
        <v>62</v>
      </c>
      <c r="H614" s="1">
        <f>IFERROR(__xludf.DUMMYFUNCTION("""COMPUTED_VALUE"""),94.0)</f>
        <v>94</v>
      </c>
      <c r="I614" s="1">
        <f>IFERROR(__xludf.DUMMYFUNCTION("""COMPUTED_VALUE"""),77.0)</f>
        <v>77</v>
      </c>
      <c r="J614" s="1">
        <f>IFERROR(__xludf.DUMMYFUNCTION("""COMPUTED_VALUE"""),93.0)</f>
        <v>93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 t="str">
        <f>IFERROR(__xludf.DUMMYFUNCTION("""COMPUTED_VALUE"""),"C")</f>
        <v>C</v>
      </c>
      <c r="E615" s="1">
        <f>IFERROR(__xludf.DUMMYFUNCTION("""COMPUTED_VALUE"""),85.0)</f>
        <v>85</v>
      </c>
      <c r="F615" s="1">
        <f>IFERROR(__xludf.DUMMYFUNCTION("""COMPUTED_VALUE"""),55.0)</f>
        <v>55</v>
      </c>
      <c r="G615" s="1">
        <f>IFERROR(__xludf.DUMMYFUNCTION("""COMPUTED_VALUE"""),61.0)</f>
        <v>61</v>
      </c>
      <c r="H615" s="1">
        <f>IFERROR(__xludf.DUMMYFUNCTION("""COMPUTED_VALUE"""),58.0)</f>
        <v>58</v>
      </c>
      <c r="I615" s="1">
        <f>IFERROR(__xludf.DUMMYFUNCTION("""COMPUTED_VALUE"""),30.0)</f>
        <v>30</v>
      </c>
      <c r="J615" s="1">
        <f>IFERROR(__xludf.DUMMYFUNCTION("""COMPUTED_VALUE"""),30.0)</f>
        <v>30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 t="str">
        <f>IFERROR(__xludf.DUMMYFUNCTION("""COMPUTED_VALUE"""),"B")</f>
        <v>B</v>
      </c>
      <c r="E616" s="1">
        <f>IFERROR(__xludf.DUMMYFUNCTION("""COMPUTED_VALUE"""),24.0)</f>
        <v>24</v>
      </c>
      <c r="F616" s="1">
        <f>IFERROR(__xludf.DUMMYFUNCTION("""COMPUTED_VALUE"""),25.0)</f>
        <v>25</v>
      </c>
      <c r="G616" s="1">
        <f>IFERROR(__xludf.DUMMYFUNCTION("""COMPUTED_VALUE"""),77.0)</f>
        <v>77</v>
      </c>
      <c r="H616" s="1">
        <f>IFERROR(__xludf.DUMMYFUNCTION("""COMPUTED_VALUE"""),96.0)</f>
        <v>96</v>
      </c>
      <c r="I616" s="1">
        <f>IFERROR(__xludf.DUMMYFUNCTION("""COMPUTED_VALUE"""),54.0)</f>
        <v>54</v>
      </c>
      <c r="J616" s="1">
        <f>IFERROR(__xludf.DUMMYFUNCTION("""COMPUTED_VALUE"""),37.0)</f>
        <v>37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 t="str">
        <f>IFERROR(__xludf.DUMMYFUNCTION("""COMPUTED_VALUE"""),"B")</f>
        <v>B</v>
      </c>
      <c r="E617" s="1">
        <f>IFERROR(__xludf.DUMMYFUNCTION("""COMPUTED_VALUE"""),32.0)</f>
        <v>32</v>
      </c>
      <c r="F617" s="1">
        <f>IFERROR(__xludf.DUMMYFUNCTION("""COMPUTED_VALUE"""),96.0)</f>
        <v>96</v>
      </c>
      <c r="G617" s="1">
        <f>IFERROR(__xludf.DUMMYFUNCTION("""COMPUTED_VALUE"""),80.0)</f>
        <v>80</v>
      </c>
      <c r="H617" s="1">
        <f>IFERROR(__xludf.DUMMYFUNCTION("""COMPUTED_VALUE"""),44.0)</f>
        <v>44</v>
      </c>
      <c r="I617" s="1">
        <f>IFERROR(__xludf.DUMMYFUNCTION("""COMPUTED_VALUE"""),65.0)</f>
        <v>65</v>
      </c>
      <c r="J617" s="1">
        <f>IFERROR(__xludf.DUMMYFUNCTION("""COMPUTED_VALUE"""),48.0)</f>
        <v>48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 t="str">
        <f>IFERROR(__xludf.DUMMYFUNCTION("""COMPUTED_VALUE"""),"A")</f>
        <v>A</v>
      </c>
      <c r="E618" s="1">
        <f>IFERROR(__xludf.DUMMYFUNCTION("""COMPUTED_VALUE"""),34.0)</f>
        <v>34</v>
      </c>
      <c r="F618" s="1">
        <f>IFERROR(__xludf.DUMMYFUNCTION("""COMPUTED_VALUE"""),80.0)</f>
        <v>80</v>
      </c>
      <c r="G618" s="1">
        <f>IFERROR(__xludf.DUMMYFUNCTION("""COMPUTED_VALUE"""),37.0)</f>
        <v>37</v>
      </c>
      <c r="H618" s="1">
        <f>IFERROR(__xludf.DUMMYFUNCTION("""COMPUTED_VALUE"""),99.0)</f>
        <v>99</v>
      </c>
      <c r="I618" s="1">
        <f>IFERROR(__xludf.DUMMYFUNCTION("""COMPUTED_VALUE"""),29.0)</f>
        <v>29</v>
      </c>
      <c r="J618" s="1">
        <f>IFERROR(__xludf.DUMMYFUNCTION("""COMPUTED_VALUE"""),39.0)</f>
        <v>39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 t="str">
        <f>IFERROR(__xludf.DUMMYFUNCTION("""COMPUTED_VALUE"""),"C")</f>
        <v>C</v>
      </c>
      <c r="E619" s="1">
        <f>IFERROR(__xludf.DUMMYFUNCTION("""COMPUTED_VALUE"""),45.0)</f>
        <v>45</v>
      </c>
      <c r="F619" s="1">
        <f>IFERROR(__xludf.DUMMYFUNCTION("""COMPUTED_VALUE"""),28.0)</f>
        <v>28</v>
      </c>
      <c r="G619" s="1">
        <f>IFERROR(__xludf.DUMMYFUNCTION("""COMPUTED_VALUE"""),66.0)</f>
        <v>66</v>
      </c>
      <c r="H619" s="1">
        <f>IFERROR(__xludf.DUMMYFUNCTION("""COMPUTED_VALUE"""),55.0)</f>
        <v>55</v>
      </c>
      <c r="I619" s="1">
        <f>IFERROR(__xludf.DUMMYFUNCTION("""COMPUTED_VALUE"""),88.0)</f>
        <v>88</v>
      </c>
      <c r="J619" s="1">
        <f>IFERROR(__xludf.DUMMYFUNCTION("""COMPUTED_VALUE"""),21.0)</f>
        <v>21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 t="str">
        <f>IFERROR(__xludf.DUMMYFUNCTION("""COMPUTED_VALUE"""),"B")</f>
        <v>B</v>
      </c>
      <c r="E620" s="1">
        <f>IFERROR(__xludf.DUMMYFUNCTION("""COMPUTED_VALUE"""),23.0)</f>
        <v>23</v>
      </c>
      <c r="F620" s="1">
        <f>IFERROR(__xludf.DUMMYFUNCTION("""COMPUTED_VALUE"""),73.0)</f>
        <v>73</v>
      </c>
      <c r="G620" s="1">
        <f>IFERROR(__xludf.DUMMYFUNCTION("""COMPUTED_VALUE"""),52.0)</f>
        <v>52</v>
      </c>
      <c r="H620" s="1">
        <f>IFERROR(__xludf.DUMMYFUNCTION("""COMPUTED_VALUE"""),92.0)</f>
        <v>92</v>
      </c>
      <c r="I620" s="1">
        <f>IFERROR(__xludf.DUMMYFUNCTION("""COMPUTED_VALUE"""),47.0)</f>
        <v>47</v>
      </c>
      <c r="J620" s="1">
        <f>IFERROR(__xludf.DUMMYFUNCTION("""COMPUTED_VALUE"""),42.0)</f>
        <v>42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 t="str">
        <f>IFERROR(__xludf.DUMMYFUNCTION("""COMPUTED_VALUE"""),"A")</f>
        <v>A</v>
      </c>
      <c r="E621" s="1">
        <f>IFERROR(__xludf.DUMMYFUNCTION("""COMPUTED_VALUE"""),62.0)</f>
        <v>62</v>
      </c>
      <c r="F621" s="1">
        <f>IFERROR(__xludf.DUMMYFUNCTION("""COMPUTED_VALUE"""),58.0)</f>
        <v>58</v>
      </c>
      <c r="G621" s="1">
        <f>IFERROR(__xludf.DUMMYFUNCTION("""COMPUTED_VALUE"""),27.0)</f>
        <v>27</v>
      </c>
      <c r="H621" s="1">
        <f>IFERROR(__xludf.DUMMYFUNCTION("""COMPUTED_VALUE"""),43.0)</f>
        <v>43</v>
      </c>
      <c r="I621" s="1">
        <f>IFERROR(__xludf.DUMMYFUNCTION("""COMPUTED_VALUE"""),72.0)</f>
        <v>72</v>
      </c>
      <c r="J621" s="1">
        <f>IFERROR(__xludf.DUMMYFUNCTION("""COMPUTED_VALUE"""),44.0)</f>
        <v>44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 t="str">
        <f>IFERROR(__xludf.DUMMYFUNCTION("""COMPUTED_VALUE"""),"C")</f>
        <v>C</v>
      </c>
      <c r="E622" s="1">
        <f>IFERROR(__xludf.DUMMYFUNCTION("""COMPUTED_VALUE"""),98.0)</f>
        <v>98</v>
      </c>
      <c r="F622" s="1">
        <f>IFERROR(__xludf.DUMMYFUNCTION("""COMPUTED_VALUE"""),98.0)</f>
        <v>98</v>
      </c>
      <c r="G622" s="1">
        <f>IFERROR(__xludf.DUMMYFUNCTION("""COMPUTED_VALUE"""),68.0)</f>
        <v>68</v>
      </c>
      <c r="H622" s="1">
        <f>IFERROR(__xludf.DUMMYFUNCTION("""COMPUTED_VALUE"""),62.0)</f>
        <v>62</v>
      </c>
      <c r="I622" s="1">
        <f>IFERROR(__xludf.DUMMYFUNCTION("""COMPUTED_VALUE"""),68.0)</f>
        <v>68</v>
      </c>
      <c r="J622" s="1">
        <f>IFERROR(__xludf.DUMMYFUNCTION("""COMPUTED_VALUE"""),27.0)</f>
        <v>27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 t="str">
        <f>IFERROR(__xludf.DUMMYFUNCTION("""COMPUTED_VALUE"""),"A")</f>
        <v>A</v>
      </c>
      <c r="E623" s="1">
        <f>IFERROR(__xludf.DUMMYFUNCTION("""COMPUTED_VALUE"""),33.0)</f>
        <v>33</v>
      </c>
      <c r="F623" s="1">
        <f>IFERROR(__xludf.DUMMYFUNCTION("""COMPUTED_VALUE"""),34.0)</f>
        <v>34</v>
      </c>
      <c r="G623" s="1">
        <f>IFERROR(__xludf.DUMMYFUNCTION("""COMPUTED_VALUE"""),54.0)</f>
        <v>54</v>
      </c>
      <c r="H623" s="1">
        <f>IFERROR(__xludf.DUMMYFUNCTION("""COMPUTED_VALUE"""),82.0)</f>
        <v>82</v>
      </c>
      <c r="I623" s="1">
        <f>IFERROR(__xludf.DUMMYFUNCTION("""COMPUTED_VALUE"""),48.0)</f>
        <v>48</v>
      </c>
      <c r="J623" s="1">
        <f>IFERROR(__xludf.DUMMYFUNCTION("""COMPUTED_VALUE"""),85.0)</f>
        <v>85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 t="str">
        <f>IFERROR(__xludf.DUMMYFUNCTION("""COMPUTED_VALUE"""),"A")</f>
        <v>A</v>
      </c>
      <c r="E624" s="1">
        <f>IFERROR(__xludf.DUMMYFUNCTION("""COMPUTED_VALUE"""),10.0)</f>
        <v>10</v>
      </c>
      <c r="F624" s="1">
        <f>IFERROR(__xludf.DUMMYFUNCTION("""COMPUTED_VALUE"""),57.0)</f>
        <v>57</v>
      </c>
      <c r="G624" s="1">
        <f>IFERROR(__xludf.DUMMYFUNCTION("""COMPUTED_VALUE"""),25.0)</f>
        <v>25</v>
      </c>
      <c r="H624" s="1">
        <f>IFERROR(__xludf.DUMMYFUNCTION("""COMPUTED_VALUE"""),28.0)</f>
        <v>28</v>
      </c>
      <c r="I624" s="1">
        <f>IFERROR(__xludf.DUMMYFUNCTION("""COMPUTED_VALUE"""),89.0)</f>
        <v>89</v>
      </c>
      <c r="J624" s="1">
        <f>IFERROR(__xludf.DUMMYFUNCTION("""COMPUTED_VALUE"""),20.0)</f>
        <v>20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 t="str">
        <f>IFERROR(__xludf.DUMMYFUNCTION("""COMPUTED_VALUE"""),"D")</f>
        <v>D</v>
      </c>
      <c r="E625" s="1">
        <f>IFERROR(__xludf.DUMMYFUNCTION("""COMPUTED_VALUE"""),74.0)</f>
        <v>74</v>
      </c>
      <c r="F625" s="1">
        <f>IFERROR(__xludf.DUMMYFUNCTION("""COMPUTED_VALUE"""),63.0)</f>
        <v>63</v>
      </c>
      <c r="G625" s="1">
        <f>IFERROR(__xludf.DUMMYFUNCTION("""COMPUTED_VALUE"""),52.0)</f>
        <v>52</v>
      </c>
      <c r="H625" s="1">
        <f>IFERROR(__xludf.DUMMYFUNCTION("""COMPUTED_VALUE"""),39.0)</f>
        <v>39</v>
      </c>
      <c r="I625" s="1">
        <f>IFERROR(__xludf.DUMMYFUNCTION("""COMPUTED_VALUE"""),54.0)</f>
        <v>54</v>
      </c>
      <c r="J625" s="1">
        <f>IFERROR(__xludf.DUMMYFUNCTION("""COMPUTED_VALUE"""),73.0)</f>
        <v>73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 t="str">
        <f>IFERROR(__xludf.DUMMYFUNCTION("""COMPUTED_VALUE"""),"B")</f>
        <v>B</v>
      </c>
      <c r="E626" s="1">
        <f>IFERROR(__xludf.DUMMYFUNCTION("""COMPUTED_VALUE"""),61.0)</f>
        <v>61</v>
      </c>
      <c r="F626" s="1">
        <f>IFERROR(__xludf.DUMMYFUNCTION("""COMPUTED_VALUE"""),84.0)</f>
        <v>84</v>
      </c>
      <c r="G626" s="1">
        <f>IFERROR(__xludf.DUMMYFUNCTION("""COMPUTED_VALUE"""),74.0)</f>
        <v>74</v>
      </c>
      <c r="H626" s="1">
        <f>IFERROR(__xludf.DUMMYFUNCTION("""COMPUTED_VALUE"""),84.0)</f>
        <v>84</v>
      </c>
      <c r="I626" s="1">
        <f>IFERROR(__xludf.DUMMYFUNCTION("""COMPUTED_VALUE"""),63.0)</f>
        <v>63</v>
      </c>
      <c r="J626" s="1">
        <f>IFERROR(__xludf.DUMMYFUNCTION("""COMPUTED_VALUE"""),64.0)</f>
        <v>64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 t="str">
        <f>IFERROR(__xludf.DUMMYFUNCTION("""COMPUTED_VALUE"""),"D")</f>
        <v>D</v>
      </c>
      <c r="E627" s="1">
        <f>IFERROR(__xludf.DUMMYFUNCTION("""COMPUTED_VALUE"""),35.0)</f>
        <v>35</v>
      </c>
      <c r="F627" s="1">
        <f>IFERROR(__xludf.DUMMYFUNCTION("""COMPUTED_VALUE"""),28.0)</f>
        <v>28</v>
      </c>
      <c r="G627" s="1">
        <f>IFERROR(__xludf.DUMMYFUNCTION("""COMPUTED_VALUE"""),45.0)</f>
        <v>45</v>
      </c>
      <c r="H627" s="1">
        <f>IFERROR(__xludf.DUMMYFUNCTION("""COMPUTED_VALUE"""),73.0)</f>
        <v>73</v>
      </c>
      <c r="I627" s="1">
        <f>IFERROR(__xludf.DUMMYFUNCTION("""COMPUTED_VALUE"""),84.0)</f>
        <v>84</v>
      </c>
      <c r="J627" s="1">
        <f>IFERROR(__xludf.DUMMYFUNCTION("""COMPUTED_VALUE"""),64.0)</f>
        <v>64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 t="str">
        <f>IFERROR(__xludf.DUMMYFUNCTION("""COMPUTED_VALUE"""),"B")</f>
        <v>B</v>
      </c>
      <c r="E628" s="1">
        <f>IFERROR(__xludf.DUMMYFUNCTION("""COMPUTED_VALUE"""),38.0)</f>
        <v>38</v>
      </c>
      <c r="F628" s="1">
        <f>IFERROR(__xludf.DUMMYFUNCTION("""COMPUTED_VALUE"""),54.0)</f>
        <v>54</v>
      </c>
      <c r="G628" s="1">
        <f>IFERROR(__xludf.DUMMYFUNCTION("""COMPUTED_VALUE"""),27.0)</f>
        <v>27</v>
      </c>
      <c r="H628" s="1">
        <f>IFERROR(__xludf.DUMMYFUNCTION("""COMPUTED_VALUE"""),41.0)</f>
        <v>41</v>
      </c>
      <c r="I628" s="1">
        <f>IFERROR(__xludf.DUMMYFUNCTION("""COMPUTED_VALUE"""),90.0)</f>
        <v>90</v>
      </c>
      <c r="J628" s="1">
        <f>IFERROR(__xludf.DUMMYFUNCTION("""COMPUTED_VALUE"""),43.0)</f>
        <v>43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 t="str">
        <f>IFERROR(__xludf.DUMMYFUNCTION("""COMPUTED_VALUE"""),"D")</f>
        <v>D</v>
      </c>
      <c r="E629" s="1">
        <f>IFERROR(__xludf.DUMMYFUNCTION("""COMPUTED_VALUE"""),72.0)</f>
        <v>72</v>
      </c>
      <c r="F629" s="1">
        <f>IFERROR(__xludf.DUMMYFUNCTION("""COMPUTED_VALUE"""),38.0)</f>
        <v>38</v>
      </c>
      <c r="G629" s="1">
        <f>IFERROR(__xludf.DUMMYFUNCTION("""COMPUTED_VALUE"""),49.0)</f>
        <v>49</v>
      </c>
      <c r="H629" s="1">
        <f>IFERROR(__xludf.DUMMYFUNCTION("""COMPUTED_VALUE"""),44.0)</f>
        <v>44</v>
      </c>
      <c r="I629" s="1">
        <f>IFERROR(__xludf.DUMMYFUNCTION("""COMPUTED_VALUE"""),70.0)</f>
        <v>70</v>
      </c>
      <c r="J629" s="1">
        <f>IFERROR(__xludf.DUMMYFUNCTION("""COMPUTED_VALUE"""),49.0)</f>
        <v>49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 t="str">
        <f>IFERROR(__xludf.DUMMYFUNCTION("""COMPUTED_VALUE"""),"B")</f>
        <v>B</v>
      </c>
      <c r="E630" s="1">
        <f>IFERROR(__xludf.DUMMYFUNCTION("""COMPUTED_VALUE"""),43.0)</f>
        <v>43</v>
      </c>
      <c r="F630" s="1">
        <f>IFERROR(__xludf.DUMMYFUNCTION("""COMPUTED_VALUE"""),78.0)</f>
        <v>78</v>
      </c>
      <c r="G630" s="1">
        <f>IFERROR(__xludf.DUMMYFUNCTION("""COMPUTED_VALUE"""),84.0)</f>
        <v>84</v>
      </c>
      <c r="H630" s="1">
        <f>IFERROR(__xludf.DUMMYFUNCTION("""COMPUTED_VALUE"""),75.0)</f>
        <v>75</v>
      </c>
      <c r="I630" s="1">
        <f>IFERROR(__xludf.DUMMYFUNCTION("""COMPUTED_VALUE"""),92.0)</f>
        <v>92</v>
      </c>
      <c r="J630" s="1">
        <f>IFERROR(__xludf.DUMMYFUNCTION("""COMPUTED_VALUE"""),83.0)</f>
        <v>83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 t="str">
        <f>IFERROR(__xludf.DUMMYFUNCTION("""COMPUTED_VALUE"""),"C")</f>
        <v>C</v>
      </c>
      <c r="E631" s="1">
        <f>IFERROR(__xludf.DUMMYFUNCTION("""COMPUTED_VALUE"""),68.0)</f>
        <v>68</v>
      </c>
      <c r="F631" s="1">
        <f>IFERROR(__xludf.DUMMYFUNCTION("""COMPUTED_VALUE"""),85.0)</f>
        <v>85</v>
      </c>
      <c r="G631" s="1">
        <f>IFERROR(__xludf.DUMMYFUNCTION("""COMPUTED_VALUE"""),98.0)</f>
        <v>98</v>
      </c>
      <c r="H631" s="1">
        <f>IFERROR(__xludf.DUMMYFUNCTION("""COMPUTED_VALUE"""),21.0)</f>
        <v>21</v>
      </c>
      <c r="I631" s="1">
        <f>IFERROR(__xludf.DUMMYFUNCTION("""COMPUTED_VALUE"""),53.0)</f>
        <v>53</v>
      </c>
      <c r="J631" s="1">
        <f>IFERROR(__xludf.DUMMYFUNCTION("""COMPUTED_VALUE"""),56.0)</f>
        <v>56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 t="str">
        <f>IFERROR(__xludf.DUMMYFUNCTION("""COMPUTED_VALUE"""),"D")</f>
        <v>D</v>
      </c>
      <c r="E632" s="1">
        <f>IFERROR(__xludf.DUMMYFUNCTION("""COMPUTED_VALUE"""),68.0)</f>
        <v>68</v>
      </c>
      <c r="F632" s="1">
        <f>IFERROR(__xludf.DUMMYFUNCTION("""COMPUTED_VALUE"""),49.0)</f>
        <v>49</v>
      </c>
      <c r="G632" s="1">
        <f>IFERROR(__xludf.DUMMYFUNCTION("""COMPUTED_VALUE"""),42.0)</f>
        <v>42</v>
      </c>
      <c r="H632" s="1">
        <f>IFERROR(__xludf.DUMMYFUNCTION("""COMPUTED_VALUE"""),91.0)</f>
        <v>91</v>
      </c>
      <c r="I632" s="1">
        <f>IFERROR(__xludf.DUMMYFUNCTION("""COMPUTED_VALUE"""),74.0)</f>
        <v>74</v>
      </c>
      <c r="J632" s="1">
        <f>IFERROR(__xludf.DUMMYFUNCTION("""COMPUTED_VALUE"""),43.0)</f>
        <v>43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 t="str">
        <f>IFERROR(__xludf.DUMMYFUNCTION("""COMPUTED_VALUE"""),"D")</f>
        <v>D</v>
      </c>
      <c r="E633" s="1">
        <f>IFERROR(__xludf.DUMMYFUNCTION("""COMPUTED_VALUE"""),16.0)</f>
        <v>16</v>
      </c>
      <c r="F633" s="1">
        <f>IFERROR(__xludf.DUMMYFUNCTION("""COMPUTED_VALUE"""),31.0)</f>
        <v>31</v>
      </c>
      <c r="G633" s="1">
        <f>IFERROR(__xludf.DUMMYFUNCTION("""COMPUTED_VALUE"""),97.0)</f>
        <v>97</v>
      </c>
      <c r="H633" s="1">
        <f>IFERROR(__xludf.DUMMYFUNCTION("""COMPUTED_VALUE"""),94.0)</f>
        <v>94</v>
      </c>
      <c r="I633" s="1">
        <f>IFERROR(__xludf.DUMMYFUNCTION("""COMPUTED_VALUE"""),82.0)</f>
        <v>82</v>
      </c>
      <c r="J633" s="1">
        <f>IFERROR(__xludf.DUMMYFUNCTION("""COMPUTED_VALUE"""),97.0)</f>
        <v>97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 t="str">
        <f>IFERROR(__xludf.DUMMYFUNCTION("""COMPUTED_VALUE"""),"A")</f>
        <v>A</v>
      </c>
      <c r="E634" s="1">
        <f>IFERROR(__xludf.DUMMYFUNCTION("""COMPUTED_VALUE"""),29.0)</f>
        <v>29</v>
      </c>
      <c r="F634" s="1">
        <f>IFERROR(__xludf.DUMMYFUNCTION("""COMPUTED_VALUE"""),32.0)</f>
        <v>32</v>
      </c>
      <c r="G634" s="1">
        <f>IFERROR(__xludf.DUMMYFUNCTION("""COMPUTED_VALUE"""),53.0)</f>
        <v>53</v>
      </c>
      <c r="H634" s="1">
        <f>IFERROR(__xludf.DUMMYFUNCTION("""COMPUTED_VALUE"""),37.0)</f>
        <v>37</v>
      </c>
      <c r="I634" s="1">
        <f>IFERROR(__xludf.DUMMYFUNCTION("""COMPUTED_VALUE"""),69.0)</f>
        <v>69</v>
      </c>
      <c r="J634" s="1">
        <f>IFERROR(__xludf.DUMMYFUNCTION("""COMPUTED_VALUE"""),26.0)</f>
        <v>26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 t="str">
        <f>IFERROR(__xludf.DUMMYFUNCTION("""COMPUTED_VALUE"""),"A")</f>
        <v>A</v>
      </c>
      <c r="E635" s="1">
        <f>IFERROR(__xludf.DUMMYFUNCTION("""COMPUTED_VALUE"""),28.0)</f>
        <v>28</v>
      </c>
      <c r="F635" s="1">
        <f>IFERROR(__xludf.DUMMYFUNCTION("""COMPUTED_VALUE"""),84.0)</f>
        <v>84</v>
      </c>
      <c r="G635" s="1">
        <f>IFERROR(__xludf.DUMMYFUNCTION("""COMPUTED_VALUE"""),71.0)</f>
        <v>71</v>
      </c>
      <c r="H635" s="1">
        <f>IFERROR(__xludf.DUMMYFUNCTION("""COMPUTED_VALUE"""),39.0)</f>
        <v>39</v>
      </c>
      <c r="I635" s="1">
        <f>IFERROR(__xludf.DUMMYFUNCTION("""COMPUTED_VALUE"""),51.0)</f>
        <v>51</v>
      </c>
      <c r="J635" s="1">
        <f>IFERROR(__xludf.DUMMYFUNCTION("""COMPUTED_VALUE"""),42.0)</f>
        <v>42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 t="str">
        <f>IFERROR(__xludf.DUMMYFUNCTION("""COMPUTED_VALUE"""),"C")</f>
        <v>C</v>
      </c>
      <c r="E636" s="1">
        <f>IFERROR(__xludf.DUMMYFUNCTION("""COMPUTED_VALUE"""),25.0)</f>
        <v>25</v>
      </c>
      <c r="F636" s="1">
        <f>IFERROR(__xludf.DUMMYFUNCTION("""COMPUTED_VALUE"""),64.0)</f>
        <v>64</v>
      </c>
      <c r="G636" s="1">
        <f>IFERROR(__xludf.DUMMYFUNCTION("""COMPUTED_VALUE"""),39.0)</f>
        <v>39</v>
      </c>
      <c r="H636" s="1">
        <f>IFERROR(__xludf.DUMMYFUNCTION("""COMPUTED_VALUE"""),39.0)</f>
        <v>39</v>
      </c>
      <c r="I636" s="1">
        <f>IFERROR(__xludf.DUMMYFUNCTION("""COMPUTED_VALUE"""),63.0)</f>
        <v>63</v>
      </c>
      <c r="J636" s="1">
        <f>IFERROR(__xludf.DUMMYFUNCTION("""COMPUTED_VALUE"""),58.0)</f>
        <v>58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 t="str">
        <f>IFERROR(__xludf.DUMMYFUNCTION("""COMPUTED_VALUE"""),"C")</f>
        <v>C</v>
      </c>
      <c r="E637" s="1">
        <f>IFERROR(__xludf.DUMMYFUNCTION("""COMPUTED_VALUE"""),56.0)</f>
        <v>56</v>
      </c>
      <c r="F637" s="1">
        <f>IFERROR(__xludf.DUMMYFUNCTION("""COMPUTED_VALUE"""),36.0)</f>
        <v>36</v>
      </c>
      <c r="G637" s="1">
        <f>IFERROR(__xludf.DUMMYFUNCTION("""COMPUTED_VALUE"""),22.0)</f>
        <v>22</v>
      </c>
      <c r="H637" s="1">
        <f>IFERROR(__xludf.DUMMYFUNCTION("""COMPUTED_VALUE"""),60.0)</f>
        <v>60</v>
      </c>
      <c r="I637" s="1">
        <f>IFERROR(__xludf.DUMMYFUNCTION("""COMPUTED_VALUE"""),32.0)</f>
        <v>32</v>
      </c>
      <c r="J637" s="1">
        <f>IFERROR(__xludf.DUMMYFUNCTION("""COMPUTED_VALUE"""),29.0)</f>
        <v>29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 t="str">
        <f>IFERROR(__xludf.DUMMYFUNCTION("""COMPUTED_VALUE"""),"A")</f>
        <v>A</v>
      </c>
      <c r="E638" s="1">
        <f>IFERROR(__xludf.DUMMYFUNCTION("""COMPUTED_VALUE"""),73.0)</f>
        <v>73</v>
      </c>
      <c r="F638" s="1">
        <f>IFERROR(__xludf.DUMMYFUNCTION("""COMPUTED_VALUE"""),90.0)</f>
        <v>90</v>
      </c>
      <c r="G638" s="1">
        <f>IFERROR(__xludf.DUMMYFUNCTION("""COMPUTED_VALUE"""),66.0)</f>
        <v>66</v>
      </c>
      <c r="H638" s="1">
        <f>IFERROR(__xludf.DUMMYFUNCTION("""COMPUTED_VALUE"""),40.0)</f>
        <v>40</v>
      </c>
      <c r="I638" s="1">
        <f>IFERROR(__xludf.DUMMYFUNCTION("""COMPUTED_VALUE"""),63.0)</f>
        <v>63</v>
      </c>
      <c r="J638" s="1">
        <f>IFERROR(__xludf.DUMMYFUNCTION("""COMPUTED_VALUE"""),49.0)</f>
        <v>49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 t="str">
        <f>IFERROR(__xludf.DUMMYFUNCTION("""COMPUTED_VALUE"""),"A")</f>
        <v>A</v>
      </c>
      <c r="E639" s="1">
        <f>IFERROR(__xludf.DUMMYFUNCTION("""COMPUTED_VALUE"""),75.0)</f>
        <v>75</v>
      </c>
      <c r="F639" s="1">
        <f>IFERROR(__xludf.DUMMYFUNCTION("""COMPUTED_VALUE"""),56.0)</f>
        <v>56</v>
      </c>
      <c r="G639" s="1">
        <f>IFERROR(__xludf.DUMMYFUNCTION("""COMPUTED_VALUE"""),84.0)</f>
        <v>84</v>
      </c>
      <c r="H639" s="1">
        <f>IFERROR(__xludf.DUMMYFUNCTION("""COMPUTED_VALUE"""),49.0)</f>
        <v>49</v>
      </c>
      <c r="I639" s="1">
        <f>IFERROR(__xludf.DUMMYFUNCTION("""COMPUTED_VALUE"""),63.0)</f>
        <v>63</v>
      </c>
      <c r="J639" s="1">
        <f>IFERROR(__xludf.DUMMYFUNCTION("""COMPUTED_VALUE"""),42.0)</f>
        <v>42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 t="str">
        <f>IFERROR(__xludf.DUMMYFUNCTION("""COMPUTED_VALUE"""),"D")</f>
        <v>D</v>
      </c>
      <c r="E640" s="1">
        <f>IFERROR(__xludf.DUMMYFUNCTION("""COMPUTED_VALUE"""),42.0)</f>
        <v>42</v>
      </c>
      <c r="F640" s="1">
        <f>IFERROR(__xludf.DUMMYFUNCTION("""COMPUTED_VALUE"""),25.0)</f>
        <v>25</v>
      </c>
      <c r="G640" s="1">
        <f>IFERROR(__xludf.DUMMYFUNCTION("""COMPUTED_VALUE"""),41.0)</f>
        <v>41</v>
      </c>
      <c r="H640" s="1">
        <f>IFERROR(__xludf.DUMMYFUNCTION("""COMPUTED_VALUE"""),84.0)</f>
        <v>84</v>
      </c>
      <c r="I640" s="1">
        <f>IFERROR(__xludf.DUMMYFUNCTION("""COMPUTED_VALUE"""),53.0)</f>
        <v>53</v>
      </c>
      <c r="J640" s="1">
        <f>IFERROR(__xludf.DUMMYFUNCTION("""COMPUTED_VALUE"""),54.0)</f>
        <v>54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 t="str">
        <f>IFERROR(__xludf.DUMMYFUNCTION("""COMPUTED_VALUE"""),"B")</f>
        <v>B</v>
      </c>
      <c r="E641" s="1">
        <f>IFERROR(__xludf.DUMMYFUNCTION("""COMPUTED_VALUE"""),31.0)</f>
        <v>31</v>
      </c>
      <c r="F641" s="1">
        <f>IFERROR(__xludf.DUMMYFUNCTION("""COMPUTED_VALUE"""),30.0)</f>
        <v>30</v>
      </c>
      <c r="G641" s="1">
        <f>IFERROR(__xludf.DUMMYFUNCTION("""COMPUTED_VALUE"""),30.0)</f>
        <v>30</v>
      </c>
      <c r="H641" s="1">
        <f>IFERROR(__xludf.DUMMYFUNCTION("""COMPUTED_VALUE"""),24.0)</f>
        <v>24</v>
      </c>
      <c r="I641" s="1">
        <f>IFERROR(__xludf.DUMMYFUNCTION("""COMPUTED_VALUE"""),57.0)</f>
        <v>57</v>
      </c>
      <c r="J641" s="1">
        <f>IFERROR(__xludf.DUMMYFUNCTION("""COMPUTED_VALUE"""),62.0)</f>
        <v>62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 t="str">
        <f>IFERROR(__xludf.DUMMYFUNCTION("""COMPUTED_VALUE"""),"B")</f>
        <v>B</v>
      </c>
      <c r="E642" s="1">
        <f>IFERROR(__xludf.DUMMYFUNCTION("""COMPUTED_VALUE"""),40.0)</f>
        <v>40</v>
      </c>
      <c r="F642" s="1">
        <f>IFERROR(__xludf.DUMMYFUNCTION("""COMPUTED_VALUE"""),50.0)</f>
        <v>50</v>
      </c>
      <c r="G642" s="1">
        <f>IFERROR(__xludf.DUMMYFUNCTION("""COMPUTED_VALUE"""),39.0)</f>
        <v>39</v>
      </c>
      <c r="H642" s="1">
        <f>IFERROR(__xludf.DUMMYFUNCTION("""COMPUTED_VALUE"""),85.0)</f>
        <v>85</v>
      </c>
      <c r="I642" s="1">
        <f>IFERROR(__xludf.DUMMYFUNCTION("""COMPUTED_VALUE"""),25.0)</f>
        <v>25</v>
      </c>
      <c r="J642" s="1">
        <f>IFERROR(__xludf.DUMMYFUNCTION("""COMPUTED_VALUE"""),99.0)</f>
        <v>99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 t="str">
        <f>IFERROR(__xludf.DUMMYFUNCTION("""COMPUTED_VALUE"""),"C")</f>
        <v>C</v>
      </c>
      <c r="E643" s="1">
        <f>IFERROR(__xludf.DUMMYFUNCTION("""COMPUTED_VALUE"""),20.0)</f>
        <v>20</v>
      </c>
      <c r="F643" s="1">
        <f>IFERROR(__xludf.DUMMYFUNCTION("""COMPUTED_VALUE"""),42.0)</f>
        <v>42</v>
      </c>
      <c r="G643" s="1">
        <f>IFERROR(__xludf.DUMMYFUNCTION("""COMPUTED_VALUE"""),25.0)</f>
        <v>25</v>
      </c>
      <c r="H643" s="1">
        <f>IFERROR(__xludf.DUMMYFUNCTION("""COMPUTED_VALUE"""),52.0)</f>
        <v>52</v>
      </c>
      <c r="I643" s="1">
        <f>IFERROR(__xludf.DUMMYFUNCTION("""COMPUTED_VALUE"""),54.0)</f>
        <v>54</v>
      </c>
      <c r="J643" s="1">
        <f>IFERROR(__xludf.DUMMYFUNCTION("""COMPUTED_VALUE"""),63.0)</f>
        <v>63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 t="str">
        <f>IFERROR(__xludf.DUMMYFUNCTION("""COMPUTED_VALUE"""),"C")</f>
        <v>C</v>
      </c>
      <c r="E644" s="1">
        <f>IFERROR(__xludf.DUMMYFUNCTION("""COMPUTED_VALUE"""),63.0)</f>
        <v>63</v>
      </c>
      <c r="F644" s="1">
        <f>IFERROR(__xludf.DUMMYFUNCTION("""COMPUTED_VALUE"""),33.0)</f>
        <v>33</v>
      </c>
      <c r="G644" s="1">
        <f>IFERROR(__xludf.DUMMYFUNCTION("""COMPUTED_VALUE"""),99.0)</f>
        <v>99</v>
      </c>
      <c r="H644" s="1">
        <f>IFERROR(__xludf.DUMMYFUNCTION("""COMPUTED_VALUE"""),40.0)</f>
        <v>40</v>
      </c>
      <c r="I644" s="1">
        <f>IFERROR(__xludf.DUMMYFUNCTION("""COMPUTED_VALUE"""),60.0)</f>
        <v>60</v>
      </c>
      <c r="J644" s="1">
        <f>IFERROR(__xludf.DUMMYFUNCTION("""COMPUTED_VALUE"""),34.0)</f>
        <v>34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 t="str">
        <f>IFERROR(__xludf.DUMMYFUNCTION("""COMPUTED_VALUE"""),"A")</f>
        <v>A</v>
      </c>
      <c r="E645" s="1">
        <f>IFERROR(__xludf.DUMMYFUNCTION("""COMPUTED_VALUE"""),53.0)</f>
        <v>53</v>
      </c>
      <c r="F645" s="1">
        <f>IFERROR(__xludf.DUMMYFUNCTION("""COMPUTED_VALUE"""),79.0)</f>
        <v>79</v>
      </c>
      <c r="G645" s="1">
        <f>IFERROR(__xludf.DUMMYFUNCTION("""COMPUTED_VALUE"""),90.0)</f>
        <v>90</v>
      </c>
      <c r="H645" s="1">
        <f>IFERROR(__xludf.DUMMYFUNCTION("""COMPUTED_VALUE"""),85.0)</f>
        <v>85</v>
      </c>
      <c r="I645" s="1">
        <f>IFERROR(__xludf.DUMMYFUNCTION("""COMPUTED_VALUE"""),31.0)</f>
        <v>31</v>
      </c>
      <c r="J645" s="1">
        <f>IFERROR(__xludf.DUMMYFUNCTION("""COMPUTED_VALUE"""),28.0)</f>
        <v>28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 t="str">
        <f>IFERROR(__xludf.DUMMYFUNCTION("""COMPUTED_VALUE"""),"A")</f>
        <v>A</v>
      </c>
      <c r="E646" s="1">
        <f>IFERROR(__xludf.DUMMYFUNCTION("""COMPUTED_VALUE"""),49.0)</f>
        <v>49</v>
      </c>
      <c r="F646" s="1">
        <f>IFERROR(__xludf.DUMMYFUNCTION("""COMPUTED_VALUE"""),46.0)</f>
        <v>46</v>
      </c>
      <c r="G646" s="1">
        <f>IFERROR(__xludf.DUMMYFUNCTION("""COMPUTED_VALUE"""),51.0)</f>
        <v>51</v>
      </c>
      <c r="H646" s="1">
        <f>IFERROR(__xludf.DUMMYFUNCTION("""COMPUTED_VALUE"""),66.0)</f>
        <v>66</v>
      </c>
      <c r="I646" s="1">
        <f>IFERROR(__xludf.DUMMYFUNCTION("""COMPUTED_VALUE"""),97.0)</f>
        <v>97</v>
      </c>
      <c r="J646" s="1">
        <f>IFERROR(__xludf.DUMMYFUNCTION("""COMPUTED_VALUE"""),95.0)</f>
        <v>95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 t="str">
        <f>IFERROR(__xludf.DUMMYFUNCTION("""COMPUTED_VALUE"""),"C")</f>
        <v>C</v>
      </c>
      <c r="E647" s="1">
        <f>IFERROR(__xludf.DUMMYFUNCTION("""COMPUTED_VALUE"""),90.0)</f>
        <v>90</v>
      </c>
      <c r="F647" s="1">
        <f>IFERROR(__xludf.DUMMYFUNCTION("""COMPUTED_VALUE"""),64.0)</f>
        <v>64</v>
      </c>
      <c r="G647" s="1">
        <f>IFERROR(__xludf.DUMMYFUNCTION("""COMPUTED_VALUE"""),99.0)</f>
        <v>99</v>
      </c>
      <c r="H647" s="1">
        <f>IFERROR(__xludf.DUMMYFUNCTION("""COMPUTED_VALUE"""),95.0)</f>
        <v>95</v>
      </c>
      <c r="I647" s="1">
        <f>IFERROR(__xludf.DUMMYFUNCTION("""COMPUTED_VALUE"""),58.0)</f>
        <v>58</v>
      </c>
      <c r="J647" s="1">
        <f>IFERROR(__xludf.DUMMYFUNCTION("""COMPUTED_VALUE"""),92.0)</f>
        <v>92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 t="str">
        <f>IFERROR(__xludf.DUMMYFUNCTION("""COMPUTED_VALUE"""),"D")</f>
        <v>D</v>
      </c>
      <c r="E648" s="1">
        <f>IFERROR(__xludf.DUMMYFUNCTION("""COMPUTED_VALUE"""),90.0)</f>
        <v>90</v>
      </c>
      <c r="F648" s="1">
        <f>IFERROR(__xludf.DUMMYFUNCTION("""COMPUTED_VALUE"""),58.0)</f>
        <v>58</v>
      </c>
      <c r="G648" s="1">
        <f>IFERROR(__xludf.DUMMYFUNCTION("""COMPUTED_VALUE"""),31.0)</f>
        <v>31</v>
      </c>
      <c r="H648" s="1">
        <f>IFERROR(__xludf.DUMMYFUNCTION("""COMPUTED_VALUE"""),91.0)</f>
        <v>91</v>
      </c>
      <c r="I648" s="1">
        <f>IFERROR(__xludf.DUMMYFUNCTION("""COMPUTED_VALUE"""),38.0)</f>
        <v>38</v>
      </c>
      <c r="J648" s="1">
        <f>IFERROR(__xludf.DUMMYFUNCTION("""COMPUTED_VALUE"""),24.0)</f>
        <v>24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 t="str">
        <f>IFERROR(__xludf.DUMMYFUNCTION("""COMPUTED_VALUE"""),"C")</f>
        <v>C</v>
      </c>
      <c r="E649" s="1">
        <f>IFERROR(__xludf.DUMMYFUNCTION("""COMPUTED_VALUE"""),12.0)</f>
        <v>12</v>
      </c>
      <c r="F649" s="1">
        <f>IFERROR(__xludf.DUMMYFUNCTION("""COMPUTED_VALUE"""),39.0)</f>
        <v>39</v>
      </c>
      <c r="G649" s="1">
        <f>IFERROR(__xludf.DUMMYFUNCTION("""COMPUTED_VALUE"""),38.0)</f>
        <v>38</v>
      </c>
      <c r="H649" s="1">
        <f>IFERROR(__xludf.DUMMYFUNCTION("""COMPUTED_VALUE"""),99.0)</f>
        <v>99</v>
      </c>
      <c r="I649" s="1">
        <f>IFERROR(__xludf.DUMMYFUNCTION("""COMPUTED_VALUE"""),67.0)</f>
        <v>67</v>
      </c>
      <c r="J649" s="1">
        <f>IFERROR(__xludf.DUMMYFUNCTION("""COMPUTED_VALUE"""),35.0)</f>
        <v>35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 t="str">
        <f>IFERROR(__xludf.DUMMYFUNCTION("""COMPUTED_VALUE"""),"A")</f>
        <v>A</v>
      </c>
      <c r="E650" s="1">
        <f>IFERROR(__xludf.DUMMYFUNCTION("""COMPUTED_VALUE"""),17.0)</f>
        <v>17</v>
      </c>
      <c r="F650" s="1">
        <f>IFERROR(__xludf.DUMMYFUNCTION("""COMPUTED_VALUE"""),91.0)</f>
        <v>91</v>
      </c>
      <c r="G650" s="1">
        <f>IFERROR(__xludf.DUMMYFUNCTION("""COMPUTED_VALUE"""),75.0)</f>
        <v>75</v>
      </c>
      <c r="H650" s="1">
        <f>IFERROR(__xludf.DUMMYFUNCTION("""COMPUTED_VALUE"""),95.0)</f>
        <v>95</v>
      </c>
      <c r="I650" s="1">
        <f>IFERROR(__xludf.DUMMYFUNCTION("""COMPUTED_VALUE"""),52.0)</f>
        <v>52</v>
      </c>
      <c r="J650" s="1">
        <f>IFERROR(__xludf.DUMMYFUNCTION("""COMPUTED_VALUE"""),32.0)</f>
        <v>32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 t="str">
        <f>IFERROR(__xludf.DUMMYFUNCTION("""COMPUTED_VALUE"""),"B")</f>
        <v>B</v>
      </c>
      <c r="E651" s="1">
        <f>IFERROR(__xludf.DUMMYFUNCTION("""COMPUTED_VALUE"""),79.0)</f>
        <v>79</v>
      </c>
      <c r="F651" s="1">
        <f>IFERROR(__xludf.DUMMYFUNCTION("""COMPUTED_VALUE"""),28.0)</f>
        <v>28</v>
      </c>
      <c r="G651" s="1">
        <f>IFERROR(__xludf.DUMMYFUNCTION("""COMPUTED_VALUE"""),65.0)</f>
        <v>65</v>
      </c>
      <c r="H651" s="1">
        <f>IFERROR(__xludf.DUMMYFUNCTION("""COMPUTED_VALUE"""),66.0)</f>
        <v>66</v>
      </c>
      <c r="I651" s="1">
        <f>IFERROR(__xludf.DUMMYFUNCTION("""COMPUTED_VALUE"""),99.0)</f>
        <v>99</v>
      </c>
      <c r="J651" s="1">
        <f>IFERROR(__xludf.DUMMYFUNCTION("""COMPUTED_VALUE"""),57.0)</f>
        <v>57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 t="str">
        <f>IFERROR(__xludf.DUMMYFUNCTION("""COMPUTED_VALUE"""),"C")</f>
        <v>C</v>
      </c>
      <c r="E652" s="1">
        <f>IFERROR(__xludf.DUMMYFUNCTION("""COMPUTED_VALUE"""),76.0)</f>
        <v>76</v>
      </c>
      <c r="F652" s="1">
        <f>IFERROR(__xludf.DUMMYFUNCTION("""COMPUTED_VALUE"""),60.0)</f>
        <v>60</v>
      </c>
      <c r="G652" s="1">
        <f>IFERROR(__xludf.DUMMYFUNCTION("""COMPUTED_VALUE"""),60.0)</f>
        <v>60</v>
      </c>
      <c r="H652" s="1">
        <f>IFERROR(__xludf.DUMMYFUNCTION("""COMPUTED_VALUE"""),28.0)</f>
        <v>28</v>
      </c>
      <c r="I652" s="1">
        <f>IFERROR(__xludf.DUMMYFUNCTION("""COMPUTED_VALUE"""),89.0)</f>
        <v>89</v>
      </c>
      <c r="J652" s="1">
        <f>IFERROR(__xludf.DUMMYFUNCTION("""COMPUTED_VALUE"""),65.0)</f>
        <v>65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 t="str">
        <f>IFERROR(__xludf.DUMMYFUNCTION("""COMPUTED_VALUE"""),"A")</f>
        <v>A</v>
      </c>
      <c r="E653" s="1">
        <f>IFERROR(__xludf.DUMMYFUNCTION("""COMPUTED_VALUE"""),11.0)</f>
        <v>11</v>
      </c>
      <c r="F653" s="1">
        <f>IFERROR(__xludf.DUMMYFUNCTION("""COMPUTED_VALUE"""),32.0)</f>
        <v>32</v>
      </c>
      <c r="G653" s="1">
        <f>IFERROR(__xludf.DUMMYFUNCTION("""COMPUTED_VALUE"""),37.0)</f>
        <v>37</v>
      </c>
      <c r="H653" s="1">
        <f>IFERROR(__xludf.DUMMYFUNCTION("""COMPUTED_VALUE"""),83.0)</f>
        <v>83</v>
      </c>
      <c r="I653" s="1">
        <f>IFERROR(__xludf.DUMMYFUNCTION("""COMPUTED_VALUE"""),22.0)</f>
        <v>22</v>
      </c>
      <c r="J653" s="1">
        <f>IFERROR(__xludf.DUMMYFUNCTION("""COMPUTED_VALUE"""),40.0)</f>
        <v>40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 t="str">
        <f>IFERROR(__xludf.DUMMYFUNCTION("""COMPUTED_VALUE"""),"C")</f>
        <v>C</v>
      </c>
      <c r="E654" s="1">
        <f>IFERROR(__xludf.DUMMYFUNCTION("""COMPUTED_VALUE"""),43.0)</f>
        <v>43</v>
      </c>
      <c r="F654" s="1">
        <f>IFERROR(__xludf.DUMMYFUNCTION("""COMPUTED_VALUE"""),78.0)</f>
        <v>78</v>
      </c>
      <c r="G654" s="1">
        <f>IFERROR(__xludf.DUMMYFUNCTION("""COMPUTED_VALUE"""),23.0)</f>
        <v>23</v>
      </c>
      <c r="H654" s="1">
        <f>IFERROR(__xludf.DUMMYFUNCTION("""COMPUTED_VALUE"""),87.0)</f>
        <v>87</v>
      </c>
      <c r="I654" s="1">
        <f>IFERROR(__xludf.DUMMYFUNCTION("""COMPUTED_VALUE"""),44.0)</f>
        <v>44</v>
      </c>
      <c r="J654" s="1">
        <f>IFERROR(__xludf.DUMMYFUNCTION("""COMPUTED_VALUE"""),51.0)</f>
        <v>51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 t="str">
        <f>IFERROR(__xludf.DUMMYFUNCTION("""COMPUTED_VALUE"""),"C")</f>
        <v>C</v>
      </c>
      <c r="E655" s="1">
        <f>IFERROR(__xludf.DUMMYFUNCTION("""COMPUTED_VALUE"""),52.0)</f>
        <v>52</v>
      </c>
      <c r="F655" s="1">
        <f>IFERROR(__xludf.DUMMYFUNCTION("""COMPUTED_VALUE"""),90.0)</f>
        <v>90</v>
      </c>
      <c r="G655" s="1">
        <f>IFERROR(__xludf.DUMMYFUNCTION("""COMPUTED_VALUE"""),84.0)</f>
        <v>84</v>
      </c>
      <c r="H655" s="1">
        <f>IFERROR(__xludf.DUMMYFUNCTION("""COMPUTED_VALUE"""),80.0)</f>
        <v>80</v>
      </c>
      <c r="I655" s="1">
        <f>IFERROR(__xludf.DUMMYFUNCTION("""COMPUTED_VALUE"""),40.0)</f>
        <v>40</v>
      </c>
      <c r="J655" s="1">
        <f>IFERROR(__xludf.DUMMYFUNCTION("""COMPUTED_VALUE"""),67.0)</f>
        <v>67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 t="str">
        <f>IFERROR(__xludf.DUMMYFUNCTION("""COMPUTED_VALUE"""),"D")</f>
        <v>D</v>
      </c>
      <c r="E656" s="1">
        <f>IFERROR(__xludf.DUMMYFUNCTION("""COMPUTED_VALUE"""),81.0)</f>
        <v>81</v>
      </c>
      <c r="F656" s="1">
        <f>IFERROR(__xludf.DUMMYFUNCTION("""COMPUTED_VALUE"""),66.0)</f>
        <v>66</v>
      </c>
      <c r="G656" s="1">
        <f>IFERROR(__xludf.DUMMYFUNCTION("""COMPUTED_VALUE"""),48.0)</f>
        <v>48</v>
      </c>
      <c r="H656" s="1">
        <f>IFERROR(__xludf.DUMMYFUNCTION("""COMPUTED_VALUE"""),94.0)</f>
        <v>94</v>
      </c>
      <c r="I656" s="1">
        <f>IFERROR(__xludf.DUMMYFUNCTION("""COMPUTED_VALUE"""),66.0)</f>
        <v>66</v>
      </c>
      <c r="J656" s="1">
        <f>IFERROR(__xludf.DUMMYFUNCTION("""COMPUTED_VALUE"""),77.0)</f>
        <v>77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 t="str">
        <f>IFERROR(__xludf.DUMMYFUNCTION("""COMPUTED_VALUE"""),"C")</f>
        <v>C</v>
      </c>
      <c r="E657" s="1">
        <f>IFERROR(__xludf.DUMMYFUNCTION("""COMPUTED_VALUE"""),50.0)</f>
        <v>50</v>
      </c>
      <c r="F657" s="1">
        <f>IFERROR(__xludf.DUMMYFUNCTION("""COMPUTED_VALUE"""),93.0)</f>
        <v>93</v>
      </c>
      <c r="G657" s="1">
        <f>IFERROR(__xludf.DUMMYFUNCTION("""COMPUTED_VALUE"""),21.0)</f>
        <v>21</v>
      </c>
      <c r="H657" s="1">
        <f>IFERROR(__xludf.DUMMYFUNCTION("""COMPUTED_VALUE"""),35.0)</f>
        <v>35</v>
      </c>
      <c r="I657" s="1">
        <f>IFERROR(__xludf.DUMMYFUNCTION("""COMPUTED_VALUE"""),76.0)</f>
        <v>76</v>
      </c>
      <c r="J657" s="1">
        <f>IFERROR(__xludf.DUMMYFUNCTION("""COMPUTED_VALUE"""),69.0)</f>
        <v>69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 t="str">
        <f>IFERROR(__xludf.DUMMYFUNCTION("""COMPUTED_VALUE"""),"D")</f>
        <v>D</v>
      </c>
      <c r="E658" s="1">
        <f>IFERROR(__xludf.DUMMYFUNCTION("""COMPUTED_VALUE"""),36.0)</f>
        <v>36</v>
      </c>
      <c r="F658" s="1">
        <f>IFERROR(__xludf.DUMMYFUNCTION("""COMPUTED_VALUE"""),26.0)</f>
        <v>26</v>
      </c>
      <c r="G658" s="1">
        <f>IFERROR(__xludf.DUMMYFUNCTION("""COMPUTED_VALUE"""),76.0)</f>
        <v>76</v>
      </c>
      <c r="H658" s="1">
        <f>IFERROR(__xludf.DUMMYFUNCTION("""COMPUTED_VALUE"""),25.0)</f>
        <v>25</v>
      </c>
      <c r="I658" s="1">
        <f>IFERROR(__xludf.DUMMYFUNCTION("""COMPUTED_VALUE"""),65.0)</f>
        <v>65</v>
      </c>
      <c r="J658" s="1">
        <f>IFERROR(__xludf.DUMMYFUNCTION("""COMPUTED_VALUE"""),52.0)</f>
        <v>52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 t="str">
        <f>IFERROR(__xludf.DUMMYFUNCTION("""COMPUTED_VALUE"""),"A")</f>
        <v>A</v>
      </c>
      <c r="E659" s="1">
        <f>IFERROR(__xludf.DUMMYFUNCTION("""COMPUTED_VALUE"""),12.0)</f>
        <v>12</v>
      </c>
      <c r="F659" s="1">
        <f>IFERROR(__xludf.DUMMYFUNCTION("""COMPUTED_VALUE"""),87.0)</f>
        <v>87</v>
      </c>
      <c r="G659" s="1">
        <f>IFERROR(__xludf.DUMMYFUNCTION("""COMPUTED_VALUE"""),42.0)</f>
        <v>42</v>
      </c>
      <c r="H659" s="1">
        <f>IFERROR(__xludf.DUMMYFUNCTION("""COMPUTED_VALUE"""),68.0)</f>
        <v>68</v>
      </c>
      <c r="I659" s="1">
        <f>IFERROR(__xludf.DUMMYFUNCTION("""COMPUTED_VALUE"""),67.0)</f>
        <v>67</v>
      </c>
      <c r="J659" s="1">
        <f>IFERROR(__xludf.DUMMYFUNCTION("""COMPUTED_VALUE"""),57.0)</f>
        <v>57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 t="str">
        <f>IFERROR(__xludf.DUMMYFUNCTION("""COMPUTED_VALUE"""),"A")</f>
        <v>A</v>
      </c>
      <c r="E660" s="1">
        <f>IFERROR(__xludf.DUMMYFUNCTION("""COMPUTED_VALUE"""),35.0)</f>
        <v>35</v>
      </c>
      <c r="F660" s="1">
        <f>IFERROR(__xludf.DUMMYFUNCTION("""COMPUTED_VALUE"""),65.0)</f>
        <v>65</v>
      </c>
      <c r="G660" s="1">
        <f>IFERROR(__xludf.DUMMYFUNCTION("""COMPUTED_VALUE"""),85.0)</f>
        <v>85</v>
      </c>
      <c r="H660" s="1">
        <f>IFERROR(__xludf.DUMMYFUNCTION("""COMPUTED_VALUE"""),31.0)</f>
        <v>31</v>
      </c>
      <c r="I660" s="1">
        <f>IFERROR(__xludf.DUMMYFUNCTION("""COMPUTED_VALUE"""),98.0)</f>
        <v>98</v>
      </c>
      <c r="J660" s="1">
        <f>IFERROR(__xludf.DUMMYFUNCTION("""COMPUTED_VALUE"""),90.0)</f>
        <v>90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 t="str">
        <f>IFERROR(__xludf.DUMMYFUNCTION("""COMPUTED_VALUE"""),"B")</f>
        <v>B</v>
      </c>
      <c r="E661" s="1">
        <f>IFERROR(__xludf.DUMMYFUNCTION("""COMPUTED_VALUE"""),50.0)</f>
        <v>50</v>
      </c>
      <c r="F661" s="1">
        <f>IFERROR(__xludf.DUMMYFUNCTION("""COMPUTED_VALUE"""),80.0)</f>
        <v>80</v>
      </c>
      <c r="G661" s="1">
        <f>IFERROR(__xludf.DUMMYFUNCTION("""COMPUTED_VALUE"""),61.0)</f>
        <v>61</v>
      </c>
      <c r="H661" s="1">
        <f>IFERROR(__xludf.DUMMYFUNCTION("""COMPUTED_VALUE"""),53.0)</f>
        <v>53</v>
      </c>
      <c r="I661" s="1">
        <f>IFERROR(__xludf.DUMMYFUNCTION("""COMPUTED_VALUE"""),62.0)</f>
        <v>62</v>
      </c>
      <c r="J661" s="1">
        <f>IFERROR(__xludf.DUMMYFUNCTION("""COMPUTED_VALUE"""),88.0)</f>
        <v>88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 t="str">
        <f>IFERROR(__xludf.DUMMYFUNCTION("""COMPUTED_VALUE"""),"C")</f>
        <v>C</v>
      </c>
      <c r="E662" s="1">
        <f>IFERROR(__xludf.DUMMYFUNCTION("""COMPUTED_VALUE"""),31.0)</f>
        <v>31</v>
      </c>
      <c r="F662" s="1">
        <f>IFERROR(__xludf.DUMMYFUNCTION("""COMPUTED_VALUE"""),57.0)</f>
        <v>57</v>
      </c>
      <c r="G662" s="1">
        <f>IFERROR(__xludf.DUMMYFUNCTION("""COMPUTED_VALUE"""),99.0)</f>
        <v>99</v>
      </c>
      <c r="H662" s="1">
        <f>IFERROR(__xludf.DUMMYFUNCTION("""COMPUTED_VALUE"""),48.0)</f>
        <v>48</v>
      </c>
      <c r="I662" s="1">
        <f>IFERROR(__xludf.DUMMYFUNCTION("""COMPUTED_VALUE"""),95.0)</f>
        <v>95</v>
      </c>
      <c r="J662" s="1">
        <f>IFERROR(__xludf.DUMMYFUNCTION("""COMPUTED_VALUE"""),76.0)</f>
        <v>76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 t="str">
        <f>IFERROR(__xludf.DUMMYFUNCTION("""COMPUTED_VALUE"""),"C")</f>
        <v>C</v>
      </c>
      <c r="E663" s="1">
        <f>IFERROR(__xludf.DUMMYFUNCTION("""COMPUTED_VALUE"""),72.0)</f>
        <v>72</v>
      </c>
      <c r="F663" s="1">
        <f>IFERROR(__xludf.DUMMYFUNCTION("""COMPUTED_VALUE"""),40.0)</f>
        <v>40</v>
      </c>
      <c r="G663" s="1">
        <f>IFERROR(__xludf.DUMMYFUNCTION("""COMPUTED_VALUE"""),70.0)</f>
        <v>70</v>
      </c>
      <c r="H663" s="1">
        <f>IFERROR(__xludf.DUMMYFUNCTION("""COMPUTED_VALUE"""),41.0)</f>
        <v>41</v>
      </c>
      <c r="I663" s="1">
        <f>IFERROR(__xludf.DUMMYFUNCTION("""COMPUTED_VALUE"""),92.0)</f>
        <v>92</v>
      </c>
      <c r="J663" s="1">
        <f>IFERROR(__xludf.DUMMYFUNCTION("""COMPUTED_VALUE"""),33.0)</f>
        <v>33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 t="str">
        <f>IFERROR(__xludf.DUMMYFUNCTION("""COMPUTED_VALUE"""),"C")</f>
        <v>C</v>
      </c>
      <c r="E664" s="1">
        <f>IFERROR(__xludf.DUMMYFUNCTION("""COMPUTED_VALUE"""),43.0)</f>
        <v>43</v>
      </c>
      <c r="F664" s="1">
        <f>IFERROR(__xludf.DUMMYFUNCTION("""COMPUTED_VALUE"""),53.0)</f>
        <v>53</v>
      </c>
      <c r="G664" s="1">
        <f>IFERROR(__xludf.DUMMYFUNCTION("""COMPUTED_VALUE"""),81.0)</f>
        <v>81</v>
      </c>
      <c r="H664" s="1">
        <f>IFERROR(__xludf.DUMMYFUNCTION("""COMPUTED_VALUE"""),98.0)</f>
        <v>98</v>
      </c>
      <c r="I664" s="1">
        <f>IFERROR(__xludf.DUMMYFUNCTION("""COMPUTED_VALUE"""),48.0)</f>
        <v>48</v>
      </c>
      <c r="J664" s="1">
        <f>IFERROR(__xludf.DUMMYFUNCTION("""COMPUTED_VALUE"""),83.0)</f>
        <v>83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 t="str">
        <f>IFERROR(__xludf.DUMMYFUNCTION("""COMPUTED_VALUE"""),"D")</f>
        <v>D</v>
      </c>
      <c r="E665" s="1">
        <f>IFERROR(__xludf.DUMMYFUNCTION("""COMPUTED_VALUE"""),81.0)</f>
        <v>81</v>
      </c>
      <c r="F665" s="1">
        <f>IFERROR(__xludf.DUMMYFUNCTION("""COMPUTED_VALUE"""),59.0)</f>
        <v>59</v>
      </c>
      <c r="G665" s="1">
        <f>IFERROR(__xludf.DUMMYFUNCTION("""COMPUTED_VALUE"""),39.0)</f>
        <v>39</v>
      </c>
      <c r="H665" s="1">
        <f>IFERROR(__xludf.DUMMYFUNCTION("""COMPUTED_VALUE"""),97.0)</f>
        <v>97</v>
      </c>
      <c r="I665" s="1">
        <f>IFERROR(__xludf.DUMMYFUNCTION("""COMPUTED_VALUE"""),68.0)</f>
        <v>68</v>
      </c>
      <c r="J665" s="1">
        <f>IFERROR(__xludf.DUMMYFUNCTION("""COMPUTED_VALUE"""),39.0)</f>
        <v>39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 t="str">
        <f>IFERROR(__xludf.DUMMYFUNCTION("""COMPUTED_VALUE"""),"C")</f>
        <v>C</v>
      </c>
      <c r="E666" s="1">
        <f>IFERROR(__xludf.DUMMYFUNCTION("""COMPUTED_VALUE"""),25.0)</f>
        <v>25</v>
      </c>
      <c r="F666" s="1">
        <f>IFERROR(__xludf.DUMMYFUNCTION("""COMPUTED_VALUE"""),66.0)</f>
        <v>66</v>
      </c>
      <c r="G666" s="1">
        <f>IFERROR(__xludf.DUMMYFUNCTION("""COMPUTED_VALUE"""),55.0)</f>
        <v>55</v>
      </c>
      <c r="H666" s="1">
        <f>IFERROR(__xludf.DUMMYFUNCTION("""COMPUTED_VALUE"""),96.0)</f>
        <v>96</v>
      </c>
      <c r="I666" s="1">
        <f>IFERROR(__xludf.DUMMYFUNCTION("""COMPUTED_VALUE"""),31.0)</f>
        <v>31</v>
      </c>
      <c r="J666" s="1">
        <f>IFERROR(__xludf.DUMMYFUNCTION("""COMPUTED_VALUE"""),99.0)</f>
        <v>99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 t="str">
        <f>IFERROR(__xludf.DUMMYFUNCTION("""COMPUTED_VALUE"""),"D")</f>
        <v>D</v>
      </c>
      <c r="E667" s="1">
        <f>IFERROR(__xludf.DUMMYFUNCTION("""COMPUTED_VALUE"""),34.0)</f>
        <v>34</v>
      </c>
      <c r="F667" s="1">
        <f>IFERROR(__xludf.DUMMYFUNCTION("""COMPUTED_VALUE"""),46.0)</f>
        <v>46</v>
      </c>
      <c r="G667" s="1">
        <f>IFERROR(__xludf.DUMMYFUNCTION("""COMPUTED_VALUE"""),70.0)</f>
        <v>70</v>
      </c>
      <c r="H667" s="1">
        <f>IFERROR(__xludf.DUMMYFUNCTION("""COMPUTED_VALUE"""),89.0)</f>
        <v>89</v>
      </c>
      <c r="I667" s="1">
        <f>IFERROR(__xludf.DUMMYFUNCTION("""COMPUTED_VALUE"""),56.0)</f>
        <v>56</v>
      </c>
      <c r="J667" s="1">
        <f>IFERROR(__xludf.DUMMYFUNCTION("""COMPUTED_VALUE"""),80.0)</f>
        <v>80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 t="str">
        <f>IFERROR(__xludf.DUMMYFUNCTION("""COMPUTED_VALUE"""),"B")</f>
        <v>B</v>
      </c>
      <c r="E668" s="1">
        <f>IFERROR(__xludf.DUMMYFUNCTION("""COMPUTED_VALUE"""),10.0)</f>
        <v>10</v>
      </c>
      <c r="F668" s="1">
        <f>IFERROR(__xludf.DUMMYFUNCTION("""COMPUTED_VALUE"""),53.0)</f>
        <v>53</v>
      </c>
      <c r="G668" s="1">
        <f>IFERROR(__xludf.DUMMYFUNCTION("""COMPUTED_VALUE"""),73.0)</f>
        <v>73</v>
      </c>
      <c r="H668" s="1">
        <f>IFERROR(__xludf.DUMMYFUNCTION("""COMPUTED_VALUE"""),83.0)</f>
        <v>83</v>
      </c>
      <c r="I668" s="1">
        <f>IFERROR(__xludf.DUMMYFUNCTION("""COMPUTED_VALUE"""),41.0)</f>
        <v>41</v>
      </c>
      <c r="J668" s="1">
        <f>IFERROR(__xludf.DUMMYFUNCTION("""COMPUTED_VALUE"""),30.0)</f>
        <v>30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 t="str">
        <f>IFERROR(__xludf.DUMMYFUNCTION("""COMPUTED_VALUE"""),"A")</f>
        <v>A</v>
      </c>
      <c r="E669" s="1">
        <f>IFERROR(__xludf.DUMMYFUNCTION("""COMPUTED_VALUE"""),67.0)</f>
        <v>67</v>
      </c>
      <c r="F669" s="1">
        <f>IFERROR(__xludf.DUMMYFUNCTION("""COMPUTED_VALUE"""),83.0)</f>
        <v>83</v>
      </c>
      <c r="G669" s="1">
        <f>IFERROR(__xludf.DUMMYFUNCTION("""COMPUTED_VALUE"""),85.0)</f>
        <v>85</v>
      </c>
      <c r="H669" s="1">
        <f>IFERROR(__xludf.DUMMYFUNCTION("""COMPUTED_VALUE"""),34.0)</f>
        <v>34</v>
      </c>
      <c r="I669" s="1">
        <f>IFERROR(__xludf.DUMMYFUNCTION("""COMPUTED_VALUE"""),22.0)</f>
        <v>22</v>
      </c>
      <c r="J669" s="1">
        <f>IFERROR(__xludf.DUMMYFUNCTION("""COMPUTED_VALUE"""),46.0)</f>
        <v>46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 t="str">
        <f>IFERROR(__xludf.DUMMYFUNCTION("""COMPUTED_VALUE"""),"C")</f>
        <v>C</v>
      </c>
      <c r="E670" s="1">
        <f>IFERROR(__xludf.DUMMYFUNCTION("""COMPUTED_VALUE"""),85.0)</f>
        <v>85</v>
      </c>
      <c r="F670" s="1">
        <f>IFERROR(__xludf.DUMMYFUNCTION("""COMPUTED_VALUE"""),20.0)</f>
        <v>20</v>
      </c>
      <c r="G670" s="1">
        <f>IFERROR(__xludf.DUMMYFUNCTION("""COMPUTED_VALUE"""),67.0)</f>
        <v>67</v>
      </c>
      <c r="H670" s="1">
        <f>IFERROR(__xludf.DUMMYFUNCTION("""COMPUTED_VALUE"""),88.0)</f>
        <v>88</v>
      </c>
      <c r="I670" s="1">
        <f>IFERROR(__xludf.DUMMYFUNCTION("""COMPUTED_VALUE"""),97.0)</f>
        <v>97</v>
      </c>
      <c r="J670" s="1">
        <f>IFERROR(__xludf.DUMMYFUNCTION("""COMPUTED_VALUE"""),70.0)</f>
        <v>70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 t="str">
        <f>IFERROR(__xludf.DUMMYFUNCTION("""COMPUTED_VALUE"""),"D")</f>
        <v>D</v>
      </c>
      <c r="E671" s="1">
        <f>IFERROR(__xludf.DUMMYFUNCTION("""COMPUTED_VALUE"""),64.0)</f>
        <v>64</v>
      </c>
      <c r="F671" s="1">
        <f>IFERROR(__xludf.DUMMYFUNCTION("""COMPUTED_VALUE"""),62.0)</f>
        <v>62</v>
      </c>
      <c r="G671" s="1">
        <f>IFERROR(__xludf.DUMMYFUNCTION("""COMPUTED_VALUE"""),69.0)</f>
        <v>69</v>
      </c>
      <c r="H671" s="1">
        <f>IFERROR(__xludf.DUMMYFUNCTION("""COMPUTED_VALUE"""),22.0)</f>
        <v>22</v>
      </c>
      <c r="I671" s="1">
        <f>IFERROR(__xludf.DUMMYFUNCTION("""COMPUTED_VALUE"""),75.0)</f>
        <v>75</v>
      </c>
      <c r="J671" s="1">
        <f>IFERROR(__xludf.DUMMYFUNCTION("""COMPUTED_VALUE"""),68.0)</f>
        <v>68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 t="str">
        <f>IFERROR(__xludf.DUMMYFUNCTION("""COMPUTED_VALUE"""),"C")</f>
        <v>C</v>
      </c>
      <c r="E672" s="1">
        <f>IFERROR(__xludf.DUMMYFUNCTION("""COMPUTED_VALUE"""),44.0)</f>
        <v>44</v>
      </c>
      <c r="F672" s="1">
        <f>IFERROR(__xludf.DUMMYFUNCTION("""COMPUTED_VALUE"""),35.0)</f>
        <v>35</v>
      </c>
      <c r="G672" s="1">
        <f>IFERROR(__xludf.DUMMYFUNCTION("""COMPUTED_VALUE"""),27.0)</f>
        <v>27</v>
      </c>
      <c r="H672" s="1">
        <f>IFERROR(__xludf.DUMMYFUNCTION("""COMPUTED_VALUE"""),60.0)</f>
        <v>60</v>
      </c>
      <c r="I672" s="1">
        <f>IFERROR(__xludf.DUMMYFUNCTION("""COMPUTED_VALUE"""),53.0)</f>
        <v>53</v>
      </c>
      <c r="J672" s="1">
        <f>IFERROR(__xludf.DUMMYFUNCTION("""COMPUTED_VALUE"""),74.0)</f>
        <v>74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 t="str">
        <f>IFERROR(__xludf.DUMMYFUNCTION("""COMPUTED_VALUE"""),"C")</f>
        <v>C</v>
      </c>
      <c r="E673" s="1">
        <f>IFERROR(__xludf.DUMMYFUNCTION("""COMPUTED_VALUE"""),56.0)</f>
        <v>56</v>
      </c>
      <c r="F673" s="1">
        <f>IFERROR(__xludf.DUMMYFUNCTION("""COMPUTED_VALUE"""),36.0)</f>
        <v>36</v>
      </c>
      <c r="G673" s="1">
        <f>IFERROR(__xludf.DUMMYFUNCTION("""COMPUTED_VALUE"""),26.0)</f>
        <v>26</v>
      </c>
      <c r="H673" s="1">
        <f>IFERROR(__xludf.DUMMYFUNCTION("""COMPUTED_VALUE"""),44.0)</f>
        <v>44</v>
      </c>
      <c r="I673" s="1">
        <f>IFERROR(__xludf.DUMMYFUNCTION("""COMPUTED_VALUE"""),47.0)</f>
        <v>47</v>
      </c>
      <c r="J673" s="1">
        <f>IFERROR(__xludf.DUMMYFUNCTION("""COMPUTED_VALUE"""),44.0)</f>
        <v>44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 t="str">
        <f>IFERROR(__xludf.DUMMYFUNCTION("""COMPUTED_VALUE"""),"C")</f>
        <v>C</v>
      </c>
      <c r="E674" s="1">
        <f>IFERROR(__xludf.DUMMYFUNCTION("""COMPUTED_VALUE"""),33.0)</f>
        <v>33</v>
      </c>
      <c r="F674" s="1">
        <f>IFERROR(__xludf.DUMMYFUNCTION("""COMPUTED_VALUE"""),22.0)</f>
        <v>22</v>
      </c>
      <c r="G674" s="1">
        <f>IFERROR(__xludf.DUMMYFUNCTION("""COMPUTED_VALUE"""),65.0)</f>
        <v>65</v>
      </c>
      <c r="H674" s="1">
        <f>IFERROR(__xludf.DUMMYFUNCTION("""COMPUTED_VALUE"""),52.0)</f>
        <v>52</v>
      </c>
      <c r="I674" s="1">
        <f>IFERROR(__xludf.DUMMYFUNCTION("""COMPUTED_VALUE"""),29.0)</f>
        <v>29</v>
      </c>
      <c r="J674" s="1">
        <f>IFERROR(__xludf.DUMMYFUNCTION("""COMPUTED_VALUE"""),91.0)</f>
        <v>91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 t="str">
        <f>IFERROR(__xludf.DUMMYFUNCTION("""COMPUTED_VALUE"""),"C")</f>
        <v>C</v>
      </c>
      <c r="E675" s="1">
        <f>IFERROR(__xludf.DUMMYFUNCTION("""COMPUTED_VALUE"""),75.0)</f>
        <v>75</v>
      </c>
      <c r="F675" s="1">
        <f>IFERROR(__xludf.DUMMYFUNCTION("""COMPUTED_VALUE"""),92.0)</f>
        <v>92</v>
      </c>
      <c r="G675" s="1">
        <f>IFERROR(__xludf.DUMMYFUNCTION("""COMPUTED_VALUE"""),91.0)</f>
        <v>91</v>
      </c>
      <c r="H675" s="1">
        <f>IFERROR(__xludf.DUMMYFUNCTION("""COMPUTED_VALUE"""),78.0)</f>
        <v>78</v>
      </c>
      <c r="I675" s="1">
        <f>IFERROR(__xludf.DUMMYFUNCTION("""COMPUTED_VALUE"""),23.0)</f>
        <v>23</v>
      </c>
      <c r="J675" s="1">
        <f>IFERROR(__xludf.DUMMYFUNCTION("""COMPUTED_VALUE"""),74.0)</f>
        <v>74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 t="str">
        <f>IFERROR(__xludf.DUMMYFUNCTION("""COMPUTED_VALUE"""),"B")</f>
        <v>B</v>
      </c>
      <c r="E676" s="1">
        <f>IFERROR(__xludf.DUMMYFUNCTION("""COMPUTED_VALUE"""),34.0)</f>
        <v>34</v>
      </c>
      <c r="F676" s="1">
        <f>IFERROR(__xludf.DUMMYFUNCTION("""COMPUTED_VALUE"""),29.0)</f>
        <v>29</v>
      </c>
      <c r="G676" s="1">
        <f>IFERROR(__xludf.DUMMYFUNCTION("""COMPUTED_VALUE"""),84.0)</f>
        <v>84</v>
      </c>
      <c r="H676" s="1">
        <f>IFERROR(__xludf.DUMMYFUNCTION("""COMPUTED_VALUE"""),66.0)</f>
        <v>66</v>
      </c>
      <c r="I676" s="1">
        <f>IFERROR(__xludf.DUMMYFUNCTION("""COMPUTED_VALUE"""),35.0)</f>
        <v>35</v>
      </c>
      <c r="J676" s="1">
        <f>IFERROR(__xludf.DUMMYFUNCTION("""COMPUTED_VALUE"""),45.0)</f>
        <v>45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 t="str">
        <f>IFERROR(__xludf.DUMMYFUNCTION("""COMPUTED_VALUE"""),"D")</f>
        <v>D</v>
      </c>
      <c r="E677" s="1">
        <f>IFERROR(__xludf.DUMMYFUNCTION("""COMPUTED_VALUE"""),93.0)</f>
        <v>93</v>
      </c>
      <c r="F677" s="1">
        <f>IFERROR(__xludf.DUMMYFUNCTION("""COMPUTED_VALUE"""),79.0)</f>
        <v>79</v>
      </c>
      <c r="G677" s="1">
        <f>IFERROR(__xludf.DUMMYFUNCTION("""COMPUTED_VALUE"""),32.0)</f>
        <v>32</v>
      </c>
      <c r="H677" s="1">
        <f>IFERROR(__xludf.DUMMYFUNCTION("""COMPUTED_VALUE"""),58.0)</f>
        <v>58</v>
      </c>
      <c r="I677" s="1">
        <f>IFERROR(__xludf.DUMMYFUNCTION("""COMPUTED_VALUE"""),27.0)</f>
        <v>27</v>
      </c>
      <c r="J677" s="1">
        <f>IFERROR(__xludf.DUMMYFUNCTION("""COMPUTED_VALUE"""),42.0)</f>
        <v>42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 t="str">
        <f>IFERROR(__xludf.DUMMYFUNCTION("""COMPUTED_VALUE"""),"C")</f>
        <v>C</v>
      </c>
      <c r="E678" s="1">
        <f>IFERROR(__xludf.DUMMYFUNCTION("""COMPUTED_VALUE"""),45.0)</f>
        <v>45</v>
      </c>
      <c r="F678" s="1">
        <f>IFERROR(__xludf.DUMMYFUNCTION("""COMPUTED_VALUE"""),31.0)</f>
        <v>31</v>
      </c>
      <c r="G678" s="1">
        <f>IFERROR(__xludf.DUMMYFUNCTION("""COMPUTED_VALUE"""),80.0)</f>
        <v>80</v>
      </c>
      <c r="H678" s="1">
        <f>IFERROR(__xludf.DUMMYFUNCTION("""COMPUTED_VALUE"""),88.0)</f>
        <v>88</v>
      </c>
      <c r="I678" s="1">
        <f>IFERROR(__xludf.DUMMYFUNCTION("""COMPUTED_VALUE"""),97.0)</f>
        <v>97</v>
      </c>
      <c r="J678" s="1">
        <f>IFERROR(__xludf.DUMMYFUNCTION("""COMPUTED_VALUE"""),57.0)</f>
        <v>57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 t="str">
        <f>IFERROR(__xludf.DUMMYFUNCTION("""COMPUTED_VALUE"""),"D")</f>
        <v>D</v>
      </c>
      <c r="E679" s="1">
        <f>IFERROR(__xludf.DUMMYFUNCTION("""COMPUTED_VALUE"""),73.0)</f>
        <v>73</v>
      </c>
      <c r="F679" s="1">
        <f>IFERROR(__xludf.DUMMYFUNCTION("""COMPUTED_VALUE"""),51.0)</f>
        <v>51</v>
      </c>
      <c r="G679" s="1">
        <f>IFERROR(__xludf.DUMMYFUNCTION("""COMPUTED_VALUE"""),79.0)</f>
        <v>79</v>
      </c>
      <c r="H679" s="1">
        <f>IFERROR(__xludf.DUMMYFUNCTION("""COMPUTED_VALUE"""),89.0)</f>
        <v>89</v>
      </c>
      <c r="I679" s="1">
        <f>IFERROR(__xludf.DUMMYFUNCTION("""COMPUTED_VALUE"""),92.0)</f>
        <v>92</v>
      </c>
      <c r="J679" s="1">
        <f>IFERROR(__xludf.DUMMYFUNCTION("""COMPUTED_VALUE"""),27.0)</f>
        <v>27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 t="str">
        <f>IFERROR(__xludf.DUMMYFUNCTION("""COMPUTED_VALUE"""),"A")</f>
        <v>A</v>
      </c>
      <c r="E680" s="1">
        <f>IFERROR(__xludf.DUMMYFUNCTION("""COMPUTED_VALUE"""),53.0)</f>
        <v>53</v>
      </c>
      <c r="F680" s="1">
        <f>IFERROR(__xludf.DUMMYFUNCTION("""COMPUTED_VALUE"""),71.0)</f>
        <v>71</v>
      </c>
      <c r="G680" s="1">
        <f>IFERROR(__xludf.DUMMYFUNCTION("""COMPUTED_VALUE"""),31.0)</f>
        <v>31</v>
      </c>
      <c r="H680" s="1">
        <f>IFERROR(__xludf.DUMMYFUNCTION("""COMPUTED_VALUE"""),65.0)</f>
        <v>65</v>
      </c>
      <c r="I680" s="1">
        <f>IFERROR(__xludf.DUMMYFUNCTION("""COMPUTED_VALUE"""),45.0)</f>
        <v>45</v>
      </c>
      <c r="J680" s="1">
        <f>IFERROR(__xludf.DUMMYFUNCTION("""COMPUTED_VALUE"""),26.0)</f>
        <v>26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 t="str">
        <f>IFERROR(__xludf.DUMMYFUNCTION("""COMPUTED_VALUE"""),"C")</f>
        <v>C</v>
      </c>
      <c r="E681" s="1">
        <f>IFERROR(__xludf.DUMMYFUNCTION("""COMPUTED_VALUE"""),33.0)</f>
        <v>33</v>
      </c>
      <c r="F681" s="1">
        <f>IFERROR(__xludf.DUMMYFUNCTION("""COMPUTED_VALUE"""),28.0)</f>
        <v>28</v>
      </c>
      <c r="G681" s="1">
        <f>IFERROR(__xludf.DUMMYFUNCTION("""COMPUTED_VALUE"""),75.0)</f>
        <v>75</v>
      </c>
      <c r="H681" s="1">
        <f>IFERROR(__xludf.DUMMYFUNCTION("""COMPUTED_VALUE"""),73.0)</f>
        <v>73</v>
      </c>
      <c r="I681" s="1">
        <f>IFERROR(__xludf.DUMMYFUNCTION("""COMPUTED_VALUE"""),74.0)</f>
        <v>74</v>
      </c>
      <c r="J681" s="1">
        <f>IFERROR(__xludf.DUMMYFUNCTION("""COMPUTED_VALUE"""),91.0)</f>
        <v>91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 t="str">
        <f>IFERROR(__xludf.DUMMYFUNCTION("""COMPUTED_VALUE"""),"B")</f>
        <v>B</v>
      </c>
      <c r="E682" s="1">
        <f>IFERROR(__xludf.DUMMYFUNCTION("""COMPUTED_VALUE"""),56.0)</f>
        <v>56</v>
      </c>
      <c r="F682" s="1">
        <f>IFERROR(__xludf.DUMMYFUNCTION("""COMPUTED_VALUE"""),85.0)</f>
        <v>85</v>
      </c>
      <c r="G682" s="1">
        <f>IFERROR(__xludf.DUMMYFUNCTION("""COMPUTED_VALUE"""),37.0)</f>
        <v>37</v>
      </c>
      <c r="H682" s="1">
        <f>IFERROR(__xludf.DUMMYFUNCTION("""COMPUTED_VALUE"""),69.0)</f>
        <v>69</v>
      </c>
      <c r="I682" s="1">
        <f>IFERROR(__xludf.DUMMYFUNCTION("""COMPUTED_VALUE"""),84.0)</f>
        <v>84</v>
      </c>
      <c r="J682" s="1">
        <f>IFERROR(__xludf.DUMMYFUNCTION("""COMPUTED_VALUE"""),31.0)</f>
        <v>31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 t="str">
        <f>IFERROR(__xludf.DUMMYFUNCTION("""COMPUTED_VALUE"""),"C")</f>
        <v>C</v>
      </c>
      <c r="E683" s="1">
        <f>IFERROR(__xludf.DUMMYFUNCTION("""COMPUTED_VALUE"""),18.0)</f>
        <v>18</v>
      </c>
      <c r="F683" s="1">
        <f>IFERROR(__xludf.DUMMYFUNCTION("""COMPUTED_VALUE"""),79.0)</f>
        <v>79</v>
      </c>
      <c r="G683" s="1">
        <f>IFERROR(__xludf.DUMMYFUNCTION("""COMPUTED_VALUE"""),56.0)</f>
        <v>56</v>
      </c>
      <c r="H683" s="1">
        <f>IFERROR(__xludf.DUMMYFUNCTION("""COMPUTED_VALUE"""),75.0)</f>
        <v>75</v>
      </c>
      <c r="I683" s="1">
        <f>IFERROR(__xludf.DUMMYFUNCTION("""COMPUTED_VALUE"""),22.0)</f>
        <v>22</v>
      </c>
      <c r="J683" s="1">
        <f>IFERROR(__xludf.DUMMYFUNCTION("""COMPUTED_VALUE"""),50.0)</f>
        <v>50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 t="str">
        <f>IFERROR(__xludf.DUMMYFUNCTION("""COMPUTED_VALUE"""),"C")</f>
        <v>C</v>
      </c>
      <c r="E684" s="1">
        <f>IFERROR(__xludf.DUMMYFUNCTION("""COMPUTED_VALUE"""),54.0)</f>
        <v>54</v>
      </c>
      <c r="F684" s="1">
        <f>IFERROR(__xludf.DUMMYFUNCTION("""COMPUTED_VALUE"""),80.0)</f>
        <v>80</v>
      </c>
      <c r="G684" s="1">
        <f>IFERROR(__xludf.DUMMYFUNCTION("""COMPUTED_VALUE"""),94.0)</f>
        <v>94</v>
      </c>
      <c r="H684" s="1">
        <f>IFERROR(__xludf.DUMMYFUNCTION("""COMPUTED_VALUE"""),79.0)</f>
        <v>79</v>
      </c>
      <c r="I684" s="1">
        <f>IFERROR(__xludf.DUMMYFUNCTION("""COMPUTED_VALUE"""),69.0)</f>
        <v>69</v>
      </c>
      <c r="J684" s="1">
        <f>IFERROR(__xludf.DUMMYFUNCTION("""COMPUTED_VALUE"""),87.0)</f>
        <v>87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 t="str">
        <f>IFERROR(__xludf.DUMMYFUNCTION("""COMPUTED_VALUE"""),"D")</f>
        <v>D</v>
      </c>
      <c r="E685" s="1">
        <f>IFERROR(__xludf.DUMMYFUNCTION("""COMPUTED_VALUE"""),67.0)</f>
        <v>67</v>
      </c>
      <c r="F685" s="1">
        <f>IFERROR(__xludf.DUMMYFUNCTION("""COMPUTED_VALUE"""),21.0)</f>
        <v>21</v>
      </c>
      <c r="G685" s="1">
        <f>IFERROR(__xludf.DUMMYFUNCTION("""COMPUTED_VALUE"""),45.0)</f>
        <v>45</v>
      </c>
      <c r="H685" s="1">
        <f>IFERROR(__xludf.DUMMYFUNCTION("""COMPUTED_VALUE"""),59.0)</f>
        <v>59</v>
      </c>
      <c r="I685" s="1">
        <f>IFERROR(__xludf.DUMMYFUNCTION("""COMPUTED_VALUE"""),84.0)</f>
        <v>84</v>
      </c>
      <c r="J685" s="1">
        <f>IFERROR(__xludf.DUMMYFUNCTION("""COMPUTED_VALUE"""),59.0)</f>
        <v>59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 t="str">
        <f>IFERROR(__xludf.DUMMYFUNCTION("""COMPUTED_VALUE"""),"A")</f>
        <v>A</v>
      </c>
      <c r="E686" s="1">
        <f>IFERROR(__xludf.DUMMYFUNCTION("""COMPUTED_VALUE"""),21.0)</f>
        <v>21</v>
      </c>
      <c r="F686" s="1">
        <f>IFERROR(__xludf.DUMMYFUNCTION("""COMPUTED_VALUE"""),25.0)</f>
        <v>25</v>
      </c>
      <c r="G686" s="1">
        <f>IFERROR(__xludf.DUMMYFUNCTION("""COMPUTED_VALUE"""),24.0)</f>
        <v>24</v>
      </c>
      <c r="H686" s="1">
        <f>IFERROR(__xludf.DUMMYFUNCTION("""COMPUTED_VALUE"""),44.0)</f>
        <v>44</v>
      </c>
      <c r="I686" s="1">
        <f>IFERROR(__xludf.DUMMYFUNCTION("""COMPUTED_VALUE"""),82.0)</f>
        <v>82</v>
      </c>
      <c r="J686" s="1">
        <f>IFERROR(__xludf.DUMMYFUNCTION("""COMPUTED_VALUE"""),64.0)</f>
        <v>64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 t="str">
        <f>IFERROR(__xludf.DUMMYFUNCTION("""COMPUTED_VALUE"""),"B")</f>
        <v>B</v>
      </c>
      <c r="E687" s="1">
        <f>IFERROR(__xludf.DUMMYFUNCTION("""COMPUTED_VALUE"""),53.0)</f>
        <v>53</v>
      </c>
      <c r="F687" s="1">
        <f>IFERROR(__xludf.DUMMYFUNCTION("""COMPUTED_VALUE"""),35.0)</f>
        <v>35</v>
      </c>
      <c r="G687" s="1">
        <f>IFERROR(__xludf.DUMMYFUNCTION("""COMPUTED_VALUE"""),42.0)</f>
        <v>42</v>
      </c>
      <c r="H687" s="1">
        <f>IFERROR(__xludf.DUMMYFUNCTION("""COMPUTED_VALUE"""),49.0)</f>
        <v>49</v>
      </c>
      <c r="I687" s="1">
        <f>IFERROR(__xludf.DUMMYFUNCTION("""COMPUTED_VALUE"""),33.0)</f>
        <v>33</v>
      </c>
      <c r="J687" s="1">
        <f>IFERROR(__xludf.DUMMYFUNCTION("""COMPUTED_VALUE"""),50.0)</f>
        <v>50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 t="str">
        <f>IFERROR(__xludf.DUMMYFUNCTION("""COMPUTED_VALUE"""),"B")</f>
        <v>B</v>
      </c>
      <c r="E688" s="1">
        <f>IFERROR(__xludf.DUMMYFUNCTION("""COMPUTED_VALUE"""),52.0)</f>
        <v>52</v>
      </c>
      <c r="F688" s="1">
        <f>IFERROR(__xludf.DUMMYFUNCTION("""COMPUTED_VALUE"""),50.0)</f>
        <v>50</v>
      </c>
      <c r="G688" s="1">
        <f>IFERROR(__xludf.DUMMYFUNCTION("""COMPUTED_VALUE"""),41.0)</f>
        <v>41</v>
      </c>
      <c r="H688" s="1">
        <f>IFERROR(__xludf.DUMMYFUNCTION("""COMPUTED_VALUE"""),57.0)</f>
        <v>57</v>
      </c>
      <c r="I688" s="1">
        <f>IFERROR(__xludf.DUMMYFUNCTION("""COMPUTED_VALUE"""),56.0)</f>
        <v>56</v>
      </c>
      <c r="J688" s="1">
        <f>IFERROR(__xludf.DUMMYFUNCTION("""COMPUTED_VALUE"""),53.0)</f>
        <v>53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 t="str">
        <f>IFERROR(__xludf.DUMMYFUNCTION("""COMPUTED_VALUE"""),"B")</f>
        <v>B</v>
      </c>
      <c r="E689" s="1">
        <f>IFERROR(__xludf.DUMMYFUNCTION("""COMPUTED_VALUE"""),29.0)</f>
        <v>29</v>
      </c>
      <c r="F689" s="1">
        <f>IFERROR(__xludf.DUMMYFUNCTION("""COMPUTED_VALUE"""),70.0)</f>
        <v>70</v>
      </c>
      <c r="G689" s="1">
        <f>IFERROR(__xludf.DUMMYFUNCTION("""COMPUTED_VALUE"""),44.0)</f>
        <v>44</v>
      </c>
      <c r="H689" s="1">
        <f>IFERROR(__xludf.DUMMYFUNCTION("""COMPUTED_VALUE"""),79.0)</f>
        <v>79</v>
      </c>
      <c r="I689" s="1">
        <f>IFERROR(__xludf.DUMMYFUNCTION("""COMPUTED_VALUE"""),73.0)</f>
        <v>73</v>
      </c>
      <c r="J689" s="1">
        <f>IFERROR(__xludf.DUMMYFUNCTION("""COMPUTED_VALUE"""),27.0)</f>
        <v>27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 t="str">
        <f>IFERROR(__xludf.DUMMYFUNCTION("""COMPUTED_VALUE"""),"B")</f>
        <v>B</v>
      </c>
      <c r="E690" s="1">
        <f>IFERROR(__xludf.DUMMYFUNCTION("""COMPUTED_VALUE"""),68.0)</f>
        <v>68</v>
      </c>
      <c r="F690" s="1">
        <f>IFERROR(__xludf.DUMMYFUNCTION("""COMPUTED_VALUE"""),94.0)</f>
        <v>94</v>
      </c>
      <c r="G690" s="1">
        <f>IFERROR(__xludf.DUMMYFUNCTION("""COMPUTED_VALUE"""),71.0)</f>
        <v>71</v>
      </c>
      <c r="H690" s="1">
        <f>IFERROR(__xludf.DUMMYFUNCTION("""COMPUTED_VALUE"""),98.0)</f>
        <v>98</v>
      </c>
      <c r="I690" s="1">
        <f>IFERROR(__xludf.DUMMYFUNCTION("""COMPUTED_VALUE"""),40.0)</f>
        <v>40</v>
      </c>
      <c r="J690" s="1">
        <f>IFERROR(__xludf.DUMMYFUNCTION("""COMPUTED_VALUE"""),25.0)</f>
        <v>25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 t="str">
        <f>IFERROR(__xludf.DUMMYFUNCTION("""COMPUTED_VALUE"""),"D")</f>
        <v>D</v>
      </c>
      <c r="E691" s="1">
        <f>IFERROR(__xludf.DUMMYFUNCTION("""COMPUTED_VALUE"""),79.0)</f>
        <v>79</v>
      </c>
      <c r="F691" s="1">
        <f>IFERROR(__xludf.DUMMYFUNCTION("""COMPUTED_VALUE"""),68.0)</f>
        <v>68</v>
      </c>
      <c r="G691" s="1">
        <f>IFERROR(__xludf.DUMMYFUNCTION("""COMPUTED_VALUE"""),95.0)</f>
        <v>95</v>
      </c>
      <c r="H691" s="1">
        <f>IFERROR(__xludf.DUMMYFUNCTION("""COMPUTED_VALUE"""),73.0)</f>
        <v>73</v>
      </c>
      <c r="I691" s="1">
        <f>IFERROR(__xludf.DUMMYFUNCTION("""COMPUTED_VALUE"""),71.0)</f>
        <v>71</v>
      </c>
      <c r="J691" s="1">
        <f>IFERROR(__xludf.DUMMYFUNCTION("""COMPUTED_VALUE"""),70.0)</f>
        <v>70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 t="str">
        <f>IFERROR(__xludf.DUMMYFUNCTION("""COMPUTED_VALUE"""),"C")</f>
        <v>C</v>
      </c>
      <c r="E692" s="1">
        <f>IFERROR(__xludf.DUMMYFUNCTION("""COMPUTED_VALUE"""),59.0)</f>
        <v>59</v>
      </c>
      <c r="F692" s="1">
        <f>IFERROR(__xludf.DUMMYFUNCTION("""COMPUTED_VALUE"""),92.0)</f>
        <v>92</v>
      </c>
      <c r="G692" s="1">
        <f>IFERROR(__xludf.DUMMYFUNCTION("""COMPUTED_VALUE"""),61.0)</f>
        <v>61</v>
      </c>
      <c r="H692" s="1">
        <f>IFERROR(__xludf.DUMMYFUNCTION("""COMPUTED_VALUE"""),29.0)</f>
        <v>29</v>
      </c>
      <c r="I692" s="1">
        <f>IFERROR(__xludf.DUMMYFUNCTION("""COMPUTED_VALUE"""),98.0)</f>
        <v>98</v>
      </c>
      <c r="J692" s="1">
        <f>IFERROR(__xludf.DUMMYFUNCTION("""COMPUTED_VALUE"""),43.0)</f>
        <v>43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 t="str">
        <f>IFERROR(__xludf.DUMMYFUNCTION("""COMPUTED_VALUE"""),"B")</f>
        <v>B</v>
      </c>
      <c r="E693" s="1">
        <f>IFERROR(__xludf.DUMMYFUNCTION("""COMPUTED_VALUE"""),55.0)</f>
        <v>55</v>
      </c>
      <c r="F693" s="1">
        <f>IFERROR(__xludf.DUMMYFUNCTION("""COMPUTED_VALUE"""),49.0)</f>
        <v>49</v>
      </c>
      <c r="G693" s="1">
        <f>IFERROR(__xludf.DUMMYFUNCTION("""COMPUTED_VALUE"""),79.0)</f>
        <v>79</v>
      </c>
      <c r="H693" s="1">
        <f>IFERROR(__xludf.DUMMYFUNCTION("""COMPUTED_VALUE"""),24.0)</f>
        <v>24</v>
      </c>
      <c r="I693" s="1">
        <f>IFERROR(__xludf.DUMMYFUNCTION("""COMPUTED_VALUE"""),28.0)</f>
        <v>28</v>
      </c>
      <c r="J693" s="1">
        <f>IFERROR(__xludf.DUMMYFUNCTION("""COMPUTED_VALUE"""),49.0)</f>
        <v>49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 t="str">
        <f>IFERROR(__xludf.DUMMYFUNCTION("""COMPUTED_VALUE"""),"A")</f>
        <v>A</v>
      </c>
      <c r="E694" s="1">
        <f>IFERROR(__xludf.DUMMYFUNCTION("""COMPUTED_VALUE"""),91.0)</f>
        <v>91</v>
      </c>
      <c r="F694" s="1">
        <f>IFERROR(__xludf.DUMMYFUNCTION("""COMPUTED_VALUE"""),50.0)</f>
        <v>50</v>
      </c>
      <c r="G694" s="1">
        <f>IFERROR(__xludf.DUMMYFUNCTION("""COMPUTED_VALUE"""),53.0)</f>
        <v>53</v>
      </c>
      <c r="H694" s="1">
        <f>IFERROR(__xludf.DUMMYFUNCTION("""COMPUTED_VALUE"""),35.0)</f>
        <v>35</v>
      </c>
      <c r="I694" s="1">
        <f>IFERROR(__xludf.DUMMYFUNCTION("""COMPUTED_VALUE"""),97.0)</f>
        <v>97</v>
      </c>
      <c r="J694" s="1">
        <f>IFERROR(__xludf.DUMMYFUNCTION("""COMPUTED_VALUE"""),58.0)</f>
        <v>58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 t="str">
        <f>IFERROR(__xludf.DUMMYFUNCTION("""COMPUTED_VALUE"""),"C")</f>
        <v>C</v>
      </c>
      <c r="E695" s="1">
        <f>IFERROR(__xludf.DUMMYFUNCTION("""COMPUTED_VALUE"""),31.0)</f>
        <v>31</v>
      </c>
      <c r="F695" s="1">
        <f>IFERROR(__xludf.DUMMYFUNCTION("""COMPUTED_VALUE"""),91.0)</f>
        <v>91</v>
      </c>
      <c r="G695" s="1">
        <f>IFERROR(__xludf.DUMMYFUNCTION("""COMPUTED_VALUE"""),25.0)</f>
        <v>25</v>
      </c>
      <c r="H695" s="1">
        <f>IFERROR(__xludf.DUMMYFUNCTION("""COMPUTED_VALUE"""),59.0)</f>
        <v>59</v>
      </c>
      <c r="I695" s="1">
        <f>IFERROR(__xludf.DUMMYFUNCTION("""COMPUTED_VALUE"""),57.0)</f>
        <v>57</v>
      </c>
      <c r="J695" s="1">
        <f>IFERROR(__xludf.DUMMYFUNCTION("""COMPUTED_VALUE"""),96.0)</f>
        <v>96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 t="str">
        <f>IFERROR(__xludf.DUMMYFUNCTION("""COMPUTED_VALUE"""),"A")</f>
        <v>A</v>
      </c>
      <c r="E696" s="1">
        <f>IFERROR(__xludf.DUMMYFUNCTION("""COMPUTED_VALUE"""),80.0)</f>
        <v>80</v>
      </c>
      <c r="F696" s="1">
        <f>IFERROR(__xludf.DUMMYFUNCTION("""COMPUTED_VALUE"""),23.0)</f>
        <v>23</v>
      </c>
      <c r="G696" s="1">
        <f>IFERROR(__xludf.DUMMYFUNCTION("""COMPUTED_VALUE"""),43.0)</f>
        <v>43</v>
      </c>
      <c r="H696" s="1">
        <f>IFERROR(__xludf.DUMMYFUNCTION("""COMPUTED_VALUE"""),40.0)</f>
        <v>40</v>
      </c>
      <c r="I696" s="1">
        <f>IFERROR(__xludf.DUMMYFUNCTION("""COMPUTED_VALUE"""),82.0)</f>
        <v>82</v>
      </c>
      <c r="J696" s="1">
        <f>IFERROR(__xludf.DUMMYFUNCTION("""COMPUTED_VALUE"""),73.0)</f>
        <v>73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 t="str">
        <f>IFERROR(__xludf.DUMMYFUNCTION("""COMPUTED_VALUE"""),"C")</f>
        <v>C</v>
      </c>
      <c r="E697" s="1">
        <f>IFERROR(__xludf.DUMMYFUNCTION("""COMPUTED_VALUE"""),97.0)</f>
        <v>97</v>
      </c>
      <c r="F697" s="1">
        <f>IFERROR(__xludf.DUMMYFUNCTION("""COMPUTED_VALUE"""),54.0)</f>
        <v>54</v>
      </c>
      <c r="G697" s="1">
        <f>IFERROR(__xludf.DUMMYFUNCTION("""COMPUTED_VALUE"""),38.0)</f>
        <v>38</v>
      </c>
      <c r="H697" s="1">
        <f>IFERROR(__xludf.DUMMYFUNCTION("""COMPUTED_VALUE"""),69.0)</f>
        <v>69</v>
      </c>
      <c r="I697" s="1">
        <f>IFERROR(__xludf.DUMMYFUNCTION("""COMPUTED_VALUE"""),86.0)</f>
        <v>86</v>
      </c>
      <c r="J697" s="1">
        <f>IFERROR(__xludf.DUMMYFUNCTION("""COMPUTED_VALUE"""),70.0)</f>
        <v>70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 t="str">
        <f>IFERROR(__xludf.DUMMYFUNCTION("""COMPUTED_VALUE"""),"C")</f>
        <v>C</v>
      </c>
      <c r="E698" s="1">
        <f>IFERROR(__xludf.DUMMYFUNCTION("""COMPUTED_VALUE"""),38.0)</f>
        <v>38</v>
      </c>
      <c r="F698" s="1">
        <f>IFERROR(__xludf.DUMMYFUNCTION("""COMPUTED_VALUE"""),24.0)</f>
        <v>24</v>
      </c>
      <c r="G698" s="1">
        <f>IFERROR(__xludf.DUMMYFUNCTION("""COMPUTED_VALUE"""),70.0)</f>
        <v>70</v>
      </c>
      <c r="H698" s="1">
        <f>IFERROR(__xludf.DUMMYFUNCTION("""COMPUTED_VALUE"""),22.0)</f>
        <v>22</v>
      </c>
      <c r="I698" s="1">
        <f>IFERROR(__xludf.DUMMYFUNCTION("""COMPUTED_VALUE"""),35.0)</f>
        <v>35</v>
      </c>
      <c r="J698" s="1">
        <f>IFERROR(__xludf.DUMMYFUNCTION("""COMPUTED_VALUE"""),22.0)</f>
        <v>22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 t="str">
        <f>IFERROR(__xludf.DUMMYFUNCTION("""COMPUTED_VALUE"""),"B")</f>
        <v>B</v>
      </c>
      <c r="E699" s="1">
        <f>IFERROR(__xludf.DUMMYFUNCTION("""COMPUTED_VALUE"""),15.0)</f>
        <v>15</v>
      </c>
      <c r="F699" s="1">
        <f>IFERROR(__xludf.DUMMYFUNCTION("""COMPUTED_VALUE"""),98.0)</f>
        <v>98</v>
      </c>
      <c r="G699" s="1">
        <f>IFERROR(__xludf.DUMMYFUNCTION("""COMPUTED_VALUE"""),90.0)</f>
        <v>90</v>
      </c>
      <c r="H699" s="1">
        <f>IFERROR(__xludf.DUMMYFUNCTION("""COMPUTED_VALUE"""),99.0)</f>
        <v>99</v>
      </c>
      <c r="I699" s="1">
        <f>IFERROR(__xludf.DUMMYFUNCTION("""COMPUTED_VALUE"""),95.0)</f>
        <v>95</v>
      </c>
      <c r="J699" s="1">
        <f>IFERROR(__xludf.DUMMYFUNCTION("""COMPUTED_VALUE"""),84.0)</f>
        <v>84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 t="str">
        <f>IFERROR(__xludf.DUMMYFUNCTION("""COMPUTED_VALUE"""),"B")</f>
        <v>B</v>
      </c>
      <c r="E700" s="1">
        <f>IFERROR(__xludf.DUMMYFUNCTION("""COMPUTED_VALUE"""),64.0)</f>
        <v>64</v>
      </c>
      <c r="F700" s="1">
        <f>IFERROR(__xludf.DUMMYFUNCTION("""COMPUTED_VALUE"""),90.0)</f>
        <v>90</v>
      </c>
      <c r="G700" s="1">
        <f>IFERROR(__xludf.DUMMYFUNCTION("""COMPUTED_VALUE"""),91.0)</f>
        <v>91</v>
      </c>
      <c r="H700" s="1">
        <f>IFERROR(__xludf.DUMMYFUNCTION("""COMPUTED_VALUE"""),91.0)</f>
        <v>91</v>
      </c>
      <c r="I700" s="1">
        <f>IFERROR(__xludf.DUMMYFUNCTION("""COMPUTED_VALUE"""),20.0)</f>
        <v>20</v>
      </c>
      <c r="J700" s="1">
        <f>IFERROR(__xludf.DUMMYFUNCTION("""COMPUTED_VALUE"""),80.0)</f>
        <v>80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 t="str">
        <f>IFERROR(__xludf.DUMMYFUNCTION("""COMPUTED_VALUE"""),"C")</f>
        <v>C</v>
      </c>
      <c r="E701" s="1">
        <f>IFERROR(__xludf.DUMMYFUNCTION("""COMPUTED_VALUE"""),43.0)</f>
        <v>43</v>
      </c>
      <c r="F701" s="1">
        <f>IFERROR(__xludf.DUMMYFUNCTION("""COMPUTED_VALUE"""),72.0)</f>
        <v>72</v>
      </c>
      <c r="G701" s="1">
        <f>IFERROR(__xludf.DUMMYFUNCTION("""COMPUTED_VALUE"""),86.0)</f>
        <v>86</v>
      </c>
      <c r="H701" s="1">
        <f>IFERROR(__xludf.DUMMYFUNCTION("""COMPUTED_VALUE"""),55.0)</f>
        <v>55</v>
      </c>
      <c r="I701" s="1">
        <f>IFERROR(__xludf.DUMMYFUNCTION("""COMPUTED_VALUE"""),48.0)</f>
        <v>48</v>
      </c>
      <c r="J701" s="1">
        <f>IFERROR(__xludf.DUMMYFUNCTION("""COMPUTED_VALUE"""),25.0)</f>
        <v>25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 t="str">
        <f>IFERROR(__xludf.DUMMYFUNCTION("""COMPUTED_VALUE"""),"C")</f>
        <v>C</v>
      </c>
      <c r="E702" s="1">
        <f>IFERROR(__xludf.DUMMYFUNCTION("""COMPUTED_VALUE"""),82.0)</f>
        <v>82</v>
      </c>
      <c r="F702" s="1">
        <f>IFERROR(__xludf.DUMMYFUNCTION("""COMPUTED_VALUE"""),36.0)</f>
        <v>36</v>
      </c>
      <c r="G702" s="1">
        <f>IFERROR(__xludf.DUMMYFUNCTION("""COMPUTED_VALUE"""),85.0)</f>
        <v>85</v>
      </c>
      <c r="H702" s="1">
        <f>IFERROR(__xludf.DUMMYFUNCTION("""COMPUTED_VALUE"""),67.0)</f>
        <v>67</v>
      </c>
      <c r="I702" s="1">
        <f>IFERROR(__xludf.DUMMYFUNCTION("""COMPUTED_VALUE"""),58.0)</f>
        <v>58</v>
      </c>
      <c r="J702" s="1">
        <f>IFERROR(__xludf.DUMMYFUNCTION("""COMPUTED_VALUE"""),52.0)</f>
        <v>52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 t="str">
        <f>IFERROR(__xludf.DUMMYFUNCTION("""COMPUTED_VALUE"""),"C")</f>
        <v>C</v>
      </c>
      <c r="E703" s="1">
        <f>IFERROR(__xludf.DUMMYFUNCTION("""COMPUTED_VALUE"""),63.0)</f>
        <v>63</v>
      </c>
      <c r="F703" s="1">
        <f>IFERROR(__xludf.DUMMYFUNCTION("""COMPUTED_VALUE"""),88.0)</f>
        <v>88</v>
      </c>
      <c r="G703" s="1">
        <f>IFERROR(__xludf.DUMMYFUNCTION("""COMPUTED_VALUE"""),61.0)</f>
        <v>61</v>
      </c>
      <c r="H703" s="1">
        <f>IFERROR(__xludf.DUMMYFUNCTION("""COMPUTED_VALUE"""),89.0)</f>
        <v>89</v>
      </c>
      <c r="I703" s="1">
        <f>IFERROR(__xludf.DUMMYFUNCTION("""COMPUTED_VALUE"""),55.0)</f>
        <v>55</v>
      </c>
      <c r="J703" s="1">
        <f>IFERROR(__xludf.DUMMYFUNCTION("""COMPUTED_VALUE"""),22.0)</f>
        <v>22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 t="str">
        <f>IFERROR(__xludf.DUMMYFUNCTION("""COMPUTED_VALUE"""),"D")</f>
        <v>D</v>
      </c>
      <c r="E704" s="1">
        <f>IFERROR(__xludf.DUMMYFUNCTION("""COMPUTED_VALUE"""),77.0)</f>
        <v>77</v>
      </c>
      <c r="F704" s="1">
        <f>IFERROR(__xludf.DUMMYFUNCTION("""COMPUTED_VALUE"""),74.0)</f>
        <v>74</v>
      </c>
      <c r="G704" s="1">
        <f>IFERROR(__xludf.DUMMYFUNCTION("""COMPUTED_VALUE"""),63.0)</f>
        <v>63</v>
      </c>
      <c r="H704" s="1">
        <f>IFERROR(__xludf.DUMMYFUNCTION("""COMPUTED_VALUE"""),52.0)</f>
        <v>52</v>
      </c>
      <c r="I704" s="1">
        <f>IFERROR(__xludf.DUMMYFUNCTION("""COMPUTED_VALUE"""),57.0)</f>
        <v>57</v>
      </c>
      <c r="J704" s="1">
        <f>IFERROR(__xludf.DUMMYFUNCTION("""COMPUTED_VALUE"""),41.0)</f>
        <v>41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 t="str">
        <f>IFERROR(__xludf.DUMMYFUNCTION("""COMPUTED_VALUE"""),"B")</f>
        <v>B</v>
      </c>
      <c r="E705" s="1">
        <f>IFERROR(__xludf.DUMMYFUNCTION("""COMPUTED_VALUE"""),68.0)</f>
        <v>68</v>
      </c>
      <c r="F705" s="1">
        <f>IFERROR(__xludf.DUMMYFUNCTION("""COMPUTED_VALUE"""),66.0)</f>
        <v>66</v>
      </c>
      <c r="G705" s="1">
        <f>IFERROR(__xludf.DUMMYFUNCTION("""COMPUTED_VALUE"""),88.0)</f>
        <v>88</v>
      </c>
      <c r="H705" s="1">
        <f>IFERROR(__xludf.DUMMYFUNCTION("""COMPUTED_VALUE"""),37.0)</f>
        <v>37</v>
      </c>
      <c r="I705" s="1">
        <f>IFERROR(__xludf.DUMMYFUNCTION("""COMPUTED_VALUE"""),65.0)</f>
        <v>65</v>
      </c>
      <c r="J705" s="1">
        <f>IFERROR(__xludf.DUMMYFUNCTION("""COMPUTED_VALUE"""),24.0)</f>
        <v>24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 t="str">
        <f>IFERROR(__xludf.DUMMYFUNCTION("""COMPUTED_VALUE"""),"C")</f>
        <v>C</v>
      </c>
      <c r="E706" s="1">
        <f>IFERROR(__xludf.DUMMYFUNCTION("""COMPUTED_VALUE"""),23.0)</f>
        <v>23</v>
      </c>
      <c r="F706" s="1">
        <f>IFERROR(__xludf.DUMMYFUNCTION("""COMPUTED_VALUE"""),60.0)</f>
        <v>60</v>
      </c>
      <c r="G706" s="1">
        <f>IFERROR(__xludf.DUMMYFUNCTION("""COMPUTED_VALUE"""),20.0)</f>
        <v>20</v>
      </c>
      <c r="H706" s="1">
        <f>IFERROR(__xludf.DUMMYFUNCTION("""COMPUTED_VALUE"""),54.0)</f>
        <v>54</v>
      </c>
      <c r="I706" s="1">
        <f>IFERROR(__xludf.DUMMYFUNCTION("""COMPUTED_VALUE"""),66.0)</f>
        <v>66</v>
      </c>
      <c r="J706" s="1">
        <f>IFERROR(__xludf.DUMMYFUNCTION("""COMPUTED_VALUE"""),39.0)</f>
        <v>39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 t="str">
        <f>IFERROR(__xludf.DUMMYFUNCTION("""COMPUTED_VALUE"""),"B")</f>
        <v>B</v>
      </c>
      <c r="E707" s="1">
        <f>IFERROR(__xludf.DUMMYFUNCTION("""COMPUTED_VALUE"""),14.0)</f>
        <v>14</v>
      </c>
      <c r="F707" s="1">
        <f>IFERROR(__xludf.DUMMYFUNCTION("""COMPUTED_VALUE"""),39.0)</f>
        <v>39</v>
      </c>
      <c r="G707" s="1">
        <f>IFERROR(__xludf.DUMMYFUNCTION("""COMPUTED_VALUE"""),29.0)</f>
        <v>29</v>
      </c>
      <c r="H707" s="1">
        <f>IFERROR(__xludf.DUMMYFUNCTION("""COMPUTED_VALUE"""),69.0)</f>
        <v>69</v>
      </c>
      <c r="I707" s="1">
        <f>IFERROR(__xludf.DUMMYFUNCTION("""COMPUTED_VALUE"""),67.0)</f>
        <v>67</v>
      </c>
      <c r="J707" s="1">
        <f>IFERROR(__xludf.DUMMYFUNCTION("""COMPUTED_VALUE"""),93.0)</f>
        <v>93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 t="str">
        <f>IFERROR(__xludf.DUMMYFUNCTION("""COMPUTED_VALUE"""),"C")</f>
        <v>C</v>
      </c>
      <c r="E708" s="1">
        <f>IFERROR(__xludf.DUMMYFUNCTION("""COMPUTED_VALUE"""),50.0)</f>
        <v>50</v>
      </c>
      <c r="F708" s="1">
        <f>IFERROR(__xludf.DUMMYFUNCTION("""COMPUTED_VALUE"""),51.0)</f>
        <v>51</v>
      </c>
      <c r="G708" s="1">
        <f>IFERROR(__xludf.DUMMYFUNCTION("""COMPUTED_VALUE"""),96.0)</f>
        <v>96</v>
      </c>
      <c r="H708" s="1">
        <f>IFERROR(__xludf.DUMMYFUNCTION("""COMPUTED_VALUE"""),58.0)</f>
        <v>58</v>
      </c>
      <c r="I708" s="1">
        <f>IFERROR(__xludf.DUMMYFUNCTION("""COMPUTED_VALUE"""),63.0)</f>
        <v>63</v>
      </c>
      <c r="J708" s="1">
        <f>IFERROR(__xludf.DUMMYFUNCTION("""COMPUTED_VALUE"""),24.0)</f>
        <v>24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 t="str">
        <f>IFERROR(__xludf.DUMMYFUNCTION("""COMPUTED_VALUE"""),"C")</f>
        <v>C</v>
      </c>
      <c r="E709" s="1">
        <f>IFERROR(__xludf.DUMMYFUNCTION("""COMPUTED_VALUE"""),70.0)</f>
        <v>70</v>
      </c>
      <c r="F709" s="1">
        <f>IFERROR(__xludf.DUMMYFUNCTION("""COMPUTED_VALUE"""),77.0)</f>
        <v>77</v>
      </c>
      <c r="G709" s="1">
        <f>IFERROR(__xludf.DUMMYFUNCTION("""COMPUTED_VALUE"""),55.0)</f>
        <v>55</v>
      </c>
      <c r="H709" s="1">
        <f>IFERROR(__xludf.DUMMYFUNCTION("""COMPUTED_VALUE"""),43.0)</f>
        <v>43</v>
      </c>
      <c r="I709" s="1">
        <f>IFERROR(__xludf.DUMMYFUNCTION("""COMPUTED_VALUE"""),82.0)</f>
        <v>82</v>
      </c>
      <c r="J709" s="1">
        <f>IFERROR(__xludf.DUMMYFUNCTION("""COMPUTED_VALUE"""),55.0)</f>
        <v>55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 t="str">
        <f>IFERROR(__xludf.DUMMYFUNCTION("""COMPUTED_VALUE"""),"D")</f>
        <v>D</v>
      </c>
      <c r="E710" s="1">
        <f>IFERROR(__xludf.DUMMYFUNCTION("""COMPUTED_VALUE"""),50.0)</f>
        <v>50</v>
      </c>
      <c r="F710" s="1">
        <f>IFERROR(__xludf.DUMMYFUNCTION("""COMPUTED_VALUE"""),63.0)</f>
        <v>63</v>
      </c>
      <c r="G710" s="1">
        <f>IFERROR(__xludf.DUMMYFUNCTION("""COMPUTED_VALUE"""),21.0)</f>
        <v>21</v>
      </c>
      <c r="H710" s="1">
        <f>IFERROR(__xludf.DUMMYFUNCTION("""COMPUTED_VALUE"""),69.0)</f>
        <v>69</v>
      </c>
      <c r="I710" s="1">
        <f>IFERROR(__xludf.DUMMYFUNCTION("""COMPUTED_VALUE"""),55.0)</f>
        <v>55</v>
      </c>
      <c r="J710" s="1">
        <f>IFERROR(__xludf.DUMMYFUNCTION("""COMPUTED_VALUE"""),93.0)</f>
        <v>93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 t="str">
        <f>IFERROR(__xludf.DUMMYFUNCTION("""COMPUTED_VALUE"""),"A")</f>
        <v>A</v>
      </c>
      <c r="E711" s="1">
        <f>IFERROR(__xludf.DUMMYFUNCTION("""COMPUTED_VALUE"""),89.0)</f>
        <v>89</v>
      </c>
      <c r="F711" s="1">
        <f>IFERROR(__xludf.DUMMYFUNCTION("""COMPUTED_VALUE"""),26.0)</f>
        <v>26</v>
      </c>
      <c r="G711" s="1">
        <f>IFERROR(__xludf.DUMMYFUNCTION("""COMPUTED_VALUE"""),63.0)</f>
        <v>63</v>
      </c>
      <c r="H711" s="1">
        <f>IFERROR(__xludf.DUMMYFUNCTION("""COMPUTED_VALUE"""),59.0)</f>
        <v>59</v>
      </c>
      <c r="I711" s="1">
        <f>IFERROR(__xludf.DUMMYFUNCTION("""COMPUTED_VALUE"""),46.0)</f>
        <v>46</v>
      </c>
      <c r="J711" s="1">
        <f>IFERROR(__xludf.DUMMYFUNCTION("""COMPUTED_VALUE"""),84.0)</f>
        <v>84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 t="str">
        <f>IFERROR(__xludf.DUMMYFUNCTION("""COMPUTED_VALUE"""),"C")</f>
        <v>C</v>
      </c>
      <c r="E712" s="1">
        <f>IFERROR(__xludf.DUMMYFUNCTION("""COMPUTED_VALUE"""),62.0)</f>
        <v>62</v>
      </c>
      <c r="F712" s="1">
        <f>IFERROR(__xludf.DUMMYFUNCTION("""COMPUTED_VALUE"""),44.0)</f>
        <v>44</v>
      </c>
      <c r="G712" s="1">
        <f>IFERROR(__xludf.DUMMYFUNCTION("""COMPUTED_VALUE"""),33.0)</f>
        <v>33</v>
      </c>
      <c r="H712" s="1">
        <f>IFERROR(__xludf.DUMMYFUNCTION("""COMPUTED_VALUE"""),47.0)</f>
        <v>47</v>
      </c>
      <c r="I712" s="1">
        <f>IFERROR(__xludf.DUMMYFUNCTION("""COMPUTED_VALUE"""),89.0)</f>
        <v>89</v>
      </c>
      <c r="J712" s="1">
        <f>IFERROR(__xludf.DUMMYFUNCTION("""COMPUTED_VALUE"""),97.0)</f>
        <v>97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 t="str">
        <f>IFERROR(__xludf.DUMMYFUNCTION("""COMPUTED_VALUE"""),"C")</f>
        <v>C</v>
      </c>
      <c r="E713" s="1">
        <f>IFERROR(__xludf.DUMMYFUNCTION("""COMPUTED_VALUE"""),63.0)</f>
        <v>63</v>
      </c>
      <c r="F713" s="1">
        <f>IFERROR(__xludf.DUMMYFUNCTION("""COMPUTED_VALUE"""),75.0)</f>
        <v>75</v>
      </c>
      <c r="G713" s="1">
        <f>IFERROR(__xludf.DUMMYFUNCTION("""COMPUTED_VALUE"""),86.0)</f>
        <v>86</v>
      </c>
      <c r="H713" s="1">
        <f>IFERROR(__xludf.DUMMYFUNCTION("""COMPUTED_VALUE"""),58.0)</f>
        <v>58</v>
      </c>
      <c r="I713" s="1">
        <f>IFERROR(__xludf.DUMMYFUNCTION("""COMPUTED_VALUE"""),52.0)</f>
        <v>52</v>
      </c>
      <c r="J713" s="1">
        <f>IFERROR(__xludf.DUMMYFUNCTION("""COMPUTED_VALUE"""),90.0)</f>
        <v>90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 t="str">
        <f>IFERROR(__xludf.DUMMYFUNCTION("""COMPUTED_VALUE"""),"D")</f>
        <v>D</v>
      </c>
      <c r="E714" s="1">
        <f>IFERROR(__xludf.DUMMYFUNCTION("""COMPUTED_VALUE"""),74.0)</f>
        <v>74</v>
      </c>
      <c r="F714" s="1">
        <f>IFERROR(__xludf.DUMMYFUNCTION("""COMPUTED_VALUE"""),58.0)</f>
        <v>58</v>
      </c>
      <c r="G714" s="1">
        <f>IFERROR(__xludf.DUMMYFUNCTION("""COMPUTED_VALUE"""),94.0)</f>
        <v>94</v>
      </c>
      <c r="H714" s="1">
        <f>IFERROR(__xludf.DUMMYFUNCTION("""COMPUTED_VALUE"""),33.0)</f>
        <v>33</v>
      </c>
      <c r="I714" s="1">
        <f>IFERROR(__xludf.DUMMYFUNCTION("""COMPUTED_VALUE"""),57.0)</f>
        <v>57</v>
      </c>
      <c r="J714" s="1">
        <f>IFERROR(__xludf.DUMMYFUNCTION("""COMPUTED_VALUE"""),83.0)</f>
        <v>83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 t="str">
        <f>IFERROR(__xludf.DUMMYFUNCTION("""COMPUTED_VALUE"""),"C")</f>
        <v>C</v>
      </c>
      <c r="E715" s="1">
        <f>IFERROR(__xludf.DUMMYFUNCTION("""COMPUTED_VALUE"""),68.0)</f>
        <v>68</v>
      </c>
      <c r="F715" s="1">
        <f>IFERROR(__xludf.DUMMYFUNCTION("""COMPUTED_VALUE"""),77.0)</f>
        <v>77</v>
      </c>
      <c r="G715" s="1">
        <f>IFERROR(__xludf.DUMMYFUNCTION("""COMPUTED_VALUE"""),29.0)</f>
        <v>29</v>
      </c>
      <c r="H715" s="1">
        <f>IFERROR(__xludf.DUMMYFUNCTION("""COMPUTED_VALUE"""),61.0)</f>
        <v>61</v>
      </c>
      <c r="I715" s="1">
        <f>IFERROR(__xludf.DUMMYFUNCTION("""COMPUTED_VALUE"""),98.0)</f>
        <v>98</v>
      </c>
      <c r="J715" s="1">
        <f>IFERROR(__xludf.DUMMYFUNCTION("""COMPUTED_VALUE"""),49.0)</f>
        <v>49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 t="str">
        <f>IFERROR(__xludf.DUMMYFUNCTION("""COMPUTED_VALUE"""),"C")</f>
        <v>C</v>
      </c>
      <c r="E716" s="1">
        <f>IFERROR(__xludf.DUMMYFUNCTION("""COMPUTED_VALUE"""),36.0)</f>
        <v>36</v>
      </c>
      <c r="F716" s="1">
        <f>IFERROR(__xludf.DUMMYFUNCTION("""COMPUTED_VALUE"""),24.0)</f>
        <v>24</v>
      </c>
      <c r="G716" s="1">
        <f>IFERROR(__xludf.DUMMYFUNCTION("""COMPUTED_VALUE"""),22.0)</f>
        <v>22</v>
      </c>
      <c r="H716" s="1">
        <f>IFERROR(__xludf.DUMMYFUNCTION("""COMPUTED_VALUE"""),29.0)</f>
        <v>29</v>
      </c>
      <c r="I716" s="1">
        <f>IFERROR(__xludf.DUMMYFUNCTION("""COMPUTED_VALUE"""),39.0)</f>
        <v>39</v>
      </c>
      <c r="J716" s="1">
        <f>IFERROR(__xludf.DUMMYFUNCTION("""COMPUTED_VALUE"""),39.0)</f>
        <v>39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 t="str">
        <f>IFERROR(__xludf.DUMMYFUNCTION("""COMPUTED_VALUE"""),"C")</f>
        <v>C</v>
      </c>
      <c r="E717" s="1">
        <f>IFERROR(__xludf.DUMMYFUNCTION("""COMPUTED_VALUE"""),99.0)</f>
        <v>99</v>
      </c>
      <c r="F717" s="1">
        <f>IFERROR(__xludf.DUMMYFUNCTION("""COMPUTED_VALUE"""),66.0)</f>
        <v>66</v>
      </c>
      <c r="G717" s="1">
        <f>IFERROR(__xludf.DUMMYFUNCTION("""COMPUTED_VALUE"""),51.0)</f>
        <v>51</v>
      </c>
      <c r="H717" s="1">
        <f>IFERROR(__xludf.DUMMYFUNCTION("""COMPUTED_VALUE"""),29.0)</f>
        <v>29</v>
      </c>
      <c r="I717" s="1">
        <f>IFERROR(__xludf.DUMMYFUNCTION("""COMPUTED_VALUE"""),52.0)</f>
        <v>52</v>
      </c>
      <c r="J717" s="1">
        <f>IFERROR(__xludf.DUMMYFUNCTION("""COMPUTED_VALUE"""),95.0)</f>
        <v>95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 t="str">
        <f>IFERROR(__xludf.DUMMYFUNCTION("""COMPUTED_VALUE"""),"D")</f>
        <v>D</v>
      </c>
      <c r="E718" s="1">
        <f>IFERROR(__xludf.DUMMYFUNCTION("""COMPUTED_VALUE"""),87.0)</f>
        <v>87</v>
      </c>
      <c r="F718" s="1">
        <f>IFERROR(__xludf.DUMMYFUNCTION("""COMPUTED_VALUE"""),66.0)</f>
        <v>66</v>
      </c>
      <c r="G718" s="1">
        <f>IFERROR(__xludf.DUMMYFUNCTION("""COMPUTED_VALUE"""),42.0)</f>
        <v>42</v>
      </c>
      <c r="H718" s="1">
        <f>IFERROR(__xludf.DUMMYFUNCTION("""COMPUTED_VALUE"""),28.0)</f>
        <v>28</v>
      </c>
      <c r="I718" s="1">
        <f>IFERROR(__xludf.DUMMYFUNCTION("""COMPUTED_VALUE"""),85.0)</f>
        <v>85</v>
      </c>
      <c r="J718" s="1">
        <f>IFERROR(__xludf.DUMMYFUNCTION("""COMPUTED_VALUE"""),98.0)</f>
        <v>98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 t="str">
        <f>IFERROR(__xludf.DUMMYFUNCTION("""COMPUTED_VALUE"""),"B")</f>
        <v>B</v>
      </c>
      <c r="E719" s="1">
        <f>IFERROR(__xludf.DUMMYFUNCTION("""COMPUTED_VALUE"""),28.0)</f>
        <v>28</v>
      </c>
      <c r="F719" s="1">
        <f>IFERROR(__xludf.DUMMYFUNCTION("""COMPUTED_VALUE"""),22.0)</f>
        <v>22</v>
      </c>
      <c r="G719" s="1">
        <f>IFERROR(__xludf.DUMMYFUNCTION("""COMPUTED_VALUE"""),52.0)</f>
        <v>52</v>
      </c>
      <c r="H719" s="1">
        <f>IFERROR(__xludf.DUMMYFUNCTION("""COMPUTED_VALUE"""),35.0)</f>
        <v>35</v>
      </c>
      <c r="I719" s="1">
        <f>IFERROR(__xludf.DUMMYFUNCTION("""COMPUTED_VALUE"""),79.0)</f>
        <v>79</v>
      </c>
      <c r="J719" s="1">
        <f>IFERROR(__xludf.DUMMYFUNCTION("""COMPUTED_VALUE"""),50.0)</f>
        <v>50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 t="str">
        <f>IFERROR(__xludf.DUMMYFUNCTION("""COMPUTED_VALUE"""),"D")</f>
        <v>D</v>
      </c>
      <c r="E720" s="1">
        <f>IFERROR(__xludf.DUMMYFUNCTION("""COMPUTED_VALUE"""),54.0)</f>
        <v>54</v>
      </c>
      <c r="F720" s="1">
        <f>IFERROR(__xludf.DUMMYFUNCTION("""COMPUTED_VALUE"""),38.0)</f>
        <v>38</v>
      </c>
      <c r="G720" s="1">
        <f>IFERROR(__xludf.DUMMYFUNCTION("""COMPUTED_VALUE"""),92.0)</f>
        <v>92</v>
      </c>
      <c r="H720" s="1">
        <f>IFERROR(__xludf.DUMMYFUNCTION("""COMPUTED_VALUE"""),95.0)</f>
        <v>95</v>
      </c>
      <c r="I720" s="1">
        <f>IFERROR(__xludf.DUMMYFUNCTION("""COMPUTED_VALUE"""),89.0)</f>
        <v>89</v>
      </c>
      <c r="J720" s="1">
        <f>IFERROR(__xludf.DUMMYFUNCTION("""COMPUTED_VALUE"""),54.0)</f>
        <v>54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 t="str">
        <f>IFERROR(__xludf.DUMMYFUNCTION("""COMPUTED_VALUE"""),"B")</f>
        <v>B</v>
      </c>
      <c r="E721" s="1">
        <f>IFERROR(__xludf.DUMMYFUNCTION("""COMPUTED_VALUE"""),37.0)</f>
        <v>37</v>
      </c>
      <c r="F721" s="1">
        <f>IFERROR(__xludf.DUMMYFUNCTION("""COMPUTED_VALUE"""),80.0)</f>
        <v>80</v>
      </c>
      <c r="G721" s="1">
        <f>IFERROR(__xludf.DUMMYFUNCTION("""COMPUTED_VALUE"""),58.0)</f>
        <v>58</v>
      </c>
      <c r="H721" s="1">
        <f>IFERROR(__xludf.DUMMYFUNCTION("""COMPUTED_VALUE"""),58.0)</f>
        <v>58</v>
      </c>
      <c r="I721" s="1">
        <f>IFERROR(__xludf.DUMMYFUNCTION("""COMPUTED_VALUE"""),92.0)</f>
        <v>92</v>
      </c>
      <c r="J721" s="1">
        <f>IFERROR(__xludf.DUMMYFUNCTION("""COMPUTED_VALUE"""),90.0)</f>
        <v>90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 t="str">
        <f>IFERROR(__xludf.DUMMYFUNCTION("""COMPUTED_VALUE"""),"B")</f>
        <v>B</v>
      </c>
      <c r="E722" s="1">
        <f>IFERROR(__xludf.DUMMYFUNCTION("""COMPUTED_VALUE"""),42.0)</f>
        <v>42</v>
      </c>
      <c r="F722" s="1">
        <f>IFERROR(__xludf.DUMMYFUNCTION("""COMPUTED_VALUE"""),62.0)</f>
        <v>62</v>
      </c>
      <c r="G722" s="1">
        <f>IFERROR(__xludf.DUMMYFUNCTION("""COMPUTED_VALUE"""),91.0)</f>
        <v>91</v>
      </c>
      <c r="H722" s="1">
        <f>IFERROR(__xludf.DUMMYFUNCTION("""COMPUTED_VALUE"""),96.0)</f>
        <v>96</v>
      </c>
      <c r="I722" s="1">
        <f>IFERROR(__xludf.DUMMYFUNCTION("""COMPUTED_VALUE"""),88.0)</f>
        <v>88</v>
      </c>
      <c r="J722" s="1">
        <f>IFERROR(__xludf.DUMMYFUNCTION("""COMPUTED_VALUE"""),41.0)</f>
        <v>41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 t="str">
        <f>IFERROR(__xludf.DUMMYFUNCTION("""COMPUTED_VALUE"""),"C")</f>
        <v>C</v>
      </c>
      <c r="E723" s="1">
        <f>IFERROR(__xludf.DUMMYFUNCTION("""COMPUTED_VALUE"""),95.0)</f>
        <v>95</v>
      </c>
      <c r="F723" s="1">
        <f>IFERROR(__xludf.DUMMYFUNCTION("""COMPUTED_VALUE"""),75.0)</f>
        <v>75</v>
      </c>
      <c r="G723" s="1">
        <f>IFERROR(__xludf.DUMMYFUNCTION("""COMPUTED_VALUE"""),50.0)</f>
        <v>50</v>
      </c>
      <c r="H723" s="1">
        <f>IFERROR(__xludf.DUMMYFUNCTION("""COMPUTED_VALUE"""),76.0)</f>
        <v>76</v>
      </c>
      <c r="I723" s="1">
        <f>IFERROR(__xludf.DUMMYFUNCTION("""COMPUTED_VALUE"""),40.0)</f>
        <v>40</v>
      </c>
      <c r="J723" s="1">
        <f>IFERROR(__xludf.DUMMYFUNCTION("""COMPUTED_VALUE"""),52.0)</f>
        <v>52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 t="str">
        <f>IFERROR(__xludf.DUMMYFUNCTION("""COMPUTED_VALUE"""),"D")</f>
        <v>D</v>
      </c>
      <c r="E724" s="1">
        <f>IFERROR(__xludf.DUMMYFUNCTION("""COMPUTED_VALUE"""),69.0)</f>
        <v>69</v>
      </c>
      <c r="F724" s="1">
        <f>IFERROR(__xludf.DUMMYFUNCTION("""COMPUTED_VALUE"""),28.0)</f>
        <v>28</v>
      </c>
      <c r="G724" s="1">
        <f>IFERROR(__xludf.DUMMYFUNCTION("""COMPUTED_VALUE"""),47.0)</f>
        <v>47</v>
      </c>
      <c r="H724" s="1">
        <f>IFERROR(__xludf.DUMMYFUNCTION("""COMPUTED_VALUE"""),99.0)</f>
        <v>99</v>
      </c>
      <c r="I724" s="1">
        <f>IFERROR(__xludf.DUMMYFUNCTION("""COMPUTED_VALUE"""),74.0)</f>
        <v>74</v>
      </c>
      <c r="J724" s="1">
        <f>IFERROR(__xludf.DUMMYFUNCTION("""COMPUTED_VALUE"""),25.0)</f>
        <v>25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 t="str">
        <f>IFERROR(__xludf.DUMMYFUNCTION("""COMPUTED_VALUE"""),"D")</f>
        <v>D</v>
      </c>
      <c r="E725" s="1">
        <f>IFERROR(__xludf.DUMMYFUNCTION("""COMPUTED_VALUE"""),88.0)</f>
        <v>88</v>
      </c>
      <c r="F725" s="1">
        <f>IFERROR(__xludf.DUMMYFUNCTION("""COMPUTED_VALUE"""),62.0)</f>
        <v>62</v>
      </c>
      <c r="G725" s="1">
        <f>IFERROR(__xludf.DUMMYFUNCTION("""COMPUTED_VALUE"""),79.0)</f>
        <v>79</v>
      </c>
      <c r="H725" s="1">
        <f>IFERROR(__xludf.DUMMYFUNCTION("""COMPUTED_VALUE"""),97.0)</f>
        <v>97</v>
      </c>
      <c r="I725" s="1">
        <f>IFERROR(__xludf.DUMMYFUNCTION("""COMPUTED_VALUE"""),55.0)</f>
        <v>55</v>
      </c>
      <c r="J725" s="1">
        <f>IFERROR(__xludf.DUMMYFUNCTION("""COMPUTED_VALUE"""),74.0)</f>
        <v>74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 t="str">
        <f>IFERROR(__xludf.DUMMYFUNCTION("""COMPUTED_VALUE"""),"C")</f>
        <v>C</v>
      </c>
      <c r="E726" s="1">
        <f>IFERROR(__xludf.DUMMYFUNCTION("""COMPUTED_VALUE"""),31.0)</f>
        <v>31</v>
      </c>
      <c r="F726" s="1">
        <f>IFERROR(__xludf.DUMMYFUNCTION("""COMPUTED_VALUE"""),40.0)</f>
        <v>40</v>
      </c>
      <c r="G726" s="1">
        <f>IFERROR(__xludf.DUMMYFUNCTION("""COMPUTED_VALUE"""),90.0)</f>
        <v>90</v>
      </c>
      <c r="H726" s="1">
        <f>IFERROR(__xludf.DUMMYFUNCTION("""COMPUTED_VALUE"""),38.0)</f>
        <v>38</v>
      </c>
      <c r="I726" s="1">
        <f>IFERROR(__xludf.DUMMYFUNCTION("""COMPUTED_VALUE"""),36.0)</f>
        <v>36</v>
      </c>
      <c r="J726" s="1">
        <f>IFERROR(__xludf.DUMMYFUNCTION("""COMPUTED_VALUE"""),70.0)</f>
        <v>70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 t="str">
        <f>IFERROR(__xludf.DUMMYFUNCTION("""COMPUTED_VALUE"""),"C")</f>
        <v>C</v>
      </c>
      <c r="E727" s="1">
        <f>IFERROR(__xludf.DUMMYFUNCTION("""COMPUTED_VALUE"""),23.0)</f>
        <v>23</v>
      </c>
      <c r="F727" s="1">
        <f>IFERROR(__xludf.DUMMYFUNCTION("""COMPUTED_VALUE"""),39.0)</f>
        <v>39</v>
      </c>
      <c r="G727" s="1">
        <f>IFERROR(__xludf.DUMMYFUNCTION("""COMPUTED_VALUE"""),97.0)</f>
        <v>97</v>
      </c>
      <c r="H727" s="1">
        <f>IFERROR(__xludf.DUMMYFUNCTION("""COMPUTED_VALUE"""),87.0)</f>
        <v>87</v>
      </c>
      <c r="I727" s="1">
        <f>IFERROR(__xludf.DUMMYFUNCTION("""COMPUTED_VALUE"""),53.0)</f>
        <v>53</v>
      </c>
      <c r="J727" s="1">
        <f>IFERROR(__xludf.DUMMYFUNCTION("""COMPUTED_VALUE"""),89.0)</f>
        <v>89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 t="str">
        <f>IFERROR(__xludf.DUMMYFUNCTION("""COMPUTED_VALUE"""),"D")</f>
        <v>D</v>
      </c>
      <c r="E728" s="1">
        <f>IFERROR(__xludf.DUMMYFUNCTION("""COMPUTED_VALUE"""),95.0)</f>
        <v>95</v>
      </c>
      <c r="F728" s="1">
        <f>IFERROR(__xludf.DUMMYFUNCTION("""COMPUTED_VALUE"""),21.0)</f>
        <v>21</v>
      </c>
      <c r="G728" s="1">
        <f>IFERROR(__xludf.DUMMYFUNCTION("""COMPUTED_VALUE"""),29.0)</f>
        <v>29</v>
      </c>
      <c r="H728" s="1">
        <f>IFERROR(__xludf.DUMMYFUNCTION("""COMPUTED_VALUE"""),29.0)</f>
        <v>29</v>
      </c>
      <c r="I728" s="1">
        <f>IFERROR(__xludf.DUMMYFUNCTION("""COMPUTED_VALUE"""),50.0)</f>
        <v>50</v>
      </c>
      <c r="J728" s="1">
        <f>IFERROR(__xludf.DUMMYFUNCTION("""COMPUTED_VALUE"""),54.0)</f>
        <v>54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 t="str">
        <f>IFERROR(__xludf.DUMMYFUNCTION("""COMPUTED_VALUE"""),"B")</f>
        <v>B</v>
      </c>
      <c r="E729" s="1">
        <f>IFERROR(__xludf.DUMMYFUNCTION("""COMPUTED_VALUE"""),88.0)</f>
        <v>88</v>
      </c>
      <c r="F729" s="1">
        <f>IFERROR(__xludf.DUMMYFUNCTION("""COMPUTED_VALUE"""),57.0)</f>
        <v>57</v>
      </c>
      <c r="G729" s="1">
        <f>IFERROR(__xludf.DUMMYFUNCTION("""COMPUTED_VALUE"""),62.0)</f>
        <v>62</v>
      </c>
      <c r="H729" s="1">
        <f>IFERROR(__xludf.DUMMYFUNCTION("""COMPUTED_VALUE"""),74.0)</f>
        <v>74</v>
      </c>
      <c r="I729" s="1">
        <f>IFERROR(__xludf.DUMMYFUNCTION("""COMPUTED_VALUE"""),44.0)</f>
        <v>44</v>
      </c>
      <c r="J729" s="1">
        <f>IFERROR(__xludf.DUMMYFUNCTION("""COMPUTED_VALUE"""),24.0)</f>
        <v>24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 t="str">
        <f>IFERROR(__xludf.DUMMYFUNCTION("""COMPUTED_VALUE"""),"A")</f>
        <v>A</v>
      </c>
      <c r="E730" s="1">
        <f>IFERROR(__xludf.DUMMYFUNCTION("""COMPUTED_VALUE"""),94.0)</f>
        <v>94</v>
      </c>
      <c r="F730" s="1">
        <f>IFERROR(__xludf.DUMMYFUNCTION("""COMPUTED_VALUE"""),60.0)</f>
        <v>60</v>
      </c>
      <c r="G730" s="1">
        <f>IFERROR(__xludf.DUMMYFUNCTION("""COMPUTED_VALUE"""),54.0)</f>
        <v>54</v>
      </c>
      <c r="H730" s="1">
        <f>IFERROR(__xludf.DUMMYFUNCTION("""COMPUTED_VALUE"""),81.0)</f>
        <v>81</v>
      </c>
      <c r="I730" s="1">
        <f>IFERROR(__xludf.DUMMYFUNCTION("""COMPUTED_VALUE"""),25.0)</f>
        <v>25</v>
      </c>
      <c r="J730" s="1">
        <f>IFERROR(__xludf.DUMMYFUNCTION("""COMPUTED_VALUE"""),84.0)</f>
        <v>84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 t="str">
        <f>IFERROR(__xludf.DUMMYFUNCTION("""COMPUTED_VALUE"""),"A")</f>
        <v>A</v>
      </c>
      <c r="E731" s="1">
        <f>IFERROR(__xludf.DUMMYFUNCTION("""COMPUTED_VALUE"""),62.0)</f>
        <v>62</v>
      </c>
      <c r="F731" s="1">
        <f>IFERROR(__xludf.DUMMYFUNCTION("""COMPUTED_VALUE"""),53.0)</f>
        <v>53</v>
      </c>
      <c r="G731" s="1">
        <f>IFERROR(__xludf.DUMMYFUNCTION("""COMPUTED_VALUE"""),40.0)</f>
        <v>40</v>
      </c>
      <c r="H731" s="1">
        <f>IFERROR(__xludf.DUMMYFUNCTION("""COMPUTED_VALUE"""),47.0)</f>
        <v>47</v>
      </c>
      <c r="I731" s="1">
        <f>IFERROR(__xludf.DUMMYFUNCTION("""COMPUTED_VALUE"""),66.0)</f>
        <v>66</v>
      </c>
      <c r="J731" s="1">
        <f>IFERROR(__xludf.DUMMYFUNCTION("""COMPUTED_VALUE"""),45.0)</f>
        <v>45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 t="str">
        <f>IFERROR(__xludf.DUMMYFUNCTION("""COMPUTED_VALUE"""),"A")</f>
        <v>A</v>
      </c>
      <c r="E732" s="1">
        <f>IFERROR(__xludf.DUMMYFUNCTION("""COMPUTED_VALUE"""),12.0)</f>
        <v>12</v>
      </c>
      <c r="F732" s="1">
        <f>IFERROR(__xludf.DUMMYFUNCTION("""COMPUTED_VALUE"""),61.0)</f>
        <v>61</v>
      </c>
      <c r="G732" s="1">
        <f>IFERROR(__xludf.DUMMYFUNCTION("""COMPUTED_VALUE"""),26.0)</f>
        <v>26</v>
      </c>
      <c r="H732" s="1">
        <f>IFERROR(__xludf.DUMMYFUNCTION("""COMPUTED_VALUE"""),30.0)</f>
        <v>30</v>
      </c>
      <c r="I732" s="1">
        <f>IFERROR(__xludf.DUMMYFUNCTION("""COMPUTED_VALUE"""),97.0)</f>
        <v>97</v>
      </c>
      <c r="J732" s="1">
        <f>IFERROR(__xludf.DUMMYFUNCTION("""COMPUTED_VALUE"""),97.0)</f>
        <v>97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 t="str">
        <f>IFERROR(__xludf.DUMMYFUNCTION("""COMPUTED_VALUE"""),"B")</f>
        <v>B</v>
      </c>
      <c r="E733" s="1">
        <f>IFERROR(__xludf.DUMMYFUNCTION("""COMPUTED_VALUE"""),25.0)</f>
        <v>25</v>
      </c>
      <c r="F733" s="1">
        <f>IFERROR(__xludf.DUMMYFUNCTION("""COMPUTED_VALUE"""),82.0)</f>
        <v>82</v>
      </c>
      <c r="G733" s="1">
        <f>IFERROR(__xludf.DUMMYFUNCTION("""COMPUTED_VALUE"""),96.0)</f>
        <v>96</v>
      </c>
      <c r="H733" s="1">
        <f>IFERROR(__xludf.DUMMYFUNCTION("""COMPUTED_VALUE"""),75.0)</f>
        <v>75</v>
      </c>
      <c r="I733" s="1">
        <f>IFERROR(__xludf.DUMMYFUNCTION("""COMPUTED_VALUE"""),76.0)</f>
        <v>76</v>
      </c>
      <c r="J733" s="1">
        <f>IFERROR(__xludf.DUMMYFUNCTION("""COMPUTED_VALUE"""),86.0)</f>
        <v>86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 t="str">
        <f>IFERROR(__xludf.DUMMYFUNCTION("""COMPUTED_VALUE"""),"C")</f>
        <v>C</v>
      </c>
      <c r="E734" s="1">
        <f>IFERROR(__xludf.DUMMYFUNCTION("""COMPUTED_VALUE"""),18.0)</f>
        <v>18</v>
      </c>
      <c r="F734" s="1">
        <f>IFERROR(__xludf.DUMMYFUNCTION("""COMPUTED_VALUE"""),36.0)</f>
        <v>36</v>
      </c>
      <c r="G734" s="1">
        <f>IFERROR(__xludf.DUMMYFUNCTION("""COMPUTED_VALUE"""),69.0)</f>
        <v>69</v>
      </c>
      <c r="H734" s="1">
        <f>IFERROR(__xludf.DUMMYFUNCTION("""COMPUTED_VALUE"""),51.0)</f>
        <v>51</v>
      </c>
      <c r="I734" s="1">
        <f>IFERROR(__xludf.DUMMYFUNCTION("""COMPUTED_VALUE"""),69.0)</f>
        <v>69</v>
      </c>
      <c r="J734" s="1">
        <f>IFERROR(__xludf.DUMMYFUNCTION("""COMPUTED_VALUE"""),53.0)</f>
        <v>53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 t="str">
        <f>IFERROR(__xludf.DUMMYFUNCTION("""COMPUTED_VALUE"""),"D")</f>
        <v>D</v>
      </c>
      <c r="E735" s="1">
        <f>IFERROR(__xludf.DUMMYFUNCTION("""COMPUTED_VALUE"""),39.0)</f>
        <v>39</v>
      </c>
      <c r="F735" s="1">
        <f>IFERROR(__xludf.DUMMYFUNCTION("""COMPUTED_VALUE"""),36.0)</f>
        <v>36</v>
      </c>
      <c r="G735" s="1">
        <f>IFERROR(__xludf.DUMMYFUNCTION("""COMPUTED_VALUE"""),22.0)</f>
        <v>22</v>
      </c>
      <c r="H735" s="1">
        <f>IFERROR(__xludf.DUMMYFUNCTION("""COMPUTED_VALUE"""),36.0)</f>
        <v>36</v>
      </c>
      <c r="I735" s="1">
        <f>IFERROR(__xludf.DUMMYFUNCTION("""COMPUTED_VALUE"""),27.0)</f>
        <v>27</v>
      </c>
      <c r="J735" s="1">
        <f>IFERROR(__xludf.DUMMYFUNCTION("""COMPUTED_VALUE"""),76.0)</f>
        <v>76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 t="str">
        <f>IFERROR(__xludf.DUMMYFUNCTION("""COMPUTED_VALUE"""),"B")</f>
        <v>B</v>
      </c>
      <c r="E736" s="1">
        <f>IFERROR(__xludf.DUMMYFUNCTION("""COMPUTED_VALUE"""),58.0)</f>
        <v>58</v>
      </c>
      <c r="F736" s="1">
        <f>IFERROR(__xludf.DUMMYFUNCTION("""COMPUTED_VALUE"""),74.0)</f>
        <v>74</v>
      </c>
      <c r="G736" s="1">
        <f>IFERROR(__xludf.DUMMYFUNCTION("""COMPUTED_VALUE"""),73.0)</f>
        <v>73</v>
      </c>
      <c r="H736" s="1">
        <f>IFERROR(__xludf.DUMMYFUNCTION("""COMPUTED_VALUE"""),71.0)</f>
        <v>71</v>
      </c>
      <c r="I736" s="1">
        <f>IFERROR(__xludf.DUMMYFUNCTION("""COMPUTED_VALUE"""),65.0)</f>
        <v>65</v>
      </c>
      <c r="J736" s="1">
        <f>IFERROR(__xludf.DUMMYFUNCTION("""COMPUTED_VALUE"""),71.0)</f>
        <v>71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 t="str">
        <f>IFERROR(__xludf.DUMMYFUNCTION("""COMPUTED_VALUE"""),"B")</f>
        <v>B</v>
      </c>
      <c r="E737" s="1">
        <f>IFERROR(__xludf.DUMMYFUNCTION("""COMPUTED_VALUE"""),12.0)</f>
        <v>12</v>
      </c>
      <c r="F737" s="1">
        <f>IFERROR(__xludf.DUMMYFUNCTION("""COMPUTED_VALUE"""),80.0)</f>
        <v>80</v>
      </c>
      <c r="G737" s="1">
        <f>IFERROR(__xludf.DUMMYFUNCTION("""COMPUTED_VALUE"""),70.0)</f>
        <v>70</v>
      </c>
      <c r="H737" s="1">
        <f>IFERROR(__xludf.DUMMYFUNCTION("""COMPUTED_VALUE"""),76.0)</f>
        <v>76</v>
      </c>
      <c r="I737" s="1">
        <f>IFERROR(__xludf.DUMMYFUNCTION("""COMPUTED_VALUE"""),47.0)</f>
        <v>47</v>
      </c>
      <c r="J737" s="1">
        <f>IFERROR(__xludf.DUMMYFUNCTION("""COMPUTED_VALUE"""),88.0)</f>
        <v>88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 t="str">
        <f>IFERROR(__xludf.DUMMYFUNCTION("""COMPUTED_VALUE"""),"A")</f>
        <v>A</v>
      </c>
      <c r="E738" s="1">
        <f>IFERROR(__xludf.DUMMYFUNCTION("""COMPUTED_VALUE"""),94.0)</f>
        <v>94</v>
      </c>
      <c r="F738" s="1">
        <f>IFERROR(__xludf.DUMMYFUNCTION("""COMPUTED_VALUE"""),99.0)</f>
        <v>99</v>
      </c>
      <c r="G738" s="1">
        <f>IFERROR(__xludf.DUMMYFUNCTION("""COMPUTED_VALUE"""),51.0)</f>
        <v>51</v>
      </c>
      <c r="H738" s="1">
        <f>IFERROR(__xludf.DUMMYFUNCTION("""COMPUTED_VALUE"""),40.0)</f>
        <v>40</v>
      </c>
      <c r="I738" s="1">
        <f>IFERROR(__xludf.DUMMYFUNCTION("""COMPUTED_VALUE"""),77.0)</f>
        <v>77</v>
      </c>
      <c r="J738" s="1">
        <f>IFERROR(__xludf.DUMMYFUNCTION("""COMPUTED_VALUE"""),42.0)</f>
        <v>42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 t="str">
        <f>IFERROR(__xludf.DUMMYFUNCTION("""COMPUTED_VALUE"""),"D")</f>
        <v>D</v>
      </c>
      <c r="E739" s="1">
        <f>IFERROR(__xludf.DUMMYFUNCTION("""COMPUTED_VALUE"""),60.0)</f>
        <v>60</v>
      </c>
      <c r="F739" s="1">
        <f>IFERROR(__xludf.DUMMYFUNCTION("""COMPUTED_VALUE"""),48.0)</f>
        <v>48</v>
      </c>
      <c r="G739" s="1">
        <f>IFERROR(__xludf.DUMMYFUNCTION("""COMPUTED_VALUE"""),71.0)</f>
        <v>71</v>
      </c>
      <c r="H739" s="1">
        <f>IFERROR(__xludf.DUMMYFUNCTION("""COMPUTED_VALUE"""),78.0)</f>
        <v>78</v>
      </c>
      <c r="I739" s="1">
        <f>IFERROR(__xludf.DUMMYFUNCTION("""COMPUTED_VALUE"""),89.0)</f>
        <v>89</v>
      </c>
      <c r="J739" s="1">
        <f>IFERROR(__xludf.DUMMYFUNCTION("""COMPUTED_VALUE"""),49.0)</f>
        <v>49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 t="str">
        <f>IFERROR(__xludf.DUMMYFUNCTION("""COMPUTED_VALUE"""),"D")</f>
        <v>D</v>
      </c>
      <c r="E740" s="1">
        <f>IFERROR(__xludf.DUMMYFUNCTION("""COMPUTED_VALUE"""),89.0)</f>
        <v>89</v>
      </c>
      <c r="F740" s="1">
        <f>IFERROR(__xludf.DUMMYFUNCTION("""COMPUTED_VALUE"""),33.0)</f>
        <v>33</v>
      </c>
      <c r="G740" s="1">
        <f>IFERROR(__xludf.DUMMYFUNCTION("""COMPUTED_VALUE"""),96.0)</f>
        <v>96</v>
      </c>
      <c r="H740" s="1">
        <f>IFERROR(__xludf.DUMMYFUNCTION("""COMPUTED_VALUE"""),36.0)</f>
        <v>36</v>
      </c>
      <c r="I740" s="1">
        <f>IFERROR(__xludf.DUMMYFUNCTION("""COMPUTED_VALUE"""),48.0)</f>
        <v>48</v>
      </c>
      <c r="J740" s="1">
        <f>IFERROR(__xludf.DUMMYFUNCTION("""COMPUTED_VALUE"""),78.0)</f>
        <v>78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 t="str">
        <f>IFERROR(__xludf.DUMMYFUNCTION("""COMPUTED_VALUE"""),"A")</f>
        <v>A</v>
      </c>
      <c r="E741" s="1">
        <f>IFERROR(__xludf.DUMMYFUNCTION("""COMPUTED_VALUE"""),41.0)</f>
        <v>41</v>
      </c>
      <c r="F741" s="1">
        <f>IFERROR(__xludf.DUMMYFUNCTION("""COMPUTED_VALUE"""),46.0)</f>
        <v>46</v>
      </c>
      <c r="G741" s="1">
        <f>IFERROR(__xludf.DUMMYFUNCTION("""COMPUTED_VALUE"""),82.0)</f>
        <v>82</v>
      </c>
      <c r="H741" s="1">
        <f>IFERROR(__xludf.DUMMYFUNCTION("""COMPUTED_VALUE"""),21.0)</f>
        <v>21</v>
      </c>
      <c r="I741" s="1">
        <f>IFERROR(__xludf.DUMMYFUNCTION("""COMPUTED_VALUE"""),35.0)</f>
        <v>35</v>
      </c>
      <c r="J741" s="1">
        <f>IFERROR(__xludf.DUMMYFUNCTION("""COMPUTED_VALUE"""),30.0)</f>
        <v>30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 t="str">
        <f>IFERROR(__xludf.DUMMYFUNCTION("""COMPUTED_VALUE"""),"C")</f>
        <v>C</v>
      </c>
      <c r="E742" s="1">
        <f>IFERROR(__xludf.DUMMYFUNCTION("""COMPUTED_VALUE"""),17.0)</f>
        <v>17</v>
      </c>
      <c r="F742" s="1">
        <f>IFERROR(__xludf.DUMMYFUNCTION("""COMPUTED_VALUE"""),34.0)</f>
        <v>34</v>
      </c>
      <c r="G742" s="1">
        <f>IFERROR(__xludf.DUMMYFUNCTION("""COMPUTED_VALUE"""),48.0)</f>
        <v>48</v>
      </c>
      <c r="H742" s="1">
        <f>IFERROR(__xludf.DUMMYFUNCTION("""COMPUTED_VALUE"""),48.0)</f>
        <v>48</v>
      </c>
      <c r="I742" s="1">
        <f>IFERROR(__xludf.DUMMYFUNCTION("""COMPUTED_VALUE"""),63.0)</f>
        <v>63</v>
      </c>
      <c r="J742" s="1">
        <f>IFERROR(__xludf.DUMMYFUNCTION("""COMPUTED_VALUE"""),27.0)</f>
        <v>27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 t="str">
        <f>IFERROR(__xludf.DUMMYFUNCTION("""COMPUTED_VALUE"""),"C")</f>
        <v>C</v>
      </c>
      <c r="E743" s="1">
        <f>IFERROR(__xludf.DUMMYFUNCTION("""COMPUTED_VALUE"""),49.0)</f>
        <v>49</v>
      </c>
      <c r="F743" s="1">
        <f>IFERROR(__xludf.DUMMYFUNCTION("""COMPUTED_VALUE"""),92.0)</f>
        <v>92</v>
      </c>
      <c r="G743" s="1">
        <f>IFERROR(__xludf.DUMMYFUNCTION("""COMPUTED_VALUE"""),26.0)</f>
        <v>26</v>
      </c>
      <c r="H743" s="1">
        <f>IFERROR(__xludf.DUMMYFUNCTION("""COMPUTED_VALUE"""),41.0)</f>
        <v>41</v>
      </c>
      <c r="I743" s="1">
        <f>IFERROR(__xludf.DUMMYFUNCTION("""COMPUTED_VALUE"""),37.0)</f>
        <v>37</v>
      </c>
      <c r="J743" s="1">
        <f>IFERROR(__xludf.DUMMYFUNCTION("""COMPUTED_VALUE"""),96.0)</f>
        <v>96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 t="str">
        <f>IFERROR(__xludf.DUMMYFUNCTION("""COMPUTED_VALUE"""),"A")</f>
        <v>A</v>
      </c>
      <c r="E744" s="1">
        <f>IFERROR(__xludf.DUMMYFUNCTION("""COMPUTED_VALUE"""),34.0)</f>
        <v>34</v>
      </c>
      <c r="F744" s="1">
        <f>IFERROR(__xludf.DUMMYFUNCTION("""COMPUTED_VALUE"""),62.0)</f>
        <v>62</v>
      </c>
      <c r="G744" s="1">
        <f>IFERROR(__xludf.DUMMYFUNCTION("""COMPUTED_VALUE"""),59.0)</f>
        <v>59</v>
      </c>
      <c r="H744" s="1">
        <f>IFERROR(__xludf.DUMMYFUNCTION("""COMPUTED_VALUE"""),43.0)</f>
        <v>43</v>
      </c>
      <c r="I744" s="1">
        <f>IFERROR(__xludf.DUMMYFUNCTION("""COMPUTED_VALUE"""),51.0)</f>
        <v>51</v>
      </c>
      <c r="J744" s="1">
        <f>IFERROR(__xludf.DUMMYFUNCTION("""COMPUTED_VALUE"""),69.0)</f>
        <v>69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 t="str">
        <f>IFERROR(__xludf.DUMMYFUNCTION("""COMPUTED_VALUE"""),"C")</f>
        <v>C</v>
      </c>
      <c r="E745" s="1">
        <f>IFERROR(__xludf.DUMMYFUNCTION("""COMPUTED_VALUE"""),57.0)</f>
        <v>57</v>
      </c>
      <c r="F745" s="1">
        <f>IFERROR(__xludf.DUMMYFUNCTION("""COMPUTED_VALUE"""),89.0)</f>
        <v>89</v>
      </c>
      <c r="G745" s="1">
        <f>IFERROR(__xludf.DUMMYFUNCTION("""COMPUTED_VALUE"""),30.0)</f>
        <v>30</v>
      </c>
      <c r="H745" s="1">
        <f>IFERROR(__xludf.DUMMYFUNCTION("""COMPUTED_VALUE"""),86.0)</f>
        <v>86</v>
      </c>
      <c r="I745" s="1">
        <f>IFERROR(__xludf.DUMMYFUNCTION("""COMPUTED_VALUE"""),90.0)</f>
        <v>90</v>
      </c>
      <c r="J745" s="1">
        <f>IFERROR(__xludf.DUMMYFUNCTION("""COMPUTED_VALUE"""),36.0)</f>
        <v>36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 t="str">
        <f>IFERROR(__xludf.DUMMYFUNCTION("""COMPUTED_VALUE"""),"C")</f>
        <v>C</v>
      </c>
      <c r="E746" s="1">
        <f>IFERROR(__xludf.DUMMYFUNCTION("""COMPUTED_VALUE"""),27.0)</f>
        <v>27</v>
      </c>
      <c r="F746" s="1">
        <f>IFERROR(__xludf.DUMMYFUNCTION("""COMPUTED_VALUE"""),36.0)</f>
        <v>36</v>
      </c>
      <c r="G746" s="1">
        <f>IFERROR(__xludf.DUMMYFUNCTION("""COMPUTED_VALUE"""),67.0)</f>
        <v>67</v>
      </c>
      <c r="H746" s="1">
        <f>IFERROR(__xludf.DUMMYFUNCTION("""COMPUTED_VALUE"""),65.0)</f>
        <v>65</v>
      </c>
      <c r="I746" s="1">
        <f>IFERROR(__xludf.DUMMYFUNCTION("""COMPUTED_VALUE"""),37.0)</f>
        <v>37</v>
      </c>
      <c r="J746" s="1">
        <f>IFERROR(__xludf.DUMMYFUNCTION("""COMPUTED_VALUE"""),87.0)</f>
        <v>87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 t="str">
        <f>IFERROR(__xludf.DUMMYFUNCTION("""COMPUTED_VALUE"""),"C")</f>
        <v>C</v>
      </c>
      <c r="E747" s="1">
        <f>IFERROR(__xludf.DUMMYFUNCTION("""COMPUTED_VALUE"""),100.0)</f>
        <v>100</v>
      </c>
      <c r="F747" s="1">
        <f>IFERROR(__xludf.DUMMYFUNCTION("""COMPUTED_VALUE"""),75.0)</f>
        <v>75</v>
      </c>
      <c r="G747" s="1">
        <f>IFERROR(__xludf.DUMMYFUNCTION("""COMPUTED_VALUE"""),69.0)</f>
        <v>69</v>
      </c>
      <c r="H747" s="1">
        <f>IFERROR(__xludf.DUMMYFUNCTION("""COMPUTED_VALUE"""),37.0)</f>
        <v>37</v>
      </c>
      <c r="I747" s="1">
        <f>IFERROR(__xludf.DUMMYFUNCTION("""COMPUTED_VALUE"""),54.0)</f>
        <v>54</v>
      </c>
      <c r="J747" s="1">
        <f>IFERROR(__xludf.DUMMYFUNCTION("""COMPUTED_VALUE"""),43.0)</f>
        <v>43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 t="str">
        <f>IFERROR(__xludf.DUMMYFUNCTION("""COMPUTED_VALUE"""),"D")</f>
        <v>D</v>
      </c>
      <c r="E748" s="1">
        <f>IFERROR(__xludf.DUMMYFUNCTION("""COMPUTED_VALUE"""),66.0)</f>
        <v>66</v>
      </c>
      <c r="F748" s="1">
        <f>IFERROR(__xludf.DUMMYFUNCTION("""COMPUTED_VALUE"""),79.0)</f>
        <v>79</v>
      </c>
      <c r="G748" s="1">
        <f>IFERROR(__xludf.DUMMYFUNCTION("""COMPUTED_VALUE"""),52.0)</f>
        <v>52</v>
      </c>
      <c r="H748" s="1">
        <f>IFERROR(__xludf.DUMMYFUNCTION("""COMPUTED_VALUE"""),87.0)</f>
        <v>87</v>
      </c>
      <c r="I748" s="1">
        <f>IFERROR(__xludf.DUMMYFUNCTION("""COMPUTED_VALUE"""),94.0)</f>
        <v>94</v>
      </c>
      <c r="J748" s="1">
        <f>IFERROR(__xludf.DUMMYFUNCTION("""COMPUTED_VALUE"""),91.0)</f>
        <v>91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 t="str">
        <f>IFERROR(__xludf.DUMMYFUNCTION("""COMPUTED_VALUE"""),"C")</f>
        <v>C</v>
      </c>
      <c r="E749" s="1">
        <f>IFERROR(__xludf.DUMMYFUNCTION("""COMPUTED_VALUE"""),77.0)</f>
        <v>77</v>
      </c>
      <c r="F749" s="1">
        <f>IFERROR(__xludf.DUMMYFUNCTION("""COMPUTED_VALUE"""),31.0)</f>
        <v>31</v>
      </c>
      <c r="G749" s="1">
        <f>IFERROR(__xludf.DUMMYFUNCTION("""COMPUTED_VALUE"""),69.0)</f>
        <v>69</v>
      </c>
      <c r="H749" s="1">
        <f>IFERROR(__xludf.DUMMYFUNCTION("""COMPUTED_VALUE"""),93.0)</f>
        <v>93</v>
      </c>
      <c r="I749" s="1">
        <f>IFERROR(__xludf.DUMMYFUNCTION("""COMPUTED_VALUE"""),93.0)</f>
        <v>93</v>
      </c>
      <c r="J749" s="1">
        <f>IFERROR(__xludf.DUMMYFUNCTION("""COMPUTED_VALUE"""),60.0)</f>
        <v>60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 t="str">
        <f>IFERROR(__xludf.DUMMYFUNCTION("""COMPUTED_VALUE"""),"B")</f>
        <v>B</v>
      </c>
      <c r="E750" s="1">
        <f>IFERROR(__xludf.DUMMYFUNCTION("""COMPUTED_VALUE"""),29.0)</f>
        <v>29</v>
      </c>
      <c r="F750" s="1">
        <f>IFERROR(__xludf.DUMMYFUNCTION("""COMPUTED_VALUE"""),66.0)</f>
        <v>66</v>
      </c>
      <c r="G750" s="1">
        <f>IFERROR(__xludf.DUMMYFUNCTION("""COMPUTED_VALUE"""),53.0)</f>
        <v>53</v>
      </c>
      <c r="H750" s="1">
        <f>IFERROR(__xludf.DUMMYFUNCTION("""COMPUTED_VALUE"""),21.0)</f>
        <v>21</v>
      </c>
      <c r="I750" s="1">
        <f>IFERROR(__xludf.DUMMYFUNCTION("""COMPUTED_VALUE"""),91.0)</f>
        <v>91</v>
      </c>
      <c r="J750" s="1">
        <f>IFERROR(__xludf.DUMMYFUNCTION("""COMPUTED_VALUE"""),60.0)</f>
        <v>60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 t="str">
        <f>IFERROR(__xludf.DUMMYFUNCTION("""COMPUTED_VALUE"""),"A")</f>
        <v>A</v>
      </c>
      <c r="E751" s="1">
        <f>IFERROR(__xludf.DUMMYFUNCTION("""COMPUTED_VALUE"""),77.0)</f>
        <v>77</v>
      </c>
      <c r="F751" s="1">
        <f>IFERROR(__xludf.DUMMYFUNCTION("""COMPUTED_VALUE"""),40.0)</f>
        <v>40</v>
      </c>
      <c r="G751" s="1">
        <f>IFERROR(__xludf.DUMMYFUNCTION("""COMPUTED_VALUE"""),69.0)</f>
        <v>69</v>
      </c>
      <c r="H751" s="1">
        <f>IFERROR(__xludf.DUMMYFUNCTION("""COMPUTED_VALUE"""),35.0)</f>
        <v>35</v>
      </c>
      <c r="I751" s="1">
        <f>IFERROR(__xludf.DUMMYFUNCTION("""COMPUTED_VALUE"""),35.0)</f>
        <v>35</v>
      </c>
      <c r="J751" s="1">
        <f>IFERROR(__xludf.DUMMYFUNCTION("""COMPUTED_VALUE"""),94.0)</f>
        <v>94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 t="str">
        <f>IFERROR(__xludf.DUMMYFUNCTION("""COMPUTED_VALUE"""),"B")</f>
        <v>B</v>
      </c>
      <c r="E752" s="1">
        <f>IFERROR(__xludf.DUMMYFUNCTION("""COMPUTED_VALUE"""),13.0)</f>
        <v>13</v>
      </c>
      <c r="F752" s="1">
        <f>IFERROR(__xludf.DUMMYFUNCTION("""COMPUTED_VALUE"""),36.0)</f>
        <v>36</v>
      </c>
      <c r="G752" s="1">
        <f>IFERROR(__xludf.DUMMYFUNCTION("""COMPUTED_VALUE"""),67.0)</f>
        <v>67</v>
      </c>
      <c r="H752" s="1">
        <f>IFERROR(__xludf.DUMMYFUNCTION("""COMPUTED_VALUE"""),78.0)</f>
        <v>78</v>
      </c>
      <c r="I752" s="1">
        <f>IFERROR(__xludf.DUMMYFUNCTION("""COMPUTED_VALUE"""),48.0)</f>
        <v>48</v>
      </c>
      <c r="J752" s="1">
        <f>IFERROR(__xludf.DUMMYFUNCTION("""COMPUTED_VALUE"""),77.0)</f>
        <v>77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 t="str">
        <f>IFERROR(__xludf.DUMMYFUNCTION("""COMPUTED_VALUE"""),"B")</f>
        <v>B</v>
      </c>
      <c r="E753" s="1">
        <f>IFERROR(__xludf.DUMMYFUNCTION("""COMPUTED_VALUE"""),39.0)</f>
        <v>39</v>
      </c>
      <c r="F753" s="1">
        <f>IFERROR(__xludf.DUMMYFUNCTION("""COMPUTED_VALUE"""),96.0)</f>
        <v>96</v>
      </c>
      <c r="G753" s="1">
        <f>IFERROR(__xludf.DUMMYFUNCTION("""COMPUTED_VALUE"""),93.0)</f>
        <v>93</v>
      </c>
      <c r="H753" s="1">
        <f>IFERROR(__xludf.DUMMYFUNCTION("""COMPUTED_VALUE"""),88.0)</f>
        <v>88</v>
      </c>
      <c r="I753" s="1">
        <f>IFERROR(__xludf.DUMMYFUNCTION("""COMPUTED_VALUE"""),59.0)</f>
        <v>59</v>
      </c>
      <c r="J753" s="1">
        <f>IFERROR(__xludf.DUMMYFUNCTION("""COMPUTED_VALUE"""),86.0)</f>
        <v>86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 t="str">
        <f>IFERROR(__xludf.DUMMYFUNCTION("""COMPUTED_VALUE"""),"D")</f>
        <v>D</v>
      </c>
      <c r="E754" s="1">
        <f>IFERROR(__xludf.DUMMYFUNCTION("""COMPUTED_VALUE"""),38.0)</f>
        <v>38</v>
      </c>
      <c r="F754" s="1">
        <f>IFERROR(__xludf.DUMMYFUNCTION("""COMPUTED_VALUE"""),28.0)</f>
        <v>28</v>
      </c>
      <c r="G754" s="1">
        <f>IFERROR(__xludf.DUMMYFUNCTION("""COMPUTED_VALUE"""),29.0)</f>
        <v>29</v>
      </c>
      <c r="H754" s="1">
        <f>IFERROR(__xludf.DUMMYFUNCTION("""COMPUTED_VALUE"""),55.0)</f>
        <v>55</v>
      </c>
      <c r="I754" s="1">
        <f>IFERROR(__xludf.DUMMYFUNCTION("""COMPUTED_VALUE"""),50.0)</f>
        <v>50</v>
      </c>
      <c r="J754" s="1">
        <f>IFERROR(__xludf.DUMMYFUNCTION("""COMPUTED_VALUE"""),55.0)</f>
        <v>55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 t="str">
        <f>IFERROR(__xludf.DUMMYFUNCTION("""COMPUTED_VALUE"""),"A")</f>
        <v>A</v>
      </c>
      <c r="E755" s="1">
        <f>IFERROR(__xludf.DUMMYFUNCTION("""COMPUTED_VALUE"""),57.0)</f>
        <v>57</v>
      </c>
      <c r="F755" s="1">
        <f>IFERROR(__xludf.DUMMYFUNCTION("""COMPUTED_VALUE"""),43.0)</f>
        <v>43</v>
      </c>
      <c r="G755" s="1">
        <f>IFERROR(__xludf.DUMMYFUNCTION("""COMPUTED_VALUE"""),26.0)</f>
        <v>26</v>
      </c>
      <c r="H755" s="1">
        <f>IFERROR(__xludf.DUMMYFUNCTION("""COMPUTED_VALUE"""),32.0)</f>
        <v>32</v>
      </c>
      <c r="I755" s="1">
        <f>IFERROR(__xludf.DUMMYFUNCTION("""COMPUTED_VALUE"""),42.0)</f>
        <v>42</v>
      </c>
      <c r="J755" s="1">
        <f>IFERROR(__xludf.DUMMYFUNCTION("""COMPUTED_VALUE"""),92.0)</f>
        <v>92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 t="str">
        <f>IFERROR(__xludf.DUMMYFUNCTION("""COMPUTED_VALUE"""),"B")</f>
        <v>B</v>
      </c>
      <c r="E756" s="1">
        <f>IFERROR(__xludf.DUMMYFUNCTION("""COMPUTED_VALUE"""),92.0)</f>
        <v>92</v>
      </c>
      <c r="F756" s="1">
        <f>IFERROR(__xludf.DUMMYFUNCTION("""COMPUTED_VALUE"""),77.0)</f>
        <v>77</v>
      </c>
      <c r="G756" s="1">
        <f>IFERROR(__xludf.DUMMYFUNCTION("""COMPUTED_VALUE"""),32.0)</f>
        <v>32</v>
      </c>
      <c r="H756" s="1">
        <f>IFERROR(__xludf.DUMMYFUNCTION("""COMPUTED_VALUE"""),87.0)</f>
        <v>87</v>
      </c>
      <c r="I756" s="1">
        <f>IFERROR(__xludf.DUMMYFUNCTION("""COMPUTED_VALUE"""),47.0)</f>
        <v>47</v>
      </c>
      <c r="J756" s="1">
        <f>IFERROR(__xludf.DUMMYFUNCTION("""COMPUTED_VALUE"""),98.0)</f>
        <v>98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 t="str">
        <f>IFERROR(__xludf.DUMMYFUNCTION("""COMPUTED_VALUE"""),"B")</f>
        <v>B</v>
      </c>
      <c r="E757" s="1">
        <f>IFERROR(__xludf.DUMMYFUNCTION("""COMPUTED_VALUE"""),27.0)</f>
        <v>27</v>
      </c>
      <c r="F757" s="1">
        <f>IFERROR(__xludf.DUMMYFUNCTION("""COMPUTED_VALUE"""),40.0)</f>
        <v>40</v>
      </c>
      <c r="G757" s="1">
        <f>IFERROR(__xludf.DUMMYFUNCTION("""COMPUTED_VALUE"""),87.0)</f>
        <v>87</v>
      </c>
      <c r="H757" s="1">
        <f>IFERROR(__xludf.DUMMYFUNCTION("""COMPUTED_VALUE"""),73.0)</f>
        <v>73</v>
      </c>
      <c r="I757" s="1">
        <f>IFERROR(__xludf.DUMMYFUNCTION("""COMPUTED_VALUE"""),72.0)</f>
        <v>72</v>
      </c>
      <c r="J757" s="1">
        <f>IFERROR(__xludf.DUMMYFUNCTION("""COMPUTED_VALUE"""),78.0)</f>
        <v>78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 t="str">
        <f>IFERROR(__xludf.DUMMYFUNCTION("""COMPUTED_VALUE"""),"B")</f>
        <v>B</v>
      </c>
      <c r="E758" s="1">
        <f>IFERROR(__xludf.DUMMYFUNCTION("""COMPUTED_VALUE"""),12.0)</f>
        <v>12</v>
      </c>
      <c r="F758" s="1">
        <f>IFERROR(__xludf.DUMMYFUNCTION("""COMPUTED_VALUE"""),65.0)</f>
        <v>65</v>
      </c>
      <c r="G758" s="1">
        <f>IFERROR(__xludf.DUMMYFUNCTION("""COMPUTED_VALUE"""),67.0)</f>
        <v>67</v>
      </c>
      <c r="H758" s="1">
        <f>IFERROR(__xludf.DUMMYFUNCTION("""COMPUTED_VALUE"""),36.0)</f>
        <v>36</v>
      </c>
      <c r="I758" s="1">
        <f>IFERROR(__xludf.DUMMYFUNCTION("""COMPUTED_VALUE"""),46.0)</f>
        <v>46</v>
      </c>
      <c r="J758" s="1">
        <f>IFERROR(__xludf.DUMMYFUNCTION("""COMPUTED_VALUE"""),24.0)</f>
        <v>24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 t="str">
        <f>IFERROR(__xludf.DUMMYFUNCTION("""COMPUTED_VALUE"""),"B")</f>
        <v>B</v>
      </c>
      <c r="E759" s="1">
        <f>IFERROR(__xludf.DUMMYFUNCTION("""COMPUTED_VALUE"""),19.0)</f>
        <v>19</v>
      </c>
      <c r="F759" s="1">
        <f>IFERROR(__xludf.DUMMYFUNCTION("""COMPUTED_VALUE"""),93.0)</f>
        <v>93</v>
      </c>
      <c r="G759" s="1">
        <f>IFERROR(__xludf.DUMMYFUNCTION("""COMPUTED_VALUE"""),85.0)</f>
        <v>85</v>
      </c>
      <c r="H759" s="1">
        <f>IFERROR(__xludf.DUMMYFUNCTION("""COMPUTED_VALUE"""),64.0)</f>
        <v>64</v>
      </c>
      <c r="I759" s="1">
        <f>IFERROR(__xludf.DUMMYFUNCTION("""COMPUTED_VALUE"""),20.0)</f>
        <v>20</v>
      </c>
      <c r="J759" s="1">
        <f>IFERROR(__xludf.DUMMYFUNCTION("""COMPUTED_VALUE"""),97.0)</f>
        <v>97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 t="str">
        <f>IFERROR(__xludf.DUMMYFUNCTION("""COMPUTED_VALUE"""),"A")</f>
        <v>A</v>
      </c>
      <c r="E760" s="1">
        <f>IFERROR(__xludf.DUMMYFUNCTION("""COMPUTED_VALUE"""),29.0)</f>
        <v>29</v>
      </c>
      <c r="F760" s="1">
        <f>IFERROR(__xludf.DUMMYFUNCTION("""COMPUTED_VALUE"""),71.0)</f>
        <v>71</v>
      </c>
      <c r="G760" s="1">
        <f>IFERROR(__xludf.DUMMYFUNCTION("""COMPUTED_VALUE"""),27.0)</f>
        <v>27</v>
      </c>
      <c r="H760" s="1">
        <f>IFERROR(__xludf.DUMMYFUNCTION("""COMPUTED_VALUE"""),83.0)</f>
        <v>83</v>
      </c>
      <c r="I760" s="1">
        <f>IFERROR(__xludf.DUMMYFUNCTION("""COMPUTED_VALUE"""),59.0)</f>
        <v>59</v>
      </c>
      <c r="J760" s="1">
        <f>IFERROR(__xludf.DUMMYFUNCTION("""COMPUTED_VALUE"""),31.0)</f>
        <v>31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 t="str">
        <f>IFERROR(__xludf.DUMMYFUNCTION("""COMPUTED_VALUE"""),"B")</f>
        <v>B</v>
      </c>
      <c r="E761" s="1">
        <f>IFERROR(__xludf.DUMMYFUNCTION("""COMPUTED_VALUE"""),35.0)</f>
        <v>35</v>
      </c>
      <c r="F761" s="1">
        <f>IFERROR(__xludf.DUMMYFUNCTION("""COMPUTED_VALUE"""),20.0)</f>
        <v>20</v>
      </c>
      <c r="G761" s="1">
        <f>IFERROR(__xludf.DUMMYFUNCTION("""COMPUTED_VALUE"""),20.0)</f>
        <v>20</v>
      </c>
      <c r="H761" s="1">
        <f>IFERROR(__xludf.DUMMYFUNCTION("""COMPUTED_VALUE"""),77.0)</f>
        <v>77</v>
      </c>
      <c r="I761" s="1">
        <f>IFERROR(__xludf.DUMMYFUNCTION("""COMPUTED_VALUE"""),75.0)</f>
        <v>75</v>
      </c>
      <c r="J761" s="1">
        <f>IFERROR(__xludf.DUMMYFUNCTION("""COMPUTED_VALUE"""),35.0)</f>
        <v>35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 t="str">
        <f>IFERROR(__xludf.DUMMYFUNCTION("""COMPUTED_VALUE"""),"C")</f>
        <v>C</v>
      </c>
      <c r="E762" s="1">
        <f>IFERROR(__xludf.DUMMYFUNCTION("""COMPUTED_VALUE"""),40.0)</f>
        <v>40</v>
      </c>
      <c r="F762" s="1">
        <f>IFERROR(__xludf.DUMMYFUNCTION("""COMPUTED_VALUE"""),64.0)</f>
        <v>64</v>
      </c>
      <c r="G762" s="1">
        <f>IFERROR(__xludf.DUMMYFUNCTION("""COMPUTED_VALUE"""),33.0)</f>
        <v>33</v>
      </c>
      <c r="H762" s="1">
        <f>IFERROR(__xludf.DUMMYFUNCTION("""COMPUTED_VALUE"""),46.0)</f>
        <v>46</v>
      </c>
      <c r="I762" s="1">
        <f>IFERROR(__xludf.DUMMYFUNCTION("""COMPUTED_VALUE"""),41.0)</f>
        <v>41</v>
      </c>
      <c r="J762" s="1">
        <f>IFERROR(__xludf.DUMMYFUNCTION("""COMPUTED_VALUE"""),47.0)</f>
        <v>47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 t="str">
        <f>IFERROR(__xludf.DUMMYFUNCTION("""COMPUTED_VALUE"""),"A")</f>
        <v>A</v>
      </c>
      <c r="E763" s="1">
        <f>IFERROR(__xludf.DUMMYFUNCTION("""COMPUTED_VALUE"""),82.0)</f>
        <v>82</v>
      </c>
      <c r="F763" s="1">
        <f>IFERROR(__xludf.DUMMYFUNCTION("""COMPUTED_VALUE"""),79.0)</f>
        <v>79</v>
      </c>
      <c r="G763" s="1">
        <f>IFERROR(__xludf.DUMMYFUNCTION("""COMPUTED_VALUE"""),49.0)</f>
        <v>49</v>
      </c>
      <c r="H763" s="1">
        <f>IFERROR(__xludf.DUMMYFUNCTION("""COMPUTED_VALUE"""),77.0)</f>
        <v>77</v>
      </c>
      <c r="I763" s="1">
        <f>IFERROR(__xludf.DUMMYFUNCTION("""COMPUTED_VALUE"""),72.0)</f>
        <v>72</v>
      </c>
      <c r="J763" s="1">
        <f>IFERROR(__xludf.DUMMYFUNCTION("""COMPUTED_VALUE"""),66.0)</f>
        <v>66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 t="str">
        <f>IFERROR(__xludf.DUMMYFUNCTION("""COMPUTED_VALUE"""),"B")</f>
        <v>B</v>
      </c>
      <c r="E764" s="1">
        <f>IFERROR(__xludf.DUMMYFUNCTION("""COMPUTED_VALUE"""),69.0)</f>
        <v>69</v>
      </c>
      <c r="F764" s="1">
        <f>IFERROR(__xludf.DUMMYFUNCTION("""COMPUTED_VALUE"""),59.0)</f>
        <v>59</v>
      </c>
      <c r="G764" s="1">
        <f>IFERROR(__xludf.DUMMYFUNCTION("""COMPUTED_VALUE"""),43.0)</f>
        <v>43</v>
      </c>
      <c r="H764" s="1">
        <f>IFERROR(__xludf.DUMMYFUNCTION("""COMPUTED_VALUE"""),29.0)</f>
        <v>29</v>
      </c>
      <c r="I764" s="1">
        <f>IFERROR(__xludf.DUMMYFUNCTION("""COMPUTED_VALUE"""),89.0)</f>
        <v>89</v>
      </c>
      <c r="J764" s="1">
        <f>IFERROR(__xludf.DUMMYFUNCTION("""COMPUTED_VALUE"""),75.0)</f>
        <v>75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 t="str">
        <f>IFERROR(__xludf.DUMMYFUNCTION("""COMPUTED_VALUE"""),"A")</f>
        <v>A</v>
      </c>
      <c r="E765" s="1">
        <f>IFERROR(__xludf.DUMMYFUNCTION("""COMPUTED_VALUE"""),20.0)</f>
        <v>20</v>
      </c>
      <c r="F765" s="1">
        <f>IFERROR(__xludf.DUMMYFUNCTION("""COMPUTED_VALUE"""),54.0)</f>
        <v>54</v>
      </c>
      <c r="G765" s="1">
        <f>IFERROR(__xludf.DUMMYFUNCTION("""COMPUTED_VALUE"""),85.0)</f>
        <v>85</v>
      </c>
      <c r="H765" s="1">
        <f>IFERROR(__xludf.DUMMYFUNCTION("""COMPUTED_VALUE"""),51.0)</f>
        <v>51</v>
      </c>
      <c r="I765" s="1">
        <f>IFERROR(__xludf.DUMMYFUNCTION("""COMPUTED_VALUE"""),52.0)</f>
        <v>52</v>
      </c>
      <c r="J765" s="1">
        <f>IFERROR(__xludf.DUMMYFUNCTION("""COMPUTED_VALUE"""),46.0)</f>
        <v>46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 t="str">
        <f>IFERROR(__xludf.DUMMYFUNCTION("""COMPUTED_VALUE"""),"C")</f>
        <v>C</v>
      </c>
      <c r="E766" s="1">
        <f>IFERROR(__xludf.DUMMYFUNCTION("""COMPUTED_VALUE"""),37.0)</f>
        <v>37</v>
      </c>
      <c r="F766" s="1">
        <f>IFERROR(__xludf.DUMMYFUNCTION("""COMPUTED_VALUE"""),58.0)</f>
        <v>58</v>
      </c>
      <c r="G766" s="1">
        <f>IFERROR(__xludf.DUMMYFUNCTION("""COMPUTED_VALUE"""),50.0)</f>
        <v>50</v>
      </c>
      <c r="H766" s="1">
        <f>IFERROR(__xludf.DUMMYFUNCTION("""COMPUTED_VALUE"""),85.0)</f>
        <v>85</v>
      </c>
      <c r="I766" s="1">
        <f>IFERROR(__xludf.DUMMYFUNCTION("""COMPUTED_VALUE"""),44.0)</f>
        <v>44</v>
      </c>
      <c r="J766" s="1">
        <f>IFERROR(__xludf.DUMMYFUNCTION("""COMPUTED_VALUE"""),31.0)</f>
        <v>31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 t="str">
        <f>IFERROR(__xludf.DUMMYFUNCTION("""COMPUTED_VALUE"""),"B")</f>
        <v>B</v>
      </c>
      <c r="E767" s="1">
        <f>IFERROR(__xludf.DUMMYFUNCTION("""COMPUTED_VALUE"""),63.0)</f>
        <v>63</v>
      </c>
      <c r="F767" s="1">
        <f>IFERROR(__xludf.DUMMYFUNCTION("""COMPUTED_VALUE"""),27.0)</f>
        <v>27</v>
      </c>
      <c r="G767" s="1">
        <f>IFERROR(__xludf.DUMMYFUNCTION("""COMPUTED_VALUE"""),65.0)</f>
        <v>65</v>
      </c>
      <c r="H767" s="1">
        <f>IFERROR(__xludf.DUMMYFUNCTION("""COMPUTED_VALUE"""),35.0)</f>
        <v>35</v>
      </c>
      <c r="I767" s="1">
        <f>IFERROR(__xludf.DUMMYFUNCTION("""COMPUTED_VALUE"""),79.0)</f>
        <v>79</v>
      </c>
      <c r="J767" s="1">
        <f>IFERROR(__xludf.DUMMYFUNCTION("""COMPUTED_VALUE"""),88.0)</f>
        <v>88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 t="str">
        <f>IFERROR(__xludf.DUMMYFUNCTION("""COMPUTED_VALUE"""),"D")</f>
        <v>D</v>
      </c>
      <c r="E768" s="1">
        <f>IFERROR(__xludf.DUMMYFUNCTION("""COMPUTED_VALUE"""),69.0)</f>
        <v>69</v>
      </c>
      <c r="F768" s="1">
        <f>IFERROR(__xludf.DUMMYFUNCTION("""COMPUTED_VALUE"""),53.0)</f>
        <v>53</v>
      </c>
      <c r="G768" s="1">
        <f>IFERROR(__xludf.DUMMYFUNCTION("""COMPUTED_VALUE"""),50.0)</f>
        <v>50</v>
      </c>
      <c r="H768" s="1">
        <f>IFERROR(__xludf.DUMMYFUNCTION("""COMPUTED_VALUE"""),74.0)</f>
        <v>74</v>
      </c>
      <c r="I768" s="1">
        <f>IFERROR(__xludf.DUMMYFUNCTION("""COMPUTED_VALUE"""),78.0)</f>
        <v>78</v>
      </c>
      <c r="J768" s="1">
        <f>IFERROR(__xludf.DUMMYFUNCTION("""COMPUTED_VALUE"""),83.0)</f>
        <v>83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 t="str">
        <f>IFERROR(__xludf.DUMMYFUNCTION("""COMPUTED_VALUE"""),"C")</f>
        <v>C</v>
      </c>
      <c r="E769" s="1">
        <f>IFERROR(__xludf.DUMMYFUNCTION("""COMPUTED_VALUE"""),23.0)</f>
        <v>23</v>
      </c>
      <c r="F769" s="1">
        <f>IFERROR(__xludf.DUMMYFUNCTION("""COMPUTED_VALUE"""),67.0)</f>
        <v>67</v>
      </c>
      <c r="G769" s="1">
        <f>IFERROR(__xludf.DUMMYFUNCTION("""COMPUTED_VALUE"""),61.0)</f>
        <v>61</v>
      </c>
      <c r="H769" s="1">
        <f>IFERROR(__xludf.DUMMYFUNCTION("""COMPUTED_VALUE"""),36.0)</f>
        <v>36</v>
      </c>
      <c r="I769" s="1">
        <f>IFERROR(__xludf.DUMMYFUNCTION("""COMPUTED_VALUE"""),93.0)</f>
        <v>93</v>
      </c>
      <c r="J769" s="1">
        <f>IFERROR(__xludf.DUMMYFUNCTION("""COMPUTED_VALUE"""),24.0)</f>
        <v>24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 t="str">
        <f>IFERROR(__xludf.DUMMYFUNCTION("""COMPUTED_VALUE"""),"C")</f>
        <v>C</v>
      </c>
      <c r="E770" s="1">
        <f>IFERROR(__xludf.DUMMYFUNCTION("""COMPUTED_VALUE"""),19.0)</f>
        <v>19</v>
      </c>
      <c r="F770" s="1">
        <f>IFERROR(__xludf.DUMMYFUNCTION("""COMPUTED_VALUE"""),55.0)</f>
        <v>55</v>
      </c>
      <c r="G770" s="1">
        <f>IFERROR(__xludf.DUMMYFUNCTION("""COMPUTED_VALUE"""),50.0)</f>
        <v>50</v>
      </c>
      <c r="H770" s="1">
        <f>IFERROR(__xludf.DUMMYFUNCTION("""COMPUTED_VALUE"""),96.0)</f>
        <v>96</v>
      </c>
      <c r="I770" s="1">
        <f>IFERROR(__xludf.DUMMYFUNCTION("""COMPUTED_VALUE"""),56.0)</f>
        <v>56</v>
      </c>
      <c r="J770" s="1">
        <f>IFERROR(__xludf.DUMMYFUNCTION("""COMPUTED_VALUE"""),94.0)</f>
        <v>94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 t="str">
        <f>IFERROR(__xludf.DUMMYFUNCTION("""COMPUTED_VALUE"""),"B")</f>
        <v>B</v>
      </c>
      <c r="E771" s="1">
        <f>IFERROR(__xludf.DUMMYFUNCTION("""COMPUTED_VALUE"""),40.0)</f>
        <v>40</v>
      </c>
      <c r="F771" s="1">
        <f>IFERROR(__xludf.DUMMYFUNCTION("""COMPUTED_VALUE"""),92.0)</f>
        <v>92</v>
      </c>
      <c r="G771" s="1">
        <f>IFERROR(__xludf.DUMMYFUNCTION("""COMPUTED_VALUE"""),95.0)</f>
        <v>95</v>
      </c>
      <c r="H771" s="1">
        <f>IFERROR(__xludf.DUMMYFUNCTION("""COMPUTED_VALUE"""),70.0)</f>
        <v>70</v>
      </c>
      <c r="I771" s="1">
        <f>IFERROR(__xludf.DUMMYFUNCTION("""COMPUTED_VALUE"""),74.0)</f>
        <v>74</v>
      </c>
      <c r="J771" s="1">
        <f>IFERROR(__xludf.DUMMYFUNCTION("""COMPUTED_VALUE"""),72.0)</f>
        <v>72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 t="str">
        <f>IFERROR(__xludf.DUMMYFUNCTION("""COMPUTED_VALUE"""),"C")</f>
        <v>C</v>
      </c>
      <c r="E772" s="1">
        <f>IFERROR(__xludf.DUMMYFUNCTION("""COMPUTED_VALUE"""),100.0)</f>
        <v>100</v>
      </c>
      <c r="F772" s="1">
        <f>IFERROR(__xludf.DUMMYFUNCTION("""COMPUTED_VALUE"""),39.0)</f>
        <v>39</v>
      </c>
      <c r="G772" s="1">
        <f>IFERROR(__xludf.DUMMYFUNCTION("""COMPUTED_VALUE"""),35.0)</f>
        <v>35</v>
      </c>
      <c r="H772" s="1">
        <f>IFERROR(__xludf.DUMMYFUNCTION("""COMPUTED_VALUE"""),82.0)</f>
        <v>82</v>
      </c>
      <c r="I772" s="1">
        <f>IFERROR(__xludf.DUMMYFUNCTION("""COMPUTED_VALUE"""),41.0)</f>
        <v>41</v>
      </c>
      <c r="J772" s="1">
        <f>IFERROR(__xludf.DUMMYFUNCTION("""COMPUTED_VALUE"""),83.0)</f>
        <v>83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 t="str">
        <f>IFERROR(__xludf.DUMMYFUNCTION("""COMPUTED_VALUE"""),"D")</f>
        <v>D</v>
      </c>
      <c r="E773" s="1">
        <f>IFERROR(__xludf.DUMMYFUNCTION("""COMPUTED_VALUE"""),27.0)</f>
        <v>27</v>
      </c>
      <c r="F773" s="1">
        <f>IFERROR(__xludf.DUMMYFUNCTION("""COMPUTED_VALUE"""),92.0)</f>
        <v>92</v>
      </c>
      <c r="G773" s="1">
        <f>IFERROR(__xludf.DUMMYFUNCTION("""COMPUTED_VALUE"""),32.0)</f>
        <v>32</v>
      </c>
      <c r="H773" s="1">
        <f>IFERROR(__xludf.DUMMYFUNCTION("""COMPUTED_VALUE"""),48.0)</f>
        <v>48</v>
      </c>
      <c r="I773" s="1">
        <f>IFERROR(__xludf.DUMMYFUNCTION("""COMPUTED_VALUE"""),90.0)</f>
        <v>90</v>
      </c>
      <c r="J773" s="1">
        <f>IFERROR(__xludf.DUMMYFUNCTION("""COMPUTED_VALUE"""),81.0)</f>
        <v>81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 t="str">
        <f>IFERROR(__xludf.DUMMYFUNCTION("""COMPUTED_VALUE"""),"A")</f>
        <v>A</v>
      </c>
      <c r="E774" s="1">
        <f>IFERROR(__xludf.DUMMYFUNCTION("""COMPUTED_VALUE"""),92.0)</f>
        <v>92</v>
      </c>
      <c r="F774" s="1">
        <f>IFERROR(__xludf.DUMMYFUNCTION("""COMPUTED_VALUE"""),69.0)</f>
        <v>69</v>
      </c>
      <c r="G774" s="1">
        <f>IFERROR(__xludf.DUMMYFUNCTION("""COMPUTED_VALUE"""),25.0)</f>
        <v>25</v>
      </c>
      <c r="H774" s="1">
        <f>IFERROR(__xludf.DUMMYFUNCTION("""COMPUTED_VALUE"""),99.0)</f>
        <v>99</v>
      </c>
      <c r="I774" s="1">
        <f>IFERROR(__xludf.DUMMYFUNCTION("""COMPUTED_VALUE"""),31.0)</f>
        <v>31</v>
      </c>
      <c r="J774" s="1">
        <f>IFERROR(__xludf.DUMMYFUNCTION("""COMPUTED_VALUE"""),97.0)</f>
        <v>97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 t="str">
        <f>IFERROR(__xludf.DUMMYFUNCTION("""COMPUTED_VALUE"""),"C")</f>
        <v>C</v>
      </c>
      <c r="E775" s="1">
        <f>IFERROR(__xludf.DUMMYFUNCTION("""COMPUTED_VALUE"""),71.0)</f>
        <v>71</v>
      </c>
      <c r="F775" s="1">
        <f>IFERROR(__xludf.DUMMYFUNCTION("""COMPUTED_VALUE"""),45.0)</f>
        <v>45</v>
      </c>
      <c r="G775" s="1">
        <f>IFERROR(__xludf.DUMMYFUNCTION("""COMPUTED_VALUE"""),77.0)</f>
        <v>77</v>
      </c>
      <c r="H775" s="1">
        <f>IFERROR(__xludf.DUMMYFUNCTION("""COMPUTED_VALUE"""),79.0)</f>
        <v>79</v>
      </c>
      <c r="I775" s="1">
        <f>IFERROR(__xludf.DUMMYFUNCTION("""COMPUTED_VALUE"""),53.0)</f>
        <v>53</v>
      </c>
      <c r="J775" s="1">
        <f>IFERROR(__xludf.DUMMYFUNCTION("""COMPUTED_VALUE"""),92.0)</f>
        <v>92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 t="str">
        <f>IFERROR(__xludf.DUMMYFUNCTION("""COMPUTED_VALUE"""),"D")</f>
        <v>D</v>
      </c>
      <c r="E776" s="1">
        <f>IFERROR(__xludf.DUMMYFUNCTION("""COMPUTED_VALUE"""),84.0)</f>
        <v>84</v>
      </c>
      <c r="F776" s="1">
        <f>IFERROR(__xludf.DUMMYFUNCTION("""COMPUTED_VALUE"""),50.0)</f>
        <v>50</v>
      </c>
      <c r="G776" s="1">
        <f>IFERROR(__xludf.DUMMYFUNCTION("""COMPUTED_VALUE"""),42.0)</f>
        <v>42</v>
      </c>
      <c r="H776" s="1">
        <f>IFERROR(__xludf.DUMMYFUNCTION("""COMPUTED_VALUE"""),93.0)</f>
        <v>93</v>
      </c>
      <c r="I776" s="1">
        <f>IFERROR(__xludf.DUMMYFUNCTION("""COMPUTED_VALUE"""),88.0)</f>
        <v>88</v>
      </c>
      <c r="J776" s="1">
        <f>IFERROR(__xludf.DUMMYFUNCTION("""COMPUTED_VALUE"""),86.0)</f>
        <v>86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 t="str">
        <f>IFERROR(__xludf.DUMMYFUNCTION("""COMPUTED_VALUE"""),"A")</f>
        <v>A</v>
      </c>
      <c r="E777" s="1">
        <f>IFERROR(__xludf.DUMMYFUNCTION("""COMPUTED_VALUE"""),47.0)</f>
        <v>47</v>
      </c>
      <c r="F777" s="1">
        <f>IFERROR(__xludf.DUMMYFUNCTION("""COMPUTED_VALUE"""),45.0)</f>
        <v>45</v>
      </c>
      <c r="G777" s="1">
        <f>IFERROR(__xludf.DUMMYFUNCTION("""COMPUTED_VALUE"""),88.0)</f>
        <v>88</v>
      </c>
      <c r="H777" s="1">
        <f>IFERROR(__xludf.DUMMYFUNCTION("""COMPUTED_VALUE"""),56.0)</f>
        <v>56</v>
      </c>
      <c r="I777" s="1">
        <f>IFERROR(__xludf.DUMMYFUNCTION("""COMPUTED_VALUE"""),98.0)</f>
        <v>98</v>
      </c>
      <c r="J777" s="1">
        <f>IFERROR(__xludf.DUMMYFUNCTION("""COMPUTED_VALUE"""),41.0)</f>
        <v>41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 t="str">
        <f>IFERROR(__xludf.DUMMYFUNCTION("""COMPUTED_VALUE"""),"D")</f>
        <v>D</v>
      </c>
      <c r="E778" s="1">
        <f>IFERROR(__xludf.DUMMYFUNCTION("""COMPUTED_VALUE"""),95.0)</f>
        <v>95</v>
      </c>
      <c r="F778" s="1">
        <f>IFERROR(__xludf.DUMMYFUNCTION("""COMPUTED_VALUE"""),64.0)</f>
        <v>64</v>
      </c>
      <c r="G778" s="1">
        <f>IFERROR(__xludf.DUMMYFUNCTION("""COMPUTED_VALUE"""),69.0)</f>
        <v>69</v>
      </c>
      <c r="H778" s="1">
        <f>IFERROR(__xludf.DUMMYFUNCTION("""COMPUTED_VALUE"""),49.0)</f>
        <v>49</v>
      </c>
      <c r="I778" s="1">
        <f>IFERROR(__xludf.DUMMYFUNCTION("""COMPUTED_VALUE"""),48.0)</f>
        <v>48</v>
      </c>
      <c r="J778" s="1">
        <f>IFERROR(__xludf.DUMMYFUNCTION("""COMPUTED_VALUE"""),93.0)</f>
        <v>93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 t="str">
        <f>IFERROR(__xludf.DUMMYFUNCTION("""COMPUTED_VALUE"""),"C")</f>
        <v>C</v>
      </c>
      <c r="E779" s="1">
        <f>IFERROR(__xludf.DUMMYFUNCTION("""COMPUTED_VALUE"""),52.0)</f>
        <v>52</v>
      </c>
      <c r="F779" s="1">
        <f>IFERROR(__xludf.DUMMYFUNCTION("""COMPUTED_VALUE"""),51.0)</f>
        <v>51</v>
      </c>
      <c r="G779" s="1">
        <f>IFERROR(__xludf.DUMMYFUNCTION("""COMPUTED_VALUE"""),43.0)</f>
        <v>43</v>
      </c>
      <c r="H779" s="1">
        <f>IFERROR(__xludf.DUMMYFUNCTION("""COMPUTED_VALUE"""),38.0)</f>
        <v>38</v>
      </c>
      <c r="I779" s="1">
        <f>IFERROR(__xludf.DUMMYFUNCTION("""COMPUTED_VALUE"""),39.0)</f>
        <v>39</v>
      </c>
      <c r="J779" s="1">
        <f>IFERROR(__xludf.DUMMYFUNCTION("""COMPUTED_VALUE"""),43.0)</f>
        <v>43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 t="str">
        <f>IFERROR(__xludf.DUMMYFUNCTION("""COMPUTED_VALUE"""),"B")</f>
        <v>B</v>
      </c>
      <c r="E780" s="1">
        <f>IFERROR(__xludf.DUMMYFUNCTION("""COMPUTED_VALUE"""),92.0)</f>
        <v>92</v>
      </c>
      <c r="F780" s="1">
        <f>IFERROR(__xludf.DUMMYFUNCTION("""COMPUTED_VALUE"""),28.0)</f>
        <v>28</v>
      </c>
      <c r="G780" s="1">
        <f>IFERROR(__xludf.DUMMYFUNCTION("""COMPUTED_VALUE"""),43.0)</f>
        <v>43</v>
      </c>
      <c r="H780" s="1">
        <f>IFERROR(__xludf.DUMMYFUNCTION("""COMPUTED_VALUE"""),51.0)</f>
        <v>51</v>
      </c>
      <c r="I780" s="1">
        <f>IFERROR(__xludf.DUMMYFUNCTION("""COMPUTED_VALUE"""),69.0)</f>
        <v>69</v>
      </c>
      <c r="J780" s="1">
        <f>IFERROR(__xludf.DUMMYFUNCTION("""COMPUTED_VALUE"""),73.0)</f>
        <v>73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 t="str">
        <f>IFERROR(__xludf.DUMMYFUNCTION("""COMPUTED_VALUE"""),"A")</f>
        <v>A</v>
      </c>
      <c r="E781" s="1">
        <f>IFERROR(__xludf.DUMMYFUNCTION("""COMPUTED_VALUE"""),62.0)</f>
        <v>62</v>
      </c>
      <c r="F781" s="1">
        <f>IFERROR(__xludf.DUMMYFUNCTION("""COMPUTED_VALUE"""),67.0)</f>
        <v>67</v>
      </c>
      <c r="G781" s="1">
        <f>IFERROR(__xludf.DUMMYFUNCTION("""COMPUTED_VALUE"""),34.0)</f>
        <v>34</v>
      </c>
      <c r="H781" s="1">
        <f>IFERROR(__xludf.DUMMYFUNCTION("""COMPUTED_VALUE"""),34.0)</f>
        <v>34</v>
      </c>
      <c r="I781" s="1">
        <f>IFERROR(__xludf.DUMMYFUNCTION("""COMPUTED_VALUE"""),62.0)</f>
        <v>62</v>
      </c>
      <c r="J781" s="1">
        <f>IFERROR(__xludf.DUMMYFUNCTION("""COMPUTED_VALUE"""),77.0)</f>
        <v>77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 t="str">
        <f>IFERROR(__xludf.DUMMYFUNCTION("""COMPUTED_VALUE"""),"A")</f>
        <v>A</v>
      </c>
      <c r="E782" s="1">
        <f>IFERROR(__xludf.DUMMYFUNCTION("""COMPUTED_VALUE"""),66.0)</f>
        <v>66</v>
      </c>
      <c r="F782" s="1">
        <f>IFERROR(__xludf.DUMMYFUNCTION("""COMPUTED_VALUE"""),57.0)</f>
        <v>57</v>
      </c>
      <c r="G782" s="1">
        <f>IFERROR(__xludf.DUMMYFUNCTION("""COMPUTED_VALUE"""),76.0)</f>
        <v>76</v>
      </c>
      <c r="H782" s="1">
        <f>IFERROR(__xludf.DUMMYFUNCTION("""COMPUTED_VALUE"""),90.0)</f>
        <v>90</v>
      </c>
      <c r="I782" s="1">
        <f>IFERROR(__xludf.DUMMYFUNCTION("""COMPUTED_VALUE"""),95.0)</f>
        <v>95</v>
      </c>
      <c r="J782" s="1">
        <f>IFERROR(__xludf.DUMMYFUNCTION("""COMPUTED_VALUE"""),35.0)</f>
        <v>35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 t="str">
        <f>IFERROR(__xludf.DUMMYFUNCTION("""COMPUTED_VALUE"""),"D")</f>
        <v>D</v>
      </c>
      <c r="E783" s="1">
        <f>IFERROR(__xludf.DUMMYFUNCTION("""COMPUTED_VALUE"""),38.0)</f>
        <v>38</v>
      </c>
      <c r="F783" s="1">
        <f>IFERROR(__xludf.DUMMYFUNCTION("""COMPUTED_VALUE"""),63.0)</f>
        <v>63</v>
      </c>
      <c r="G783" s="1">
        <f>IFERROR(__xludf.DUMMYFUNCTION("""COMPUTED_VALUE"""),37.0)</f>
        <v>37</v>
      </c>
      <c r="H783" s="1">
        <f>IFERROR(__xludf.DUMMYFUNCTION("""COMPUTED_VALUE"""),89.0)</f>
        <v>89</v>
      </c>
      <c r="I783" s="1">
        <f>IFERROR(__xludf.DUMMYFUNCTION("""COMPUTED_VALUE"""),22.0)</f>
        <v>22</v>
      </c>
      <c r="J783" s="1">
        <f>IFERROR(__xludf.DUMMYFUNCTION("""COMPUTED_VALUE"""),69.0)</f>
        <v>69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 t="str">
        <f>IFERROR(__xludf.DUMMYFUNCTION("""COMPUTED_VALUE"""),"B")</f>
        <v>B</v>
      </c>
      <c r="E784" s="1">
        <f>IFERROR(__xludf.DUMMYFUNCTION("""COMPUTED_VALUE"""),83.0)</f>
        <v>83</v>
      </c>
      <c r="F784" s="1">
        <f>IFERROR(__xludf.DUMMYFUNCTION("""COMPUTED_VALUE"""),63.0)</f>
        <v>63</v>
      </c>
      <c r="G784" s="1">
        <f>IFERROR(__xludf.DUMMYFUNCTION("""COMPUTED_VALUE"""),56.0)</f>
        <v>56</v>
      </c>
      <c r="H784" s="1">
        <f>IFERROR(__xludf.DUMMYFUNCTION("""COMPUTED_VALUE"""),47.0)</f>
        <v>47</v>
      </c>
      <c r="I784" s="1">
        <f>IFERROR(__xludf.DUMMYFUNCTION("""COMPUTED_VALUE"""),50.0)</f>
        <v>50</v>
      </c>
      <c r="J784" s="1">
        <f>IFERROR(__xludf.DUMMYFUNCTION("""COMPUTED_VALUE"""),79.0)</f>
        <v>79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 t="str">
        <f>IFERROR(__xludf.DUMMYFUNCTION("""COMPUTED_VALUE"""),"B")</f>
        <v>B</v>
      </c>
      <c r="E785" s="1">
        <f>IFERROR(__xludf.DUMMYFUNCTION("""COMPUTED_VALUE"""),15.0)</f>
        <v>15</v>
      </c>
      <c r="F785" s="1">
        <f>IFERROR(__xludf.DUMMYFUNCTION("""COMPUTED_VALUE"""),93.0)</f>
        <v>93</v>
      </c>
      <c r="G785" s="1">
        <f>IFERROR(__xludf.DUMMYFUNCTION("""COMPUTED_VALUE"""),44.0)</f>
        <v>44</v>
      </c>
      <c r="H785" s="1">
        <f>IFERROR(__xludf.DUMMYFUNCTION("""COMPUTED_VALUE"""),47.0)</f>
        <v>47</v>
      </c>
      <c r="I785" s="1">
        <f>IFERROR(__xludf.DUMMYFUNCTION("""COMPUTED_VALUE"""),79.0)</f>
        <v>79</v>
      </c>
      <c r="J785" s="1">
        <f>IFERROR(__xludf.DUMMYFUNCTION("""COMPUTED_VALUE"""),34.0)</f>
        <v>34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 t="str">
        <f>IFERROR(__xludf.DUMMYFUNCTION("""COMPUTED_VALUE"""),"B")</f>
        <v>B</v>
      </c>
      <c r="E786" s="1">
        <f>IFERROR(__xludf.DUMMYFUNCTION("""COMPUTED_VALUE"""),55.0)</f>
        <v>55</v>
      </c>
      <c r="F786" s="1">
        <f>IFERROR(__xludf.DUMMYFUNCTION("""COMPUTED_VALUE"""),50.0)</f>
        <v>50</v>
      </c>
      <c r="G786" s="1">
        <f>IFERROR(__xludf.DUMMYFUNCTION("""COMPUTED_VALUE"""),37.0)</f>
        <v>37</v>
      </c>
      <c r="H786" s="1">
        <f>IFERROR(__xludf.DUMMYFUNCTION("""COMPUTED_VALUE"""),72.0)</f>
        <v>72</v>
      </c>
      <c r="I786" s="1">
        <f>IFERROR(__xludf.DUMMYFUNCTION("""COMPUTED_VALUE"""),21.0)</f>
        <v>21</v>
      </c>
      <c r="J786" s="1">
        <f>IFERROR(__xludf.DUMMYFUNCTION("""COMPUTED_VALUE"""),88.0)</f>
        <v>88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 t="str">
        <f>IFERROR(__xludf.DUMMYFUNCTION("""COMPUTED_VALUE"""),"B")</f>
        <v>B</v>
      </c>
      <c r="E787" s="1">
        <f>IFERROR(__xludf.DUMMYFUNCTION("""COMPUTED_VALUE"""),94.0)</f>
        <v>94</v>
      </c>
      <c r="F787" s="1">
        <f>IFERROR(__xludf.DUMMYFUNCTION("""COMPUTED_VALUE"""),45.0)</f>
        <v>45</v>
      </c>
      <c r="G787" s="1">
        <f>IFERROR(__xludf.DUMMYFUNCTION("""COMPUTED_VALUE"""),89.0)</f>
        <v>89</v>
      </c>
      <c r="H787" s="1">
        <f>IFERROR(__xludf.DUMMYFUNCTION("""COMPUTED_VALUE"""),45.0)</f>
        <v>45</v>
      </c>
      <c r="I787" s="1">
        <f>IFERROR(__xludf.DUMMYFUNCTION("""COMPUTED_VALUE"""),20.0)</f>
        <v>20</v>
      </c>
      <c r="J787" s="1">
        <f>IFERROR(__xludf.DUMMYFUNCTION("""COMPUTED_VALUE"""),37.0)</f>
        <v>37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 t="str">
        <f>IFERROR(__xludf.DUMMYFUNCTION("""COMPUTED_VALUE"""),"C")</f>
        <v>C</v>
      </c>
      <c r="E788" s="1">
        <f>IFERROR(__xludf.DUMMYFUNCTION("""COMPUTED_VALUE"""),61.0)</f>
        <v>61</v>
      </c>
      <c r="F788" s="1">
        <f>IFERROR(__xludf.DUMMYFUNCTION("""COMPUTED_VALUE"""),39.0)</f>
        <v>39</v>
      </c>
      <c r="G788" s="1">
        <f>IFERROR(__xludf.DUMMYFUNCTION("""COMPUTED_VALUE"""),33.0)</f>
        <v>33</v>
      </c>
      <c r="H788" s="1">
        <f>IFERROR(__xludf.DUMMYFUNCTION("""COMPUTED_VALUE"""),62.0)</f>
        <v>62</v>
      </c>
      <c r="I788" s="1">
        <f>IFERROR(__xludf.DUMMYFUNCTION("""COMPUTED_VALUE"""),56.0)</f>
        <v>56</v>
      </c>
      <c r="J788" s="1">
        <f>IFERROR(__xludf.DUMMYFUNCTION("""COMPUTED_VALUE"""),56.0)</f>
        <v>56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 t="str">
        <f>IFERROR(__xludf.DUMMYFUNCTION("""COMPUTED_VALUE"""),"A")</f>
        <v>A</v>
      </c>
      <c r="E789" s="1">
        <f>IFERROR(__xludf.DUMMYFUNCTION("""COMPUTED_VALUE"""),78.0)</f>
        <v>78</v>
      </c>
      <c r="F789" s="1">
        <f>IFERROR(__xludf.DUMMYFUNCTION("""COMPUTED_VALUE"""),63.0)</f>
        <v>63</v>
      </c>
      <c r="G789" s="1">
        <f>IFERROR(__xludf.DUMMYFUNCTION("""COMPUTED_VALUE"""),34.0)</f>
        <v>34</v>
      </c>
      <c r="H789" s="1">
        <f>IFERROR(__xludf.DUMMYFUNCTION("""COMPUTED_VALUE"""),82.0)</f>
        <v>82</v>
      </c>
      <c r="I789" s="1">
        <f>IFERROR(__xludf.DUMMYFUNCTION("""COMPUTED_VALUE"""),21.0)</f>
        <v>21</v>
      </c>
      <c r="J789" s="1">
        <f>IFERROR(__xludf.DUMMYFUNCTION("""COMPUTED_VALUE"""),63.0)</f>
        <v>63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 t="str">
        <f>IFERROR(__xludf.DUMMYFUNCTION("""COMPUTED_VALUE"""),"D")</f>
        <v>D</v>
      </c>
      <c r="E790" s="1">
        <f>IFERROR(__xludf.DUMMYFUNCTION("""COMPUTED_VALUE"""),39.0)</f>
        <v>39</v>
      </c>
      <c r="F790" s="1">
        <f>IFERROR(__xludf.DUMMYFUNCTION("""COMPUTED_VALUE"""),46.0)</f>
        <v>46</v>
      </c>
      <c r="G790" s="1">
        <f>IFERROR(__xludf.DUMMYFUNCTION("""COMPUTED_VALUE"""),21.0)</f>
        <v>21</v>
      </c>
      <c r="H790" s="1">
        <f>IFERROR(__xludf.DUMMYFUNCTION("""COMPUTED_VALUE"""),62.0)</f>
        <v>62</v>
      </c>
      <c r="I790" s="1">
        <f>IFERROR(__xludf.DUMMYFUNCTION("""COMPUTED_VALUE"""),87.0)</f>
        <v>87</v>
      </c>
      <c r="J790" s="1">
        <f>IFERROR(__xludf.DUMMYFUNCTION("""COMPUTED_VALUE"""),36.0)</f>
        <v>36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 t="str">
        <f>IFERROR(__xludf.DUMMYFUNCTION("""COMPUTED_VALUE"""),"A")</f>
        <v>A</v>
      </c>
      <c r="E791" s="1">
        <f>IFERROR(__xludf.DUMMYFUNCTION("""COMPUTED_VALUE"""),37.0)</f>
        <v>37</v>
      </c>
      <c r="F791" s="1">
        <f>IFERROR(__xludf.DUMMYFUNCTION("""COMPUTED_VALUE"""),85.0)</f>
        <v>85</v>
      </c>
      <c r="G791" s="1">
        <f>IFERROR(__xludf.DUMMYFUNCTION("""COMPUTED_VALUE"""),49.0)</f>
        <v>49</v>
      </c>
      <c r="H791" s="1">
        <f>IFERROR(__xludf.DUMMYFUNCTION("""COMPUTED_VALUE"""),54.0)</f>
        <v>54</v>
      </c>
      <c r="I791" s="1">
        <f>IFERROR(__xludf.DUMMYFUNCTION("""COMPUTED_VALUE"""),97.0)</f>
        <v>97</v>
      </c>
      <c r="J791" s="1">
        <f>IFERROR(__xludf.DUMMYFUNCTION("""COMPUTED_VALUE"""),25.0)</f>
        <v>25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 t="str">
        <f>IFERROR(__xludf.DUMMYFUNCTION("""COMPUTED_VALUE"""),"D")</f>
        <v>D</v>
      </c>
      <c r="E792" s="1">
        <f>IFERROR(__xludf.DUMMYFUNCTION("""COMPUTED_VALUE"""),43.0)</f>
        <v>43</v>
      </c>
      <c r="F792" s="1">
        <f>IFERROR(__xludf.DUMMYFUNCTION("""COMPUTED_VALUE"""),35.0)</f>
        <v>35</v>
      </c>
      <c r="G792" s="1">
        <f>IFERROR(__xludf.DUMMYFUNCTION("""COMPUTED_VALUE"""),37.0)</f>
        <v>37</v>
      </c>
      <c r="H792" s="1">
        <f>IFERROR(__xludf.DUMMYFUNCTION("""COMPUTED_VALUE"""),83.0)</f>
        <v>83</v>
      </c>
      <c r="I792" s="1">
        <f>IFERROR(__xludf.DUMMYFUNCTION("""COMPUTED_VALUE"""),53.0)</f>
        <v>53</v>
      </c>
      <c r="J792" s="1">
        <f>IFERROR(__xludf.DUMMYFUNCTION("""COMPUTED_VALUE"""),43.0)</f>
        <v>43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 t="str">
        <f>IFERROR(__xludf.DUMMYFUNCTION("""COMPUTED_VALUE"""),"B")</f>
        <v>B</v>
      </c>
      <c r="E793" s="1">
        <f>IFERROR(__xludf.DUMMYFUNCTION("""COMPUTED_VALUE"""),50.0)</f>
        <v>50</v>
      </c>
      <c r="F793" s="1">
        <f>IFERROR(__xludf.DUMMYFUNCTION("""COMPUTED_VALUE"""),28.0)</f>
        <v>28</v>
      </c>
      <c r="G793" s="1">
        <f>IFERROR(__xludf.DUMMYFUNCTION("""COMPUTED_VALUE"""),80.0)</f>
        <v>80</v>
      </c>
      <c r="H793" s="1">
        <f>IFERROR(__xludf.DUMMYFUNCTION("""COMPUTED_VALUE"""),50.0)</f>
        <v>50</v>
      </c>
      <c r="I793" s="1">
        <f>IFERROR(__xludf.DUMMYFUNCTION("""COMPUTED_VALUE"""),91.0)</f>
        <v>91</v>
      </c>
      <c r="J793" s="1">
        <f>IFERROR(__xludf.DUMMYFUNCTION("""COMPUTED_VALUE"""),42.0)</f>
        <v>42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 t="str">
        <f>IFERROR(__xludf.DUMMYFUNCTION("""COMPUTED_VALUE"""),"C")</f>
        <v>C</v>
      </c>
      <c r="E794" s="1">
        <f>IFERROR(__xludf.DUMMYFUNCTION("""COMPUTED_VALUE"""),90.0)</f>
        <v>90</v>
      </c>
      <c r="F794" s="1">
        <f>IFERROR(__xludf.DUMMYFUNCTION("""COMPUTED_VALUE"""),39.0)</f>
        <v>39</v>
      </c>
      <c r="G794" s="1">
        <f>IFERROR(__xludf.DUMMYFUNCTION("""COMPUTED_VALUE"""),50.0)</f>
        <v>50</v>
      </c>
      <c r="H794" s="1">
        <f>IFERROR(__xludf.DUMMYFUNCTION("""COMPUTED_VALUE"""),99.0)</f>
        <v>99</v>
      </c>
      <c r="I794" s="1">
        <f>IFERROR(__xludf.DUMMYFUNCTION("""COMPUTED_VALUE"""),40.0)</f>
        <v>40</v>
      </c>
      <c r="J794" s="1">
        <f>IFERROR(__xludf.DUMMYFUNCTION("""COMPUTED_VALUE"""),55.0)</f>
        <v>55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 t="str">
        <f>IFERROR(__xludf.DUMMYFUNCTION("""COMPUTED_VALUE"""),"D")</f>
        <v>D</v>
      </c>
      <c r="E795" s="1">
        <f>IFERROR(__xludf.DUMMYFUNCTION("""COMPUTED_VALUE"""),93.0)</f>
        <v>93</v>
      </c>
      <c r="F795" s="1">
        <f>IFERROR(__xludf.DUMMYFUNCTION("""COMPUTED_VALUE"""),88.0)</f>
        <v>88</v>
      </c>
      <c r="G795" s="1">
        <f>IFERROR(__xludf.DUMMYFUNCTION("""COMPUTED_VALUE"""),65.0)</f>
        <v>65</v>
      </c>
      <c r="H795" s="1">
        <f>IFERROR(__xludf.DUMMYFUNCTION("""COMPUTED_VALUE"""),28.0)</f>
        <v>28</v>
      </c>
      <c r="I795" s="1">
        <f>IFERROR(__xludf.DUMMYFUNCTION("""COMPUTED_VALUE"""),83.0)</f>
        <v>83</v>
      </c>
      <c r="J795" s="1">
        <f>IFERROR(__xludf.DUMMYFUNCTION("""COMPUTED_VALUE"""),32.0)</f>
        <v>32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 t="str">
        <f>IFERROR(__xludf.DUMMYFUNCTION("""COMPUTED_VALUE"""),"B")</f>
        <v>B</v>
      </c>
      <c r="E796" s="1">
        <f>IFERROR(__xludf.DUMMYFUNCTION("""COMPUTED_VALUE"""),65.0)</f>
        <v>65</v>
      </c>
      <c r="F796" s="1">
        <f>IFERROR(__xludf.DUMMYFUNCTION("""COMPUTED_VALUE"""),36.0)</f>
        <v>36</v>
      </c>
      <c r="G796" s="1">
        <f>IFERROR(__xludf.DUMMYFUNCTION("""COMPUTED_VALUE"""),55.0)</f>
        <v>55</v>
      </c>
      <c r="H796" s="1">
        <f>IFERROR(__xludf.DUMMYFUNCTION("""COMPUTED_VALUE"""),47.0)</f>
        <v>47</v>
      </c>
      <c r="I796" s="1">
        <f>IFERROR(__xludf.DUMMYFUNCTION("""COMPUTED_VALUE"""),50.0)</f>
        <v>50</v>
      </c>
      <c r="J796" s="1">
        <f>IFERROR(__xludf.DUMMYFUNCTION("""COMPUTED_VALUE"""),36.0)</f>
        <v>36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 t="str">
        <f>IFERROR(__xludf.DUMMYFUNCTION("""COMPUTED_VALUE"""),"B")</f>
        <v>B</v>
      </c>
      <c r="E797" s="1">
        <f>IFERROR(__xludf.DUMMYFUNCTION("""COMPUTED_VALUE"""),30.0)</f>
        <v>30</v>
      </c>
      <c r="F797" s="1">
        <f>IFERROR(__xludf.DUMMYFUNCTION("""COMPUTED_VALUE"""),31.0)</f>
        <v>31</v>
      </c>
      <c r="G797" s="1">
        <f>IFERROR(__xludf.DUMMYFUNCTION("""COMPUTED_VALUE"""),63.0)</f>
        <v>63</v>
      </c>
      <c r="H797" s="1">
        <f>IFERROR(__xludf.DUMMYFUNCTION("""COMPUTED_VALUE"""),57.0)</f>
        <v>57</v>
      </c>
      <c r="I797" s="1">
        <f>IFERROR(__xludf.DUMMYFUNCTION("""COMPUTED_VALUE"""),84.0)</f>
        <v>84</v>
      </c>
      <c r="J797" s="1">
        <f>IFERROR(__xludf.DUMMYFUNCTION("""COMPUTED_VALUE"""),61.0)</f>
        <v>61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 t="str">
        <f>IFERROR(__xludf.DUMMYFUNCTION("""COMPUTED_VALUE"""),"B")</f>
        <v>B</v>
      </c>
      <c r="E798" s="1">
        <f>IFERROR(__xludf.DUMMYFUNCTION("""COMPUTED_VALUE"""),88.0)</f>
        <v>88</v>
      </c>
      <c r="F798" s="1">
        <f>IFERROR(__xludf.DUMMYFUNCTION("""COMPUTED_VALUE"""),65.0)</f>
        <v>65</v>
      </c>
      <c r="G798" s="1">
        <f>IFERROR(__xludf.DUMMYFUNCTION("""COMPUTED_VALUE"""),94.0)</f>
        <v>94</v>
      </c>
      <c r="H798" s="1">
        <f>IFERROR(__xludf.DUMMYFUNCTION("""COMPUTED_VALUE"""),23.0)</f>
        <v>23</v>
      </c>
      <c r="I798" s="1">
        <f>IFERROR(__xludf.DUMMYFUNCTION("""COMPUTED_VALUE"""),25.0)</f>
        <v>25</v>
      </c>
      <c r="J798" s="1">
        <f>IFERROR(__xludf.DUMMYFUNCTION("""COMPUTED_VALUE"""),23.0)</f>
        <v>23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 t="str">
        <f>IFERROR(__xludf.DUMMYFUNCTION("""COMPUTED_VALUE"""),"B")</f>
        <v>B</v>
      </c>
      <c r="E799" s="1">
        <f>IFERROR(__xludf.DUMMYFUNCTION("""COMPUTED_VALUE"""),14.0)</f>
        <v>14</v>
      </c>
      <c r="F799" s="1">
        <f>IFERROR(__xludf.DUMMYFUNCTION("""COMPUTED_VALUE"""),51.0)</f>
        <v>51</v>
      </c>
      <c r="G799" s="1">
        <f>IFERROR(__xludf.DUMMYFUNCTION("""COMPUTED_VALUE"""),27.0)</f>
        <v>27</v>
      </c>
      <c r="H799" s="1">
        <f>IFERROR(__xludf.DUMMYFUNCTION("""COMPUTED_VALUE"""),75.0)</f>
        <v>75</v>
      </c>
      <c r="I799" s="1">
        <f>IFERROR(__xludf.DUMMYFUNCTION("""COMPUTED_VALUE"""),57.0)</f>
        <v>57</v>
      </c>
      <c r="J799" s="1">
        <f>IFERROR(__xludf.DUMMYFUNCTION("""COMPUTED_VALUE"""),72.0)</f>
        <v>72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 t="str">
        <f>IFERROR(__xludf.DUMMYFUNCTION("""COMPUTED_VALUE"""),"C")</f>
        <v>C</v>
      </c>
      <c r="E800" s="1">
        <f>IFERROR(__xludf.DUMMYFUNCTION("""COMPUTED_VALUE"""),25.0)</f>
        <v>25</v>
      </c>
      <c r="F800" s="1">
        <f>IFERROR(__xludf.DUMMYFUNCTION("""COMPUTED_VALUE"""),90.0)</f>
        <v>90</v>
      </c>
      <c r="G800" s="1">
        <f>IFERROR(__xludf.DUMMYFUNCTION("""COMPUTED_VALUE"""),66.0)</f>
        <v>66</v>
      </c>
      <c r="H800" s="1">
        <f>IFERROR(__xludf.DUMMYFUNCTION("""COMPUTED_VALUE"""),88.0)</f>
        <v>88</v>
      </c>
      <c r="I800" s="1">
        <f>IFERROR(__xludf.DUMMYFUNCTION("""COMPUTED_VALUE"""),73.0)</f>
        <v>73</v>
      </c>
      <c r="J800" s="1">
        <f>IFERROR(__xludf.DUMMYFUNCTION("""COMPUTED_VALUE"""),75.0)</f>
        <v>75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 t="str">
        <f>IFERROR(__xludf.DUMMYFUNCTION("""COMPUTED_VALUE"""),"B")</f>
        <v>B</v>
      </c>
      <c r="E801" s="1">
        <f>IFERROR(__xludf.DUMMYFUNCTION("""COMPUTED_VALUE"""),97.0)</f>
        <v>97</v>
      </c>
      <c r="F801" s="1">
        <f>IFERROR(__xludf.DUMMYFUNCTION("""COMPUTED_VALUE"""),95.0)</f>
        <v>95</v>
      </c>
      <c r="G801" s="1">
        <f>IFERROR(__xludf.DUMMYFUNCTION("""COMPUTED_VALUE"""),42.0)</f>
        <v>42</v>
      </c>
      <c r="H801" s="1">
        <f>IFERROR(__xludf.DUMMYFUNCTION("""COMPUTED_VALUE"""),60.0)</f>
        <v>60</v>
      </c>
      <c r="I801" s="1">
        <f>IFERROR(__xludf.DUMMYFUNCTION("""COMPUTED_VALUE"""),63.0)</f>
        <v>63</v>
      </c>
      <c r="J801" s="1">
        <f>IFERROR(__xludf.DUMMYFUNCTION("""COMPUTED_VALUE"""),59.0)</f>
        <v>59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 t="str">
        <f>IFERROR(__xludf.DUMMYFUNCTION("""COMPUTED_VALUE"""),"A")</f>
        <v>A</v>
      </c>
      <c r="E802" s="1">
        <f>IFERROR(__xludf.DUMMYFUNCTION("""COMPUTED_VALUE"""),20.0)</f>
        <v>20</v>
      </c>
      <c r="F802" s="1">
        <f>IFERROR(__xludf.DUMMYFUNCTION("""COMPUTED_VALUE"""),32.0)</f>
        <v>32</v>
      </c>
      <c r="G802" s="1">
        <f>IFERROR(__xludf.DUMMYFUNCTION("""COMPUTED_VALUE"""),60.0)</f>
        <v>60</v>
      </c>
      <c r="H802" s="1">
        <f>IFERROR(__xludf.DUMMYFUNCTION("""COMPUTED_VALUE"""),58.0)</f>
        <v>58</v>
      </c>
      <c r="I802" s="1">
        <f>IFERROR(__xludf.DUMMYFUNCTION("""COMPUTED_VALUE"""),71.0)</f>
        <v>71</v>
      </c>
      <c r="J802" s="1">
        <f>IFERROR(__xludf.DUMMYFUNCTION("""COMPUTED_VALUE"""),72.0)</f>
        <v>72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 t="str">
        <f>IFERROR(__xludf.DUMMYFUNCTION("""COMPUTED_VALUE"""),"B")</f>
        <v>B</v>
      </c>
      <c r="E803" s="1">
        <f>IFERROR(__xludf.DUMMYFUNCTION("""COMPUTED_VALUE"""),25.0)</f>
        <v>25</v>
      </c>
      <c r="F803" s="1">
        <f>IFERROR(__xludf.DUMMYFUNCTION("""COMPUTED_VALUE"""),78.0)</f>
        <v>78</v>
      </c>
      <c r="G803" s="1">
        <f>IFERROR(__xludf.DUMMYFUNCTION("""COMPUTED_VALUE"""),63.0)</f>
        <v>63</v>
      </c>
      <c r="H803" s="1">
        <f>IFERROR(__xludf.DUMMYFUNCTION("""COMPUTED_VALUE"""),55.0)</f>
        <v>55</v>
      </c>
      <c r="I803" s="1">
        <f>IFERROR(__xludf.DUMMYFUNCTION("""COMPUTED_VALUE"""),52.0)</f>
        <v>52</v>
      </c>
      <c r="J803" s="1">
        <f>IFERROR(__xludf.DUMMYFUNCTION("""COMPUTED_VALUE"""),74.0)</f>
        <v>74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 t="str">
        <f>IFERROR(__xludf.DUMMYFUNCTION("""COMPUTED_VALUE"""),"B")</f>
        <v>B</v>
      </c>
      <c r="E804" s="1">
        <f>IFERROR(__xludf.DUMMYFUNCTION("""COMPUTED_VALUE"""),27.0)</f>
        <v>27</v>
      </c>
      <c r="F804" s="1">
        <f>IFERROR(__xludf.DUMMYFUNCTION("""COMPUTED_VALUE"""),37.0)</f>
        <v>37</v>
      </c>
      <c r="G804" s="1">
        <f>IFERROR(__xludf.DUMMYFUNCTION("""COMPUTED_VALUE"""),73.0)</f>
        <v>73</v>
      </c>
      <c r="H804" s="1">
        <f>IFERROR(__xludf.DUMMYFUNCTION("""COMPUTED_VALUE"""),80.0)</f>
        <v>80</v>
      </c>
      <c r="I804" s="1">
        <f>IFERROR(__xludf.DUMMYFUNCTION("""COMPUTED_VALUE"""),65.0)</f>
        <v>65</v>
      </c>
      <c r="J804" s="1">
        <f>IFERROR(__xludf.DUMMYFUNCTION("""COMPUTED_VALUE"""),68.0)</f>
        <v>68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 t="str">
        <f>IFERROR(__xludf.DUMMYFUNCTION("""COMPUTED_VALUE"""),"D")</f>
        <v>D</v>
      </c>
      <c r="E805" s="1">
        <f>IFERROR(__xludf.DUMMYFUNCTION("""COMPUTED_VALUE"""),43.0)</f>
        <v>43</v>
      </c>
      <c r="F805" s="1">
        <f>IFERROR(__xludf.DUMMYFUNCTION("""COMPUTED_VALUE"""),20.0)</f>
        <v>20</v>
      </c>
      <c r="G805" s="1">
        <f>IFERROR(__xludf.DUMMYFUNCTION("""COMPUTED_VALUE"""),74.0)</f>
        <v>74</v>
      </c>
      <c r="H805" s="1">
        <f>IFERROR(__xludf.DUMMYFUNCTION("""COMPUTED_VALUE"""),93.0)</f>
        <v>93</v>
      </c>
      <c r="I805" s="1">
        <f>IFERROR(__xludf.DUMMYFUNCTION("""COMPUTED_VALUE"""),36.0)</f>
        <v>36</v>
      </c>
      <c r="J805" s="1">
        <f>IFERROR(__xludf.DUMMYFUNCTION("""COMPUTED_VALUE"""),68.0)</f>
        <v>68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 t="str">
        <f>IFERROR(__xludf.DUMMYFUNCTION("""COMPUTED_VALUE"""),"C")</f>
        <v>C</v>
      </c>
      <c r="E806" s="1">
        <f>IFERROR(__xludf.DUMMYFUNCTION("""COMPUTED_VALUE"""),16.0)</f>
        <v>16</v>
      </c>
      <c r="F806" s="1">
        <f>IFERROR(__xludf.DUMMYFUNCTION("""COMPUTED_VALUE"""),84.0)</f>
        <v>84</v>
      </c>
      <c r="G806" s="1">
        <f>IFERROR(__xludf.DUMMYFUNCTION("""COMPUTED_VALUE"""),41.0)</f>
        <v>41</v>
      </c>
      <c r="H806" s="1">
        <f>IFERROR(__xludf.DUMMYFUNCTION("""COMPUTED_VALUE"""),27.0)</f>
        <v>27</v>
      </c>
      <c r="I806" s="1">
        <f>IFERROR(__xludf.DUMMYFUNCTION("""COMPUTED_VALUE"""),63.0)</f>
        <v>63</v>
      </c>
      <c r="J806" s="1">
        <f>IFERROR(__xludf.DUMMYFUNCTION("""COMPUTED_VALUE"""),36.0)</f>
        <v>36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 t="str">
        <f>IFERROR(__xludf.DUMMYFUNCTION("""COMPUTED_VALUE"""),"B")</f>
        <v>B</v>
      </c>
      <c r="E807" s="1">
        <f>IFERROR(__xludf.DUMMYFUNCTION("""COMPUTED_VALUE"""),17.0)</f>
        <v>17</v>
      </c>
      <c r="F807" s="1">
        <f>IFERROR(__xludf.DUMMYFUNCTION("""COMPUTED_VALUE"""),53.0)</f>
        <v>53</v>
      </c>
      <c r="G807" s="1">
        <f>IFERROR(__xludf.DUMMYFUNCTION("""COMPUTED_VALUE"""),32.0)</f>
        <v>32</v>
      </c>
      <c r="H807" s="1">
        <f>IFERROR(__xludf.DUMMYFUNCTION("""COMPUTED_VALUE"""),53.0)</f>
        <v>53</v>
      </c>
      <c r="I807" s="1">
        <f>IFERROR(__xludf.DUMMYFUNCTION("""COMPUTED_VALUE"""),31.0)</f>
        <v>31</v>
      </c>
      <c r="J807" s="1">
        <f>IFERROR(__xludf.DUMMYFUNCTION("""COMPUTED_VALUE"""),46.0)</f>
        <v>46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 t="str">
        <f>IFERROR(__xludf.DUMMYFUNCTION("""COMPUTED_VALUE"""),"D")</f>
        <v>D</v>
      </c>
      <c r="E808" s="1">
        <f>IFERROR(__xludf.DUMMYFUNCTION("""COMPUTED_VALUE"""),45.0)</f>
        <v>45</v>
      </c>
      <c r="F808" s="1">
        <f>IFERROR(__xludf.DUMMYFUNCTION("""COMPUTED_VALUE"""),97.0)</f>
        <v>97</v>
      </c>
      <c r="G808" s="1">
        <f>IFERROR(__xludf.DUMMYFUNCTION("""COMPUTED_VALUE"""),45.0)</f>
        <v>45</v>
      </c>
      <c r="H808" s="1">
        <f>IFERROR(__xludf.DUMMYFUNCTION("""COMPUTED_VALUE"""),44.0)</f>
        <v>44</v>
      </c>
      <c r="I808" s="1">
        <f>IFERROR(__xludf.DUMMYFUNCTION("""COMPUTED_VALUE"""),98.0)</f>
        <v>98</v>
      </c>
      <c r="J808" s="1">
        <f>IFERROR(__xludf.DUMMYFUNCTION("""COMPUTED_VALUE"""),73.0)</f>
        <v>73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 t="str">
        <f>IFERROR(__xludf.DUMMYFUNCTION("""COMPUTED_VALUE"""),"D")</f>
        <v>D</v>
      </c>
      <c r="E809" s="1">
        <f>IFERROR(__xludf.DUMMYFUNCTION("""COMPUTED_VALUE"""),23.0)</f>
        <v>23</v>
      </c>
      <c r="F809" s="1">
        <f>IFERROR(__xludf.DUMMYFUNCTION("""COMPUTED_VALUE"""),47.0)</f>
        <v>47</v>
      </c>
      <c r="G809" s="1">
        <f>IFERROR(__xludf.DUMMYFUNCTION("""COMPUTED_VALUE"""),97.0)</f>
        <v>97</v>
      </c>
      <c r="H809" s="1">
        <f>IFERROR(__xludf.DUMMYFUNCTION("""COMPUTED_VALUE"""),76.0)</f>
        <v>76</v>
      </c>
      <c r="I809" s="1">
        <f>IFERROR(__xludf.DUMMYFUNCTION("""COMPUTED_VALUE"""),93.0)</f>
        <v>93</v>
      </c>
      <c r="J809" s="1">
        <f>IFERROR(__xludf.DUMMYFUNCTION("""COMPUTED_VALUE"""),82.0)</f>
        <v>82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 t="str">
        <f>IFERROR(__xludf.DUMMYFUNCTION("""COMPUTED_VALUE"""),"B")</f>
        <v>B</v>
      </c>
      <c r="E810" s="1">
        <f>IFERROR(__xludf.DUMMYFUNCTION("""COMPUTED_VALUE"""),66.0)</f>
        <v>66</v>
      </c>
      <c r="F810" s="1">
        <f>IFERROR(__xludf.DUMMYFUNCTION("""COMPUTED_VALUE"""),35.0)</f>
        <v>35</v>
      </c>
      <c r="G810" s="1">
        <f>IFERROR(__xludf.DUMMYFUNCTION("""COMPUTED_VALUE"""),98.0)</f>
        <v>98</v>
      </c>
      <c r="H810" s="1">
        <f>IFERROR(__xludf.DUMMYFUNCTION("""COMPUTED_VALUE"""),83.0)</f>
        <v>83</v>
      </c>
      <c r="I810" s="1">
        <f>IFERROR(__xludf.DUMMYFUNCTION("""COMPUTED_VALUE"""),81.0)</f>
        <v>81</v>
      </c>
      <c r="J810" s="1">
        <f>IFERROR(__xludf.DUMMYFUNCTION("""COMPUTED_VALUE"""),32.0)</f>
        <v>32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 t="str">
        <f>IFERROR(__xludf.DUMMYFUNCTION("""COMPUTED_VALUE"""),"A")</f>
        <v>A</v>
      </c>
      <c r="E811" s="1">
        <f>IFERROR(__xludf.DUMMYFUNCTION("""COMPUTED_VALUE"""),97.0)</f>
        <v>97</v>
      </c>
      <c r="F811" s="1">
        <f>IFERROR(__xludf.DUMMYFUNCTION("""COMPUTED_VALUE"""),38.0)</f>
        <v>38</v>
      </c>
      <c r="G811" s="1">
        <f>IFERROR(__xludf.DUMMYFUNCTION("""COMPUTED_VALUE"""),69.0)</f>
        <v>69</v>
      </c>
      <c r="H811" s="1">
        <f>IFERROR(__xludf.DUMMYFUNCTION("""COMPUTED_VALUE"""),41.0)</f>
        <v>41</v>
      </c>
      <c r="I811" s="1">
        <f>IFERROR(__xludf.DUMMYFUNCTION("""COMPUTED_VALUE"""),44.0)</f>
        <v>44</v>
      </c>
      <c r="J811" s="1">
        <f>IFERROR(__xludf.DUMMYFUNCTION("""COMPUTED_VALUE"""),22.0)</f>
        <v>22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 t="str">
        <f>IFERROR(__xludf.DUMMYFUNCTION("""COMPUTED_VALUE"""),"D")</f>
        <v>D</v>
      </c>
      <c r="E812" s="1">
        <f>IFERROR(__xludf.DUMMYFUNCTION("""COMPUTED_VALUE"""),71.0)</f>
        <v>71</v>
      </c>
      <c r="F812" s="1">
        <f>IFERROR(__xludf.DUMMYFUNCTION("""COMPUTED_VALUE"""),55.0)</f>
        <v>55</v>
      </c>
      <c r="G812" s="1">
        <f>IFERROR(__xludf.DUMMYFUNCTION("""COMPUTED_VALUE"""),33.0)</f>
        <v>33</v>
      </c>
      <c r="H812" s="1">
        <f>IFERROR(__xludf.DUMMYFUNCTION("""COMPUTED_VALUE"""),90.0)</f>
        <v>90</v>
      </c>
      <c r="I812" s="1">
        <f>IFERROR(__xludf.DUMMYFUNCTION("""COMPUTED_VALUE"""),41.0)</f>
        <v>41</v>
      </c>
      <c r="J812" s="1">
        <f>IFERROR(__xludf.DUMMYFUNCTION("""COMPUTED_VALUE"""),31.0)</f>
        <v>31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 t="str">
        <f>IFERROR(__xludf.DUMMYFUNCTION("""COMPUTED_VALUE"""),"A")</f>
        <v>A</v>
      </c>
      <c r="E813" s="1">
        <f>IFERROR(__xludf.DUMMYFUNCTION("""COMPUTED_VALUE"""),81.0)</f>
        <v>81</v>
      </c>
      <c r="F813" s="1">
        <f>IFERROR(__xludf.DUMMYFUNCTION("""COMPUTED_VALUE"""),87.0)</f>
        <v>87</v>
      </c>
      <c r="G813" s="1">
        <f>IFERROR(__xludf.DUMMYFUNCTION("""COMPUTED_VALUE"""),31.0)</f>
        <v>31</v>
      </c>
      <c r="H813" s="1">
        <f>IFERROR(__xludf.DUMMYFUNCTION("""COMPUTED_VALUE"""),86.0)</f>
        <v>86</v>
      </c>
      <c r="I813" s="1">
        <f>IFERROR(__xludf.DUMMYFUNCTION("""COMPUTED_VALUE"""),58.0)</f>
        <v>58</v>
      </c>
      <c r="J813" s="1">
        <f>IFERROR(__xludf.DUMMYFUNCTION("""COMPUTED_VALUE"""),85.0)</f>
        <v>85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 t="str">
        <f>IFERROR(__xludf.DUMMYFUNCTION("""COMPUTED_VALUE"""),"B")</f>
        <v>B</v>
      </c>
      <c r="E814" s="1">
        <f>IFERROR(__xludf.DUMMYFUNCTION("""COMPUTED_VALUE"""),27.0)</f>
        <v>27</v>
      </c>
      <c r="F814" s="1">
        <f>IFERROR(__xludf.DUMMYFUNCTION("""COMPUTED_VALUE"""),32.0)</f>
        <v>32</v>
      </c>
      <c r="G814" s="1">
        <f>IFERROR(__xludf.DUMMYFUNCTION("""COMPUTED_VALUE"""),90.0)</f>
        <v>90</v>
      </c>
      <c r="H814" s="1">
        <f>IFERROR(__xludf.DUMMYFUNCTION("""COMPUTED_VALUE"""),94.0)</f>
        <v>94</v>
      </c>
      <c r="I814" s="1">
        <f>IFERROR(__xludf.DUMMYFUNCTION("""COMPUTED_VALUE"""),80.0)</f>
        <v>80</v>
      </c>
      <c r="J814" s="1">
        <f>IFERROR(__xludf.DUMMYFUNCTION("""COMPUTED_VALUE"""),55.0)</f>
        <v>55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 t="str">
        <f>IFERROR(__xludf.DUMMYFUNCTION("""COMPUTED_VALUE"""),"B")</f>
        <v>B</v>
      </c>
      <c r="E815" s="1">
        <f>IFERROR(__xludf.DUMMYFUNCTION("""COMPUTED_VALUE"""),16.0)</f>
        <v>16</v>
      </c>
      <c r="F815" s="1">
        <f>IFERROR(__xludf.DUMMYFUNCTION("""COMPUTED_VALUE"""),23.0)</f>
        <v>23</v>
      </c>
      <c r="G815" s="1">
        <f>IFERROR(__xludf.DUMMYFUNCTION("""COMPUTED_VALUE"""),41.0)</f>
        <v>41</v>
      </c>
      <c r="H815" s="1">
        <f>IFERROR(__xludf.DUMMYFUNCTION("""COMPUTED_VALUE"""),67.0)</f>
        <v>67</v>
      </c>
      <c r="I815" s="1">
        <f>IFERROR(__xludf.DUMMYFUNCTION("""COMPUTED_VALUE"""),67.0)</f>
        <v>67</v>
      </c>
      <c r="J815" s="1">
        <f>IFERROR(__xludf.DUMMYFUNCTION("""COMPUTED_VALUE"""),44.0)</f>
        <v>44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 t="str">
        <f>IFERROR(__xludf.DUMMYFUNCTION("""COMPUTED_VALUE"""),"D")</f>
        <v>D</v>
      </c>
      <c r="E816" s="1">
        <f>IFERROR(__xludf.DUMMYFUNCTION("""COMPUTED_VALUE"""),85.0)</f>
        <v>85</v>
      </c>
      <c r="F816" s="1">
        <f>IFERROR(__xludf.DUMMYFUNCTION("""COMPUTED_VALUE"""),41.0)</f>
        <v>41</v>
      </c>
      <c r="G816" s="1">
        <f>IFERROR(__xludf.DUMMYFUNCTION("""COMPUTED_VALUE"""),29.0)</f>
        <v>29</v>
      </c>
      <c r="H816" s="1">
        <f>IFERROR(__xludf.DUMMYFUNCTION("""COMPUTED_VALUE"""),35.0)</f>
        <v>35</v>
      </c>
      <c r="I816" s="1">
        <f>IFERROR(__xludf.DUMMYFUNCTION("""COMPUTED_VALUE"""),84.0)</f>
        <v>84</v>
      </c>
      <c r="J816" s="1">
        <f>IFERROR(__xludf.DUMMYFUNCTION("""COMPUTED_VALUE"""),41.0)</f>
        <v>41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 t="str">
        <f>IFERROR(__xludf.DUMMYFUNCTION("""COMPUTED_VALUE"""),"A")</f>
        <v>A</v>
      </c>
      <c r="E817" s="1">
        <f>IFERROR(__xludf.DUMMYFUNCTION("""COMPUTED_VALUE"""),100.0)</f>
        <v>100</v>
      </c>
      <c r="F817" s="1">
        <f>IFERROR(__xludf.DUMMYFUNCTION("""COMPUTED_VALUE"""),99.0)</f>
        <v>99</v>
      </c>
      <c r="G817" s="1">
        <f>IFERROR(__xludf.DUMMYFUNCTION("""COMPUTED_VALUE"""),58.0)</f>
        <v>58</v>
      </c>
      <c r="H817" s="1">
        <f>IFERROR(__xludf.DUMMYFUNCTION("""COMPUTED_VALUE"""),57.0)</f>
        <v>57</v>
      </c>
      <c r="I817" s="1">
        <f>IFERROR(__xludf.DUMMYFUNCTION("""COMPUTED_VALUE"""),71.0)</f>
        <v>71</v>
      </c>
      <c r="J817" s="1">
        <f>IFERROR(__xludf.DUMMYFUNCTION("""COMPUTED_VALUE"""),56.0)</f>
        <v>56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 t="str">
        <f>IFERROR(__xludf.DUMMYFUNCTION("""COMPUTED_VALUE"""),"C")</f>
        <v>C</v>
      </c>
      <c r="E818" s="1">
        <f>IFERROR(__xludf.DUMMYFUNCTION("""COMPUTED_VALUE"""),27.0)</f>
        <v>27</v>
      </c>
      <c r="F818" s="1">
        <f>IFERROR(__xludf.DUMMYFUNCTION("""COMPUTED_VALUE"""),59.0)</f>
        <v>59</v>
      </c>
      <c r="G818" s="1">
        <f>IFERROR(__xludf.DUMMYFUNCTION("""COMPUTED_VALUE"""),30.0)</f>
        <v>30</v>
      </c>
      <c r="H818" s="1">
        <f>IFERROR(__xludf.DUMMYFUNCTION("""COMPUTED_VALUE"""),49.0)</f>
        <v>49</v>
      </c>
      <c r="I818" s="1">
        <f>IFERROR(__xludf.DUMMYFUNCTION("""COMPUTED_VALUE"""),56.0)</f>
        <v>56</v>
      </c>
      <c r="J818" s="1">
        <f>IFERROR(__xludf.DUMMYFUNCTION("""COMPUTED_VALUE"""),44.0)</f>
        <v>44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 t="str">
        <f>IFERROR(__xludf.DUMMYFUNCTION("""COMPUTED_VALUE"""),"A")</f>
        <v>A</v>
      </c>
      <c r="E819" s="1">
        <f>IFERROR(__xludf.DUMMYFUNCTION("""COMPUTED_VALUE"""),37.0)</f>
        <v>37</v>
      </c>
      <c r="F819" s="1">
        <f>IFERROR(__xludf.DUMMYFUNCTION("""COMPUTED_VALUE"""),67.0)</f>
        <v>67</v>
      </c>
      <c r="G819" s="1">
        <f>IFERROR(__xludf.DUMMYFUNCTION("""COMPUTED_VALUE"""),92.0)</f>
        <v>92</v>
      </c>
      <c r="H819" s="1">
        <f>IFERROR(__xludf.DUMMYFUNCTION("""COMPUTED_VALUE"""),66.0)</f>
        <v>66</v>
      </c>
      <c r="I819" s="1">
        <f>IFERROR(__xludf.DUMMYFUNCTION("""COMPUTED_VALUE"""),87.0)</f>
        <v>87</v>
      </c>
      <c r="J819" s="1">
        <f>IFERROR(__xludf.DUMMYFUNCTION("""COMPUTED_VALUE"""),22.0)</f>
        <v>22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 t="str">
        <f>IFERROR(__xludf.DUMMYFUNCTION("""COMPUTED_VALUE"""),"D")</f>
        <v>D</v>
      </c>
      <c r="E820" s="1">
        <f>IFERROR(__xludf.DUMMYFUNCTION("""COMPUTED_VALUE"""),81.0)</f>
        <v>81</v>
      </c>
      <c r="F820" s="1">
        <f>IFERROR(__xludf.DUMMYFUNCTION("""COMPUTED_VALUE"""),85.0)</f>
        <v>85</v>
      </c>
      <c r="G820" s="1">
        <f>IFERROR(__xludf.DUMMYFUNCTION("""COMPUTED_VALUE"""),33.0)</f>
        <v>33</v>
      </c>
      <c r="H820" s="1">
        <f>IFERROR(__xludf.DUMMYFUNCTION("""COMPUTED_VALUE"""),22.0)</f>
        <v>22</v>
      </c>
      <c r="I820" s="1">
        <f>IFERROR(__xludf.DUMMYFUNCTION("""COMPUTED_VALUE"""),69.0)</f>
        <v>69</v>
      </c>
      <c r="J820" s="1">
        <f>IFERROR(__xludf.DUMMYFUNCTION("""COMPUTED_VALUE"""),44.0)</f>
        <v>44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 t="str">
        <f>IFERROR(__xludf.DUMMYFUNCTION("""COMPUTED_VALUE"""),"D")</f>
        <v>D</v>
      </c>
      <c r="E821" s="1">
        <f>IFERROR(__xludf.DUMMYFUNCTION("""COMPUTED_VALUE"""),60.0)</f>
        <v>60</v>
      </c>
      <c r="F821" s="1">
        <f>IFERROR(__xludf.DUMMYFUNCTION("""COMPUTED_VALUE"""),84.0)</f>
        <v>84</v>
      </c>
      <c r="G821" s="1">
        <f>IFERROR(__xludf.DUMMYFUNCTION("""COMPUTED_VALUE"""),29.0)</f>
        <v>29</v>
      </c>
      <c r="H821" s="1">
        <f>IFERROR(__xludf.DUMMYFUNCTION("""COMPUTED_VALUE"""),43.0)</f>
        <v>43</v>
      </c>
      <c r="I821" s="1">
        <f>IFERROR(__xludf.DUMMYFUNCTION("""COMPUTED_VALUE"""),95.0)</f>
        <v>95</v>
      </c>
      <c r="J821" s="1">
        <f>IFERROR(__xludf.DUMMYFUNCTION("""COMPUTED_VALUE"""),25.0)</f>
        <v>25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 t="str">
        <f>IFERROR(__xludf.DUMMYFUNCTION("""COMPUTED_VALUE"""),"A")</f>
        <v>A</v>
      </c>
      <c r="E822" s="1">
        <f>IFERROR(__xludf.DUMMYFUNCTION("""COMPUTED_VALUE"""),92.0)</f>
        <v>92</v>
      </c>
      <c r="F822" s="1">
        <f>IFERROR(__xludf.DUMMYFUNCTION("""COMPUTED_VALUE"""),64.0)</f>
        <v>64</v>
      </c>
      <c r="G822" s="1">
        <f>IFERROR(__xludf.DUMMYFUNCTION("""COMPUTED_VALUE"""),45.0)</f>
        <v>45</v>
      </c>
      <c r="H822" s="1">
        <f>IFERROR(__xludf.DUMMYFUNCTION("""COMPUTED_VALUE"""),79.0)</f>
        <v>79</v>
      </c>
      <c r="I822" s="1">
        <f>IFERROR(__xludf.DUMMYFUNCTION("""COMPUTED_VALUE"""),67.0)</f>
        <v>67</v>
      </c>
      <c r="J822" s="1">
        <f>IFERROR(__xludf.DUMMYFUNCTION("""COMPUTED_VALUE"""),61.0)</f>
        <v>61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 t="str">
        <f>IFERROR(__xludf.DUMMYFUNCTION("""COMPUTED_VALUE"""),"A")</f>
        <v>A</v>
      </c>
      <c r="E823" s="1">
        <f>IFERROR(__xludf.DUMMYFUNCTION("""COMPUTED_VALUE"""),20.0)</f>
        <v>20</v>
      </c>
      <c r="F823" s="1">
        <f>IFERROR(__xludf.DUMMYFUNCTION("""COMPUTED_VALUE"""),21.0)</f>
        <v>21</v>
      </c>
      <c r="G823" s="1">
        <f>IFERROR(__xludf.DUMMYFUNCTION("""COMPUTED_VALUE"""),88.0)</f>
        <v>88</v>
      </c>
      <c r="H823" s="1">
        <f>IFERROR(__xludf.DUMMYFUNCTION("""COMPUTED_VALUE"""),31.0)</f>
        <v>31</v>
      </c>
      <c r="I823" s="1">
        <f>IFERROR(__xludf.DUMMYFUNCTION("""COMPUTED_VALUE"""),50.0)</f>
        <v>50</v>
      </c>
      <c r="J823" s="1">
        <f>IFERROR(__xludf.DUMMYFUNCTION("""COMPUTED_VALUE"""),38.0)</f>
        <v>38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 t="str">
        <f>IFERROR(__xludf.DUMMYFUNCTION("""COMPUTED_VALUE"""),"D")</f>
        <v>D</v>
      </c>
      <c r="E824" s="1">
        <f>IFERROR(__xludf.DUMMYFUNCTION("""COMPUTED_VALUE"""),29.0)</f>
        <v>29</v>
      </c>
      <c r="F824" s="1">
        <f>IFERROR(__xludf.DUMMYFUNCTION("""COMPUTED_VALUE"""),96.0)</f>
        <v>96</v>
      </c>
      <c r="G824" s="1">
        <f>IFERROR(__xludf.DUMMYFUNCTION("""COMPUTED_VALUE"""),22.0)</f>
        <v>22</v>
      </c>
      <c r="H824" s="1">
        <f>IFERROR(__xludf.DUMMYFUNCTION("""COMPUTED_VALUE"""),81.0)</f>
        <v>81</v>
      </c>
      <c r="I824" s="1">
        <f>IFERROR(__xludf.DUMMYFUNCTION("""COMPUTED_VALUE"""),25.0)</f>
        <v>25</v>
      </c>
      <c r="J824" s="1">
        <f>IFERROR(__xludf.DUMMYFUNCTION("""COMPUTED_VALUE"""),33.0)</f>
        <v>33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 t="str">
        <f>IFERROR(__xludf.DUMMYFUNCTION("""COMPUTED_VALUE"""),"C")</f>
        <v>C</v>
      </c>
      <c r="E825" s="1">
        <f>IFERROR(__xludf.DUMMYFUNCTION("""COMPUTED_VALUE"""),18.0)</f>
        <v>18</v>
      </c>
      <c r="F825" s="1">
        <f>IFERROR(__xludf.DUMMYFUNCTION("""COMPUTED_VALUE"""),35.0)</f>
        <v>35</v>
      </c>
      <c r="G825" s="1">
        <f>IFERROR(__xludf.DUMMYFUNCTION("""COMPUTED_VALUE"""),99.0)</f>
        <v>99</v>
      </c>
      <c r="H825" s="1">
        <f>IFERROR(__xludf.DUMMYFUNCTION("""COMPUTED_VALUE"""),58.0)</f>
        <v>58</v>
      </c>
      <c r="I825" s="1">
        <f>IFERROR(__xludf.DUMMYFUNCTION("""COMPUTED_VALUE"""),68.0)</f>
        <v>68</v>
      </c>
      <c r="J825" s="1">
        <f>IFERROR(__xludf.DUMMYFUNCTION("""COMPUTED_VALUE"""),48.0)</f>
        <v>48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 t="str">
        <f>IFERROR(__xludf.DUMMYFUNCTION("""COMPUTED_VALUE"""),"A")</f>
        <v>A</v>
      </c>
      <c r="E826" s="1">
        <f>IFERROR(__xludf.DUMMYFUNCTION("""COMPUTED_VALUE"""),15.0)</f>
        <v>15</v>
      </c>
      <c r="F826" s="1">
        <f>IFERROR(__xludf.DUMMYFUNCTION("""COMPUTED_VALUE"""),77.0)</f>
        <v>77</v>
      </c>
      <c r="G826" s="1">
        <f>IFERROR(__xludf.DUMMYFUNCTION("""COMPUTED_VALUE"""),54.0)</f>
        <v>54</v>
      </c>
      <c r="H826" s="1">
        <f>IFERROR(__xludf.DUMMYFUNCTION("""COMPUTED_VALUE"""),90.0)</f>
        <v>90</v>
      </c>
      <c r="I826" s="1">
        <f>IFERROR(__xludf.DUMMYFUNCTION("""COMPUTED_VALUE"""),72.0)</f>
        <v>72</v>
      </c>
      <c r="J826" s="1">
        <f>IFERROR(__xludf.DUMMYFUNCTION("""COMPUTED_VALUE"""),49.0)</f>
        <v>49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 t="str">
        <f>IFERROR(__xludf.DUMMYFUNCTION("""COMPUTED_VALUE"""),"A")</f>
        <v>A</v>
      </c>
      <c r="E827" s="1">
        <f>IFERROR(__xludf.DUMMYFUNCTION("""COMPUTED_VALUE"""),25.0)</f>
        <v>25</v>
      </c>
      <c r="F827" s="1">
        <f>IFERROR(__xludf.DUMMYFUNCTION("""COMPUTED_VALUE"""),44.0)</f>
        <v>44</v>
      </c>
      <c r="G827" s="1">
        <f>IFERROR(__xludf.DUMMYFUNCTION("""COMPUTED_VALUE"""),59.0)</f>
        <v>59</v>
      </c>
      <c r="H827" s="1">
        <f>IFERROR(__xludf.DUMMYFUNCTION("""COMPUTED_VALUE"""),40.0)</f>
        <v>40</v>
      </c>
      <c r="I827" s="1">
        <f>IFERROR(__xludf.DUMMYFUNCTION("""COMPUTED_VALUE"""),51.0)</f>
        <v>51</v>
      </c>
      <c r="J827" s="1">
        <f>IFERROR(__xludf.DUMMYFUNCTION("""COMPUTED_VALUE"""),73.0)</f>
        <v>73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 t="str">
        <f>IFERROR(__xludf.DUMMYFUNCTION("""COMPUTED_VALUE"""),"D")</f>
        <v>D</v>
      </c>
      <c r="E828" s="1">
        <f>IFERROR(__xludf.DUMMYFUNCTION("""COMPUTED_VALUE"""),54.0)</f>
        <v>54</v>
      </c>
      <c r="F828" s="1">
        <f>IFERROR(__xludf.DUMMYFUNCTION("""COMPUTED_VALUE"""),63.0)</f>
        <v>63</v>
      </c>
      <c r="G828" s="1">
        <f>IFERROR(__xludf.DUMMYFUNCTION("""COMPUTED_VALUE"""),61.0)</f>
        <v>61</v>
      </c>
      <c r="H828" s="1">
        <f>IFERROR(__xludf.DUMMYFUNCTION("""COMPUTED_VALUE"""),27.0)</f>
        <v>27</v>
      </c>
      <c r="I828" s="1">
        <f>IFERROR(__xludf.DUMMYFUNCTION("""COMPUTED_VALUE"""),83.0)</f>
        <v>83</v>
      </c>
      <c r="J828" s="1">
        <f>IFERROR(__xludf.DUMMYFUNCTION("""COMPUTED_VALUE"""),21.0)</f>
        <v>21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 t="str">
        <f>IFERROR(__xludf.DUMMYFUNCTION("""COMPUTED_VALUE"""),"A")</f>
        <v>A</v>
      </c>
      <c r="E829" s="1">
        <f>IFERROR(__xludf.DUMMYFUNCTION("""COMPUTED_VALUE"""),96.0)</f>
        <v>96</v>
      </c>
      <c r="F829" s="1">
        <f>IFERROR(__xludf.DUMMYFUNCTION("""COMPUTED_VALUE"""),91.0)</f>
        <v>91</v>
      </c>
      <c r="G829" s="1">
        <f>IFERROR(__xludf.DUMMYFUNCTION("""COMPUTED_VALUE"""),63.0)</f>
        <v>63</v>
      </c>
      <c r="H829" s="1">
        <f>IFERROR(__xludf.DUMMYFUNCTION("""COMPUTED_VALUE"""),87.0)</f>
        <v>87</v>
      </c>
      <c r="I829" s="1">
        <f>IFERROR(__xludf.DUMMYFUNCTION("""COMPUTED_VALUE"""),72.0)</f>
        <v>72</v>
      </c>
      <c r="J829" s="1">
        <f>IFERROR(__xludf.DUMMYFUNCTION("""COMPUTED_VALUE"""),93.0)</f>
        <v>93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 t="str">
        <f>IFERROR(__xludf.DUMMYFUNCTION("""COMPUTED_VALUE"""),"D")</f>
        <v>D</v>
      </c>
      <c r="E830" s="1">
        <f>IFERROR(__xludf.DUMMYFUNCTION("""COMPUTED_VALUE"""),34.0)</f>
        <v>34</v>
      </c>
      <c r="F830" s="1">
        <f>IFERROR(__xludf.DUMMYFUNCTION("""COMPUTED_VALUE"""),32.0)</f>
        <v>32</v>
      </c>
      <c r="G830" s="1">
        <f>IFERROR(__xludf.DUMMYFUNCTION("""COMPUTED_VALUE"""),64.0)</f>
        <v>64</v>
      </c>
      <c r="H830" s="1">
        <f>IFERROR(__xludf.DUMMYFUNCTION("""COMPUTED_VALUE"""),74.0)</f>
        <v>74</v>
      </c>
      <c r="I830" s="1">
        <f>IFERROR(__xludf.DUMMYFUNCTION("""COMPUTED_VALUE"""),86.0)</f>
        <v>86</v>
      </c>
      <c r="J830" s="1">
        <f>IFERROR(__xludf.DUMMYFUNCTION("""COMPUTED_VALUE"""),28.0)</f>
        <v>28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 t="str">
        <f>IFERROR(__xludf.DUMMYFUNCTION("""COMPUTED_VALUE"""),"B")</f>
        <v>B</v>
      </c>
      <c r="E831" s="1">
        <f>IFERROR(__xludf.DUMMYFUNCTION("""COMPUTED_VALUE"""),49.0)</f>
        <v>49</v>
      </c>
      <c r="F831" s="1">
        <f>IFERROR(__xludf.DUMMYFUNCTION("""COMPUTED_VALUE"""),28.0)</f>
        <v>28</v>
      </c>
      <c r="G831" s="1">
        <f>IFERROR(__xludf.DUMMYFUNCTION("""COMPUTED_VALUE"""),92.0)</f>
        <v>92</v>
      </c>
      <c r="H831" s="1">
        <f>IFERROR(__xludf.DUMMYFUNCTION("""COMPUTED_VALUE"""),66.0)</f>
        <v>66</v>
      </c>
      <c r="I831" s="1">
        <f>IFERROR(__xludf.DUMMYFUNCTION("""COMPUTED_VALUE"""),76.0)</f>
        <v>76</v>
      </c>
      <c r="J831" s="1">
        <f>IFERROR(__xludf.DUMMYFUNCTION("""COMPUTED_VALUE"""),75.0)</f>
        <v>75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 t="str">
        <f>IFERROR(__xludf.DUMMYFUNCTION("""COMPUTED_VALUE"""),"B")</f>
        <v>B</v>
      </c>
      <c r="E832" s="1">
        <f>IFERROR(__xludf.DUMMYFUNCTION("""COMPUTED_VALUE"""),58.0)</f>
        <v>58</v>
      </c>
      <c r="F832" s="1">
        <f>IFERROR(__xludf.DUMMYFUNCTION("""COMPUTED_VALUE"""),99.0)</f>
        <v>99</v>
      </c>
      <c r="G832" s="1">
        <f>IFERROR(__xludf.DUMMYFUNCTION("""COMPUTED_VALUE"""),27.0)</f>
        <v>27</v>
      </c>
      <c r="H832" s="1">
        <f>IFERROR(__xludf.DUMMYFUNCTION("""COMPUTED_VALUE"""),42.0)</f>
        <v>42</v>
      </c>
      <c r="I832" s="1">
        <f>IFERROR(__xludf.DUMMYFUNCTION("""COMPUTED_VALUE"""),43.0)</f>
        <v>43</v>
      </c>
      <c r="J832" s="1">
        <f>IFERROR(__xludf.DUMMYFUNCTION("""COMPUTED_VALUE"""),96.0)</f>
        <v>96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 t="str">
        <f>IFERROR(__xludf.DUMMYFUNCTION("""COMPUTED_VALUE"""),"B")</f>
        <v>B</v>
      </c>
      <c r="E833" s="1">
        <f>IFERROR(__xludf.DUMMYFUNCTION("""COMPUTED_VALUE"""),44.0)</f>
        <v>44</v>
      </c>
      <c r="F833" s="1">
        <f>IFERROR(__xludf.DUMMYFUNCTION("""COMPUTED_VALUE"""),84.0)</f>
        <v>84</v>
      </c>
      <c r="G833" s="1">
        <f>IFERROR(__xludf.DUMMYFUNCTION("""COMPUTED_VALUE"""),50.0)</f>
        <v>50</v>
      </c>
      <c r="H833" s="1">
        <f>IFERROR(__xludf.DUMMYFUNCTION("""COMPUTED_VALUE"""),27.0)</f>
        <v>27</v>
      </c>
      <c r="I833" s="1">
        <f>IFERROR(__xludf.DUMMYFUNCTION("""COMPUTED_VALUE"""),89.0)</f>
        <v>89</v>
      </c>
      <c r="J833" s="1">
        <f>IFERROR(__xludf.DUMMYFUNCTION("""COMPUTED_VALUE"""),54.0)</f>
        <v>54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 t="str">
        <f>IFERROR(__xludf.DUMMYFUNCTION("""COMPUTED_VALUE"""),"D")</f>
        <v>D</v>
      </c>
      <c r="E834" s="1">
        <f>IFERROR(__xludf.DUMMYFUNCTION("""COMPUTED_VALUE"""),86.0)</f>
        <v>86</v>
      </c>
      <c r="F834" s="1">
        <f>IFERROR(__xludf.DUMMYFUNCTION("""COMPUTED_VALUE"""),57.0)</f>
        <v>57</v>
      </c>
      <c r="G834" s="1">
        <f>IFERROR(__xludf.DUMMYFUNCTION("""COMPUTED_VALUE"""),68.0)</f>
        <v>68</v>
      </c>
      <c r="H834" s="1">
        <f>IFERROR(__xludf.DUMMYFUNCTION("""COMPUTED_VALUE"""),60.0)</f>
        <v>60</v>
      </c>
      <c r="I834" s="1">
        <f>IFERROR(__xludf.DUMMYFUNCTION("""COMPUTED_VALUE"""),90.0)</f>
        <v>90</v>
      </c>
      <c r="J834" s="1">
        <f>IFERROR(__xludf.DUMMYFUNCTION("""COMPUTED_VALUE"""),52.0)</f>
        <v>52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 t="str">
        <f>IFERROR(__xludf.DUMMYFUNCTION("""COMPUTED_VALUE"""),"B")</f>
        <v>B</v>
      </c>
      <c r="E835" s="1">
        <f>IFERROR(__xludf.DUMMYFUNCTION("""COMPUTED_VALUE"""),69.0)</f>
        <v>69</v>
      </c>
      <c r="F835" s="1">
        <f>IFERROR(__xludf.DUMMYFUNCTION("""COMPUTED_VALUE"""),87.0)</f>
        <v>87</v>
      </c>
      <c r="G835" s="1">
        <f>IFERROR(__xludf.DUMMYFUNCTION("""COMPUTED_VALUE"""),65.0)</f>
        <v>65</v>
      </c>
      <c r="H835" s="1">
        <f>IFERROR(__xludf.DUMMYFUNCTION("""COMPUTED_VALUE"""),78.0)</f>
        <v>78</v>
      </c>
      <c r="I835" s="1">
        <f>IFERROR(__xludf.DUMMYFUNCTION("""COMPUTED_VALUE"""),79.0)</f>
        <v>79</v>
      </c>
      <c r="J835" s="1">
        <f>IFERROR(__xludf.DUMMYFUNCTION("""COMPUTED_VALUE"""),31.0)</f>
        <v>31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 t="str">
        <f>IFERROR(__xludf.DUMMYFUNCTION("""COMPUTED_VALUE"""),"B")</f>
        <v>B</v>
      </c>
      <c r="E836" s="1">
        <f>IFERROR(__xludf.DUMMYFUNCTION("""COMPUTED_VALUE"""),76.0)</f>
        <v>76</v>
      </c>
      <c r="F836" s="1">
        <f>IFERROR(__xludf.DUMMYFUNCTION("""COMPUTED_VALUE"""),39.0)</f>
        <v>39</v>
      </c>
      <c r="G836" s="1">
        <f>IFERROR(__xludf.DUMMYFUNCTION("""COMPUTED_VALUE"""),65.0)</f>
        <v>65</v>
      </c>
      <c r="H836" s="1">
        <f>IFERROR(__xludf.DUMMYFUNCTION("""COMPUTED_VALUE"""),69.0)</f>
        <v>69</v>
      </c>
      <c r="I836" s="1">
        <f>IFERROR(__xludf.DUMMYFUNCTION("""COMPUTED_VALUE"""),87.0)</f>
        <v>87</v>
      </c>
      <c r="J836" s="1">
        <f>IFERROR(__xludf.DUMMYFUNCTION("""COMPUTED_VALUE"""),31.0)</f>
        <v>31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 t="str">
        <f>IFERROR(__xludf.DUMMYFUNCTION("""COMPUTED_VALUE"""),"B")</f>
        <v>B</v>
      </c>
      <c r="E837" s="1">
        <f>IFERROR(__xludf.DUMMYFUNCTION("""COMPUTED_VALUE"""),76.0)</f>
        <v>76</v>
      </c>
      <c r="F837" s="1">
        <f>IFERROR(__xludf.DUMMYFUNCTION("""COMPUTED_VALUE"""),93.0)</f>
        <v>93</v>
      </c>
      <c r="G837" s="1">
        <f>IFERROR(__xludf.DUMMYFUNCTION("""COMPUTED_VALUE"""),48.0)</f>
        <v>48</v>
      </c>
      <c r="H837" s="1">
        <f>IFERROR(__xludf.DUMMYFUNCTION("""COMPUTED_VALUE"""),84.0)</f>
        <v>84</v>
      </c>
      <c r="I837" s="1">
        <f>IFERROR(__xludf.DUMMYFUNCTION("""COMPUTED_VALUE"""),98.0)</f>
        <v>98</v>
      </c>
      <c r="J837" s="1">
        <f>IFERROR(__xludf.DUMMYFUNCTION("""COMPUTED_VALUE"""),92.0)</f>
        <v>92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 t="str">
        <f>IFERROR(__xludf.DUMMYFUNCTION("""COMPUTED_VALUE"""),"A")</f>
        <v>A</v>
      </c>
      <c r="E838" s="1">
        <f>IFERROR(__xludf.DUMMYFUNCTION("""COMPUTED_VALUE"""),18.0)</f>
        <v>18</v>
      </c>
      <c r="F838" s="1">
        <f>IFERROR(__xludf.DUMMYFUNCTION("""COMPUTED_VALUE"""),87.0)</f>
        <v>87</v>
      </c>
      <c r="G838" s="1">
        <f>IFERROR(__xludf.DUMMYFUNCTION("""COMPUTED_VALUE"""),56.0)</f>
        <v>56</v>
      </c>
      <c r="H838" s="1">
        <f>IFERROR(__xludf.DUMMYFUNCTION("""COMPUTED_VALUE"""),88.0)</f>
        <v>88</v>
      </c>
      <c r="I838" s="1">
        <f>IFERROR(__xludf.DUMMYFUNCTION("""COMPUTED_VALUE"""),69.0)</f>
        <v>69</v>
      </c>
      <c r="J838" s="1">
        <f>IFERROR(__xludf.DUMMYFUNCTION("""COMPUTED_VALUE"""),90.0)</f>
        <v>90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 t="str">
        <f>IFERROR(__xludf.DUMMYFUNCTION("""COMPUTED_VALUE"""),"B")</f>
        <v>B</v>
      </c>
      <c r="E839" s="1">
        <f>IFERROR(__xludf.DUMMYFUNCTION("""COMPUTED_VALUE"""),29.0)</f>
        <v>29</v>
      </c>
      <c r="F839" s="1">
        <f>IFERROR(__xludf.DUMMYFUNCTION("""COMPUTED_VALUE"""),41.0)</f>
        <v>41</v>
      </c>
      <c r="G839" s="1">
        <f>IFERROR(__xludf.DUMMYFUNCTION("""COMPUTED_VALUE"""),84.0)</f>
        <v>84</v>
      </c>
      <c r="H839" s="1">
        <f>IFERROR(__xludf.DUMMYFUNCTION("""COMPUTED_VALUE"""),42.0)</f>
        <v>42</v>
      </c>
      <c r="I839" s="1">
        <f>IFERROR(__xludf.DUMMYFUNCTION("""COMPUTED_VALUE"""),50.0)</f>
        <v>50</v>
      </c>
      <c r="J839" s="1">
        <f>IFERROR(__xludf.DUMMYFUNCTION("""COMPUTED_VALUE"""),44.0)</f>
        <v>44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 t="str">
        <f>IFERROR(__xludf.DUMMYFUNCTION("""COMPUTED_VALUE"""),"C")</f>
        <v>C</v>
      </c>
      <c r="E840" s="1">
        <f>IFERROR(__xludf.DUMMYFUNCTION("""COMPUTED_VALUE"""),42.0)</f>
        <v>42</v>
      </c>
      <c r="F840" s="1">
        <f>IFERROR(__xludf.DUMMYFUNCTION("""COMPUTED_VALUE"""),47.0)</f>
        <v>47</v>
      </c>
      <c r="G840" s="1">
        <f>IFERROR(__xludf.DUMMYFUNCTION("""COMPUTED_VALUE"""),81.0)</f>
        <v>81</v>
      </c>
      <c r="H840" s="1">
        <f>IFERROR(__xludf.DUMMYFUNCTION("""COMPUTED_VALUE"""),33.0)</f>
        <v>33</v>
      </c>
      <c r="I840" s="1">
        <f>IFERROR(__xludf.DUMMYFUNCTION("""COMPUTED_VALUE"""),34.0)</f>
        <v>34</v>
      </c>
      <c r="J840" s="1">
        <f>IFERROR(__xludf.DUMMYFUNCTION("""COMPUTED_VALUE"""),90.0)</f>
        <v>90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 t="str">
        <f>IFERROR(__xludf.DUMMYFUNCTION("""COMPUTED_VALUE"""),"C")</f>
        <v>C</v>
      </c>
      <c r="E841" s="1">
        <f>IFERROR(__xludf.DUMMYFUNCTION("""COMPUTED_VALUE"""),45.0)</f>
        <v>45</v>
      </c>
      <c r="F841" s="1">
        <f>IFERROR(__xludf.DUMMYFUNCTION("""COMPUTED_VALUE"""),97.0)</f>
        <v>97</v>
      </c>
      <c r="G841" s="1">
        <f>IFERROR(__xludf.DUMMYFUNCTION("""COMPUTED_VALUE"""),30.0)</f>
        <v>30</v>
      </c>
      <c r="H841" s="1">
        <f>IFERROR(__xludf.DUMMYFUNCTION("""COMPUTED_VALUE"""),92.0)</f>
        <v>92</v>
      </c>
      <c r="I841" s="1">
        <f>IFERROR(__xludf.DUMMYFUNCTION("""COMPUTED_VALUE"""),43.0)</f>
        <v>43</v>
      </c>
      <c r="J841" s="1">
        <f>IFERROR(__xludf.DUMMYFUNCTION("""COMPUTED_VALUE"""),36.0)</f>
        <v>36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 t="str">
        <f>IFERROR(__xludf.DUMMYFUNCTION("""COMPUTED_VALUE"""),"A")</f>
        <v>A</v>
      </c>
      <c r="E842" s="1">
        <f>IFERROR(__xludf.DUMMYFUNCTION("""COMPUTED_VALUE"""),97.0)</f>
        <v>97</v>
      </c>
      <c r="F842" s="1">
        <f>IFERROR(__xludf.DUMMYFUNCTION("""COMPUTED_VALUE"""),45.0)</f>
        <v>45</v>
      </c>
      <c r="G842" s="1">
        <f>IFERROR(__xludf.DUMMYFUNCTION("""COMPUTED_VALUE"""),48.0)</f>
        <v>48</v>
      </c>
      <c r="H842" s="1">
        <f>IFERROR(__xludf.DUMMYFUNCTION("""COMPUTED_VALUE"""),28.0)</f>
        <v>28</v>
      </c>
      <c r="I842" s="1">
        <f>IFERROR(__xludf.DUMMYFUNCTION("""COMPUTED_VALUE"""),89.0)</f>
        <v>89</v>
      </c>
      <c r="J842" s="1">
        <f>IFERROR(__xludf.DUMMYFUNCTION("""COMPUTED_VALUE"""),86.0)</f>
        <v>86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 t="str">
        <f>IFERROR(__xludf.DUMMYFUNCTION("""COMPUTED_VALUE"""),"A")</f>
        <v>A</v>
      </c>
      <c r="E843" s="1">
        <f>IFERROR(__xludf.DUMMYFUNCTION("""COMPUTED_VALUE"""),59.0)</f>
        <v>59</v>
      </c>
      <c r="F843" s="1">
        <f>IFERROR(__xludf.DUMMYFUNCTION("""COMPUTED_VALUE"""),86.0)</f>
        <v>86</v>
      </c>
      <c r="G843" s="1">
        <f>IFERROR(__xludf.DUMMYFUNCTION("""COMPUTED_VALUE"""),58.0)</f>
        <v>58</v>
      </c>
      <c r="H843" s="1">
        <f>IFERROR(__xludf.DUMMYFUNCTION("""COMPUTED_VALUE"""),97.0)</f>
        <v>97</v>
      </c>
      <c r="I843" s="1">
        <f>IFERROR(__xludf.DUMMYFUNCTION("""COMPUTED_VALUE"""),39.0)</f>
        <v>39</v>
      </c>
      <c r="J843" s="1">
        <f>IFERROR(__xludf.DUMMYFUNCTION("""COMPUTED_VALUE"""),56.0)</f>
        <v>56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 t="str">
        <f>IFERROR(__xludf.DUMMYFUNCTION("""COMPUTED_VALUE"""),"A")</f>
        <v>A</v>
      </c>
      <c r="E844" s="1">
        <f>IFERROR(__xludf.DUMMYFUNCTION("""COMPUTED_VALUE"""),95.0)</f>
        <v>95</v>
      </c>
      <c r="F844" s="1">
        <f>IFERROR(__xludf.DUMMYFUNCTION("""COMPUTED_VALUE"""),58.0)</f>
        <v>58</v>
      </c>
      <c r="G844" s="1">
        <f>IFERROR(__xludf.DUMMYFUNCTION("""COMPUTED_VALUE"""),56.0)</f>
        <v>56</v>
      </c>
      <c r="H844" s="1">
        <f>IFERROR(__xludf.DUMMYFUNCTION("""COMPUTED_VALUE"""),98.0)</f>
        <v>98</v>
      </c>
      <c r="I844" s="1">
        <f>IFERROR(__xludf.DUMMYFUNCTION("""COMPUTED_VALUE"""),60.0)</f>
        <v>60</v>
      </c>
      <c r="J844" s="1">
        <f>IFERROR(__xludf.DUMMYFUNCTION("""COMPUTED_VALUE"""),85.0)</f>
        <v>85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 t="str">
        <f>IFERROR(__xludf.DUMMYFUNCTION("""COMPUTED_VALUE"""),"A")</f>
        <v>A</v>
      </c>
      <c r="E845" s="1">
        <f>IFERROR(__xludf.DUMMYFUNCTION("""COMPUTED_VALUE"""),86.0)</f>
        <v>86</v>
      </c>
      <c r="F845" s="1">
        <f>IFERROR(__xludf.DUMMYFUNCTION("""COMPUTED_VALUE"""),78.0)</f>
        <v>78</v>
      </c>
      <c r="G845" s="1">
        <f>IFERROR(__xludf.DUMMYFUNCTION("""COMPUTED_VALUE"""),52.0)</f>
        <v>52</v>
      </c>
      <c r="H845" s="1">
        <f>IFERROR(__xludf.DUMMYFUNCTION("""COMPUTED_VALUE"""),71.0)</f>
        <v>71</v>
      </c>
      <c r="I845" s="1">
        <f>IFERROR(__xludf.DUMMYFUNCTION("""COMPUTED_VALUE"""),83.0)</f>
        <v>83</v>
      </c>
      <c r="J845" s="1">
        <f>IFERROR(__xludf.DUMMYFUNCTION("""COMPUTED_VALUE"""),79.0)</f>
        <v>79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 t="str">
        <f>IFERROR(__xludf.DUMMYFUNCTION("""COMPUTED_VALUE"""),"C")</f>
        <v>C</v>
      </c>
      <c r="E846" s="1">
        <f>IFERROR(__xludf.DUMMYFUNCTION("""COMPUTED_VALUE"""),84.0)</f>
        <v>84</v>
      </c>
      <c r="F846" s="1">
        <f>IFERROR(__xludf.DUMMYFUNCTION("""COMPUTED_VALUE"""),21.0)</f>
        <v>21</v>
      </c>
      <c r="G846" s="1">
        <f>IFERROR(__xludf.DUMMYFUNCTION("""COMPUTED_VALUE"""),36.0)</f>
        <v>36</v>
      </c>
      <c r="H846" s="1">
        <f>IFERROR(__xludf.DUMMYFUNCTION("""COMPUTED_VALUE"""),34.0)</f>
        <v>34</v>
      </c>
      <c r="I846" s="1">
        <f>IFERROR(__xludf.DUMMYFUNCTION("""COMPUTED_VALUE"""),27.0)</f>
        <v>27</v>
      </c>
      <c r="J846" s="1">
        <f>IFERROR(__xludf.DUMMYFUNCTION("""COMPUTED_VALUE"""),48.0)</f>
        <v>48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 t="str">
        <f>IFERROR(__xludf.DUMMYFUNCTION("""COMPUTED_VALUE"""),"D")</f>
        <v>D</v>
      </c>
      <c r="E847" s="1">
        <f>IFERROR(__xludf.DUMMYFUNCTION("""COMPUTED_VALUE"""),64.0)</f>
        <v>64</v>
      </c>
      <c r="F847" s="1">
        <f>IFERROR(__xludf.DUMMYFUNCTION("""COMPUTED_VALUE"""),36.0)</f>
        <v>36</v>
      </c>
      <c r="G847" s="1">
        <f>IFERROR(__xludf.DUMMYFUNCTION("""COMPUTED_VALUE"""),44.0)</f>
        <v>44</v>
      </c>
      <c r="H847" s="1">
        <f>IFERROR(__xludf.DUMMYFUNCTION("""COMPUTED_VALUE"""),95.0)</f>
        <v>95</v>
      </c>
      <c r="I847" s="1">
        <f>IFERROR(__xludf.DUMMYFUNCTION("""COMPUTED_VALUE"""),76.0)</f>
        <v>76</v>
      </c>
      <c r="J847" s="1">
        <f>IFERROR(__xludf.DUMMYFUNCTION("""COMPUTED_VALUE"""),64.0)</f>
        <v>64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 t="str">
        <f>IFERROR(__xludf.DUMMYFUNCTION("""COMPUTED_VALUE"""),"C")</f>
        <v>C</v>
      </c>
      <c r="E848" s="1">
        <f>IFERROR(__xludf.DUMMYFUNCTION("""COMPUTED_VALUE"""),73.0)</f>
        <v>73</v>
      </c>
      <c r="F848" s="1">
        <f>IFERROR(__xludf.DUMMYFUNCTION("""COMPUTED_VALUE"""),79.0)</f>
        <v>79</v>
      </c>
      <c r="G848" s="1">
        <f>IFERROR(__xludf.DUMMYFUNCTION("""COMPUTED_VALUE"""),27.0)</f>
        <v>27</v>
      </c>
      <c r="H848" s="1">
        <f>IFERROR(__xludf.DUMMYFUNCTION("""COMPUTED_VALUE"""),78.0)</f>
        <v>78</v>
      </c>
      <c r="I848" s="1">
        <f>IFERROR(__xludf.DUMMYFUNCTION("""COMPUTED_VALUE"""),26.0)</f>
        <v>26</v>
      </c>
      <c r="J848" s="1">
        <f>IFERROR(__xludf.DUMMYFUNCTION("""COMPUTED_VALUE"""),85.0)</f>
        <v>85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 t="str">
        <f>IFERROR(__xludf.DUMMYFUNCTION("""COMPUTED_VALUE"""),"B")</f>
        <v>B</v>
      </c>
      <c r="E849" s="1">
        <f>IFERROR(__xludf.DUMMYFUNCTION("""COMPUTED_VALUE"""),29.0)</f>
        <v>29</v>
      </c>
      <c r="F849" s="1">
        <f>IFERROR(__xludf.DUMMYFUNCTION("""COMPUTED_VALUE"""),89.0)</f>
        <v>89</v>
      </c>
      <c r="G849" s="1">
        <f>IFERROR(__xludf.DUMMYFUNCTION("""COMPUTED_VALUE"""),87.0)</f>
        <v>87</v>
      </c>
      <c r="H849" s="1">
        <f>IFERROR(__xludf.DUMMYFUNCTION("""COMPUTED_VALUE"""),68.0)</f>
        <v>68</v>
      </c>
      <c r="I849" s="1">
        <f>IFERROR(__xludf.DUMMYFUNCTION("""COMPUTED_VALUE"""),44.0)</f>
        <v>44</v>
      </c>
      <c r="J849" s="1">
        <f>IFERROR(__xludf.DUMMYFUNCTION("""COMPUTED_VALUE"""),54.0)</f>
        <v>54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 t="str">
        <f>IFERROR(__xludf.DUMMYFUNCTION("""COMPUTED_VALUE"""),"D")</f>
        <v>D</v>
      </c>
      <c r="E850" s="1">
        <f>IFERROR(__xludf.DUMMYFUNCTION("""COMPUTED_VALUE"""),81.0)</f>
        <v>81</v>
      </c>
      <c r="F850" s="1">
        <f>IFERROR(__xludf.DUMMYFUNCTION("""COMPUTED_VALUE"""),60.0)</f>
        <v>60</v>
      </c>
      <c r="G850" s="1">
        <f>IFERROR(__xludf.DUMMYFUNCTION("""COMPUTED_VALUE"""),37.0)</f>
        <v>37</v>
      </c>
      <c r="H850" s="1">
        <f>IFERROR(__xludf.DUMMYFUNCTION("""COMPUTED_VALUE"""),97.0)</f>
        <v>97</v>
      </c>
      <c r="I850" s="1">
        <f>IFERROR(__xludf.DUMMYFUNCTION("""COMPUTED_VALUE"""),72.0)</f>
        <v>72</v>
      </c>
      <c r="J850" s="1">
        <f>IFERROR(__xludf.DUMMYFUNCTION("""COMPUTED_VALUE"""),54.0)</f>
        <v>54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 t="str">
        <f>IFERROR(__xludf.DUMMYFUNCTION("""COMPUTED_VALUE"""),"C")</f>
        <v>C</v>
      </c>
      <c r="E851" s="1">
        <f>IFERROR(__xludf.DUMMYFUNCTION("""COMPUTED_VALUE"""),40.0)</f>
        <v>40</v>
      </c>
      <c r="F851" s="1">
        <f>IFERROR(__xludf.DUMMYFUNCTION("""COMPUTED_VALUE"""),98.0)</f>
        <v>98</v>
      </c>
      <c r="G851" s="1">
        <f>IFERROR(__xludf.DUMMYFUNCTION("""COMPUTED_VALUE"""),38.0)</f>
        <v>38</v>
      </c>
      <c r="H851" s="1">
        <f>IFERROR(__xludf.DUMMYFUNCTION("""COMPUTED_VALUE"""),74.0)</f>
        <v>74</v>
      </c>
      <c r="I851" s="1">
        <f>IFERROR(__xludf.DUMMYFUNCTION("""COMPUTED_VALUE"""),90.0)</f>
        <v>90</v>
      </c>
      <c r="J851" s="1">
        <f>IFERROR(__xludf.DUMMYFUNCTION("""COMPUTED_VALUE"""),36.0)</f>
        <v>36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 t="str">
        <f>IFERROR(__xludf.DUMMYFUNCTION("""COMPUTED_VALUE"""),"A")</f>
        <v>A</v>
      </c>
      <c r="E852" s="1">
        <f>IFERROR(__xludf.DUMMYFUNCTION("""COMPUTED_VALUE"""),58.0)</f>
        <v>58</v>
      </c>
      <c r="F852" s="1">
        <f>IFERROR(__xludf.DUMMYFUNCTION("""COMPUTED_VALUE"""),36.0)</f>
        <v>36</v>
      </c>
      <c r="G852" s="1">
        <f>IFERROR(__xludf.DUMMYFUNCTION("""COMPUTED_VALUE"""),97.0)</f>
        <v>97</v>
      </c>
      <c r="H852" s="1">
        <f>IFERROR(__xludf.DUMMYFUNCTION("""COMPUTED_VALUE"""),56.0)</f>
        <v>56</v>
      </c>
      <c r="I852" s="1">
        <f>IFERROR(__xludf.DUMMYFUNCTION("""COMPUTED_VALUE"""),81.0)</f>
        <v>81</v>
      </c>
      <c r="J852" s="1">
        <f>IFERROR(__xludf.DUMMYFUNCTION("""COMPUTED_VALUE"""),37.0)</f>
        <v>37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 t="str">
        <f>IFERROR(__xludf.DUMMYFUNCTION("""COMPUTED_VALUE"""),"C")</f>
        <v>C</v>
      </c>
      <c r="E853" s="1">
        <f>IFERROR(__xludf.DUMMYFUNCTION("""COMPUTED_VALUE"""),87.0)</f>
        <v>87</v>
      </c>
      <c r="F853" s="1">
        <f>IFERROR(__xludf.DUMMYFUNCTION("""COMPUTED_VALUE"""),49.0)</f>
        <v>49</v>
      </c>
      <c r="G853" s="1">
        <f>IFERROR(__xludf.DUMMYFUNCTION("""COMPUTED_VALUE"""),45.0)</f>
        <v>45</v>
      </c>
      <c r="H853" s="1">
        <f>IFERROR(__xludf.DUMMYFUNCTION("""COMPUTED_VALUE"""),33.0)</f>
        <v>33</v>
      </c>
      <c r="I853" s="1">
        <f>IFERROR(__xludf.DUMMYFUNCTION("""COMPUTED_VALUE"""),72.0)</f>
        <v>72</v>
      </c>
      <c r="J853" s="1">
        <f>IFERROR(__xludf.DUMMYFUNCTION("""COMPUTED_VALUE"""),76.0)</f>
        <v>76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 t="str">
        <f>IFERROR(__xludf.DUMMYFUNCTION("""COMPUTED_VALUE"""),"C")</f>
        <v>C</v>
      </c>
      <c r="E854" s="1">
        <f>IFERROR(__xludf.DUMMYFUNCTION("""COMPUTED_VALUE"""),87.0)</f>
        <v>87</v>
      </c>
      <c r="F854" s="1">
        <f>IFERROR(__xludf.DUMMYFUNCTION("""COMPUTED_VALUE"""),49.0)</f>
        <v>49</v>
      </c>
      <c r="G854" s="1">
        <f>IFERROR(__xludf.DUMMYFUNCTION("""COMPUTED_VALUE"""),95.0)</f>
        <v>95</v>
      </c>
      <c r="H854" s="1">
        <f>IFERROR(__xludf.DUMMYFUNCTION("""COMPUTED_VALUE"""),23.0)</f>
        <v>23</v>
      </c>
      <c r="I854" s="1">
        <f>IFERROR(__xludf.DUMMYFUNCTION("""COMPUTED_VALUE"""),49.0)</f>
        <v>49</v>
      </c>
      <c r="J854" s="1">
        <f>IFERROR(__xludf.DUMMYFUNCTION("""COMPUTED_VALUE"""),55.0)</f>
        <v>55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 t="str">
        <f>IFERROR(__xludf.DUMMYFUNCTION("""COMPUTED_VALUE"""),"B")</f>
        <v>B</v>
      </c>
      <c r="E855" s="1">
        <f>IFERROR(__xludf.DUMMYFUNCTION("""COMPUTED_VALUE"""),67.0)</f>
        <v>67</v>
      </c>
      <c r="F855" s="1">
        <f>IFERROR(__xludf.DUMMYFUNCTION("""COMPUTED_VALUE"""),25.0)</f>
        <v>25</v>
      </c>
      <c r="G855" s="1">
        <f>IFERROR(__xludf.DUMMYFUNCTION("""COMPUTED_VALUE"""),72.0)</f>
        <v>72</v>
      </c>
      <c r="H855" s="1">
        <f>IFERROR(__xludf.DUMMYFUNCTION("""COMPUTED_VALUE"""),61.0)</f>
        <v>61</v>
      </c>
      <c r="I855" s="1">
        <f>IFERROR(__xludf.DUMMYFUNCTION("""COMPUTED_VALUE"""),39.0)</f>
        <v>39</v>
      </c>
      <c r="J855" s="1">
        <f>IFERROR(__xludf.DUMMYFUNCTION("""COMPUTED_VALUE"""),73.0)</f>
        <v>73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 t="str">
        <f>IFERROR(__xludf.DUMMYFUNCTION("""COMPUTED_VALUE"""),"B")</f>
        <v>B</v>
      </c>
      <c r="E856" s="1">
        <f>IFERROR(__xludf.DUMMYFUNCTION("""COMPUTED_VALUE"""),21.0)</f>
        <v>21</v>
      </c>
      <c r="F856" s="1">
        <f>IFERROR(__xludf.DUMMYFUNCTION("""COMPUTED_VALUE"""),90.0)</f>
        <v>90</v>
      </c>
      <c r="G856" s="1">
        <f>IFERROR(__xludf.DUMMYFUNCTION("""COMPUTED_VALUE"""),34.0)</f>
        <v>34</v>
      </c>
      <c r="H856" s="1">
        <f>IFERROR(__xludf.DUMMYFUNCTION("""COMPUTED_VALUE"""),79.0)</f>
        <v>79</v>
      </c>
      <c r="I856" s="1">
        <f>IFERROR(__xludf.DUMMYFUNCTION("""COMPUTED_VALUE"""),79.0)</f>
        <v>79</v>
      </c>
      <c r="J856" s="1">
        <f>IFERROR(__xludf.DUMMYFUNCTION("""COMPUTED_VALUE"""),68.0)</f>
        <v>68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 t="str">
        <f>IFERROR(__xludf.DUMMYFUNCTION("""COMPUTED_VALUE"""),"D")</f>
        <v>D</v>
      </c>
      <c r="E857" s="1">
        <f>IFERROR(__xludf.DUMMYFUNCTION("""COMPUTED_VALUE"""),50.0)</f>
        <v>50</v>
      </c>
      <c r="F857" s="1">
        <f>IFERROR(__xludf.DUMMYFUNCTION("""COMPUTED_VALUE"""),40.0)</f>
        <v>40</v>
      </c>
      <c r="G857" s="1">
        <f>IFERROR(__xludf.DUMMYFUNCTION("""COMPUTED_VALUE"""),79.0)</f>
        <v>79</v>
      </c>
      <c r="H857" s="1">
        <f>IFERROR(__xludf.DUMMYFUNCTION("""COMPUTED_VALUE"""),92.0)</f>
        <v>92</v>
      </c>
      <c r="I857" s="1">
        <f>IFERROR(__xludf.DUMMYFUNCTION("""COMPUTED_VALUE"""),81.0)</f>
        <v>81</v>
      </c>
      <c r="J857" s="1">
        <f>IFERROR(__xludf.DUMMYFUNCTION("""COMPUTED_VALUE"""),99.0)</f>
        <v>99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 t="str">
        <f>IFERROR(__xludf.DUMMYFUNCTION("""COMPUTED_VALUE"""),"D")</f>
        <v>D</v>
      </c>
      <c r="E858" s="1">
        <f>IFERROR(__xludf.DUMMYFUNCTION("""COMPUTED_VALUE"""),35.0)</f>
        <v>35</v>
      </c>
      <c r="F858" s="1">
        <f>IFERROR(__xludf.DUMMYFUNCTION("""COMPUTED_VALUE"""),66.0)</f>
        <v>66</v>
      </c>
      <c r="G858" s="1">
        <f>IFERROR(__xludf.DUMMYFUNCTION("""COMPUTED_VALUE"""),81.0)</f>
        <v>81</v>
      </c>
      <c r="H858" s="1">
        <f>IFERROR(__xludf.DUMMYFUNCTION("""COMPUTED_VALUE"""),29.0)</f>
        <v>29</v>
      </c>
      <c r="I858" s="1">
        <f>IFERROR(__xludf.DUMMYFUNCTION("""COMPUTED_VALUE"""),38.0)</f>
        <v>38</v>
      </c>
      <c r="J858" s="1">
        <f>IFERROR(__xludf.DUMMYFUNCTION("""COMPUTED_VALUE"""),78.0)</f>
        <v>78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 t="str">
        <f>IFERROR(__xludf.DUMMYFUNCTION("""COMPUTED_VALUE"""),"A")</f>
        <v>A</v>
      </c>
      <c r="E859" s="1">
        <f>IFERROR(__xludf.DUMMYFUNCTION("""COMPUTED_VALUE"""),74.0)</f>
        <v>74</v>
      </c>
      <c r="F859" s="1">
        <f>IFERROR(__xludf.DUMMYFUNCTION("""COMPUTED_VALUE"""),39.0)</f>
        <v>39</v>
      </c>
      <c r="G859" s="1">
        <f>IFERROR(__xludf.DUMMYFUNCTION("""COMPUTED_VALUE"""),77.0)</f>
        <v>77</v>
      </c>
      <c r="H859" s="1">
        <f>IFERROR(__xludf.DUMMYFUNCTION("""COMPUTED_VALUE"""),95.0)</f>
        <v>95</v>
      </c>
      <c r="I859" s="1">
        <f>IFERROR(__xludf.DUMMYFUNCTION("""COMPUTED_VALUE"""),31.0)</f>
        <v>31</v>
      </c>
      <c r="J859" s="1">
        <f>IFERROR(__xludf.DUMMYFUNCTION("""COMPUTED_VALUE"""),97.0)</f>
        <v>97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 t="str">
        <f>IFERROR(__xludf.DUMMYFUNCTION("""COMPUTED_VALUE"""),"D")</f>
        <v>D</v>
      </c>
      <c r="E860" s="1">
        <f>IFERROR(__xludf.DUMMYFUNCTION("""COMPUTED_VALUE"""),10.0)</f>
        <v>10</v>
      </c>
      <c r="F860" s="1">
        <f>IFERROR(__xludf.DUMMYFUNCTION("""COMPUTED_VALUE"""),34.0)</f>
        <v>34</v>
      </c>
      <c r="G860" s="1">
        <f>IFERROR(__xludf.DUMMYFUNCTION("""COMPUTED_VALUE"""),81.0)</f>
        <v>81</v>
      </c>
      <c r="H860" s="1">
        <f>IFERROR(__xludf.DUMMYFUNCTION("""COMPUTED_VALUE"""),91.0)</f>
        <v>91</v>
      </c>
      <c r="I860" s="1">
        <f>IFERROR(__xludf.DUMMYFUNCTION("""COMPUTED_VALUE"""),35.0)</f>
        <v>35</v>
      </c>
      <c r="J860" s="1">
        <f>IFERROR(__xludf.DUMMYFUNCTION("""COMPUTED_VALUE"""),32.0)</f>
        <v>32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 t="str">
        <f>IFERROR(__xludf.DUMMYFUNCTION("""COMPUTED_VALUE"""),"A")</f>
        <v>A</v>
      </c>
      <c r="E861" s="1">
        <f>IFERROR(__xludf.DUMMYFUNCTION("""COMPUTED_VALUE"""),11.0)</f>
        <v>11</v>
      </c>
      <c r="F861" s="1">
        <f>IFERROR(__xludf.DUMMYFUNCTION("""COMPUTED_VALUE"""),59.0)</f>
        <v>59</v>
      </c>
      <c r="G861" s="1">
        <f>IFERROR(__xludf.DUMMYFUNCTION("""COMPUTED_VALUE"""),89.0)</f>
        <v>89</v>
      </c>
      <c r="H861" s="1">
        <f>IFERROR(__xludf.DUMMYFUNCTION("""COMPUTED_VALUE"""),72.0)</f>
        <v>72</v>
      </c>
      <c r="I861" s="1">
        <f>IFERROR(__xludf.DUMMYFUNCTION("""COMPUTED_VALUE"""),22.0)</f>
        <v>22</v>
      </c>
      <c r="J861" s="1">
        <f>IFERROR(__xludf.DUMMYFUNCTION("""COMPUTED_VALUE"""),75.0)</f>
        <v>75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 t="str">
        <f>IFERROR(__xludf.DUMMYFUNCTION("""COMPUTED_VALUE"""),"B")</f>
        <v>B</v>
      </c>
      <c r="E862" s="1">
        <f>IFERROR(__xludf.DUMMYFUNCTION("""COMPUTED_VALUE"""),22.0)</f>
        <v>22</v>
      </c>
      <c r="F862" s="1">
        <f>IFERROR(__xludf.DUMMYFUNCTION("""COMPUTED_VALUE"""),78.0)</f>
        <v>78</v>
      </c>
      <c r="G862" s="1">
        <f>IFERROR(__xludf.DUMMYFUNCTION("""COMPUTED_VALUE"""),21.0)</f>
        <v>21</v>
      </c>
      <c r="H862" s="1">
        <f>IFERROR(__xludf.DUMMYFUNCTION("""COMPUTED_VALUE"""),47.0)</f>
        <v>47</v>
      </c>
      <c r="I862" s="1">
        <f>IFERROR(__xludf.DUMMYFUNCTION("""COMPUTED_VALUE"""),44.0)</f>
        <v>44</v>
      </c>
      <c r="J862" s="1">
        <f>IFERROR(__xludf.DUMMYFUNCTION("""COMPUTED_VALUE"""),71.0)</f>
        <v>71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 t="str">
        <f>IFERROR(__xludf.DUMMYFUNCTION("""COMPUTED_VALUE"""),"A")</f>
        <v>A</v>
      </c>
      <c r="E863" s="1">
        <f>IFERROR(__xludf.DUMMYFUNCTION("""COMPUTED_VALUE"""),56.0)</f>
        <v>56</v>
      </c>
      <c r="F863" s="1">
        <f>IFERROR(__xludf.DUMMYFUNCTION("""COMPUTED_VALUE"""),68.0)</f>
        <v>68</v>
      </c>
      <c r="G863" s="1">
        <f>IFERROR(__xludf.DUMMYFUNCTION("""COMPUTED_VALUE"""),45.0)</f>
        <v>45</v>
      </c>
      <c r="H863" s="1">
        <f>IFERROR(__xludf.DUMMYFUNCTION("""COMPUTED_VALUE"""),92.0)</f>
        <v>92</v>
      </c>
      <c r="I863" s="1">
        <f>IFERROR(__xludf.DUMMYFUNCTION("""COMPUTED_VALUE"""),79.0)</f>
        <v>79</v>
      </c>
      <c r="J863" s="1">
        <f>IFERROR(__xludf.DUMMYFUNCTION("""COMPUTED_VALUE"""),37.0)</f>
        <v>37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 t="str">
        <f>IFERROR(__xludf.DUMMYFUNCTION("""COMPUTED_VALUE"""),"B")</f>
        <v>B</v>
      </c>
      <c r="E864" s="1">
        <f>IFERROR(__xludf.DUMMYFUNCTION("""COMPUTED_VALUE"""),47.0)</f>
        <v>47</v>
      </c>
      <c r="F864" s="1">
        <f>IFERROR(__xludf.DUMMYFUNCTION("""COMPUTED_VALUE"""),69.0)</f>
        <v>69</v>
      </c>
      <c r="G864" s="1">
        <f>IFERROR(__xludf.DUMMYFUNCTION("""COMPUTED_VALUE"""),36.0)</f>
        <v>36</v>
      </c>
      <c r="H864" s="1">
        <f>IFERROR(__xludf.DUMMYFUNCTION("""COMPUTED_VALUE"""),42.0)</f>
        <v>42</v>
      </c>
      <c r="I864" s="1">
        <f>IFERROR(__xludf.DUMMYFUNCTION("""COMPUTED_VALUE"""),94.0)</f>
        <v>94</v>
      </c>
      <c r="J864" s="1">
        <f>IFERROR(__xludf.DUMMYFUNCTION("""COMPUTED_VALUE"""),48.0)</f>
        <v>48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 t="str">
        <f>IFERROR(__xludf.DUMMYFUNCTION("""COMPUTED_VALUE"""),"A")</f>
        <v>A</v>
      </c>
      <c r="E865" s="1">
        <f>IFERROR(__xludf.DUMMYFUNCTION("""COMPUTED_VALUE"""),42.0)</f>
        <v>42</v>
      </c>
      <c r="F865" s="1">
        <f>IFERROR(__xludf.DUMMYFUNCTION("""COMPUTED_VALUE"""),27.0)</f>
        <v>27</v>
      </c>
      <c r="G865" s="1">
        <f>IFERROR(__xludf.DUMMYFUNCTION("""COMPUTED_VALUE"""),60.0)</f>
        <v>60</v>
      </c>
      <c r="H865" s="1">
        <f>IFERROR(__xludf.DUMMYFUNCTION("""COMPUTED_VALUE"""),83.0)</f>
        <v>83</v>
      </c>
      <c r="I865" s="1">
        <f>IFERROR(__xludf.DUMMYFUNCTION("""COMPUTED_VALUE"""),93.0)</f>
        <v>93</v>
      </c>
      <c r="J865" s="1">
        <f>IFERROR(__xludf.DUMMYFUNCTION("""COMPUTED_VALUE"""),88.0)</f>
        <v>88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 t="str">
        <f>IFERROR(__xludf.DUMMYFUNCTION("""COMPUTED_VALUE"""),"A")</f>
        <v>A</v>
      </c>
      <c r="E866" s="1">
        <f>IFERROR(__xludf.DUMMYFUNCTION("""COMPUTED_VALUE"""),54.0)</f>
        <v>54</v>
      </c>
      <c r="F866" s="1">
        <f>IFERROR(__xludf.DUMMYFUNCTION("""COMPUTED_VALUE"""),90.0)</f>
        <v>90</v>
      </c>
      <c r="G866" s="1">
        <f>IFERROR(__xludf.DUMMYFUNCTION("""COMPUTED_VALUE"""),76.0)</f>
        <v>76</v>
      </c>
      <c r="H866" s="1">
        <f>IFERROR(__xludf.DUMMYFUNCTION("""COMPUTED_VALUE"""),50.0)</f>
        <v>50</v>
      </c>
      <c r="I866" s="1">
        <f>IFERROR(__xludf.DUMMYFUNCTION("""COMPUTED_VALUE"""),80.0)</f>
        <v>80</v>
      </c>
      <c r="J866" s="1">
        <f>IFERROR(__xludf.DUMMYFUNCTION("""COMPUTED_VALUE"""),84.0)</f>
        <v>84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 t="str">
        <f>IFERROR(__xludf.DUMMYFUNCTION("""COMPUTED_VALUE"""),"C")</f>
        <v>C</v>
      </c>
      <c r="E867" s="1">
        <f>IFERROR(__xludf.DUMMYFUNCTION("""COMPUTED_VALUE"""),44.0)</f>
        <v>44</v>
      </c>
      <c r="F867" s="1">
        <f>IFERROR(__xludf.DUMMYFUNCTION("""COMPUTED_VALUE"""),87.0)</f>
        <v>87</v>
      </c>
      <c r="G867" s="1">
        <f>IFERROR(__xludf.DUMMYFUNCTION("""COMPUTED_VALUE"""),72.0)</f>
        <v>72</v>
      </c>
      <c r="H867" s="1">
        <f>IFERROR(__xludf.DUMMYFUNCTION("""COMPUTED_VALUE"""),41.0)</f>
        <v>41</v>
      </c>
      <c r="I867" s="1">
        <f>IFERROR(__xludf.DUMMYFUNCTION("""COMPUTED_VALUE"""),28.0)</f>
        <v>28</v>
      </c>
      <c r="J867" s="1">
        <f>IFERROR(__xludf.DUMMYFUNCTION("""COMPUTED_VALUE"""),82.0)</f>
        <v>82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 t="str">
        <f>IFERROR(__xludf.DUMMYFUNCTION("""COMPUTED_VALUE"""),"B")</f>
        <v>B</v>
      </c>
      <c r="E868" s="1">
        <f>IFERROR(__xludf.DUMMYFUNCTION("""COMPUTED_VALUE"""),22.0)</f>
        <v>22</v>
      </c>
      <c r="F868" s="1">
        <f>IFERROR(__xludf.DUMMYFUNCTION("""COMPUTED_VALUE"""),82.0)</f>
        <v>82</v>
      </c>
      <c r="G868" s="1">
        <f>IFERROR(__xludf.DUMMYFUNCTION("""COMPUTED_VALUE"""),44.0)</f>
        <v>44</v>
      </c>
      <c r="H868" s="1">
        <f>IFERROR(__xludf.DUMMYFUNCTION("""COMPUTED_VALUE"""),87.0)</f>
        <v>87</v>
      </c>
      <c r="I868" s="1">
        <f>IFERROR(__xludf.DUMMYFUNCTION("""COMPUTED_VALUE"""),34.0)</f>
        <v>34</v>
      </c>
      <c r="J868" s="1">
        <f>IFERROR(__xludf.DUMMYFUNCTION("""COMPUTED_VALUE"""),80.0)</f>
        <v>80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 t="str">
        <f>IFERROR(__xludf.DUMMYFUNCTION("""COMPUTED_VALUE"""),"C")</f>
        <v>C</v>
      </c>
      <c r="E869" s="1">
        <f>IFERROR(__xludf.DUMMYFUNCTION("""COMPUTED_VALUE"""),62.0)</f>
        <v>62</v>
      </c>
      <c r="F869" s="1">
        <f>IFERROR(__xludf.DUMMYFUNCTION("""COMPUTED_VALUE"""),42.0)</f>
        <v>42</v>
      </c>
      <c r="G869" s="1">
        <f>IFERROR(__xludf.DUMMYFUNCTION("""COMPUTED_VALUE"""),99.0)</f>
        <v>99</v>
      </c>
      <c r="H869" s="1">
        <f>IFERROR(__xludf.DUMMYFUNCTION("""COMPUTED_VALUE"""),67.0)</f>
        <v>67</v>
      </c>
      <c r="I869" s="1">
        <f>IFERROR(__xludf.DUMMYFUNCTION("""COMPUTED_VALUE"""),78.0)</f>
        <v>78</v>
      </c>
      <c r="J869" s="1">
        <f>IFERROR(__xludf.DUMMYFUNCTION("""COMPUTED_VALUE"""),52.0)</f>
        <v>52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 t="str">
        <f>IFERROR(__xludf.DUMMYFUNCTION("""COMPUTED_VALUE"""),"D")</f>
        <v>D</v>
      </c>
      <c r="E870" s="1">
        <f>IFERROR(__xludf.DUMMYFUNCTION("""COMPUTED_VALUE"""),33.0)</f>
        <v>33</v>
      </c>
      <c r="F870" s="1">
        <f>IFERROR(__xludf.DUMMYFUNCTION("""COMPUTED_VALUE"""),21.0)</f>
        <v>21</v>
      </c>
      <c r="G870" s="1">
        <f>IFERROR(__xludf.DUMMYFUNCTION("""COMPUTED_VALUE"""),66.0)</f>
        <v>66</v>
      </c>
      <c r="H870" s="1">
        <f>IFERROR(__xludf.DUMMYFUNCTION("""COMPUTED_VALUE"""),53.0)</f>
        <v>53</v>
      </c>
      <c r="I870" s="1">
        <f>IFERROR(__xludf.DUMMYFUNCTION("""COMPUTED_VALUE"""),65.0)</f>
        <v>65</v>
      </c>
      <c r="J870" s="1">
        <f>IFERROR(__xludf.DUMMYFUNCTION("""COMPUTED_VALUE"""),30.0)</f>
        <v>30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 t="str">
        <f>IFERROR(__xludf.DUMMYFUNCTION("""COMPUTED_VALUE"""),"B")</f>
        <v>B</v>
      </c>
      <c r="E871" s="1">
        <f>IFERROR(__xludf.DUMMYFUNCTION("""COMPUTED_VALUE"""),30.0)</f>
        <v>30</v>
      </c>
      <c r="F871" s="1">
        <f>IFERROR(__xludf.DUMMYFUNCTION("""COMPUTED_VALUE"""),28.0)</f>
        <v>28</v>
      </c>
      <c r="G871" s="1">
        <f>IFERROR(__xludf.DUMMYFUNCTION("""COMPUTED_VALUE"""),32.0)</f>
        <v>32</v>
      </c>
      <c r="H871" s="1">
        <f>IFERROR(__xludf.DUMMYFUNCTION("""COMPUTED_VALUE"""),63.0)</f>
        <v>63</v>
      </c>
      <c r="I871" s="1">
        <f>IFERROR(__xludf.DUMMYFUNCTION("""COMPUTED_VALUE"""),42.0)</f>
        <v>42</v>
      </c>
      <c r="J871" s="1">
        <f>IFERROR(__xludf.DUMMYFUNCTION("""COMPUTED_VALUE"""),78.0)</f>
        <v>78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 t="str">
        <f>IFERROR(__xludf.DUMMYFUNCTION("""COMPUTED_VALUE"""),"D")</f>
        <v>D</v>
      </c>
      <c r="E872" s="1">
        <f>IFERROR(__xludf.DUMMYFUNCTION("""COMPUTED_VALUE"""),88.0)</f>
        <v>88</v>
      </c>
      <c r="F872" s="1">
        <f>IFERROR(__xludf.DUMMYFUNCTION("""COMPUTED_VALUE"""),86.0)</f>
        <v>86</v>
      </c>
      <c r="G872" s="1">
        <f>IFERROR(__xludf.DUMMYFUNCTION("""COMPUTED_VALUE"""),41.0)</f>
        <v>41</v>
      </c>
      <c r="H872" s="1">
        <f>IFERROR(__xludf.DUMMYFUNCTION("""COMPUTED_VALUE"""),55.0)</f>
        <v>55</v>
      </c>
      <c r="I872" s="1">
        <f>IFERROR(__xludf.DUMMYFUNCTION("""COMPUTED_VALUE"""),33.0)</f>
        <v>33</v>
      </c>
      <c r="J872" s="1">
        <f>IFERROR(__xludf.DUMMYFUNCTION("""COMPUTED_VALUE"""),50.0)</f>
        <v>50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 t="str">
        <f>IFERROR(__xludf.DUMMYFUNCTION("""COMPUTED_VALUE"""),"A")</f>
        <v>A</v>
      </c>
      <c r="E873" s="1">
        <f>IFERROR(__xludf.DUMMYFUNCTION("""COMPUTED_VALUE"""),19.0)</f>
        <v>19</v>
      </c>
      <c r="F873" s="1">
        <f>IFERROR(__xludf.DUMMYFUNCTION("""COMPUTED_VALUE"""),65.0)</f>
        <v>65</v>
      </c>
      <c r="G873" s="1">
        <f>IFERROR(__xludf.DUMMYFUNCTION("""COMPUTED_VALUE"""),50.0)</f>
        <v>50</v>
      </c>
      <c r="H873" s="1">
        <f>IFERROR(__xludf.DUMMYFUNCTION("""COMPUTED_VALUE"""),77.0)</f>
        <v>77</v>
      </c>
      <c r="I873" s="1">
        <f>IFERROR(__xludf.DUMMYFUNCTION("""COMPUTED_VALUE"""),98.0)</f>
        <v>98</v>
      </c>
      <c r="J873" s="1">
        <f>IFERROR(__xludf.DUMMYFUNCTION("""COMPUTED_VALUE"""),30.0)</f>
        <v>30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 t="str">
        <f>IFERROR(__xludf.DUMMYFUNCTION("""COMPUTED_VALUE"""),"C")</f>
        <v>C</v>
      </c>
      <c r="E874" s="1">
        <f>IFERROR(__xludf.DUMMYFUNCTION("""COMPUTED_VALUE"""),14.0)</f>
        <v>14</v>
      </c>
      <c r="F874" s="1">
        <f>IFERROR(__xludf.DUMMYFUNCTION("""COMPUTED_VALUE"""),33.0)</f>
        <v>33</v>
      </c>
      <c r="G874" s="1">
        <f>IFERROR(__xludf.DUMMYFUNCTION("""COMPUTED_VALUE"""),88.0)</f>
        <v>88</v>
      </c>
      <c r="H874" s="1">
        <f>IFERROR(__xludf.DUMMYFUNCTION("""COMPUTED_VALUE"""),87.0)</f>
        <v>87</v>
      </c>
      <c r="I874" s="1">
        <f>IFERROR(__xludf.DUMMYFUNCTION("""COMPUTED_VALUE"""),21.0)</f>
        <v>21</v>
      </c>
      <c r="J874" s="1">
        <f>IFERROR(__xludf.DUMMYFUNCTION("""COMPUTED_VALUE"""),35.0)</f>
        <v>35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 t="str">
        <f>IFERROR(__xludf.DUMMYFUNCTION("""COMPUTED_VALUE"""),"D")</f>
        <v>D</v>
      </c>
      <c r="E875" s="1">
        <f>IFERROR(__xludf.DUMMYFUNCTION("""COMPUTED_VALUE"""),39.0)</f>
        <v>39</v>
      </c>
      <c r="F875" s="1">
        <f>IFERROR(__xludf.DUMMYFUNCTION("""COMPUTED_VALUE"""),55.0)</f>
        <v>55</v>
      </c>
      <c r="G875" s="1">
        <f>IFERROR(__xludf.DUMMYFUNCTION("""COMPUTED_VALUE"""),47.0)</f>
        <v>47</v>
      </c>
      <c r="H875" s="1">
        <f>IFERROR(__xludf.DUMMYFUNCTION("""COMPUTED_VALUE"""),74.0)</f>
        <v>74</v>
      </c>
      <c r="I875" s="1">
        <f>IFERROR(__xludf.DUMMYFUNCTION("""COMPUTED_VALUE"""),95.0)</f>
        <v>95</v>
      </c>
      <c r="J875" s="1">
        <f>IFERROR(__xludf.DUMMYFUNCTION("""COMPUTED_VALUE"""),28.0)</f>
        <v>28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 t="str">
        <f>IFERROR(__xludf.DUMMYFUNCTION("""COMPUTED_VALUE"""),"C")</f>
        <v>C</v>
      </c>
      <c r="E876" s="1">
        <f>IFERROR(__xludf.DUMMYFUNCTION("""COMPUTED_VALUE"""),76.0)</f>
        <v>76</v>
      </c>
      <c r="F876" s="1">
        <f>IFERROR(__xludf.DUMMYFUNCTION("""COMPUTED_VALUE"""),45.0)</f>
        <v>45</v>
      </c>
      <c r="G876" s="1">
        <f>IFERROR(__xludf.DUMMYFUNCTION("""COMPUTED_VALUE"""),61.0)</f>
        <v>61</v>
      </c>
      <c r="H876" s="1">
        <f>IFERROR(__xludf.DUMMYFUNCTION("""COMPUTED_VALUE"""),72.0)</f>
        <v>72</v>
      </c>
      <c r="I876" s="1">
        <f>IFERROR(__xludf.DUMMYFUNCTION("""COMPUTED_VALUE"""),55.0)</f>
        <v>55</v>
      </c>
      <c r="J876" s="1">
        <f>IFERROR(__xludf.DUMMYFUNCTION("""COMPUTED_VALUE"""),57.0)</f>
        <v>57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 t="str">
        <f>IFERROR(__xludf.DUMMYFUNCTION("""COMPUTED_VALUE"""),"B")</f>
        <v>B</v>
      </c>
      <c r="E877" s="1">
        <f>IFERROR(__xludf.DUMMYFUNCTION("""COMPUTED_VALUE"""),39.0)</f>
        <v>39</v>
      </c>
      <c r="F877" s="1">
        <f>IFERROR(__xludf.DUMMYFUNCTION("""COMPUTED_VALUE"""),36.0)</f>
        <v>36</v>
      </c>
      <c r="G877" s="1">
        <f>IFERROR(__xludf.DUMMYFUNCTION("""COMPUTED_VALUE"""),55.0)</f>
        <v>55</v>
      </c>
      <c r="H877" s="1">
        <f>IFERROR(__xludf.DUMMYFUNCTION("""COMPUTED_VALUE"""),78.0)</f>
        <v>78</v>
      </c>
      <c r="I877" s="1">
        <f>IFERROR(__xludf.DUMMYFUNCTION("""COMPUTED_VALUE"""),75.0)</f>
        <v>75</v>
      </c>
      <c r="J877" s="1">
        <f>IFERROR(__xludf.DUMMYFUNCTION("""COMPUTED_VALUE"""),80.0)</f>
        <v>80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 t="str">
        <f>IFERROR(__xludf.DUMMYFUNCTION("""COMPUTED_VALUE"""),"C")</f>
        <v>C</v>
      </c>
      <c r="E878" s="1">
        <f>IFERROR(__xludf.DUMMYFUNCTION("""COMPUTED_VALUE"""),14.0)</f>
        <v>14</v>
      </c>
      <c r="F878" s="1">
        <f>IFERROR(__xludf.DUMMYFUNCTION("""COMPUTED_VALUE"""),63.0)</f>
        <v>63</v>
      </c>
      <c r="G878" s="1">
        <f>IFERROR(__xludf.DUMMYFUNCTION("""COMPUTED_VALUE"""),38.0)</f>
        <v>38</v>
      </c>
      <c r="H878" s="1">
        <f>IFERROR(__xludf.DUMMYFUNCTION("""COMPUTED_VALUE"""),77.0)</f>
        <v>77</v>
      </c>
      <c r="I878" s="1">
        <f>IFERROR(__xludf.DUMMYFUNCTION("""COMPUTED_VALUE"""),63.0)</f>
        <v>63</v>
      </c>
      <c r="J878" s="1">
        <f>IFERROR(__xludf.DUMMYFUNCTION("""COMPUTED_VALUE"""),94.0)</f>
        <v>94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 t="str">
        <f>IFERROR(__xludf.DUMMYFUNCTION("""COMPUTED_VALUE"""),"B")</f>
        <v>B</v>
      </c>
      <c r="E879" s="1">
        <f>IFERROR(__xludf.DUMMYFUNCTION("""COMPUTED_VALUE"""),26.0)</f>
        <v>26</v>
      </c>
      <c r="F879" s="1">
        <f>IFERROR(__xludf.DUMMYFUNCTION("""COMPUTED_VALUE"""),65.0)</f>
        <v>65</v>
      </c>
      <c r="G879" s="1">
        <f>IFERROR(__xludf.DUMMYFUNCTION("""COMPUTED_VALUE"""),67.0)</f>
        <v>67</v>
      </c>
      <c r="H879" s="1">
        <f>IFERROR(__xludf.DUMMYFUNCTION("""COMPUTED_VALUE"""),59.0)</f>
        <v>59</v>
      </c>
      <c r="I879" s="1">
        <f>IFERROR(__xludf.DUMMYFUNCTION("""COMPUTED_VALUE"""),28.0)</f>
        <v>28</v>
      </c>
      <c r="J879" s="1">
        <f>IFERROR(__xludf.DUMMYFUNCTION("""COMPUTED_VALUE"""),96.0)</f>
        <v>96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 t="str">
        <f>IFERROR(__xludf.DUMMYFUNCTION("""COMPUTED_VALUE"""),"B")</f>
        <v>B</v>
      </c>
      <c r="E880" s="1">
        <f>IFERROR(__xludf.DUMMYFUNCTION("""COMPUTED_VALUE"""),87.0)</f>
        <v>87</v>
      </c>
      <c r="F880" s="1">
        <f>IFERROR(__xludf.DUMMYFUNCTION("""COMPUTED_VALUE"""),59.0)</f>
        <v>59</v>
      </c>
      <c r="G880" s="1">
        <f>IFERROR(__xludf.DUMMYFUNCTION("""COMPUTED_VALUE"""),33.0)</f>
        <v>33</v>
      </c>
      <c r="H880" s="1">
        <f>IFERROR(__xludf.DUMMYFUNCTION("""COMPUTED_VALUE"""),89.0)</f>
        <v>89</v>
      </c>
      <c r="I880" s="1">
        <f>IFERROR(__xludf.DUMMYFUNCTION("""COMPUTED_VALUE"""),87.0)</f>
        <v>87</v>
      </c>
      <c r="J880" s="1">
        <f>IFERROR(__xludf.DUMMYFUNCTION("""COMPUTED_VALUE"""),49.0)</f>
        <v>49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 t="str">
        <f>IFERROR(__xludf.DUMMYFUNCTION("""COMPUTED_VALUE"""),"A")</f>
        <v>A</v>
      </c>
      <c r="E881" s="1">
        <f>IFERROR(__xludf.DUMMYFUNCTION("""COMPUTED_VALUE"""),46.0)</f>
        <v>46</v>
      </c>
      <c r="F881" s="1">
        <f>IFERROR(__xludf.DUMMYFUNCTION("""COMPUTED_VALUE"""),29.0)</f>
        <v>29</v>
      </c>
      <c r="G881" s="1">
        <f>IFERROR(__xludf.DUMMYFUNCTION("""COMPUTED_VALUE"""),28.0)</f>
        <v>28</v>
      </c>
      <c r="H881" s="1">
        <f>IFERROR(__xludf.DUMMYFUNCTION("""COMPUTED_VALUE"""),58.0)</f>
        <v>58</v>
      </c>
      <c r="I881" s="1">
        <f>IFERROR(__xludf.DUMMYFUNCTION("""COMPUTED_VALUE"""),94.0)</f>
        <v>94</v>
      </c>
      <c r="J881" s="1">
        <f>IFERROR(__xludf.DUMMYFUNCTION("""COMPUTED_VALUE"""),79.0)</f>
        <v>79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 t="str">
        <f>IFERROR(__xludf.DUMMYFUNCTION("""COMPUTED_VALUE"""),"D")</f>
        <v>D</v>
      </c>
      <c r="E882" s="1">
        <f>IFERROR(__xludf.DUMMYFUNCTION("""COMPUTED_VALUE"""),75.0)</f>
        <v>75</v>
      </c>
      <c r="F882" s="1">
        <f>IFERROR(__xludf.DUMMYFUNCTION("""COMPUTED_VALUE"""),22.0)</f>
        <v>22</v>
      </c>
      <c r="G882" s="1">
        <f>IFERROR(__xludf.DUMMYFUNCTION("""COMPUTED_VALUE"""),89.0)</f>
        <v>89</v>
      </c>
      <c r="H882" s="1">
        <f>IFERROR(__xludf.DUMMYFUNCTION("""COMPUTED_VALUE"""),77.0)</f>
        <v>77</v>
      </c>
      <c r="I882" s="1">
        <f>IFERROR(__xludf.DUMMYFUNCTION("""COMPUTED_VALUE"""),88.0)</f>
        <v>88</v>
      </c>
      <c r="J882" s="1">
        <f>IFERROR(__xludf.DUMMYFUNCTION("""COMPUTED_VALUE"""),52.0)</f>
        <v>52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 t="str">
        <f>IFERROR(__xludf.DUMMYFUNCTION("""COMPUTED_VALUE"""),"A")</f>
        <v>A</v>
      </c>
      <c r="E883" s="1">
        <f>IFERROR(__xludf.DUMMYFUNCTION("""COMPUTED_VALUE"""),22.0)</f>
        <v>22</v>
      </c>
      <c r="F883" s="1">
        <f>IFERROR(__xludf.DUMMYFUNCTION("""COMPUTED_VALUE"""),66.0)</f>
        <v>66</v>
      </c>
      <c r="G883" s="1">
        <f>IFERROR(__xludf.DUMMYFUNCTION("""COMPUTED_VALUE"""),84.0)</f>
        <v>84</v>
      </c>
      <c r="H883" s="1">
        <f>IFERROR(__xludf.DUMMYFUNCTION("""COMPUTED_VALUE"""),25.0)</f>
        <v>25</v>
      </c>
      <c r="I883" s="1">
        <f>IFERROR(__xludf.DUMMYFUNCTION("""COMPUTED_VALUE"""),27.0)</f>
        <v>27</v>
      </c>
      <c r="J883" s="1">
        <f>IFERROR(__xludf.DUMMYFUNCTION("""COMPUTED_VALUE"""),87.0)</f>
        <v>87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 t="str">
        <f>IFERROR(__xludf.DUMMYFUNCTION("""COMPUTED_VALUE"""),"D")</f>
        <v>D</v>
      </c>
      <c r="E884" s="1">
        <f>IFERROR(__xludf.DUMMYFUNCTION("""COMPUTED_VALUE"""),70.0)</f>
        <v>70</v>
      </c>
      <c r="F884" s="1">
        <f>IFERROR(__xludf.DUMMYFUNCTION("""COMPUTED_VALUE"""),60.0)</f>
        <v>60</v>
      </c>
      <c r="G884" s="1">
        <f>IFERROR(__xludf.DUMMYFUNCTION("""COMPUTED_VALUE"""),72.0)</f>
        <v>72</v>
      </c>
      <c r="H884" s="1">
        <f>IFERROR(__xludf.DUMMYFUNCTION("""COMPUTED_VALUE"""),39.0)</f>
        <v>39</v>
      </c>
      <c r="I884" s="1">
        <f>IFERROR(__xludf.DUMMYFUNCTION("""COMPUTED_VALUE"""),38.0)</f>
        <v>38</v>
      </c>
      <c r="J884" s="1">
        <f>IFERROR(__xludf.DUMMYFUNCTION("""COMPUTED_VALUE"""),60.0)</f>
        <v>60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 t="str">
        <f>IFERROR(__xludf.DUMMYFUNCTION("""COMPUTED_VALUE"""),"A")</f>
        <v>A</v>
      </c>
      <c r="E885" s="1">
        <f>IFERROR(__xludf.DUMMYFUNCTION("""COMPUTED_VALUE"""),53.0)</f>
        <v>53</v>
      </c>
      <c r="F885" s="1">
        <f>IFERROR(__xludf.DUMMYFUNCTION("""COMPUTED_VALUE"""),21.0)</f>
        <v>21</v>
      </c>
      <c r="G885" s="1">
        <f>IFERROR(__xludf.DUMMYFUNCTION("""COMPUTED_VALUE"""),33.0)</f>
        <v>33</v>
      </c>
      <c r="H885" s="1">
        <f>IFERROR(__xludf.DUMMYFUNCTION("""COMPUTED_VALUE"""),20.0)</f>
        <v>20</v>
      </c>
      <c r="I885" s="1">
        <f>IFERROR(__xludf.DUMMYFUNCTION("""COMPUTED_VALUE"""),27.0)</f>
        <v>27</v>
      </c>
      <c r="J885" s="1">
        <f>IFERROR(__xludf.DUMMYFUNCTION("""COMPUTED_VALUE"""),27.0)</f>
        <v>27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 t="str">
        <f>IFERROR(__xludf.DUMMYFUNCTION("""COMPUTED_VALUE"""),"A")</f>
        <v>A</v>
      </c>
      <c r="E886" s="1">
        <f>IFERROR(__xludf.DUMMYFUNCTION("""COMPUTED_VALUE"""),81.0)</f>
        <v>81</v>
      </c>
      <c r="F886" s="1">
        <f>IFERROR(__xludf.DUMMYFUNCTION("""COMPUTED_VALUE"""),81.0)</f>
        <v>81</v>
      </c>
      <c r="G886" s="1">
        <f>IFERROR(__xludf.DUMMYFUNCTION("""COMPUTED_VALUE"""),27.0)</f>
        <v>27</v>
      </c>
      <c r="H886" s="1">
        <f>IFERROR(__xludf.DUMMYFUNCTION("""COMPUTED_VALUE"""),79.0)</f>
        <v>79</v>
      </c>
      <c r="I886" s="1">
        <f>IFERROR(__xludf.DUMMYFUNCTION("""COMPUTED_VALUE"""),32.0)</f>
        <v>32</v>
      </c>
      <c r="J886" s="1">
        <f>IFERROR(__xludf.DUMMYFUNCTION("""COMPUTED_VALUE"""),87.0)</f>
        <v>87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 t="str">
        <f>IFERROR(__xludf.DUMMYFUNCTION("""COMPUTED_VALUE"""),"C")</f>
        <v>C</v>
      </c>
      <c r="E887" s="1">
        <f>IFERROR(__xludf.DUMMYFUNCTION("""COMPUTED_VALUE"""),74.0)</f>
        <v>74</v>
      </c>
      <c r="F887" s="1">
        <f>IFERROR(__xludf.DUMMYFUNCTION("""COMPUTED_VALUE"""),69.0)</f>
        <v>69</v>
      </c>
      <c r="G887" s="1">
        <f>IFERROR(__xludf.DUMMYFUNCTION("""COMPUTED_VALUE"""),72.0)</f>
        <v>72</v>
      </c>
      <c r="H887" s="1">
        <f>IFERROR(__xludf.DUMMYFUNCTION("""COMPUTED_VALUE"""),24.0)</f>
        <v>24</v>
      </c>
      <c r="I887" s="1">
        <f>IFERROR(__xludf.DUMMYFUNCTION("""COMPUTED_VALUE"""),48.0)</f>
        <v>48</v>
      </c>
      <c r="J887" s="1">
        <f>IFERROR(__xludf.DUMMYFUNCTION("""COMPUTED_VALUE"""),77.0)</f>
        <v>77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 t="str">
        <f>IFERROR(__xludf.DUMMYFUNCTION("""COMPUTED_VALUE"""),"D")</f>
        <v>D</v>
      </c>
      <c r="E888" s="1">
        <f>IFERROR(__xludf.DUMMYFUNCTION("""COMPUTED_VALUE"""),59.0)</f>
        <v>59</v>
      </c>
      <c r="F888" s="1">
        <f>IFERROR(__xludf.DUMMYFUNCTION("""COMPUTED_VALUE"""),38.0)</f>
        <v>38</v>
      </c>
      <c r="G888" s="1">
        <f>IFERROR(__xludf.DUMMYFUNCTION("""COMPUTED_VALUE"""),53.0)</f>
        <v>53</v>
      </c>
      <c r="H888" s="1">
        <f>IFERROR(__xludf.DUMMYFUNCTION("""COMPUTED_VALUE"""),25.0)</f>
        <v>25</v>
      </c>
      <c r="I888" s="1">
        <f>IFERROR(__xludf.DUMMYFUNCTION("""COMPUTED_VALUE"""),53.0)</f>
        <v>53</v>
      </c>
      <c r="J888" s="1">
        <f>IFERROR(__xludf.DUMMYFUNCTION("""COMPUTED_VALUE"""),96.0)</f>
        <v>96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 t="str">
        <f>IFERROR(__xludf.DUMMYFUNCTION("""COMPUTED_VALUE"""),"A")</f>
        <v>A</v>
      </c>
      <c r="E889" s="1">
        <f>IFERROR(__xludf.DUMMYFUNCTION("""COMPUTED_VALUE"""),89.0)</f>
        <v>89</v>
      </c>
      <c r="F889" s="1">
        <f>IFERROR(__xludf.DUMMYFUNCTION("""COMPUTED_VALUE"""),60.0)</f>
        <v>60</v>
      </c>
      <c r="G889" s="1">
        <f>IFERROR(__xludf.DUMMYFUNCTION("""COMPUTED_VALUE"""),66.0)</f>
        <v>66</v>
      </c>
      <c r="H889" s="1">
        <f>IFERROR(__xludf.DUMMYFUNCTION("""COMPUTED_VALUE"""),38.0)</f>
        <v>38</v>
      </c>
      <c r="I889" s="1">
        <f>IFERROR(__xludf.DUMMYFUNCTION("""COMPUTED_VALUE"""),37.0)</f>
        <v>37</v>
      </c>
      <c r="J889" s="1">
        <f>IFERROR(__xludf.DUMMYFUNCTION("""COMPUTED_VALUE"""),62.0)</f>
        <v>62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 t="str">
        <f>IFERROR(__xludf.DUMMYFUNCTION("""COMPUTED_VALUE"""),"B")</f>
        <v>B</v>
      </c>
      <c r="E890" s="1">
        <f>IFERROR(__xludf.DUMMYFUNCTION("""COMPUTED_VALUE"""),88.0)</f>
        <v>88</v>
      </c>
      <c r="F890" s="1">
        <f>IFERROR(__xludf.DUMMYFUNCTION("""COMPUTED_VALUE"""),71.0)</f>
        <v>71</v>
      </c>
      <c r="G890" s="1">
        <f>IFERROR(__xludf.DUMMYFUNCTION("""COMPUTED_VALUE"""),30.0)</f>
        <v>30</v>
      </c>
      <c r="H890" s="1">
        <f>IFERROR(__xludf.DUMMYFUNCTION("""COMPUTED_VALUE"""),34.0)</f>
        <v>34</v>
      </c>
      <c r="I890" s="1">
        <f>IFERROR(__xludf.DUMMYFUNCTION("""COMPUTED_VALUE"""),51.0)</f>
        <v>51</v>
      </c>
      <c r="J890" s="1">
        <f>IFERROR(__xludf.DUMMYFUNCTION("""COMPUTED_VALUE"""),70.0)</f>
        <v>70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 t="str">
        <f>IFERROR(__xludf.DUMMYFUNCTION("""COMPUTED_VALUE"""),"D")</f>
        <v>D</v>
      </c>
      <c r="E891" s="1">
        <f>IFERROR(__xludf.DUMMYFUNCTION("""COMPUTED_VALUE"""),62.0)</f>
        <v>62</v>
      </c>
      <c r="F891" s="1">
        <f>IFERROR(__xludf.DUMMYFUNCTION("""COMPUTED_VALUE"""),24.0)</f>
        <v>24</v>
      </c>
      <c r="G891" s="1">
        <f>IFERROR(__xludf.DUMMYFUNCTION("""COMPUTED_VALUE"""),25.0)</f>
        <v>25</v>
      </c>
      <c r="H891" s="1">
        <f>IFERROR(__xludf.DUMMYFUNCTION("""COMPUTED_VALUE"""),39.0)</f>
        <v>39</v>
      </c>
      <c r="I891" s="1">
        <f>IFERROR(__xludf.DUMMYFUNCTION("""COMPUTED_VALUE"""),28.0)</f>
        <v>28</v>
      </c>
      <c r="J891" s="1">
        <f>IFERROR(__xludf.DUMMYFUNCTION("""COMPUTED_VALUE"""),78.0)</f>
        <v>78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 t="str">
        <f>IFERROR(__xludf.DUMMYFUNCTION("""COMPUTED_VALUE"""),"C")</f>
        <v>C</v>
      </c>
      <c r="E892" s="1">
        <f>IFERROR(__xludf.DUMMYFUNCTION("""COMPUTED_VALUE"""),40.0)</f>
        <v>40</v>
      </c>
      <c r="F892" s="1">
        <f>IFERROR(__xludf.DUMMYFUNCTION("""COMPUTED_VALUE"""),73.0)</f>
        <v>73</v>
      </c>
      <c r="G892" s="1">
        <f>IFERROR(__xludf.DUMMYFUNCTION("""COMPUTED_VALUE"""),33.0)</f>
        <v>33</v>
      </c>
      <c r="H892" s="1">
        <f>IFERROR(__xludf.DUMMYFUNCTION("""COMPUTED_VALUE"""),70.0)</f>
        <v>70</v>
      </c>
      <c r="I892" s="1">
        <f>IFERROR(__xludf.DUMMYFUNCTION("""COMPUTED_VALUE"""),38.0)</f>
        <v>38</v>
      </c>
      <c r="J892" s="1">
        <f>IFERROR(__xludf.DUMMYFUNCTION("""COMPUTED_VALUE"""),35.0)</f>
        <v>35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 t="str">
        <f>IFERROR(__xludf.DUMMYFUNCTION("""COMPUTED_VALUE"""),"C")</f>
        <v>C</v>
      </c>
      <c r="E893" s="1">
        <f>IFERROR(__xludf.DUMMYFUNCTION("""COMPUTED_VALUE"""),51.0)</f>
        <v>51</v>
      </c>
      <c r="F893" s="1">
        <f>IFERROR(__xludf.DUMMYFUNCTION("""COMPUTED_VALUE"""),27.0)</f>
        <v>27</v>
      </c>
      <c r="G893" s="1">
        <f>IFERROR(__xludf.DUMMYFUNCTION("""COMPUTED_VALUE"""),34.0)</f>
        <v>34</v>
      </c>
      <c r="H893" s="1">
        <f>IFERROR(__xludf.DUMMYFUNCTION("""COMPUTED_VALUE"""),70.0)</f>
        <v>70</v>
      </c>
      <c r="I893" s="1">
        <f>IFERROR(__xludf.DUMMYFUNCTION("""COMPUTED_VALUE"""),46.0)</f>
        <v>46</v>
      </c>
      <c r="J893" s="1">
        <f>IFERROR(__xludf.DUMMYFUNCTION("""COMPUTED_VALUE"""),51.0)</f>
        <v>51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 t="str">
        <f>IFERROR(__xludf.DUMMYFUNCTION("""COMPUTED_VALUE"""),"A")</f>
        <v>A</v>
      </c>
      <c r="E894" s="1">
        <f>IFERROR(__xludf.DUMMYFUNCTION("""COMPUTED_VALUE"""),45.0)</f>
        <v>45</v>
      </c>
      <c r="F894" s="1">
        <f>IFERROR(__xludf.DUMMYFUNCTION("""COMPUTED_VALUE"""),86.0)</f>
        <v>86</v>
      </c>
      <c r="G894" s="1">
        <f>IFERROR(__xludf.DUMMYFUNCTION("""COMPUTED_VALUE"""),93.0)</f>
        <v>93</v>
      </c>
      <c r="H894" s="1">
        <f>IFERROR(__xludf.DUMMYFUNCTION("""COMPUTED_VALUE"""),20.0)</f>
        <v>20</v>
      </c>
      <c r="I894" s="1">
        <f>IFERROR(__xludf.DUMMYFUNCTION("""COMPUTED_VALUE"""),54.0)</f>
        <v>54</v>
      </c>
      <c r="J894" s="1">
        <f>IFERROR(__xludf.DUMMYFUNCTION("""COMPUTED_VALUE"""),41.0)</f>
        <v>41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 t="str">
        <f>IFERROR(__xludf.DUMMYFUNCTION("""COMPUTED_VALUE"""),"C")</f>
        <v>C</v>
      </c>
      <c r="E895" s="1">
        <f>IFERROR(__xludf.DUMMYFUNCTION("""COMPUTED_VALUE"""),30.0)</f>
        <v>30</v>
      </c>
      <c r="F895" s="1">
        <f>IFERROR(__xludf.DUMMYFUNCTION("""COMPUTED_VALUE"""),73.0)</f>
        <v>73</v>
      </c>
      <c r="G895" s="1">
        <f>IFERROR(__xludf.DUMMYFUNCTION("""COMPUTED_VALUE"""),49.0)</f>
        <v>49</v>
      </c>
      <c r="H895" s="1">
        <f>IFERROR(__xludf.DUMMYFUNCTION("""COMPUTED_VALUE"""),80.0)</f>
        <v>80</v>
      </c>
      <c r="I895" s="1">
        <f>IFERROR(__xludf.DUMMYFUNCTION("""COMPUTED_VALUE"""),89.0)</f>
        <v>89</v>
      </c>
      <c r="J895" s="1">
        <f>IFERROR(__xludf.DUMMYFUNCTION("""COMPUTED_VALUE"""),79.0)</f>
        <v>79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 t="str">
        <f>IFERROR(__xludf.DUMMYFUNCTION("""COMPUTED_VALUE"""),"B")</f>
        <v>B</v>
      </c>
      <c r="E896" s="1">
        <f>IFERROR(__xludf.DUMMYFUNCTION("""COMPUTED_VALUE"""),98.0)</f>
        <v>98</v>
      </c>
      <c r="F896" s="1">
        <f>IFERROR(__xludf.DUMMYFUNCTION("""COMPUTED_VALUE"""),83.0)</f>
        <v>83</v>
      </c>
      <c r="G896" s="1">
        <f>IFERROR(__xludf.DUMMYFUNCTION("""COMPUTED_VALUE"""),37.0)</f>
        <v>37</v>
      </c>
      <c r="H896" s="1">
        <f>IFERROR(__xludf.DUMMYFUNCTION("""COMPUTED_VALUE"""),99.0)</f>
        <v>99</v>
      </c>
      <c r="I896" s="1">
        <f>IFERROR(__xludf.DUMMYFUNCTION("""COMPUTED_VALUE"""),30.0)</f>
        <v>30</v>
      </c>
      <c r="J896" s="1">
        <f>IFERROR(__xludf.DUMMYFUNCTION("""COMPUTED_VALUE"""),86.0)</f>
        <v>86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 t="str">
        <f>IFERROR(__xludf.DUMMYFUNCTION("""COMPUTED_VALUE"""),"C")</f>
        <v>C</v>
      </c>
      <c r="E897" s="1">
        <f>IFERROR(__xludf.DUMMYFUNCTION("""COMPUTED_VALUE"""),65.0)</f>
        <v>65</v>
      </c>
      <c r="F897" s="1">
        <f>IFERROR(__xludf.DUMMYFUNCTION("""COMPUTED_VALUE"""),89.0)</f>
        <v>89</v>
      </c>
      <c r="G897" s="1">
        <f>IFERROR(__xludf.DUMMYFUNCTION("""COMPUTED_VALUE"""),87.0)</f>
        <v>87</v>
      </c>
      <c r="H897" s="1">
        <f>IFERROR(__xludf.DUMMYFUNCTION("""COMPUTED_VALUE"""),49.0)</f>
        <v>49</v>
      </c>
      <c r="I897" s="1">
        <f>IFERROR(__xludf.DUMMYFUNCTION("""COMPUTED_VALUE"""),45.0)</f>
        <v>45</v>
      </c>
      <c r="J897" s="1">
        <f>IFERROR(__xludf.DUMMYFUNCTION("""COMPUTED_VALUE"""),74.0)</f>
        <v>74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 t="str">
        <f>IFERROR(__xludf.DUMMYFUNCTION("""COMPUTED_VALUE"""),"B")</f>
        <v>B</v>
      </c>
      <c r="E898" s="1">
        <f>IFERROR(__xludf.DUMMYFUNCTION("""COMPUTED_VALUE"""),22.0)</f>
        <v>22</v>
      </c>
      <c r="F898" s="1">
        <f>IFERROR(__xludf.DUMMYFUNCTION("""COMPUTED_VALUE"""),51.0)</f>
        <v>51</v>
      </c>
      <c r="G898" s="1">
        <f>IFERROR(__xludf.DUMMYFUNCTION("""COMPUTED_VALUE"""),77.0)</f>
        <v>77</v>
      </c>
      <c r="H898" s="1">
        <f>IFERROR(__xludf.DUMMYFUNCTION("""COMPUTED_VALUE"""),91.0)</f>
        <v>91</v>
      </c>
      <c r="I898" s="1">
        <f>IFERROR(__xludf.DUMMYFUNCTION("""COMPUTED_VALUE"""),29.0)</f>
        <v>29</v>
      </c>
      <c r="J898" s="1">
        <f>IFERROR(__xludf.DUMMYFUNCTION("""COMPUTED_VALUE"""),63.0)</f>
        <v>63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 t="str">
        <f>IFERROR(__xludf.DUMMYFUNCTION("""COMPUTED_VALUE"""),"C")</f>
        <v>C</v>
      </c>
      <c r="E899" s="1">
        <f>IFERROR(__xludf.DUMMYFUNCTION("""COMPUTED_VALUE"""),73.0)</f>
        <v>73</v>
      </c>
      <c r="F899" s="1">
        <f>IFERROR(__xludf.DUMMYFUNCTION("""COMPUTED_VALUE"""),38.0)</f>
        <v>38</v>
      </c>
      <c r="G899" s="1">
        <f>IFERROR(__xludf.DUMMYFUNCTION("""COMPUTED_VALUE"""),40.0)</f>
        <v>40</v>
      </c>
      <c r="H899" s="1">
        <f>IFERROR(__xludf.DUMMYFUNCTION("""COMPUTED_VALUE"""),60.0)</f>
        <v>60</v>
      </c>
      <c r="I899" s="1">
        <f>IFERROR(__xludf.DUMMYFUNCTION("""COMPUTED_VALUE"""),71.0)</f>
        <v>71</v>
      </c>
      <c r="J899" s="1">
        <f>IFERROR(__xludf.DUMMYFUNCTION("""COMPUTED_VALUE"""),89.0)</f>
        <v>89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 t="str">
        <f>IFERROR(__xludf.DUMMYFUNCTION("""COMPUTED_VALUE"""),"A")</f>
        <v>A</v>
      </c>
      <c r="E900" s="1">
        <f>IFERROR(__xludf.DUMMYFUNCTION("""COMPUTED_VALUE"""),89.0)</f>
        <v>89</v>
      </c>
      <c r="F900" s="1">
        <f>IFERROR(__xludf.DUMMYFUNCTION("""COMPUTED_VALUE"""),91.0)</f>
        <v>91</v>
      </c>
      <c r="G900" s="1">
        <f>IFERROR(__xludf.DUMMYFUNCTION("""COMPUTED_VALUE"""),22.0)</f>
        <v>22</v>
      </c>
      <c r="H900" s="1">
        <f>IFERROR(__xludf.DUMMYFUNCTION("""COMPUTED_VALUE"""),92.0)</f>
        <v>92</v>
      </c>
      <c r="I900" s="1">
        <f>IFERROR(__xludf.DUMMYFUNCTION("""COMPUTED_VALUE"""),86.0)</f>
        <v>86</v>
      </c>
      <c r="J900" s="1">
        <f>IFERROR(__xludf.DUMMYFUNCTION("""COMPUTED_VALUE"""),91.0)</f>
        <v>91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 t="str">
        <f>IFERROR(__xludf.DUMMYFUNCTION("""COMPUTED_VALUE"""),"A")</f>
        <v>A</v>
      </c>
      <c r="E901" s="1">
        <f>IFERROR(__xludf.DUMMYFUNCTION("""COMPUTED_VALUE"""),44.0)</f>
        <v>44</v>
      </c>
      <c r="F901" s="1">
        <f>IFERROR(__xludf.DUMMYFUNCTION("""COMPUTED_VALUE"""),84.0)</f>
        <v>84</v>
      </c>
      <c r="G901" s="1">
        <f>IFERROR(__xludf.DUMMYFUNCTION("""COMPUTED_VALUE"""),50.0)</f>
        <v>50</v>
      </c>
      <c r="H901" s="1">
        <f>IFERROR(__xludf.DUMMYFUNCTION("""COMPUTED_VALUE"""),49.0)</f>
        <v>49</v>
      </c>
      <c r="I901" s="1">
        <f>IFERROR(__xludf.DUMMYFUNCTION("""COMPUTED_VALUE"""),26.0)</f>
        <v>26</v>
      </c>
      <c r="J901" s="1">
        <f>IFERROR(__xludf.DUMMYFUNCTION("""COMPUTED_VALUE"""),83.0)</f>
        <v>83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 t="str">
        <f>IFERROR(__xludf.DUMMYFUNCTION("""COMPUTED_VALUE"""),"D")</f>
        <v>D</v>
      </c>
      <c r="E902" s="1">
        <f>IFERROR(__xludf.DUMMYFUNCTION("""COMPUTED_VALUE"""),95.0)</f>
        <v>95</v>
      </c>
      <c r="F902" s="1">
        <f>IFERROR(__xludf.DUMMYFUNCTION("""COMPUTED_VALUE"""),65.0)</f>
        <v>65</v>
      </c>
      <c r="G902" s="1">
        <f>IFERROR(__xludf.DUMMYFUNCTION("""COMPUTED_VALUE"""),72.0)</f>
        <v>72</v>
      </c>
      <c r="H902" s="1">
        <f>IFERROR(__xludf.DUMMYFUNCTION("""COMPUTED_VALUE"""),71.0)</f>
        <v>71</v>
      </c>
      <c r="I902" s="1">
        <f>IFERROR(__xludf.DUMMYFUNCTION("""COMPUTED_VALUE"""),81.0)</f>
        <v>81</v>
      </c>
      <c r="J902" s="1">
        <f>IFERROR(__xludf.DUMMYFUNCTION("""COMPUTED_VALUE"""),37.0)</f>
        <v>37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 t="str">
        <f>IFERROR(__xludf.DUMMYFUNCTION("""COMPUTED_VALUE"""),"B")</f>
        <v>B</v>
      </c>
      <c r="E903" s="1">
        <f>IFERROR(__xludf.DUMMYFUNCTION("""COMPUTED_VALUE"""),32.0)</f>
        <v>32</v>
      </c>
      <c r="F903" s="1">
        <f>IFERROR(__xludf.DUMMYFUNCTION("""COMPUTED_VALUE"""),26.0)</f>
        <v>26</v>
      </c>
      <c r="G903" s="1">
        <f>IFERROR(__xludf.DUMMYFUNCTION("""COMPUTED_VALUE"""),30.0)</f>
        <v>30</v>
      </c>
      <c r="H903" s="1">
        <f>IFERROR(__xludf.DUMMYFUNCTION("""COMPUTED_VALUE"""),80.0)</f>
        <v>80</v>
      </c>
      <c r="I903" s="1">
        <f>IFERROR(__xludf.DUMMYFUNCTION("""COMPUTED_VALUE"""),67.0)</f>
        <v>67</v>
      </c>
      <c r="J903" s="1">
        <f>IFERROR(__xludf.DUMMYFUNCTION("""COMPUTED_VALUE"""),42.0)</f>
        <v>42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 t="str">
        <f>IFERROR(__xludf.DUMMYFUNCTION("""COMPUTED_VALUE"""),"C")</f>
        <v>C</v>
      </c>
      <c r="E904" s="1">
        <f>IFERROR(__xludf.DUMMYFUNCTION("""COMPUTED_VALUE"""),100.0)</f>
        <v>100</v>
      </c>
      <c r="F904" s="1">
        <f>IFERROR(__xludf.DUMMYFUNCTION("""COMPUTED_VALUE"""),31.0)</f>
        <v>31</v>
      </c>
      <c r="G904" s="1">
        <f>IFERROR(__xludf.DUMMYFUNCTION("""COMPUTED_VALUE"""),77.0)</f>
        <v>77</v>
      </c>
      <c r="H904" s="1">
        <f>IFERROR(__xludf.DUMMYFUNCTION("""COMPUTED_VALUE"""),34.0)</f>
        <v>34</v>
      </c>
      <c r="I904" s="1">
        <f>IFERROR(__xludf.DUMMYFUNCTION("""COMPUTED_VALUE"""),77.0)</f>
        <v>77</v>
      </c>
      <c r="J904" s="1">
        <f>IFERROR(__xludf.DUMMYFUNCTION("""COMPUTED_VALUE"""),66.0)</f>
        <v>66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 t="str">
        <f>IFERROR(__xludf.DUMMYFUNCTION("""COMPUTED_VALUE"""),"A")</f>
        <v>A</v>
      </c>
      <c r="E905" s="1">
        <f>IFERROR(__xludf.DUMMYFUNCTION("""COMPUTED_VALUE"""),84.0)</f>
        <v>84</v>
      </c>
      <c r="F905" s="1">
        <f>IFERROR(__xludf.DUMMYFUNCTION("""COMPUTED_VALUE"""),80.0)</f>
        <v>80</v>
      </c>
      <c r="G905" s="1">
        <f>IFERROR(__xludf.DUMMYFUNCTION("""COMPUTED_VALUE"""),23.0)</f>
        <v>23</v>
      </c>
      <c r="H905" s="1">
        <f>IFERROR(__xludf.DUMMYFUNCTION("""COMPUTED_VALUE"""),71.0)</f>
        <v>71</v>
      </c>
      <c r="I905" s="1">
        <f>IFERROR(__xludf.DUMMYFUNCTION("""COMPUTED_VALUE"""),34.0)</f>
        <v>34</v>
      </c>
      <c r="J905" s="1">
        <f>IFERROR(__xludf.DUMMYFUNCTION("""COMPUTED_VALUE"""),25.0)</f>
        <v>25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 t="str">
        <f>IFERROR(__xludf.DUMMYFUNCTION("""COMPUTED_VALUE"""),"B")</f>
        <v>B</v>
      </c>
      <c r="E906" s="1">
        <f>IFERROR(__xludf.DUMMYFUNCTION("""COMPUTED_VALUE"""),30.0)</f>
        <v>30</v>
      </c>
      <c r="F906" s="1">
        <f>IFERROR(__xludf.DUMMYFUNCTION("""COMPUTED_VALUE"""),37.0)</f>
        <v>37</v>
      </c>
      <c r="G906" s="1">
        <f>IFERROR(__xludf.DUMMYFUNCTION("""COMPUTED_VALUE"""),83.0)</f>
        <v>83</v>
      </c>
      <c r="H906" s="1">
        <f>IFERROR(__xludf.DUMMYFUNCTION("""COMPUTED_VALUE"""),54.0)</f>
        <v>54</v>
      </c>
      <c r="I906" s="1">
        <f>IFERROR(__xludf.DUMMYFUNCTION("""COMPUTED_VALUE"""),37.0)</f>
        <v>37</v>
      </c>
      <c r="J906" s="1">
        <f>IFERROR(__xludf.DUMMYFUNCTION("""COMPUTED_VALUE"""),33.0)</f>
        <v>33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 t="str">
        <f>IFERROR(__xludf.DUMMYFUNCTION("""COMPUTED_VALUE"""),"C")</f>
        <v>C</v>
      </c>
      <c r="E907" s="1">
        <f>IFERROR(__xludf.DUMMYFUNCTION("""COMPUTED_VALUE"""),79.0)</f>
        <v>79</v>
      </c>
      <c r="F907" s="1">
        <f>IFERROR(__xludf.DUMMYFUNCTION("""COMPUTED_VALUE"""),30.0)</f>
        <v>30</v>
      </c>
      <c r="G907" s="1">
        <f>IFERROR(__xludf.DUMMYFUNCTION("""COMPUTED_VALUE"""),58.0)</f>
        <v>58</v>
      </c>
      <c r="H907" s="1">
        <f>IFERROR(__xludf.DUMMYFUNCTION("""COMPUTED_VALUE"""),96.0)</f>
        <v>96</v>
      </c>
      <c r="I907" s="1">
        <f>IFERROR(__xludf.DUMMYFUNCTION("""COMPUTED_VALUE"""),80.0)</f>
        <v>80</v>
      </c>
      <c r="J907" s="1">
        <f>IFERROR(__xludf.DUMMYFUNCTION("""COMPUTED_VALUE"""),36.0)</f>
        <v>36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 t="str">
        <f>IFERROR(__xludf.DUMMYFUNCTION("""COMPUTED_VALUE"""),"C")</f>
        <v>C</v>
      </c>
      <c r="E908" s="1">
        <f>IFERROR(__xludf.DUMMYFUNCTION("""COMPUTED_VALUE"""),83.0)</f>
        <v>83</v>
      </c>
      <c r="F908" s="1">
        <f>IFERROR(__xludf.DUMMYFUNCTION("""COMPUTED_VALUE"""),85.0)</f>
        <v>85</v>
      </c>
      <c r="G908" s="1">
        <f>IFERROR(__xludf.DUMMYFUNCTION("""COMPUTED_VALUE"""),58.0)</f>
        <v>58</v>
      </c>
      <c r="H908" s="1">
        <f>IFERROR(__xludf.DUMMYFUNCTION("""COMPUTED_VALUE"""),40.0)</f>
        <v>40</v>
      </c>
      <c r="I908" s="1">
        <f>IFERROR(__xludf.DUMMYFUNCTION("""COMPUTED_VALUE"""),77.0)</f>
        <v>77</v>
      </c>
      <c r="J908" s="1">
        <f>IFERROR(__xludf.DUMMYFUNCTION("""COMPUTED_VALUE"""),53.0)</f>
        <v>53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 t="str">
        <f>IFERROR(__xludf.DUMMYFUNCTION("""COMPUTED_VALUE"""),"B")</f>
        <v>B</v>
      </c>
      <c r="E909" s="1">
        <f>IFERROR(__xludf.DUMMYFUNCTION("""COMPUTED_VALUE"""),66.0)</f>
        <v>66</v>
      </c>
      <c r="F909" s="1">
        <f>IFERROR(__xludf.DUMMYFUNCTION("""COMPUTED_VALUE"""),25.0)</f>
        <v>25</v>
      </c>
      <c r="G909" s="1">
        <f>IFERROR(__xludf.DUMMYFUNCTION("""COMPUTED_VALUE"""),35.0)</f>
        <v>35</v>
      </c>
      <c r="H909" s="1">
        <f>IFERROR(__xludf.DUMMYFUNCTION("""COMPUTED_VALUE"""),47.0)</f>
        <v>47</v>
      </c>
      <c r="I909" s="1">
        <f>IFERROR(__xludf.DUMMYFUNCTION("""COMPUTED_VALUE"""),31.0)</f>
        <v>31</v>
      </c>
      <c r="J909" s="1">
        <f>IFERROR(__xludf.DUMMYFUNCTION("""COMPUTED_VALUE"""),86.0)</f>
        <v>86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 t="str">
        <f>IFERROR(__xludf.DUMMYFUNCTION("""COMPUTED_VALUE"""),"B")</f>
        <v>B</v>
      </c>
      <c r="E910" s="1">
        <f>IFERROR(__xludf.DUMMYFUNCTION("""COMPUTED_VALUE"""),26.0)</f>
        <v>26</v>
      </c>
      <c r="F910" s="1">
        <f>IFERROR(__xludf.DUMMYFUNCTION("""COMPUTED_VALUE"""),37.0)</f>
        <v>37</v>
      </c>
      <c r="G910" s="1">
        <f>IFERROR(__xludf.DUMMYFUNCTION("""COMPUTED_VALUE"""),21.0)</f>
        <v>21</v>
      </c>
      <c r="H910" s="1">
        <f>IFERROR(__xludf.DUMMYFUNCTION("""COMPUTED_VALUE"""),25.0)</f>
        <v>25</v>
      </c>
      <c r="I910" s="1">
        <f>IFERROR(__xludf.DUMMYFUNCTION("""COMPUTED_VALUE"""),27.0)</f>
        <v>27</v>
      </c>
      <c r="J910" s="1">
        <f>IFERROR(__xludf.DUMMYFUNCTION("""COMPUTED_VALUE"""),77.0)</f>
        <v>77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 t="str">
        <f>IFERROR(__xludf.DUMMYFUNCTION("""COMPUTED_VALUE"""),"B")</f>
        <v>B</v>
      </c>
      <c r="E911" s="1">
        <f>IFERROR(__xludf.DUMMYFUNCTION("""COMPUTED_VALUE"""),57.0)</f>
        <v>57</v>
      </c>
      <c r="F911" s="1">
        <f>IFERROR(__xludf.DUMMYFUNCTION("""COMPUTED_VALUE"""),82.0)</f>
        <v>82</v>
      </c>
      <c r="G911" s="1">
        <f>IFERROR(__xludf.DUMMYFUNCTION("""COMPUTED_VALUE"""),76.0)</f>
        <v>76</v>
      </c>
      <c r="H911" s="1">
        <f>IFERROR(__xludf.DUMMYFUNCTION("""COMPUTED_VALUE"""),64.0)</f>
        <v>64</v>
      </c>
      <c r="I911" s="1">
        <f>IFERROR(__xludf.DUMMYFUNCTION("""COMPUTED_VALUE"""),89.0)</f>
        <v>89</v>
      </c>
      <c r="J911" s="1">
        <f>IFERROR(__xludf.DUMMYFUNCTION("""COMPUTED_VALUE"""),33.0)</f>
        <v>33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 t="str">
        <f>IFERROR(__xludf.DUMMYFUNCTION("""COMPUTED_VALUE"""),"D")</f>
        <v>D</v>
      </c>
      <c r="E912" s="1">
        <f>IFERROR(__xludf.DUMMYFUNCTION("""COMPUTED_VALUE"""),84.0)</f>
        <v>84</v>
      </c>
      <c r="F912" s="1">
        <f>IFERROR(__xludf.DUMMYFUNCTION("""COMPUTED_VALUE"""),64.0)</f>
        <v>64</v>
      </c>
      <c r="G912" s="1">
        <f>IFERROR(__xludf.DUMMYFUNCTION("""COMPUTED_VALUE"""),89.0)</f>
        <v>89</v>
      </c>
      <c r="H912" s="1">
        <f>IFERROR(__xludf.DUMMYFUNCTION("""COMPUTED_VALUE"""),39.0)</f>
        <v>39</v>
      </c>
      <c r="I912" s="1">
        <f>IFERROR(__xludf.DUMMYFUNCTION("""COMPUTED_VALUE"""),56.0)</f>
        <v>56</v>
      </c>
      <c r="J912" s="1">
        <f>IFERROR(__xludf.DUMMYFUNCTION("""COMPUTED_VALUE"""),85.0)</f>
        <v>85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 t="str">
        <f>IFERROR(__xludf.DUMMYFUNCTION("""COMPUTED_VALUE"""),"B")</f>
        <v>B</v>
      </c>
      <c r="E913" s="1">
        <f>IFERROR(__xludf.DUMMYFUNCTION("""COMPUTED_VALUE"""),18.0)</f>
        <v>18</v>
      </c>
      <c r="F913" s="1">
        <f>IFERROR(__xludf.DUMMYFUNCTION("""COMPUTED_VALUE"""),63.0)</f>
        <v>63</v>
      </c>
      <c r="G913" s="1">
        <f>IFERROR(__xludf.DUMMYFUNCTION("""COMPUTED_VALUE"""),53.0)</f>
        <v>53</v>
      </c>
      <c r="H913" s="1">
        <f>IFERROR(__xludf.DUMMYFUNCTION("""COMPUTED_VALUE"""),75.0)</f>
        <v>75</v>
      </c>
      <c r="I913" s="1">
        <f>IFERROR(__xludf.DUMMYFUNCTION("""COMPUTED_VALUE"""),28.0)</f>
        <v>28</v>
      </c>
      <c r="J913" s="1">
        <f>IFERROR(__xludf.DUMMYFUNCTION("""COMPUTED_VALUE"""),48.0)</f>
        <v>48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 t="str">
        <f>IFERROR(__xludf.DUMMYFUNCTION("""COMPUTED_VALUE"""),"C")</f>
        <v>C</v>
      </c>
      <c r="E914" s="1">
        <f>IFERROR(__xludf.DUMMYFUNCTION("""COMPUTED_VALUE"""),31.0)</f>
        <v>31</v>
      </c>
      <c r="F914" s="1">
        <f>IFERROR(__xludf.DUMMYFUNCTION("""COMPUTED_VALUE"""),63.0)</f>
        <v>63</v>
      </c>
      <c r="G914" s="1">
        <f>IFERROR(__xludf.DUMMYFUNCTION("""COMPUTED_VALUE"""),84.0)</f>
        <v>84</v>
      </c>
      <c r="H914" s="1">
        <f>IFERROR(__xludf.DUMMYFUNCTION("""COMPUTED_VALUE"""),61.0)</f>
        <v>61</v>
      </c>
      <c r="I914" s="1">
        <f>IFERROR(__xludf.DUMMYFUNCTION("""COMPUTED_VALUE"""),31.0)</f>
        <v>31</v>
      </c>
      <c r="J914" s="1">
        <f>IFERROR(__xludf.DUMMYFUNCTION("""COMPUTED_VALUE"""),90.0)</f>
        <v>90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 t="str">
        <f>IFERROR(__xludf.DUMMYFUNCTION("""COMPUTED_VALUE"""),"A")</f>
        <v>A</v>
      </c>
      <c r="E915" s="1">
        <f>IFERROR(__xludf.DUMMYFUNCTION("""COMPUTED_VALUE"""),91.0)</f>
        <v>91</v>
      </c>
      <c r="F915" s="1">
        <f>IFERROR(__xludf.DUMMYFUNCTION("""COMPUTED_VALUE"""),32.0)</f>
        <v>32</v>
      </c>
      <c r="G915" s="1">
        <f>IFERROR(__xludf.DUMMYFUNCTION("""COMPUTED_VALUE"""),89.0)</f>
        <v>89</v>
      </c>
      <c r="H915" s="1">
        <f>IFERROR(__xludf.DUMMYFUNCTION("""COMPUTED_VALUE"""),91.0)</f>
        <v>91</v>
      </c>
      <c r="I915" s="1">
        <f>IFERROR(__xludf.DUMMYFUNCTION("""COMPUTED_VALUE"""),68.0)</f>
        <v>68</v>
      </c>
      <c r="J915" s="1">
        <f>IFERROR(__xludf.DUMMYFUNCTION("""COMPUTED_VALUE"""),64.0)</f>
        <v>64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 t="str">
        <f>IFERROR(__xludf.DUMMYFUNCTION("""COMPUTED_VALUE"""),"C")</f>
        <v>C</v>
      </c>
      <c r="E916" s="1">
        <f>IFERROR(__xludf.DUMMYFUNCTION("""COMPUTED_VALUE"""),17.0)</f>
        <v>17</v>
      </c>
      <c r="F916" s="1">
        <f>IFERROR(__xludf.DUMMYFUNCTION("""COMPUTED_VALUE"""),29.0)</f>
        <v>29</v>
      </c>
      <c r="G916" s="1">
        <f>IFERROR(__xludf.DUMMYFUNCTION("""COMPUTED_VALUE"""),60.0)</f>
        <v>60</v>
      </c>
      <c r="H916" s="1">
        <f>IFERROR(__xludf.DUMMYFUNCTION("""COMPUTED_VALUE"""),43.0)</f>
        <v>43</v>
      </c>
      <c r="I916" s="1">
        <f>IFERROR(__xludf.DUMMYFUNCTION("""COMPUTED_VALUE"""),23.0)</f>
        <v>23</v>
      </c>
      <c r="J916" s="1">
        <f>IFERROR(__xludf.DUMMYFUNCTION("""COMPUTED_VALUE"""),34.0)</f>
        <v>34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 t="str">
        <f>IFERROR(__xludf.DUMMYFUNCTION("""COMPUTED_VALUE"""),"A")</f>
        <v>A</v>
      </c>
      <c r="E917" s="1">
        <f>IFERROR(__xludf.DUMMYFUNCTION("""COMPUTED_VALUE"""),71.0)</f>
        <v>71</v>
      </c>
      <c r="F917" s="1">
        <f>IFERROR(__xludf.DUMMYFUNCTION("""COMPUTED_VALUE"""),56.0)</f>
        <v>56</v>
      </c>
      <c r="G917" s="1">
        <f>IFERROR(__xludf.DUMMYFUNCTION("""COMPUTED_VALUE"""),40.0)</f>
        <v>40</v>
      </c>
      <c r="H917" s="1">
        <f>IFERROR(__xludf.DUMMYFUNCTION("""COMPUTED_VALUE"""),60.0)</f>
        <v>60</v>
      </c>
      <c r="I917" s="1">
        <f>IFERROR(__xludf.DUMMYFUNCTION("""COMPUTED_VALUE"""),85.0)</f>
        <v>85</v>
      </c>
      <c r="J917" s="1">
        <f>IFERROR(__xludf.DUMMYFUNCTION("""COMPUTED_VALUE"""),41.0)</f>
        <v>41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 t="str">
        <f>IFERROR(__xludf.DUMMYFUNCTION("""COMPUTED_VALUE"""),"B")</f>
        <v>B</v>
      </c>
      <c r="E918" s="1">
        <f>IFERROR(__xludf.DUMMYFUNCTION("""COMPUTED_VALUE"""),27.0)</f>
        <v>27</v>
      </c>
      <c r="F918" s="1">
        <f>IFERROR(__xludf.DUMMYFUNCTION("""COMPUTED_VALUE"""),22.0)</f>
        <v>22</v>
      </c>
      <c r="G918" s="1">
        <f>IFERROR(__xludf.DUMMYFUNCTION("""COMPUTED_VALUE"""),35.0)</f>
        <v>35</v>
      </c>
      <c r="H918" s="1">
        <f>IFERROR(__xludf.DUMMYFUNCTION("""COMPUTED_VALUE"""),22.0)</f>
        <v>22</v>
      </c>
      <c r="I918" s="1">
        <f>IFERROR(__xludf.DUMMYFUNCTION("""COMPUTED_VALUE"""),25.0)</f>
        <v>25</v>
      </c>
      <c r="J918" s="1">
        <f>IFERROR(__xludf.DUMMYFUNCTION("""COMPUTED_VALUE"""),79.0)</f>
        <v>79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 t="str">
        <f>IFERROR(__xludf.DUMMYFUNCTION("""COMPUTED_VALUE"""),"A")</f>
        <v>A</v>
      </c>
      <c r="E919" s="1">
        <f>IFERROR(__xludf.DUMMYFUNCTION("""COMPUTED_VALUE"""),36.0)</f>
        <v>36</v>
      </c>
      <c r="F919" s="1">
        <f>IFERROR(__xludf.DUMMYFUNCTION("""COMPUTED_VALUE"""),86.0)</f>
        <v>86</v>
      </c>
      <c r="G919" s="1">
        <f>IFERROR(__xludf.DUMMYFUNCTION("""COMPUTED_VALUE"""),28.0)</f>
        <v>28</v>
      </c>
      <c r="H919" s="1">
        <f>IFERROR(__xludf.DUMMYFUNCTION("""COMPUTED_VALUE"""),74.0)</f>
        <v>74</v>
      </c>
      <c r="I919" s="1">
        <f>IFERROR(__xludf.DUMMYFUNCTION("""COMPUTED_VALUE"""),76.0)</f>
        <v>76</v>
      </c>
      <c r="J919" s="1">
        <f>IFERROR(__xludf.DUMMYFUNCTION("""COMPUTED_VALUE"""),93.0)</f>
        <v>93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 t="str">
        <f>IFERROR(__xludf.DUMMYFUNCTION("""COMPUTED_VALUE"""),"A")</f>
        <v>A</v>
      </c>
      <c r="E920" s="1">
        <f>IFERROR(__xludf.DUMMYFUNCTION("""COMPUTED_VALUE"""),13.0)</f>
        <v>13</v>
      </c>
      <c r="F920" s="1">
        <f>IFERROR(__xludf.DUMMYFUNCTION("""COMPUTED_VALUE"""),47.0)</f>
        <v>47</v>
      </c>
      <c r="G920" s="1">
        <f>IFERROR(__xludf.DUMMYFUNCTION("""COMPUTED_VALUE"""),56.0)</f>
        <v>56</v>
      </c>
      <c r="H920" s="1">
        <f>IFERROR(__xludf.DUMMYFUNCTION("""COMPUTED_VALUE"""),60.0)</f>
        <v>60</v>
      </c>
      <c r="I920" s="1">
        <f>IFERROR(__xludf.DUMMYFUNCTION("""COMPUTED_VALUE"""),95.0)</f>
        <v>95</v>
      </c>
      <c r="J920" s="1">
        <f>IFERROR(__xludf.DUMMYFUNCTION("""COMPUTED_VALUE"""),68.0)</f>
        <v>68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 t="str">
        <f>IFERROR(__xludf.DUMMYFUNCTION("""COMPUTED_VALUE"""),"A")</f>
        <v>A</v>
      </c>
      <c r="E921" s="1">
        <f>IFERROR(__xludf.DUMMYFUNCTION("""COMPUTED_VALUE"""),30.0)</f>
        <v>30</v>
      </c>
      <c r="F921" s="1">
        <f>IFERROR(__xludf.DUMMYFUNCTION("""COMPUTED_VALUE"""),49.0)</f>
        <v>49</v>
      </c>
      <c r="G921" s="1">
        <f>IFERROR(__xludf.DUMMYFUNCTION("""COMPUTED_VALUE"""),41.0)</f>
        <v>41</v>
      </c>
      <c r="H921" s="1">
        <f>IFERROR(__xludf.DUMMYFUNCTION("""COMPUTED_VALUE"""),75.0)</f>
        <v>75</v>
      </c>
      <c r="I921" s="1">
        <f>IFERROR(__xludf.DUMMYFUNCTION("""COMPUTED_VALUE"""),95.0)</f>
        <v>95</v>
      </c>
      <c r="J921" s="1">
        <f>IFERROR(__xludf.DUMMYFUNCTION("""COMPUTED_VALUE"""),50.0)</f>
        <v>50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 t="str">
        <f>IFERROR(__xludf.DUMMYFUNCTION("""COMPUTED_VALUE"""),"D")</f>
        <v>D</v>
      </c>
      <c r="E922" s="1">
        <f>IFERROR(__xludf.DUMMYFUNCTION("""COMPUTED_VALUE"""),21.0)</f>
        <v>21</v>
      </c>
      <c r="F922" s="1">
        <f>IFERROR(__xludf.DUMMYFUNCTION("""COMPUTED_VALUE"""),47.0)</f>
        <v>47</v>
      </c>
      <c r="G922" s="1">
        <f>IFERROR(__xludf.DUMMYFUNCTION("""COMPUTED_VALUE"""),44.0)</f>
        <v>44</v>
      </c>
      <c r="H922" s="1">
        <f>IFERROR(__xludf.DUMMYFUNCTION("""COMPUTED_VALUE"""),86.0)</f>
        <v>86</v>
      </c>
      <c r="I922" s="1">
        <f>IFERROR(__xludf.DUMMYFUNCTION("""COMPUTED_VALUE"""),89.0)</f>
        <v>89</v>
      </c>
      <c r="J922" s="1">
        <f>IFERROR(__xludf.DUMMYFUNCTION("""COMPUTED_VALUE"""),73.0)</f>
        <v>73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 t="str">
        <f>IFERROR(__xludf.DUMMYFUNCTION("""COMPUTED_VALUE"""),"B")</f>
        <v>B</v>
      </c>
      <c r="E923" s="1">
        <f>IFERROR(__xludf.DUMMYFUNCTION("""COMPUTED_VALUE"""),70.0)</f>
        <v>70</v>
      </c>
      <c r="F923" s="1">
        <f>IFERROR(__xludf.DUMMYFUNCTION("""COMPUTED_VALUE"""),37.0)</f>
        <v>37</v>
      </c>
      <c r="G923" s="1">
        <f>IFERROR(__xludf.DUMMYFUNCTION("""COMPUTED_VALUE"""),40.0)</f>
        <v>40</v>
      </c>
      <c r="H923" s="1">
        <f>IFERROR(__xludf.DUMMYFUNCTION("""COMPUTED_VALUE"""),77.0)</f>
        <v>77</v>
      </c>
      <c r="I923" s="1">
        <f>IFERROR(__xludf.DUMMYFUNCTION("""COMPUTED_VALUE"""),73.0)</f>
        <v>73</v>
      </c>
      <c r="J923" s="1">
        <f>IFERROR(__xludf.DUMMYFUNCTION("""COMPUTED_VALUE"""),54.0)</f>
        <v>54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 t="str">
        <f>IFERROR(__xludf.DUMMYFUNCTION("""COMPUTED_VALUE"""),"B")</f>
        <v>B</v>
      </c>
      <c r="E924" s="1">
        <f>IFERROR(__xludf.DUMMYFUNCTION("""COMPUTED_VALUE"""),81.0)</f>
        <v>81</v>
      </c>
      <c r="F924" s="1">
        <f>IFERROR(__xludf.DUMMYFUNCTION("""COMPUTED_VALUE"""),69.0)</f>
        <v>69</v>
      </c>
      <c r="G924" s="1">
        <f>IFERROR(__xludf.DUMMYFUNCTION("""COMPUTED_VALUE"""),87.0)</f>
        <v>87</v>
      </c>
      <c r="H924" s="1">
        <f>IFERROR(__xludf.DUMMYFUNCTION("""COMPUTED_VALUE"""),79.0)</f>
        <v>79</v>
      </c>
      <c r="I924" s="1">
        <f>IFERROR(__xludf.DUMMYFUNCTION("""COMPUTED_VALUE"""),88.0)</f>
        <v>88</v>
      </c>
      <c r="J924" s="1">
        <f>IFERROR(__xludf.DUMMYFUNCTION("""COMPUTED_VALUE"""),25.0)</f>
        <v>25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 t="str">
        <f>IFERROR(__xludf.DUMMYFUNCTION("""COMPUTED_VALUE"""),"B")</f>
        <v>B</v>
      </c>
      <c r="E925" s="1">
        <f>IFERROR(__xludf.DUMMYFUNCTION("""COMPUTED_VALUE"""),92.0)</f>
        <v>92</v>
      </c>
      <c r="F925" s="1">
        <f>IFERROR(__xludf.DUMMYFUNCTION("""COMPUTED_VALUE"""),75.0)</f>
        <v>75</v>
      </c>
      <c r="G925" s="1">
        <f>IFERROR(__xludf.DUMMYFUNCTION("""COMPUTED_VALUE"""),86.0)</f>
        <v>86</v>
      </c>
      <c r="H925" s="1">
        <f>IFERROR(__xludf.DUMMYFUNCTION("""COMPUTED_VALUE"""),47.0)</f>
        <v>47</v>
      </c>
      <c r="I925" s="1">
        <f>IFERROR(__xludf.DUMMYFUNCTION("""COMPUTED_VALUE"""),40.0)</f>
        <v>40</v>
      </c>
      <c r="J925" s="1">
        <f>IFERROR(__xludf.DUMMYFUNCTION("""COMPUTED_VALUE"""),46.0)</f>
        <v>46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 t="str">
        <f>IFERROR(__xludf.DUMMYFUNCTION("""COMPUTED_VALUE"""),"A")</f>
        <v>A</v>
      </c>
      <c r="E926" s="1">
        <f>IFERROR(__xludf.DUMMYFUNCTION("""COMPUTED_VALUE"""),81.0)</f>
        <v>81</v>
      </c>
      <c r="F926" s="1">
        <f>IFERROR(__xludf.DUMMYFUNCTION("""COMPUTED_VALUE"""),91.0)</f>
        <v>91</v>
      </c>
      <c r="G926" s="1">
        <f>IFERROR(__xludf.DUMMYFUNCTION("""COMPUTED_VALUE"""),70.0)</f>
        <v>70</v>
      </c>
      <c r="H926" s="1">
        <f>IFERROR(__xludf.DUMMYFUNCTION("""COMPUTED_VALUE"""),68.0)</f>
        <v>68</v>
      </c>
      <c r="I926" s="1">
        <f>IFERROR(__xludf.DUMMYFUNCTION("""COMPUTED_VALUE"""),59.0)</f>
        <v>59</v>
      </c>
      <c r="J926" s="1">
        <f>IFERROR(__xludf.DUMMYFUNCTION("""COMPUTED_VALUE"""),84.0)</f>
        <v>84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 t="str">
        <f>IFERROR(__xludf.DUMMYFUNCTION("""COMPUTED_VALUE"""),"B")</f>
        <v>B</v>
      </c>
      <c r="E927" s="1">
        <f>IFERROR(__xludf.DUMMYFUNCTION("""COMPUTED_VALUE"""),54.0)</f>
        <v>54</v>
      </c>
      <c r="F927" s="1">
        <f>IFERROR(__xludf.DUMMYFUNCTION("""COMPUTED_VALUE"""),35.0)</f>
        <v>35</v>
      </c>
      <c r="G927" s="1">
        <f>IFERROR(__xludf.DUMMYFUNCTION("""COMPUTED_VALUE"""),27.0)</f>
        <v>27</v>
      </c>
      <c r="H927" s="1">
        <f>IFERROR(__xludf.DUMMYFUNCTION("""COMPUTED_VALUE"""),28.0)</f>
        <v>28</v>
      </c>
      <c r="I927" s="1">
        <f>IFERROR(__xludf.DUMMYFUNCTION("""COMPUTED_VALUE"""),78.0)</f>
        <v>78</v>
      </c>
      <c r="J927" s="1">
        <f>IFERROR(__xludf.DUMMYFUNCTION("""COMPUTED_VALUE"""),89.0)</f>
        <v>89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 t="str">
        <f>IFERROR(__xludf.DUMMYFUNCTION("""COMPUTED_VALUE"""),"D")</f>
        <v>D</v>
      </c>
      <c r="E928" s="1">
        <f>IFERROR(__xludf.DUMMYFUNCTION("""COMPUTED_VALUE"""),32.0)</f>
        <v>32</v>
      </c>
      <c r="F928" s="1">
        <f>IFERROR(__xludf.DUMMYFUNCTION("""COMPUTED_VALUE"""),57.0)</f>
        <v>57</v>
      </c>
      <c r="G928" s="1">
        <f>IFERROR(__xludf.DUMMYFUNCTION("""COMPUTED_VALUE"""),73.0)</f>
        <v>73</v>
      </c>
      <c r="H928" s="1">
        <f>IFERROR(__xludf.DUMMYFUNCTION("""COMPUTED_VALUE"""),37.0)</f>
        <v>37</v>
      </c>
      <c r="I928" s="1">
        <f>IFERROR(__xludf.DUMMYFUNCTION("""COMPUTED_VALUE"""),67.0)</f>
        <v>67</v>
      </c>
      <c r="J928" s="1">
        <f>IFERROR(__xludf.DUMMYFUNCTION("""COMPUTED_VALUE"""),27.0)</f>
        <v>27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 t="str">
        <f>IFERROR(__xludf.DUMMYFUNCTION("""COMPUTED_VALUE"""),"D")</f>
        <v>D</v>
      </c>
      <c r="E929" s="1">
        <f>IFERROR(__xludf.DUMMYFUNCTION("""COMPUTED_VALUE"""),91.0)</f>
        <v>91</v>
      </c>
      <c r="F929" s="1">
        <f>IFERROR(__xludf.DUMMYFUNCTION("""COMPUTED_VALUE"""),34.0)</f>
        <v>34</v>
      </c>
      <c r="G929" s="1">
        <f>IFERROR(__xludf.DUMMYFUNCTION("""COMPUTED_VALUE"""),73.0)</f>
        <v>73</v>
      </c>
      <c r="H929" s="1">
        <f>IFERROR(__xludf.DUMMYFUNCTION("""COMPUTED_VALUE"""),91.0)</f>
        <v>91</v>
      </c>
      <c r="I929" s="1">
        <f>IFERROR(__xludf.DUMMYFUNCTION("""COMPUTED_VALUE"""),40.0)</f>
        <v>40</v>
      </c>
      <c r="J929" s="1">
        <f>IFERROR(__xludf.DUMMYFUNCTION("""COMPUTED_VALUE"""),23.0)</f>
        <v>23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 t="str">
        <f>IFERROR(__xludf.DUMMYFUNCTION("""COMPUTED_VALUE"""),"B")</f>
        <v>B</v>
      </c>
      <c r="E930" s="1">
        <f>IFERROR(__xludf.DUMMYFUNCTION("""COMPUTED_VALUE"""),76.0)</f>
        <v>76</v>
      </c>
      <c r="F930" s="1">
        <f>IFERROR(__xludf.DUMMYFUNCTION("""COMPUTED_VALUE"""),87.0)</f>
        <v>87</v>
      </c>
      <c r="G930" s="1">
        <f>IFERROR(__xludf.DUMMYFUNCTION("""COMPUTED_VALUE"""),71.0)</f>
        <v>71</v>
      </c>
      <c r="H930" s="1">
        <f>IFERROR(__xludf.DUMMYFUNCTION("""COMPUTED_VALUE"""),64.0)</f>
        <v>64</v>
      </c>
      <c r="I930" s="1">
        <f>IFERROR(__xludf.DUMMYFUNCTION("""COMPUTED_VALUE"""),51.0)</f>
        <v>51</v>
      </c>
      <c r="J930" s="1">
        <f>IFERROR(__xludf.DUMMYFUNCTION("""COMPUTED_VALUE"""),76.0)</f>
        <v>76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 t="str">
        <f>IFERROR(__xludf.DUMMYFUNCTION("""COMPUTED_VALUE"""),"D")</f>
        <v>D</v>
      </c>
      <c r="E931" s="1">
        <f>IFERROR(__xludf.DUMMYFUNCTION("""COMPUTED_VALUE"""),60.0)</f>
        <v>60</v>
      </c>
      <c r="F931" s="1">
        <f>IFERROR(__xludf.DUMMYFUNCTION("""COMPUTED_VALUE"""),29.0)</f>
        <v>29</v>
      </c>
      <c r="G931" s="1">
        <f>IFERROR(__xludf.DUMMYFUNCTION("""COMPUTED_VALUE"""),98.0)</f>
        <v>98</v>
      </c>
      <c r="H931" s="1">
        <f>IFERROR(__xludf.DUMMYFUNCTION("""COMPUTED_VALUE"""),31.0)</f>
        <v>31</v>
      </c>
      <c r="I931" s="1">
        <f>IFERROR(__xludf.DUMMYFUNCTION("""COMPUTED_VALUE"""),77.0)</f>
        <v>77</v>
      </c>
      <c r="J931" s="1">
        <f>IFERROR(__xludf.DUMMYFUNCTION("""COMPUTED_VALUE"""),81.0)</f>
        <v>81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 t="str">
        <f>IFERROR(__xludf.DUMMYFUNCTION("""COMPUTED_VALUE"""),"A")</f>
        <v>A</v>
      </c>
      <c r="E932" s="1">
        <f>IFERROR(__xludf.DUMMYFUNCTION("""COMPUTED_VALUE"""),29.0)</f>
        <v>29</v>
      </c>
      <c r="F932" s="1">
        <f>IFERROR(__xludf.DUMMYFUNCTION("""COMPUTED_VALUE"""),68.0)</f>
        <v>68</v>
      </c>
      <c r="G932" s="1">
        <f>IFERROR(__xludf.DUMMYFUNCTION("""COMPUTED_VALUE"""),80.0)</f>
        <v>80</v>
      </c>
      <c r="H932" s="1">
        <f>IFERROR(__xludf.DUMMYFUNCTION("""COMPUTED_VALUE"""),55.0)</f>
        <v>55</v>
      </c>
      <c r="I932" s="1">
        <f>IFERROR(__xludf.DUMMYFUNCTION("""COMPUTED_VALUE"""),93.0)</f>
        <v>93</v>
      </c>
      <c r="J932" s="1">
        <f>IFERROR(__xludf.DUMMYFUNCTION("""COMPUTED_VALUE"""),32.0)</f>
        <v>32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 t="str">
        <f>IFERROR(__xludf.DUMMYFUNCTION("""COMPUTED_VALUE"""),"C")</f>
        <v>C</v>
      </c>
      <c r="E933" s="1">
        <f>IFERROR(__xludf.DUMMYFUNCTION("""COMPUTED_VALUE"""),13.0)</f>
        <v>13</v>
      </c>
      <c r="F933" s="1">
        <f>IFERROR(__xludf.DUMMYFUNCTION("""COMPUTED_VALUE"""),66.0)</f>
        <v>66</v>
      </c>
      <c r="G933" s="1">
        <f>IFERROR(__xludf.DUMMYFUNCTION("""COMPUTED_VALUE"""),32.0)</f>
        <v>32</v>
      </c>
      <c r="H933" s="1">
        <f>IFERROR(__xludf.DUMMYFUNCTION("""COMPUTED_VALUE"""),40.0)</f>
        <v>40</v>
      </c>
      <c r="I933" s="1">
        <f>IFERROR(__xludf.DUMMYFUNCTION("""COMPUTED_VALUE"""),78.0)</f>
        <v>78</v>
      </c>
      <c r="J933" s="1">
        <f>IFERROR(__xludf.DUMMYFUNCTION("""COMPUTED_VALUE"""),49.0)</f>
        <v>49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 t="str">
        <f>IFERROR(__xludf.DUMMYFUNCTION("""COMPUTED_VALUE"""),"B")</f>
        <v>B</v>
      </c>
      <c r="E934" s="1">
        <f>IFERROR(__xludf.DUMMYFUNCTION("""COMPUTED_VALUE"""),28.0)</f>
        <v>28</v>
      </c>
      <c r="F934" s="1">
        <f>IFERROR(__xludf.DUMMYFUNCTION("""COMPUTED_VALUE"""),96.0)</f>
        <v>96</v>
      </c>
      <c r="G934" s="1">
        <f>IFERROR(__xludf.DUMMYFUNCTION("""COMPUTED_VALUE"""),64.0)</f>
        <v>64</v>
      </c>
      <c r="H934" s="1">
        <f>IFERROR(__xludf.DUMMYFUNCTION("""COMPUTED_VALUE"""),43.0)</f>
        <v>43</v>
      </c>
      <c r="I934" s="1">
        <f>IFERROR(__xludf.DUMMYFUNCTION("""COMPUTED_VALUE"""),53.0)</f>
        <v>53</v>
      </c>
      <c r="J934" s="1">
        <f>IFERROR(__xludf.DUMMYFUNCTION("""COMPUTED_VALUE"""),39.0)</f>
        <v>39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 t="str">
        <f>IFERROR(__xludf.DUMMYFUNCTION("""COMPUTED_VALUE"""),"D")</f>
        <v>D</v>
      </c>
      <c r="E935" s="1">
        <f>IFERROR(__xludf.DUMMYFUNCTION("""COMPUTED_VALUE"""),100.0)</f>
        <v>100</v>
      </c>
      <c r="F935" s="1">
        <f>IFERROR(__xludf.DUMMYFUNCTION("""COMPUTED_VALUE"""),30.0)</f>
        <v>30</v>
      </c>
      <c r="G935" s="1">
        <f>IFERROR(__xludf.DUMMYFUNCTION("""COMPUTED_VALUE"""),92.0)</f>
        <v>92</v>
      </c>
      <c r="H935" s="1">
        <f>IFERROR(__xludf.DUMMYFUNCTION("""COMPUTED_VALUE"""),44.0)</f>
        <v>44</v>
      </c>
      <c r="I935" s="1">
        <f>IFERROR(__xludf.DUMMYFUNCTION("""COMPUTED_VALUE"""),70.0)</f>
        <v>70</v>
      </c>
      <c r="J935" s="1">
        <f>IFERROR(__xludf.DUMMYFUNCTION("""COMPUTED_VALUE"""),24.0)</f>
        <v>24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 t="str">
        <f>IFERROR(__xludf.DUMMYFUNCTION("""COMPUTED_VALUE"""),"C")</f>
        <v>C</v>
      </c>
      <c r="E936" s="1">
        <f>IFERROR(__xludf.DUMMYFUNCTION("""COMPUTED_VALUE"""),60.0)</f>
        <v>60</v>
      </c>
      <c r="F936" s="1">
        <f>IFERROR(__xludf.DUMMYFUNCTION("""COMPUTED_VALUE"""),89.0)</f>
        <v>89</v>
      </c>
      <c r="G936" s="1">
        <f>IFERROR(__xludf.DUMMYFUNCTION("""COMPUTED_VALUE"""),75.0)</f>
        <v>75</v>
      </c>
      <c r="H936" s="1">
        <f>IFERROR(__xludf.DUMMYFUNCTION("""COMPUTED_VALUE"""),95.0)</f>
        <v>95</v>
      </c>
      <c r="I936" s="1">
        <f>IFERROR(__xludf.DUMMYFUNCTION("""COMPUTED_VALUE"""),44.0)</f>
        <v>44</v>
      </c>
      <c r="J936" s="1">
        <f>IFERROR(__xludf.DUMMYFUNCTION("""COMPUTED_VALUE"""),91.0)</f>
        <v>91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 t="str">
        <f>IFERROR(__xludf.DUMMYFUNCTION("""COMPUTED_VALUE"""),"D")</f>
        <v>D</v>
      </c>
      <c r="E937" s="1">
        <f>IFERROR(__xludf.DUMMYFUNCTION("""COMPUTED_VALUE"""),20.0)</f>
        <v>20</v>
      </c>
      <c r="F937" s="1">
        <f>IFERROR(__xludf.DUMMYFUNCTION("""COMPUTED_VALUE"""),48.0)</f>
        <v>48</v>
      </c>
      <c r="G937" s="1">
        <f>IFERROR(__xludf.DUMMYFUNCTION("""COMPUTED_VALUE"""),33.0)</f>
        <v>33</v>
      </c>
      <c r="H937" s="1">
        <f>IFERROR(__xludf.DUMMYFUNCTION("""COMPUTED_VALUE"""),44.0)</f>
        <v>44</v>
      </c>
      <c r="I937" s="1">
        <f>IFERROR(__xludf.DUMMYFUNCTION("""COMPUTED_VALUE"""),26.0)</f>
        <v>26</v>
      </c>
      <c r="J937" s="1">
        <f>IFERROR(__xludf.DUMMYFUNCTION("""COMPUTED_VALUE"""),44.0)</f>
        <v>44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 t="str">
        <f>IFERROR(__xludf.DUMMYFUNCTION("""COMPUTED_VALUE"""),"A")</f>
        <v>A</v>
      </c>
      <c r="E938" s="1">
        <f>IFERROR(__xludf.DUMMYFUNCTION("""COMPUTED_VALUE"""),70.0)</f>
        <v>70</v>
      </c>
      <c r="F938" s="1">
        <f>IFERROR(__xludf.DUMMYFUNCTION("""COMPUTED_VALUE"""),34.0)</f>
        <v>34</v>
      </c>
      <c r="G938" s="1">
        <f>IFERROR(__xludf.DUMMYFUNCTION("""COMPUTED_VALUE"""),94.0)</f>
        <v>94</v>
      </c>
      <c r="H938" s="1">
        <f>IFERROR(__xludf.DUMMYFUNCTION("""COMPUTED_VALUE"""),49.0)</f>
        <v>49</v>
      </c>
      <c r="I938" s="1">
        <f>IFERROR(__xludf.DUMMYFUNCTION("""COMPUTED_VALUE"""),83.0)</f>
        <v>83</v>
      </c>
      <c r="J938" s="1">
        <f>IFERROR(__xludf.DUMMYFUNCTION("""COMPUTED_VALUE"""),42.0)</f>
        <v>42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 t="str">
        <f>IFERROR(__xludf.DUMMYFUNCTION("""COMPUTED_VALUE"""),"A")</f>
        <v>A</v>
      </c>
      <c r="E939" s="1">
        <f>IFERROR(__xludf.DUMMYFUNCTION("""COMPUTED_VALUE"""),42.0)</f>
        <v>42</v>
      </c>
      <c r="F939" s="1">
        <f>IFERROR(__xludf.DUMMYFUNCTION("""COMPUTED_VALUE"""),62.0)</f>
        <v>62</v>
      </c>
      <c r="G939" s="1">
        <f>IFERROR(__xludf.DUMMYFUNCTION("""COMPUTED_VALUE"""),39.0)</f>
        <v>39</v>
      </c>
      <c r="H939" s="1">
        <f>IFERROR(__xludf.DUMMYFUNCTION("""COMPUTED_VALUE"""),77.0)</f>
        <v>77</v>
      </c>
      <c r="I939" s="1">
        <f>IFERROR(__xludf.DUMMYFUNCTION("""COMPUTED_VALUE"""),24.0)</f>
        <v>24</v>
      </c>
      <c r="J939" s="1">
        <f>IFERROR(__xludf.DUMMYFUNCTION("""COMPUTED_VALUE"""),56.0)</f>
        <v>56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 t="str">
        <f>IFERROR(__xludf.DUMMYFUNCTION("""COMPUTED_VALUE"""),"B")</f>
        <v>B</v>
      </c>
      <c r="E940" s="1">
        <f>IFERROR(__xludf.DUMMYFUNCTION("""COMPUTED_VALUE"""),46.0)</f>
        <v>46</v>
      </c>
      <c r="F940" s="1">
        <f>IFERROR(__xludf.DUMMYFUNCTION("""COMPUTED_VALUE"""),89.0)</f>
        <v>89</v>
      </c>
      <c r="G940" s="1">
        <f>IFERROR(__xludf.DUMMYFUNCTION("""COMPUTED_VALUE"""),21.0)</f>
        <v>21</v>
      </c>
      <c r="H940" s="1">
        <f>IFERROR(__xludf.DUMMYFUNCTION("""COMPUTED_VALUE"""),41.0)</f>
        <v>41</v>
      </c>
      <c r="I940" s="1">
        <f>IFERROR(__xludf.DUMMYFUNCTION("""COMPUTED_VALUE"""),67.0)</f>
        <v>67</v>
      </c>
      <c r="J940" s="1">
        <f>IFERROR(__xludf.DUMMYFUNCTION("""COMPUTED_VALUE"""),70.0)</f>
        <v>70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 t="str">
        <f>IFERROR(__xludf.DUMMYFUNCTION("""COMPUTED_VALUE"""),"C")</f>
        <v>C</v>
      </c>
      <c r="E941" s="1">
        <f>IFERROR(__xludf.DUMMYFUNCTION("""COMPUTED_VALUE"""),16.0)</f>
        <v>16</v>
      </c>
      <c r="F941" s="1">
        <f>IFERROR(__xludf.DUMMYFUNCTION("""COMPUTED_VALUE"""),29.0)</f>
        <v>29</v>
      </c>
      <c r="G941" s="1">
        <f>IFERROR(__xludf.DUMMYFUNCTION("""COMPUTED_VALUE"""),80.0)</f>
        <v>80</v>
      </c>
      <c r="H941" s="1">
        <f>IFERROR(__xludf.DUMMYFUNCTION("""COMPUTED_VALUE"""),83.0)</f>
        <v>83</v>
      </c>
      <c r="I941" s="1">
        <f>IFERROR(__xludf.DUMMYFUNCTION("""COMPUTED_VALUE"""),71.0)</f>
        <v>71</v>
      </c>
      <c r="J941" s="1">
        <f>IFERROR(__xludf.DUMMYFUNCTION("""COMPUTED_VALUE"""),61.0)</f>
        <v>61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 t="str">
        <f>IFERROR(__xludf.DUMMYFUNCTION("""COMPUTED_VALUE"""),"C")</f>
        <v>C</v>
      </c>
      <c r="E942" s="1">
        <f>IFERROR(__xludf.DUMMYFUNCTION("""COMPUTED_VALUE"""),91.0)</f>
        <v>91</v>
      </c>
      <c r="F942" s="1">
        <f>IFERROR(__xludf.DUMMYFUNCTION("""COMPUTED_VALUE"""),25.0)</f>
        <v>25</v>
      </c>
      <c r="G942" s="1">
        <f>IFERROR(__xludf.DUMMYFUNCTION("""COMPUTED_VALUE"""),49.0)</f>
        <v>49</v>
      </c>
      <c r="H942" s="1">
        <f>IFERROR(__xludf.DUMMYFUNCTION("""COMPUTED_VALUE"""),66.0)</f>
        <v>66</v>
      </c>
      <c r="I942" s="1">
        <f>IFERROR(__xludf.DUMMYFUNCTION("""COMPUTED_VALUE"""),83.0)</f>
        <v>83</v>
      </c>
      <c r="J942" s="1">
        <f>IFERROR(__xludf.DUMMYFUNCTION("""COMPUTED_VALUE"""),95.0)</f>
        <v>95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 t="str">
        <f>IFERROR(__xludf.DUMMYFUNCTION("""COMPUTED_VALUE"""),"D")</f>
        <v>D</v>
      </c>
      <c r="E943" s="1">
        <f>IFERROR(__xludf.DUMMYFUNCTION("""COMPUTED_VALUE"""),78.0)</f>
        <v>78</v>
      </c>
      <c r="F943" s="1">
        <f>IFERROR(__xludf.DUMMYFUNCTION("""COMPUTED_VALUE"""),42.0)</f>
        <v>42</v>
      </c>
      <c r="G943" s="1">
        <f>IFERROR(__xludf.DUMMYFUNCTION("""COMPUTED_VALUE"""),90.0)</f>
        <v>90</v>
      </c>
      <c r="H943" s="1">
        <f>IFERROR(__xludf.DUMMYFUNCTION("""COMPUTED_VALUE"""),35.0)</f>
        <v>35</v>
      </c>
      <c r="I943" s="1">
        <f>IFERROR(__xludf.DUMMYFUNCTION("""COMPUTED_VALUE"""),79.0)</f>
        <v>79</v>
      </c>
      <c r="J943" s="1">
        <f>IFERROR(__xludf.DUMMYFUNCTION("""COMPUTED_VALUE"""),55.0)</f>
        <v>55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 t="str">
        <f>IFERROR(__xludf.DUMMYFUNCTION("""COMPUTED_VALUE"""),"D")</f>
        <v>D</v>
      </c>
      <c r="E944" s="1">
        <f>IFERROR(__xludf.DUMMYFUNCTION("""COMPUTED_VALUE"""),99.0)</f>
        <v>99</v>
      </c>
      <c r="F944" s="1">
        <f>IFERROR(__xludf.DUMMYFUNCTION("""COMPUTED_VALUE"""),74.0)</f>
        <v>74</v>
      </c>
      <c r="G944" s="1">
        <f>IFERROR(__xludf.DUMMYFUNCTION("""COMPUTED_VALUE"""),41.0)</f>
        <v>41</v>
      </c>
      <c r="H944" s="1">
        <f>IFERROR(__xludf.DUMMYFUNCTION("""COMPUTED_VALUE"""),52.0)</f>
        <v>52</v>
      </c>
      <c r="I944" s="1">
        <f>IFERROR(__xludf.DUMMYFUNCTION("""COMPUTED_VALUE"""),89.0)</f>
        <v>89</v>
      </c>
      <c r="J944" s="1">
        <f>IFERROR(__xludf.DUMMYFUNCTION("""COMPUTED_VALUE"""),82.0)</f>
        <v>82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 t="str">
        <f>IFERROR(__xludf.DUMMYFUNCTION("""COMPUTED_VALUE"""),"C")</f>
        <v>C</v>
      </c>
      <c r="E945" s="1">
        <f>IFERROR(__xludf.DUMMYFUNCTION("""COMPUTED_VALUE"""),48.0)</f>
        <v>48</v>
      </c>
      <c r="F945" s="1">
        <f>IFERROR(__xludf.DUMMYFUNCTION("""COMPUTED_VALUE"""),75.0)</f>
        <v>75</v>
      </c>
      <c r="G945" s="1">
        <f>IFERROR(__xludf.DUMMYFUNCTION("""COMPUTED_VALUE"""),51.0)</f>
        <v>51</v>
      </c>
      <c r="H945" s="1">
        <f>IFERROR(__xludf.DUMMYFUNCTION("""COMPUTED_VALUE"""),30.0)</f>
        <v>30</v>
      </c>
      <c r="I945" s="1">
        <f>IFERROR(__xludf.DUMMYFUNCTION("""COMPUTED_VALUE"""),63.0)</f>
        <v>63</v>
      </c>
      <c r="J945" s="1">
        <f>IFERROR(__xludf.DUMMYFUNCTION("""COMPUTED_VALUE"""),21.0)</f>
        <v>21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 t="str">
        <f>IFERROR(__xludf.DUMMYFUNCTION("""COMPUTED_VALUE"""),"B")</f>
        <v>B</v>
      </c>
      <c r="E946" s="1">
        <f>IFERROR(__xludf.DUMMYFUNCTION("""COMPUTED_VALUE"""),68.0)</f>
        <v>68</v>
      </c>
      <c r="F946" s="1">
        <f>IFERROR(__xludf.DUMMYFUNCTION("""COMPUTED_VALUE"""),81.0)</f>
        <v>81</v>
      </c>
      <c r="G946" s="1">
        <f>IFERROR(__xludf.DUMMYFUNCTION("""COMPUTED_VALUE"""),92.0)</f>
        <v>92</v>
      </c>
      <c r="H946" s="1">
        <f>IFERROR(__xludf.DUMMYFUNCTION("""COMPUTED_VALUE"""),38.0)</f>
        <v>38</v>
      </c>
      <c r="I946" s="1">
        <f>IFERROR(__xludf.DUMMYFUNCTION("""COMPUTED_VALUE"""),44.0)</f>
        <v>44</v>
      </c>
      <c r="J946" s="1">
        <f>IFERROR(__xludf.DUMMYFUNCTION("""COMPUTED_VALUE"""),89.0)</f>
        <v>89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 t="str">
        <f>IFERROR(__xludf.DUMMYFUNCTION("""COMPUTED_VALUE"""),"A")</f>
        <v>A</v>
      </c>
      <c r="E947" s="1">
        <f>IFERROR(__xludf.DUMMYFUNCTION("""COMPUTED_VALUE"""),38.0)</f>
        <v>38</v>
      </c>
      <c r="F947" s="1">
        <f>IFERROR(__xludf.DUMMYFUNCTION("""COMPUTED_VALUE"""),22.0)</f>
        <v>22</v>
      </c>
      <c r="G947" s="1">
        <f>IFERROR(__xludf.DUMMYFUNCTION("""COMPUTED_VALUE"""),84.0)</f>
        <v>84</v>
      </c>
      <c r="H947" s="1">
        <f>IFERROR(__xludf.DUMMYFUNCTION("""COMPUTED_VALUE"""),57.0)</f>
        <v>57</v>
      </c>
      <c r="I947" s="1">
        <f>IFERROR(__xludf.DUMMYFUNCTION("""COMPUTED_VALUE"""),58.0)</f>
        <v>58</v>
      </c>
      <c r="J947" s="1">
        <f>IFERROR(__xludf.DUMMYFUNCTION("""COMPUTED_VALUE"""),79.0)</f>
        <v>79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 t="str">
        <f>IFERROR(__xludf.DUMMYFUNCTION("""COMPUTED_VALUE"""),"C")</f>
        <v>C</v>
      </c>
      <c r="E948" s="1">
        <f>IFERROR(__xludf.DUMMYFUNCTION("""COMPUTED_VALUE"""),11.0)</f>
        <v>11</v>
      </c>
      <c r="F948" s="1">
        <f>IFERROR(__xludf.DUMMYFUNCTION("""COMPUTED_VALUE"""),75.0)</f>
        <v>75</v>
      </c>
      <c r="G948" s="1">
        <f>IFERROR(__xludf.DUMMYFUNCTION("""COMPUTED_VALUE"""),20.0)</f>
        <v>20</v>
      </c>
      <c r="H948" s="1">
        <f>IFERROR(__xludf.DUMMYFUNCTION("""COMPUTED_VALUE"""),88.0)</f>
        <v>88</v>
      </c>
      <c r="I948" s="1">
        <f>IFERROR(__xludf.DUMMYFUNCTION("""COMPUTED_VALUE"""),72.0)</f>
        <v>72</v>
      </c>
      <c r="J948" s="1">
        <f>IFERROR(__xludf.DUMMYFUNCTION("""COMPUTED_VALUE"""),56.0)</f>
        <v>56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 t="str">
        <f>IFERROR(__xludf.DUMMYFUNCTION("""COMPUTED_VALUE"""),"B")</f>
        <v>B</v>
      </c>
      <c r="E949" s="1">
        <f>IFERROR(__xludf.DUMMYFUNCTION("""COMPUTED_VALUE"""),71.0)</f>
        <v>71</v>
      </c>
      <c r="F949" s="1">
        <f>IFERROR(__xludf.DUMMYFUNCTION("""COMPUTED_VALUE"""),34.0)</f>
        <v>34</v>
      </c>
      <c r="G949" s="1">
        <f>IFERROR(__xludf.DUMMYFUNCTION("""COMPUTED_VALUE"""),52.0)</f>
        <v>52</v>
      </c>
      <c r="H949" s="1">
        <f>IFERROR(__xludf.DUMMYFUNCTION("""COMPUTED_VALUE"""),94.0)</f>
        <v>94</v>
      </c>
      <c r="I949" s="1">
        <f>IFERROR(__xludf.DUMMYFUNCTION("""COMPUTED_VALUE"""),45.0)</f>
        <v>45</v>
      </c>
      <c r="J949" s="1">
        <f>IFERROR(__xludf.DUMMYFUNCTION("""COMPUTED_VALUE"""),46.0)</f>
        <v>46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 t="str">
        <f>IFERROR(__xludf.DUMMYFUNCTION("""COMPUTED_VALUE"""),"C")</f>
        <v>C</v>
      </c>
      <c r="E950" s="1">
        <f>IFERROR(__xludf.DUMMYFUNCTION("""COMPUTED_VALUE"""),14.0)</f>
        <v>14</v>
      </c>
      <c r="F950" s="1">
        <f>IFERROR(__xludf.DUMMYFUNCTION("""COMPUTED_VALUE"""),69.0)</f>
        <v>69</v>
      </c>
      <c r="G950" s="1">
        <f>IFERROR(__xludf.DUMMYFUNCTION("""COMPUTED_VALUE"""),49.0)</f>
        <v>49</v>
      </c>
      <c r="H950" s="1">
        <f>IFERROR(__xludf.DUMMYFUNCTION("""COMPUTED_VALUE"""),32.0)</f>
        <v>32</v>
      </c>
      <c r="I950" s="1">
        <f>IFERROR(__xludf.DUMMYFUNCTION("""COMPUTED_VALUE"""),41.0)</f>
        <v>41</v>
      </c>
      <c r="J950" s="1">
        <f>IFERROR(__xludf.DUMMYFUNCTION("""COMPUTED_VALUE"""),62.0)</f>
        <v>62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 t="str">
        <f>IFERROR(__xludf.DUMMYFUNCTION("""COMPUTED_VALUE"""),"B")</f>
        <v>B</v>
      </c>
      <c r="E951" s="1">
        <f>IFERROR(__xludf.DUMMYFUNCTION("""COMPUTED_VALUE"""),35.0)</f>
        <v>35</v>
      </c>
      <c r="F951" s="1">
        <f>IFERROR(__xludf.DUMMYFUNCTION("""COMPUTED_VALUE"""),68.0)</f>
        <v>68</v>
      </c>
      <c r="G951" s="1">
        <f>IFERROR(__xludf.DUMMYFUNCTION("""COMPUTED_VALUE"""),64.0)</f>
        <v>64</v>
      </c>
      <c r="H951" s="1">
        <f>IFERROR(__xludf.DUMMYFUNCTION("""COMPUTED_VALUE"""),31.0)</f>
        <v>31</v>
      </c>
      <c r="I951" s="1">
        <f>IFERROR(__xludf.DUMMYFUNCTION("""COMPUTED_VALUE"""),40.0)</f>
        <v>40</v>
      </c>
      <c r="J951" s="1">
        <f>IFERROR(__xludf.DUMMYFUNCTION("""COMPUTED_VALUE"""),20.0)</f>
        <v>20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 t="str">
        <f>IFERROR(__xludf.DUMMYFUNCTION("""COMPUTED_VALUE"""),"A")</f>
        <v>A</v>
      </c>
      <c r="E952" s="1">
        <f>IFERROR(__xludf.DUMMYFUNCTION("""COMPUTED_VALUE"""),28.0)</f>
        <v>28</v>
      </c>
      <c r="F952" s="1">
        <f>IFERROR(__xludf.DUMMYFUNCTION("""COMPUTED_VALUE"""),29.0)</f>
        <v>29</v>
      </c>
      <c r="G952" s="1">
        <f>IFERROR(__xludf.DUMMYFUNCTION("""COMPUTED_VALUE"""),28.0)</f>
        <v>28</v>
      </c>
      <c r="H952" s="1">
        <f>IFERROR(__xludf.DUMMYFUNCTION("""COMPUTED_VALUE"""),69.0)</f>
        <v>69</v>
      </c>
      <c r="I952" s="1">
        <f>IFERROR(__xludf.DUMMYFUNCTION("""COMPUTED_VALUE"""),94.0)</f>
        <v>94</v>
      </c>
      <c r="J952" s="1">
        <f>IFERROR(__xludf.DUMMYFUNCTION("""COMPUTED_VALUE"""),82.0)</f>
        <v>82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 t="str">
        <f>IFERROR(__xludf.DUMMYFUNCTION("""COMPUTED_VALUE"""),"C")</f>
        <v>C</v>
      </c>
      <c r="E953" s="1">
        <f>IFERROR(__xludf.DUMMYFUNCTION("""COMPUTED_VALUE"""),15.0)</f>
        <v>15</v>
      </c>
      <c r="F953" s="1">
        <f>IFERROR(__xludf.DUMMYFUNCTION("""COMPUTED_VALUE"""),72.0)</f>
        <v>72</v>
      </c>
      <c r="G953" s="1">
        <f>IFERROR(__xludf.DUMMYFUNCTION("""COMPUTED_VALUE"""),29.0)</f>
        <v>29</v>
      </c>
      <c r="H953" s="1">
        <f>IFERROR(__xludf.DUMMYFUNCTION("""COMPUTED_VALUE"""),41.0)</f>
        <v>41</v>
      </c>
      <c r="I953" s="1">
        <f>IFERROR(__xludf.DUMMYFUNCTION("""COMPUTED_VALUE"""),87.0)</f>
        <v>87</v>
      </c>
      <c r="J953" s="1">
        <f>IFERROR(__xludf.DUMMYFUNCTION("""COMPUTED_VALUE"""),26.0)</f>
        <v>26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 t="str">
        <f>IFERROR(__xludf.DUMMYFUNCTION("""COMPUTED_VALUE"""),"C")</f>
        <v>C</v>
      </c>
      <c r="E954" s="1">
        <f>IFERROR(__xludf.DUMMYFUNCTION("""COMPUTED_VALUE"""),94.0)</f>
        <v>94</v>
      </c>
      <c r="F954" s="1">
        <f>IFERROR(__xludf.DUMMYFUNCTION("""COMPUTED_VALUE"""),85.0)</f>
        <v>85</v>
      </c>
      <c r="G954" s="1">
        <f>IFERROR(__xludf.DUMMYFUNCTION("""COMPUTED_VALUE"""),72.0)</f>
        <v>72</v>
      </c>
      <c r="H954" s="1">
        <f>IFERROR(__xludf.DUMMYFUNCTION("""COMPUTED_VALUE"""),45.0)</f>
        <v>45</v>
      </c>
      <c r="I954" s="1">
        <f>IFERROR(__xludf.DUMMYFUNCTION("""COMPUTED_VALUE"""),38.0)</f>
        <v>38</v>
      </c>
      <c r="J954" s="1">
        <f>IFERROR(__xludf.DUMMYFUNCTION("""COMPUTED_VALUE"""),85.0)</f>
        <v>85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 t="str">
        <f>IFERROR(__xludf.DUMMYFUNCTION("""COMPUTED_VALUE"""),"B")</f>
        <v>B</v>
      </c>
      <c r="E955" s="1">
        <f>IFERROR(__xludf.DUMMYFUNCTION("""COMPUTED_VALUE"""),10.0)</f>
        <v>10</v>
      </c>
      <c r="F955" s="1">
        <f>IFERROR(__xludf.DUMMYFUNCTION("""COMPUTED_VALUE"""),98.0)</f>
        <v>98</v>
      </c>
      <c r="G955" s="1">
        <f>IFERROR(__xludf.DUMMYFUNCTION("""COMPUTED_VALUE"""),24.0)</f>
        <v>24</v>
      </c>
      <c r="H955" s="1">
        <f>IFERROR(__xludf.DUMMYFUNCTION("""COMPUTED_VALUE"""),28.0)</f>
        <v>28</v>
      </c>
      <c r="I955" s="1">
        <f>IFERROR(__xludf.DUMMYFUNCTION("""COMPUTED_VALUE"""),31.0)</f>
        <v>31</v>
      </c>
      <c r="J955" s="1">
        <f>IFERROR(__xludf.DUMMYFUNCTION("""COMPUTED_VALUE"""),96.0)</f>
        <v>96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 t="str">
        <f>IFERROR(__xludf.DUMMYFUNCTION("""COMPUTED_VALUE"""),"A")</f>
        <v>A</v>
      </c>
      <c r="E956" s="1">
        <f>IFERROR(__xludf.DUMMYFUNCTION("""COMPUTED_VALUE"""),100.0)</f>
        <v>100</v>
      </c>
      <c r="F956" s="1">
        <f>IFERROR(__xludf.DUMMYFUNCTION("""COMPUTED_VALUE"""),89.0)</f>
        <v>89</v>
      </c>
      <c r="G956" s="1">
        <f>IFERROR(__xludf.DUMMYFUNCTION("""COMPUTED_VALUE"""),59.0)</f>
        <v>59</v>
      </c>
      <c r="H956" s="1">
        <f>IFERROR(__xludf.DUMMYFUNCTION("""COMPUTED_VALUE"""),93.0)</f>
        <v>93</v>
      </c>
      <c r="I956" s="1">
        <f>IFERROR(__xludf.DUMMYFUNCTION("""COMPUTED_VALUE"""),22.0)</f>
        <v>22</v>
      </c>
      <c r="J956" s="1">
        <f>IFERROR(__xludf.DUMMYFUNCTION("""COMPUTED_VALUE"""),55.0)</f>
        <v>55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 t="str">
        <f>IFERROR(__xludf.DUMMYFUNCTION("""COMPUTED_VALUE"""),"A")</f>
        <v>A</v>
      </c>
      <c r="E957" s="1">
        <f>IFERROR(__xludf.DUMMYFUNCTION("""COMPUTED_VALUE"""),35.0)</f>
        <v>35</v>
      </c>
      <c r="F957" s="1">
        <f>IFERROR(__xludf.DUMMYFUNCTION("""COMPUTED_VALUE"""),65.0)</f>
        <v>65</v>
      </c>
      <c r="G957" s="1">
        <f>IFERROR(__xludf.DUMMYFUNCTION("""COMPUTED_VALUE"""),46.0)</f>
        <v>46</v>
      </c>
      <c r="H957" s="1">
        <f>IFERROR(__xludf.DUMMYFUNCTION("""COMPUTED_VALUE"""),43.0)</f>
        <v>43</v>
      </c>
      <c r="I957" s="1">
        <f>IFERROR(__xludf.DUMMYFUNCTION("""COMPUTED_VALUE"""),43.0)</f>
        <v>43</v>
      </c>
      <c r="J957" s="1">
        <f>IFERROR(__xludf.DUMMYFUNCTION("""COMPUTED_VALUE"""),23.0)</f>
        <v>23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 t="str">
        <f>IFERROR(__xludf.DUMMYFUNCTION("""COMPUTED_VALUE"""),"B")</f>
        <v>B</v>
      </c>
      <c r="E958" s="1">
        <f>IFERROR(__xludf.DUMMYFUNCTION("""COMPUTED_VALUE"""),73.0)</f>
        <v>73</v>
      </c>
      <c r="F958" s="1">
        <f>IFERROR(__xludf.DUMMYFUNCTION("""COMPUTED_VALUE"""),88.0)</f>
        <v>88</v>
      </c>
      <c r="G958" s="1">
        <f>IFERROR(__xludf.DUMMYFUNCTION("""COMPUTED_VALUE"""),48.0)</f>
        <v>48</v>
      </c>
      <c r="H958" s="1">
        <f>IFERROR(__xludf.DUMMYFUNCTION("""COMPUTED_VALUE"""),82.0)</f>
        <v>82</v>
      </c>
      <c r="I958" s="1">
        <f>IFERROR(__xludf.DUMMYFUNCTION("""COMPUTED_VALUE"""),65.0)</f>
        <v>65</v>
      </c>
      <c r="J958" s="1">
        <f>IFERROR(__xludf.DUMMYFUNCTION("""COMPUTED_VALUE"""),73.0)</f>
        <v>73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 t="str">
        <f>IFERROR(__xludf.DUMMYFUNCTION("""COMPUTED_VALUE"""),"C")</f>
        <v>C</v>
      </c>
      <c r="E959" s="1">
        <f>IFERROR(__xludf.DUMMYFUNCTION("""COMPUTED_VALUE"""),40.0)</f>
        <v>40</v>
      </c>
      <c r="F959" s="1">
        <f>IFERROR(__xludf.DUMMYFUNCTION("""COMPUTED_VALUE"""),55.0)</f>
        <v>55</v>
      </c>
      <c r="G959" s="1">
        <f>IFERROR(__xludf.DUMMYFUNCTION("""COMPUTED_VALUE"""),65.0)</f>
        <v>65</v>
      </c>
      <c r="H959" s="1">
        <f>IFERROR(__xludf.DUMMYFUNCTION("""COMPUTED_VALUE"""),63.0)</f>
        <v>63</v>
      </c>
      <c r="I959" s="1">
        <f>IFERROR(__xludf.DUMMYFUNCTION("""COMPUTED_VALUE"""),38.0)</f>
        <v>38</v>
      </c>
      <c r="J959" s="1">
        <f>IFERROR(__xludf.DUMMYFUNCTION("""COMPUTED_VALUE"""),93.0)</f>
        <v>93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 t="str">
        <f>IFERROR(__xludf.DUMMYFUNCTION("""COMPUTED_VALUE"""),"B")</f>
        <v>B</v>
      </c>
      <c r="E960" s="1">
        <f>IFERROR(__xludf.DUMMYFUNCTION("""COMPUTED_VALUE"""),64.0)</f>
        <v>64</v>
      </c>
      <c r="F960" s="1">
        <f>IFERROR(__xludf.DUMMYFUNCTION("""COMPUTED_VALUE"""),57.0)</f>
        <v>57</v>
      </c>
      <c r="G960" s="1">
        <f>IFERROR(__xludf.DUMMYFUNCTION("""COMPUTED_VALUE"""),25.0)</f>
        <v>25</v>
      </c>
      <c r="H960" s="1">
        <f>IFERROR(__xludf.DUMMYFUNCTION("""COMPUTED_VALUE"""),79.0)</f>
        <v>79</v>
      </c>
      <c r="I960" s="1">
        <f>IFERROR(__xludf.DUMMYFUNCTION("""COMPUTED_VALUE"""),84.0)</f>
        <v>84</v>
      </c>
      <c r="J960" s="1">
        <f>IFERROR(__xludf.DUMMYFUNCTION("""COMPUTED_VALUE"""),83.0)</f>
        <v>83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 t="str">
        <f>IFERROR(__xludf.DUMMYFUNCTION("""COMPUTED_VALUE"""),"B")</f>
        <v>B</v>
      </c>
      <c r="E961" s="1">
        <f>IFERROR(__xludf.DUMMYFUNCTION("""COMPUTED_VALUE"""),81.0)</f>
        <v>81</v>
      </c>
      <c r="F961" s="1">
        <f>IFERROR(__xludf.DUMMYFUNCTION("""COMPUTED_VALUE"""),83.0)</f>
        <v>83</v>
      </c>
      <c r="G961" s="1">
        <f>IFERROR(__xludf.DUMMYFUNCTION("""COMPUTED_VALUE"""),42.0)</f>
        <v>42</v>
      </c>
      <c r="H961" s="1">
        <f>IFERROR(__xludf.DUMMYFUNCTION("""COMPUTED_VALUE"""),52.0)</f>
        <v>52</v>
      </c>
      <c r="I961" s="1">
        <f>IFERROR(__xludf.DUMMYFUNCTION("""COMPUTED_VALUE"""),35.0)</f>
        <v>35</v>
      </c>
      <c r="J961" s="1">
        <f>IFERROR(__xludf.DUMMYFUNCTION("""COMPUTED_VALUE"""),43.0)</f>
        <v>43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 t="str">
        <f>IFERROR(__xludf.DUMMYFUNCTION("""COMPUTED_VALUE"""),"B")</f>
        <v>B</v>
      </c>
      <c r="E962" s="1">
        <f>IFERROR(__xludf.DUMMYFUNCTION("""COMPUTED_VALUE"""),94.0)</f>
        <v>94</v>
      </c>
      <c r="F962" s="1">
        <f>IFERROR(__xludf.DUMMYFUNCTION("""COMPUTED_VALUE"""),26.0)</f>
        <v>26</v>
      </c>
      <c r="G962" s="1">
        <f>IFERROR(__xludf.DUMMYFUNCTION("""COMPUTED_VALUE"""),36.0)</f>
        <v>36</v>
      </c>
      <c r="H962" s="1">
        <f>IFERROR(__xludf.DUMMYFUNCTION("""COMPUTED_VALUE"""),44.0)</f>
        <v>44</v>
      </c>
      <c r="I962" s="1">
        <f>IFERROR(__xludf.DUMMYFUNCTION("""COMPUTED_VALUE"""),31.0)</f>
        <v>31</v>
      </c>
      <c r="J962" s="1">
        <f>IFERROR(__xludf.DUMMYFUNCTION("""COMPUTED_VALUE"""),56.0)</f>
        <v>56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 t="str">
        <f>IFERROR(__xludf.DUMMYFUNCTION("""COMPUTED_VALUE"""),"B")</f>
        <v>B</v>
      </c>
      <c r="E963" s="1">
        <f>IFERROR(__xludf.DUMMYFUNCTION("""COMPUTED_VALUE"""),11.0)</f>
        <v>11</v>
      </c>
      <c r="F963" s="1">
        <f>IFERROR(__xludf.DUMMYFUNCTION("""COMPUTED_VALUE"""),53.0)</f>
        <v>53</v>
      </c>
      <c r="G963" s="1">
        <f>IFERROR(__xludf.DUMMYFUNCTION("""COMPUTED_VALUE"""),23.0)</f>
        <v>23</v>
      </c>
      <c r="H963" s="1">
        <f>IFERROR(__xludf.DUMMYFUNCTION("""COMPUTED_VALUE"""),64.0)</f>
        <v>64</v>
      </c>
      <c r="I963" s="1">
        <f>IFERROR(__xludf.DUMMYFUNCTION("""COMPUTED_VALUE"""),42.0)</f>
        <v>42</v>
      </c>
      <c r="J963" s="1">
        <f>IFERROR(__xludf.DUMMYFUNCTION("""COMPUTED_VALUE"""),22.0)</f>
        <v>22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 t="str">
        <f>IFERROR(__xludf.DUMMYFUNCTION("""COMPUTED_VALUE"""),"D")</f>
        <v>D</v>
      </c>
      <c r="E964" s="1">
        <f>IFERROR(__xludf.DUMMYFUNCTION("""COMPUTED_VALUE"""),61.0)</f>
        <v>61</v>
      </c>
      <c r="F964" s="1">
        <f>IFERROR(__xludf.DUMMYFUNCTION("""COMPUTED_VALUE"""),63.0)</f>
        <v>63</v>
      </c>
      <c r="G964" s="1">
        <f>IFERROR(__xludf.DUMMYFUNCTION("""COMPUTED_VALUE"""),99.0)</f>
        <v>99</v>
      </c>
      <c r="H964" s="1">
        <f>IFERROR(__xludf.DUMMYFUNCTION("""COMPUTED_VALUE"""),97.0)</f>
        <v>97</v>
      </c>
      <c r="I964" s="1">
        <f>IFERROR(__xludf.DUMMYFUNCTION("""COMPUTED_VALUE"""),60.0)</f>
        <v>60</v>
      </c>
      <c r="J964" s="1">
        <f>IFERROR(__xludf.DUMMYFUNCTION("""COMPUTED_VALUE"""),80.0)</f>
        <v>80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 t="str">
        <f>IFERROR(__xludf.DUMMYFUNCTION("""COMPUTED_VALUE"""),"D")</f>
        <v>D</v>
      </c>
      <c r="E965" s="1">
        <f>IFERROR(__xludf.DUMMYFUNCTION("""COMPUTED_VALUE"""),66.0)</f>
        <v>66</v>
      </c>
      <c r="F965" s="1">
        <f>IFERROR(__xludf.DUMMYFUNCTION("""COMPUTED_VALUE"""),21.0)</f>
        <v>21</v>
      </c>
      <c r="G965" s="1">
        <f>IFERROR(__xludf.DUMMYFUNCTION("""COMPUTED_VALUE"""),42.0)</f>
        <v>42</v>
      </c>
      <c r="H965" s="1">
        <f>IFERROR(__xludf.DUMMYFUNCTION("""COMPUTED_VALUE"""),31.0)</f>
        <v>31</v>
      </c>
      <c r="I965" s="1">
        <f>IFERROR(__xludf.DUMMYFUNCTION("""COMPUTED_VALUE"""),53.0)</f>
        <v>53</v>
      </c>
      <c r="J965" s="1">
        <f>IFERROR(__xludf.DUMMYFUNCTION("""COMPUTED_VALUE"""),41.0)</f>
        <v>41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 t="str">
        <f>IFERROR(__xludf.DUMMYFUNCTION("""COMPUTED_VALUE"""),"C")</f>
        <v>C</v>
      </c>
      <c r="E966" s="1">
        <f>IFERROR(__xludf.DUMMYFUNCTION("""COMPUTED_VALUE"""),56.0)</f>
        <v>56</v>
      </c>
      <c r="F966" s="1">
        <f>IFERROR(__xludf.DUMMYFUNCTION("""COMPUTED_VALUE"""),65.0)</f>
        <v>65</v>
      </c>
      <c r="G966" s="1">
        <f>IFERROR(__xludf.DUMMYFUNCTION("""COMPUTED_VALUE"""),55.0)</f>
        <v>55</v>
      </c>
      <c r="H966" s="1">
        <f>IFERROR(__xludf.DUMMYFUNCTION("""COMPUTED_VALUE"""),60.0)</f>
        <v>60</v>
      </c>
      <c r="I966" s="1">
        <f>IFERROR(__xludf.DUMMYFUNCTION("""COMPUTED_VALUE"""),92.0)</f>
        <v>92</v>
      </c>
      <c r="J966" s="1">
        <f>IFERROR(__xludf.DUMMYFUNCTION("""COMPUTED_VALUE"""),98.0)</f>
        <v>98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 t="str">
        <f>IFERROR(__xludf.DUMMYFUNCTION("""COMPUTED_VALUE"""),"C")</f>
        <v>C</v>
      </c>
      <c r="E967" s="1">
        <f>IFERROR(__xludf.DUMMYFUNCTION("""COMPUTED_VALUE"""),14.0)</f>
        <v>14</v>
      </c>
      <c r="F967" s="1">
        <f>IFERROR(__xludf.DUMMYFUNCTION("""COMPUTED_VALUE"""),25.0)</f>
        <v>25</v>
      </c>
      <c r="G967" s="1">
        <f>IFERROR(__xludf.DUMMYFUNCTION("""COMPUTED_VALUE"""),65.0)</f>
        <v>65</v>
      </c>
      <c r="H967" s="1">
        <f>IFERROR(__xludf.DUMMYFUNCTION("""COMPUTED_VALUE"""),33.0)</f>
        <v>33</v>
      </c>
      <c r="I967" s="1">
        <f>IFERROR(__xludf.DUMMYFUNCTION("""COMPUTED_VALUE"""),35.0)</f>
        <v>35</v>
      </c>
      <c r="J967" s="1">
        <f>IFERROR(__xludf.DUMMYFUNCTION("""COMPUTED_VALUE"""),45.0)</f>
        <v>45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 t="str">
        <f>IFERROR(__xludf.DUMMYFUNCTION("""COMPUTED_VALUE"""),"A")</f>
        <v>A</v>
      </c>
      <c r="E968" s="1">
        <f>IFERROR(__xludf.DUMMYFUNCTION("""COMPUTED_VALUE"""),85.0)</f>
        <v>85</v>
      </c>
      <c r="F968" s="1">
        <f>IFERROR(__xludf.DUMMYFUNCTION("""COMPUTED_VALUE"""),44.0)</f>
        <v>44</v>
      </c>
      <c r="G968" s="1">
        <f>IFERROR(__xludf.DUMMYFUNCTION("""COMPUTED_VALUE"""),57.0)</f>
        <v>57</v>
      </c>
      <c r="H968" s="1">
        <f>IFERROR(__xludf.DUMMYFUNCTION("""COMPUTED_VALUE"""),56.0)</f>
        <v>56</v>
      </c>
      <c r="I968" s="1">
        <f>IFERROR(__xludf.DUMMYFUNCTION("""COMPUTED_VALUE"""),29.0)</f>
        <v>29</v>
      </c>
      <c r="J968" s="1">
        <f>IFERROR(__xludf.DUMMYFUNCTION("""COMPUTED_VALUE"""),76.0)</f>
        <v>76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 t="str">
        <f>IFERROR(__xludf.DUMMYFUNCTION("""COMPUTED_VALUE"""),"C")</f>
        <v>C</v>
      </c>
      <c r="E969" s="1">
        <f>IFERROR(__xludf.DUMMYFUNCTION("""COMPUTED_VALUE"""),77.0)</f>
        <v>77</v>
      </c>
      <c r="F969" s="1">
        <f>IFERROR(__xludf.DUMMYFUNCTION("""COMPUTED_VALUE"""),55.0)</f>
        <v>55</v>
      </c>
      <c r="G969" s="1">
        <f>IFERROR(__xludf.DUMMYFUNCTION("""COMPUTED_VALUE"""),80.0)</f>
        <v>80</v>
      </c>
      <c r="H969" s="1">
        <f>IFERROR(__xludf.DUMMYFUNCTION("""COMPUTED_VALUE"""),75.0)</f>
        <v>75</v>
      </c>
      <c r="I969" s="1">
        <f>IFERROR(__xludf.DUMMYFUNCTION("""COMPUTED_VALUE"""),85.0)</f>
        <v>85</v>
      </c>
      <c r="J969" s="1">
        <f>IFERROR(__xludf.DUMMYFUNCTION("""COMPUTED_VALUE"""),65.0)</f>
        <v>65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 t="str">
        <f>IFERROR(__xludf.DUMMYFUNCTION("""COMPUTED_VALUE"""),"D")</f>
        <v>D</v>
      </c>
      <c r="E970" s="1">
        <f>IFERROR(__xludf.DUMMYFUNCTION("""COMPUTED_VALUE"""),24.0)</f>
        <v>24</v>
      </c>
      <c r="F970" s="1">
        <f>IFERROR(__xludf.DUMMYFUNCTION("""COMPUTED_VALUE"""),51.0)</f>
        <v>51</v>
      </c>
      <c r="G970" s="1">
        <f>IFERROR(__xludf.DUMMYFUNCTION("""COMPUTED_VALUE"""),28.0)</f>
        <v>28</v>
      </c>
      <c r="H970" s="1">
        <f>IFERROR(__xludf.DUMMYFUNCTION("""COMPUTED_VALUE"""),28.0)</f>
        <v>28</v>
      </c>
      <c r="I970" s="1">
        <f>IFERROR(__xludf.DUMMYFUNCTION("""COMPUTED_VALUE"""),67.0)</f>
        <v>67</v>
      </c>
      <c r="J970" s="1">
        <f>IFERROR(__xludf.DUMMYFUNCTION("""COMPUTED_VALUE"""),34.0)</f>
        <v>34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 t="str">
        <f>IFERROR(__xludf.DUMMYFUNCTION("""COMPUTED_VALUE"""),"A")</f>
        <v>A</v>
      </c>
      <c r="E971" s="1">
        <f>IFERROR(__xludf.DUMMYFUNCTION("""COMPUTED_VALUE"""),40.0)</f>
        <v>40</v>
      </c>
      <c r="F971" s="1">
        <f>IFERROR(__xludf.DUMMYFUNCTION("""COMPUTED_VALUE"""),88.0)</f>
        <v>88</v>
      </c>
      <c r="G971" s="1">
        <f>IFERROR(__xludf.DUMMYFUNCTION("""COMPUTED_VALUE"""),78.0)</f>
        <v>78</v>
      </c>
      <c r="H971" s="1">
        <f>IFERROR(__xludf.DUMMYFUNCTION("""COMPUTED_VALUE"""),29.0)</f>
        <v>29</v>
      </c>
      <c r="I971" s="1">
        <f>IFERROR(__xludf.DUMMYFUNCTION("""COMPUTED_VALUE"""),96.0)</f>
        <v>96</v>
      </c>
      <c r="J971" s="1">
        <f>IFERROR(__xludf.DUMMYFUNCTION("""COMPUTED_VALUE"""),67.0)</f>
        <v>67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 t="str">
        <f>IFERROR(__xludf.DUMMYFUNCTION("""COMPUTED_VALUE"""),"B")</f>
        <v>B</v>
      </c>
      <c r="E972" s="1">
        <f>IFERROR(__xludf.DUMMYFUNCTION("""COMPUTED_VALUE"""),19.0)</f>
        <v>19</v>
      </c>
      <c r="F972" s="1">
        <f>IFERROR(__xludf.DUMMYFUNCTION("""COMPUTED_VALUE"""),71.0)</f>
        <v>71</v>
      </c>
      <c r="G972" s="1">
        <f>IFERROR(__xludf.DUMMYFUNCTION("""COMPUTED_VALUE"""),43.0)</f>
        <v>43</v>
      </c>
      <c r="H972" s="1">
        <f>IFERROR(__xludf.DUMMYFUNCTION("""COMPUTED_VALUE"""),51.0)</f>
        <v>51</v>
      </c>
      <c r="I972" s="1">
        <f>IFERROR(__xludf.DUMMYFUNCTION("""COMPUTED_VALUE"""),88.0)</f>
        <v>88</v>
      </c>
      <c r="J972" s="1">
        <f>IFERROR(__xludf.DUMMYFUNCTION("""COMPUTED_VALUE"""),71.0)</f>
        <v>71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 t="str">
        <f>IFERROR(__xludf.DUMMYFUNCTION("""COMPUTED_VALUE"""),"B")</f>
        <v>B</v>
      </c>
      <c r="E973" s="1">
        <f>IFERROR(__xludf.DUMMYFUNCTION("""COMPUTED_VALUE"""),83.0)</f>
        <v>83</v>
      </c>
      <c r="F973" s="1">
        <f>IFERROR(__xludf.DUMMYFUNCTION("""COMPUTED_VALUE"""),28.0)</f>
        <v>28</v>
      </c>
      <c r="G973" s="1">
        <f>IFERROR(__xludf.DUMMYFUNCTION("""COMPUTED_VALUE"""),42.0)</f>
        <v>42</v>
      </c>
      <c r="H973" s="1">
        <f>IFERROR(__xludf.DUMMYFUNCTION("""COMPUTED_VALUE"""),72.0)</f>
        <v>72</v>
      </c>
      <c r="I973" s="1">
        <f>IFERROR(__xludf.DUMMYFUNCTION("""COMPUTED_VALUE"""),80.0)</f>
        <v>80</v>
      </c>
      <c r="J973" s="1">
        <f>IFERROR(__xludf.DUMMYFUNCTION("""COMPUTED_VALUE"""),55.0)</f>
        <v>55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 t="str">
        <f>IFERROR(__xludf.DUMMYFUNCTION("""COMPUTED_VALUE"""),"C")</f>
        <v>C</v>
      </c>
      <c r="E974" s="1">
        <f>IFERROR(__xludf.DUMMYFUNCTION("""COMPUTED_VALUE"""),67.0)</f>
        <v>67</v>
      </c>
      <c r="F974" s="1">
        <f>IFERROR(__xludf.DUMMYFUNCTION("""COMPUTED_VALUE"""),28.0)</f>
        <v>28</v>
      </c>
      <c r="G974" s="1">
        <f>IFERROR(__xludf.DUMMYFUNCTION("""COMPUTED_VALUE"""),95.0)</f>
        <v>95</v>
      </c>
      <c r="H974" s="1">
        <f>IFERROR(__xludf.DUMMYFUNCTION("""COMPUTED_VALUE"""),21.0)</f>
        <v>21</v>
      </c>
      <c r="I974" s="1">
        <f>IFERROR(__xludf.DUMMYFUNCTION("""COMPUTED_VALUE"""),67.0)</f>
        <v>67</v>
      </c>
      <c r="J974" s="1">
        <f>IFERROR(__xludf.DUMMYFUNCTION("""COMPUTED_VALUE"""),78.0)</f>
        <v>78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 t="str">
        <f>IFERROR(__xludf.DUMMYFUNCTION("""COMPUTED_VALUE"""),"D")</f>
        <v>D</v>
      </c>
      <c r="E975" s="1">
        <f>IFERROR(__xludf.DUMMYFUNCTION("""COMPUTED_VALUE"""),91.0)</f>
        <v>91</v>
      </c>
      <c r="F975" s="1">
        <f>IFERROR(__xludf.DUMMYFUNCTION("""COMPUTED_VALUE"""),37.0)</f>
        <v>37</v>
      </c>
      <c r="G975" s="1">
        <f>IFERROR(__xludf.DUMMYFUNCTION("""COMPUTED_VALUE"""),37.0)</f>
        <v>37</v>
      </c>
      <c r="H975" s="1">
        <f>IFERROR(__xludf.DUMMYFUNCTION("""COMPUTED_VALUE"""),95.0)</f>
        <v>95</v>
      </c>
      <c r="I975" s="1">
        <f>IFERROR(__xludf.DUMMYFUNCTION("""COMPUTED_VALUE"""),70.0)</f>
        <v>70</v>
      </c>
      <c r="J975" s="1">
        <f>IFERROR(__xludf.DUMMYFUNCTION("""COMPUTED_VALUE"""),39.0)</f>
        <v>39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 t="str">
        <f>IFERROR(__xludf.DUMMYFUNCTION("""COMPUTED_VALUE"""),"B")</f>
        <v>B</v>
      </c>
      <c r="E976" s="1">
        <f>IFERROR(__xludf.DUMMYFUNCTION("""COMPUTED_VALUE"""),98.0)</f>
        <v>98</v>
      </c>
      <c r="F976" s="1">
        <f>IFERROR(__xludf.DUMMYFUNCTION("""COMPUTED_VALUE"""),80.0)</f>
        <v>80</v>
      </c>
      <c r="G976" s="1">
        <f>IFERROR(__xludf.DUMMYFUNCTION("""COMPUTED_VALUE"""),27.0)</f>
        <v>27</v>
      </c>
      <c r="H976" s="1">
        <f>IFERROR(__xludf.DUMMYFUNCTION("""COMPUTED_VALUE"""),47.0)</f>
        <v>47</v>
      </c>
      <c r="I976" s="1">
        <f>IFERROR(__xludf.DUMMYFUNCTION("""COMPUTED_VALUE"""),90.0)</f>
        <v>90</v>
      </c>
      <c r="J976" s="1">
        <f>IFERROR(__xludf.DUMMYFUNCTION("""COMPUTED_VALUE"""),89.0)</f>
        <v>89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 t="str">
        <f>IFERROR(__xludf.DUMMYFUNCTION("""COMPUTED_VALUE"""),"B")</f>
        <v>B</v>
      </c>
      <c r="E977" s="1">
        <f>IFERROR(__xludf.DUMMYFUNCTION("""COMPUTED_VALUE"""),20.0)</f>
        <v>20</v>
      </c>
      <c r="F977" s="1">
        <f>IFERROR(__xludf.DUMMYFUNCTION("""COMPUTED_VALUE"""),70.0)</f>
        <v>70</v>
      </c>
      <c r="G977" s="1">
        <f>IFERROR(__xludf.DUMMYFUNCTION("""COMPUTED_VALUE"""),80.0)</f>
        <v>80</v>
      </c>
      <c r="H977" s="1">
        <f>IFERROR(__xludf.DUMMYFUNCTION("""COMPUTED_VALUE"""),29.0)</f>
        <v>29</v>
      </c>
      <c r="I977" s="1">
        <f>IFERROR(__xludf.DUMMYFUNCTION("""COMPUTED_VALUE"""),68.0)</f>
        <v>68</v>
      </c>
      <c r="J977" s="1">
        <f>IFERROR(__xludf.DUMMYFUNCTION("""COMPUTED_VALUE"""),78.0)</f>
        <v>78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 t="str">
        <f>IFERROR(__xludf.DUMMYFUNCTION("""COMPUTED_VALUE"""),"C")</f>
        <v>C</v>
      </c>
      <c r="E978" s="1">
        <f>IFERROR(__xludf.DUMMYFUNCTION("""COMPUTED_VALUE"""),26.0)</f>
        <v>26</v>
      </c>
      <c r="F978" s="1">
        <f>IFERROR(__xludf.DUMMYFUNCTION("""COMPUTED_VALUE"""),30.0)</f>
        <v>30</v>
      </c>
      <c r="G978" s="1">
        <f>IFERROR(__xludf.DUMMYFUNCTION("""COMPUTED_VALUE"""),39.0)</f>
        <v>39</v>
      </c>
      <c r="H978" s="1">
        <f>IFERROR(__xludf.DUMMYFUNCTION("""COMPUTED_VALUE"""),58.0)</f>
        <v>58</v>
      </c>
      <c r="I978" s="1">
        <f>IFERROR(__xludf.DUMMYFUNCTION("""COMPUTED_VALUE"""),45.0)</f>
        <v>45</v>
      </c>
      <c r="J978" s="1">
        <f>IFERROR(__xludf.DUMMYFUNCTION("""COMPUTED_VALUE"""),67.0)</f>
        <v>67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 t="str">
        <f>IFERROR(__xludf.DUMMYFUNCTION("""COMPUTED_VALUE"""),"A")</f>
        <v>A</v>
      </c>
      <c r="E979" s="1">
        <f>IFERROR(__xludf.DUMMYFUNCTION("""COMPUTED_VALUE"""),41.0)</f>
        <v>41</v>
      </c>
      <c r="F979" s="1">
        <f>IFERROR(__xludf.DUMMYFUNCTION("""COMPUTED_VALUE"""),69.0)</f>
        <v>69</v>
      </c>
      <c r="G979" s="1">
        <f>IFERROR(__xludf.DUMMYFUNCTION("""COMPUTED_VALUE"""),79.0)</f>
        <v>79</v>
      </c>
      <c r="H979" s="1">
        <f>IFERROR(__xludf.DUMMYFUNCTION("""COMPUTED_VALUE"""),62.0)</f>
        <v>62</v>
      </c>
      <c r="I979" s="1">
        <f>IFERROR(__xludf.DUMMYFUNCTION("""COMPUTED_VALUE"""),43.0)</f>
        <v>43</v>
      </c>
      <c r="J979" s="1">
        <f>IFERROR(__xludf.DUMMYFUNCTION("""COMPUTED_VALUE"""),90.0)</f>
        <v>90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 t="str">
        <f>IFERROR(__xludf.DUMMYFUNCTION("""COMPUTED_VALUE"""),"D")</f>
        <v>D</v>
      </c>
      <c r="E980" s="1">
        <f>IFERROR(__xludf.DUMMYFUNCTION("""COMPUTED_VALUE"""),24.0)</f>
        <v>24</v>
      </c>
      <c r="F980" s="1">
        <f>IFERROR(__xludf.DUMMYFUNCTION("""COMPUTED_VALUE"""),52.0)</f>
        <v>52</v>
      </c>
      <c r="G980" s="1">
        <f>IFERROR(__xludf.DUMMYFUNCTION("""COMPUTED_VALUE"""),97.0)</f>
        <v>97</v>
      </c>
      <c r="H980" s="1">
        <f>IFERROR(__xludf.DUMMYFUNCTION("""COMPUTED_VALUE"""),80.0)</f>
        <v>80</v>
      </c>
      <c r="I980" s="1">
        <f>IFERROR(__xludf.DUMMYFUNCTION("""COMPUTED_VALUE"""),23.0)</f>
        <v>23</v>
      </c>
      <c r="J980" s="1">
        <f>IFERROR(__xludf.DUMMYFUNCTION("""COMPUTED_VALUE"""),81.0)</f>
        <v>81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 t="str">
        <f>IFERROR(__xludf.DUMMYFUNCTION("""COMPUTED_VALUE"""),"D")</f>
        <v>D</v>
      </c>
      <c r="E981" s="1">
        <f>IFERROR(__xludf.DUMMYFUNCTION("""COMPUTED_VALUE"""),20.0)</f>
        <v>20</v>
      </c>
      <c r="F981" s="1">
        <f>IFERROR(__xludf.DUMMYFUNCTION("""COMPUTED_VALUE"""),92.0)</f>
        <v>92</v>
      </c>
      <c r="G981" s="1">
        <f>IFERROR(__xludf.DUMMYFUNCTION("""COMPUTED_VALUE"""),57.0)</f>
        <v>57</v>
      </c>
      <c r="H981" s="1">
        <f>IFERROR(__xludf.DUMMYFUNCTION("""COMPUTED_VALUE"""),91.0)</f>
        <v>91</v>
      </c>
      <c r="I981" s="1">
        <f>IFERROR(__xludf.DUMMYFUNCTION("""COMPUTED_VALUE"""),56.0)</f>
        <v>56</v>
      </c>
      <c r="J981" s="1">
        <f>IFERROR(__xludf.DUMMYFUNCTION("""COMPUTED_VALUE"""),96.0)</f>
        <v>96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 t="str">
        <f>IFERROR(__xludf.DUMMYFUNCTION("""COMPUTED_VALUE"""),"B")</f>
        <v>B</v>
      </c>
      <c r="E982" s="1">
        <f>IFERROR(__xludf.DUMMYFUNCTION("""COMPUTED_VALUE"""),59.0)</f>
        <v>59</v>
      </c>
      <c r="F982" s="1">
        <f>IFERROR(__xludf.DUMMYFUNCTION("""COMPUTED_VALUE"""),73.0)</f>
        <v>73</v>
      </c>
      <c r="G982" s="1">
        <f>IFERROR(__xludf.DUMMYFUNCTION("""COMPUTED_VALUE"""),67.0)</f>
        <v>67</v>
      </c>
      <c r="H982" s="1">
        <f>IFERROR(__xludf.DUMMYFUNCTION("""COMPUTED_VALUE"""),91.0)</f>
        <v>91</v>
      </c>
      <c r="I982" s="1">
        <f>IFERROR(__xludf.DUMMYFUNCTION("""COMPUTED_VALUE"""),94.0)</f>
        <v>94</v>
      </c>
      <c r="J982" s="1">
        <f>IFERROR(__xludf.DUMMYFUNCTION("""COMPUTED_VALUE"""),84.0)</f>
        <v>84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 t="str">
        <f>IFERROR(__xludf.DUMMYFUNCTION("""COMPUTED_VALUE"""),"B")</f>
        <v>B</v>
      </c>
      <c r="E983" s="1">
        <f>IFERROR(__xludf.DUMMYFUNCTION("""COMPUTED_VALUE"""),52.0)</f>
        <v>52</v>
      </c>
      <c r="F983" s="1">
        <f>IFERROR(__xludf.DUMMYFUNCTION("""COMPUTED_VALUE"""),81.0)</f>
        <v>81</v>
      </c>
      <c r="G983" s="1">
        <f>IFERROR(__xludf.DUMMYFUNCTION("""COMPUTED_VALUE"""),27.0)</f>
        <v>27</v>
      </c>
      <c r="H983" s="1">
        <f>IFERROR(__xludf.DUMMYFUNCTION("""COMPUTED_VALUE"""),48.0)</f>
        <v>48</v>
      </c>
      <c r="I983" s="1">
        <f>IFERROR(__xludf.DUMMYFUNCTION("""COMPUTED_VALUE"""),99.0)</f>
        <v>99</v>
      </c>
      <c r="J983" s="1">
        <f>IFERROR(__xludf.DUMMYFUNCTION("""COMPUTED_VALUE"""),55.0)</f>
        <v>55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 t="str">
        <f>IFERROR(__xludf.DUMMYFUNCTION("""COMPUTED_VALUE"""),"C")</f>
        <v>C</v>
      </c>
      <c r="E984" s="1">
        <f>IFERROR(__xludf.DUMMYFUNCTION("""COMPUTED_VALUE"""),32.0)</f>
        <v>32</v>
      </c>
      <c r="F984" s="1">
        <f>IFERROR(__xludf.DUMMYFUNCTION("""COMPUTED_VALUE"""),53.0)</f>
        <v>53</v>
      </c>
      <c r="G984" s="1">
        <f>IFERROR(__xludf.DUMMYFUNCTION("""COMPUTED_VALUE"""),86.0)</f>
        <v>86</v>
      </c>
      <c r="H984" s="1">
        <f>IFERROR(__xludf.DUMMYFUNCTION("""COMPUTED_VALUE"""),26.0)</f>
        <v>26</v>
      </c>
      <c r="I984" s="1">
        <f>IFERROR(__xludf.DUMMYFUNCTION("""COMPUTED_VALUE"""),22.0)</f>
        <v>22</v>
      </c>
      <c r="J984" s="1">
        <f>IFERROR(__xludf.DUMMYFUNCTION("""COMPUTED_VALUE"""),38.0)</f>
        <v>38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 t="str">
        <f>IFERROR(__xludf.DUMMYFUNCTION("""COMPUTED_VALUE"""),"D")</f>
        <v>D</v>
      </c>
      <c r="E985" s="1">
        <f>IFERROR(__xludf.DUMMYFUNCTION("""COMPUTED_VALUE"""),41.0)</f>
        <v>41</v>
      </c>
      <c r="F985" s="1">
        <f>IFERROR(__xludf.DUMMYFUNCTION("""COMPUTED_VALUE"""),88.0)</f>
        <v>88</v>
      </c>
      <c r="G985" s="1">
        <f>IFERROR(__xludf.DUMMYFUNCTION("""COMPUTED_VALUE"""),99.0)</f>
        <v>99</v>
      </c>
      <c r="H985" s="1">
        <f>IFERROR(__xludf.DUMMYFUNCTION("""COMPUTED_VALUE"""),42.0)</f>
        <v>42</v>
      </c>
      <c r="I985" s="1">
        <f>IFERROR(__xludf.DUMMYFUNCTION("""COMPUTED_VALUE"""),49.0)</f>
        <v>49</v>
      </c>
      <c r="J985" s="1">
        <f>IFERROR(__xludf.DUMMYFUNCTION("""COMPUTED_VALUE"""),68.0)</f>
        <v>68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 t="str">
        <f>IFERROR(__xludf.DUMMYFUNCTION("""COMPUTED_VALUE"""),"B")</f>
        <v>B</v>
      </c>
      <c r="E986" s="1">
        <f>IFERROR(__xludf.DUMMYFUNCTION("""COMPUTED_VALUE"""),25.0)</f>
        <v>25</v>
      </c>
      <c r="F986" s="1">
        <f>IFERROR(__xludf.DUMMYFUNCTION("""COMPUTED_VALUE"""),44.0)</f>
        <v>44</v>
      </c>
      <c r="G986" s="1">
        <f>IFERROR(__xludf.DUMMYFUNCTION("""COMPUTED_VALUE"""),94.0)</f>
        <v>94</v>
      </c>
      <c r="H986" s="1">
        <f>IFERROR(__xludf.DUMMYFUNCTION("""COMPUTED_VALUE"""),59.0)</f>
        <v>59</v>
      </c>
      <c r="I986" s="1">
        <f>IFERROR(__xludf.DUMMYFUNCTION("""COMPUTED_VALUE"""),66.0)</f>
        <v>66</v>
      </c>
      <c r="J986" s="1">
        <f>IFERROR(__xludf.DUMMYFUNCTION("""COMPUTED_VALUE"""),42.0)</f>
        <v>42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 t="str">
        <f>IFERROR(__xludf.DUMMYFUNCTION("""COMPUTED_VALUE"""),"C")</f>
        <v>C</v>
      </c>
      <c r="E987" s="1">
        <f>IFERROR(__xludf.DUMMYFUNCTION("""COMPUTED_VALUE"""),97.0)</f>
        <v>97</v>
      </c>
      <c r="F987" s="1">
        <f>IFERROR(__xludf.DUMMYFUNCTION("""COMPUTED_VALUE"""),37.0)</f>
        <v>37</v>
      </c>
      <c r="G987" s="1">
        <f>IFERROR(__xludf.DUMMYFUNCTION("""COMPUTED_VALUE"""),45.0)</f>
        <v>45</v>
      </c>
      <c r="H987" s="1">
        <f>IFERROR(__xludf.DUMMYFUNCTION("""COMPUTED_VALUE"""),83.0)</f>
        <v>83</v>
      </c>
      <c r="I987" s="1">
        <f>IFERROR(__xludf.DUMMYFUNCTION("""COMPUTED_VALUE"""),82.0)</f>
        <v>82</v>
      </c>
      <c r="J987" s="1">
        <f>IFERROR(__xludf.DUMMYFUNCTION("""COMPUTED_VALUE"""),81.0)</f>
        <v>81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 t="str">
        <f>IFERROR(__xludf.DUMMYFUNCTION("""COMPUTED_VALUE"""),"D")</f>
        <v>D</v>
      </c>
      <c r="E988" s="1">
        <f>IFERROR(__xludf.DUMMYFUNCTION("""COMPUTED_VALUE"""),96.0)</f>
        <v>96</v>
      </c>
      <c r="F988" s="1">
        <f>IFERROR(__xludf.DUMMYFUNCTION("""COMPUTED_VALUE"""),96.0)</f>
        <v>96</v>
      </c>
      <c r="G988" s="1">
        <f>IFERROR(__xludf.DUMMYFUNCTION("""COMPUTED_VALUE"""),23.0)</f>
        <v>23</v>
      </c>
      <c r="H988" s="1">
        <f>IFERROR(__xludf.DUMMYFUNCTION("""COMPUTED_VALUE"""),34.0)</f>
        <v>34</v>
      </c>
      <c r="I988" s="1">
        <f>IFERROR(__xludf.DUMMYFUNCTION("""COMPUTED_VALUE"""),80.0)</f>
        <v>80</v>
      </c>
      <c r="J988" s="1">
        <f>IFERROR(__xludf.DUMMYFUNCTION("""COMPUTED_VALUE"""),66.0)</f>
        <v>66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 t="str">
        <f>IFERROR(__xludf.DUMMYFUNCTION("""COMPUTED_VALUE"""),"C")</f>
        <v>C</v>
      </c>
      <c r="E989" s="1">
        <f>IFERROR(__xludf.DUMMYFUNCTION("""COMPUTED_VALUE"""),96.0)</f>
        <v>96</v>
      </c>
      <c r="F989" s="1">
        <f>IFERROR(__xludf.DUMMYFUNCTION("""COMPUTED_VALUE"""),57.0)</f>
        <v>57</v>
      </c>
      <c r="G989" s="1">
        <f>IFERROR(__xludf.DUMMYFUNCTION("""COMPUTED_VALUE"""),56.0)</f>
        <v>56</v>
      </c>
      <c r="H989" s="1">
        <f>IFERROR(__xludf.DUMMYFUNCTION("""COMPUTED_VALUE"""),59.0)</f>
        <v>59</v>
      </c>
      <c r="I989" s="1">
        <f>IFERROR(__xludf.DUMMYFUNCTION("""COMPUTED_VALUE"""),24.0)</f>
        <v>24</v>
      </c>
      <c r="J989" s="1">
        <f>IFERROR(__xludf.DUMMYFUNCTION("""COMPUTED_VALUE"""),45.0)</f>
        <v>45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 t="str">
        <f>IFERROR(__xludf.DUMMYFUNCTION("""COMPUTED_VALUE"""),"A")</f>
        <v>A</v>
      </c>
      <c r="E990" s="1">
        <f>IFERROR(__xludf.DUMMYFUNCTION("""COMPUTED_VALUE"""),78.0)</f>
        <v>78</v>
      </c>
      <c r="F990" s="1">
        <f>IFERROR(__xludf.DUMMYFUNCTION("""COMPUTED_VALUE"""),37.0)</f>
        <v>37</v>
      </c>
      <c r="G990" s="1">
        <f>IFERROR(__xludf.DUMMYFUNCTION("""COMPUTED_VALUE"""),32.0)</f>
        <v>32</v>
      </c>
      <c r="H990" s="1">
        <f>IFERROR(__xludf.DUMMYFUNCTION("""COMPUTED_VALUE"""),52.0)</f>
        <v>52</v>
      </c>
      <c r="I990" s="1">
        <f>IFERROR(__xludf.DUMMYFUNCTION("""COMPUTED_VALUE"""),74.0)</f>
        <v>74</v>
      </c>
      <c r="J990" s="1">
        <f>IFERROR(__xludf.DUMMYFUNCTION("""COMPUTED_VALUE"""),33.0)</f>
        <v>33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 t="str">
        <f>IFERROR(__xludf.DUMMYFUNCTION("""COMPUTED_VALUE"""),"B")</f>
        <v>B</v>
      </c>
      <c r="E991" s="1">
        <f>IFERROR(__xludf.DUMMYFUNCTION("""COMPUTED_VALUE"""),40.0)</f>
        <v>40</v>
      </c>
      <c r="F991" s="1">
        <f>IFERROR(__xludf.DUMMYFUNCTION("""COMPUTED_VALUE"""),30.0)</f>
        <v>30</v>
      </c>
      <c r="G991" s="1">
        <f>IFERROR(__xludf.DUMMYFUNCTION("""COMPUTED_VALUE"""),62.0)</f>
        <v>62</v>
      </c>
      <c r="H991" s="1">
        <f>IFERROR(__xludf.DUMMYFUNCTION("""COMPUTED_VALUE"""),44.0)</f>
        <v>44</v>
      </c>
      <c r="I991" s="1">
        <f>IFERROR(__xludf.DUMMYFUNCTION("""COMPUTED_VALUE"""),84.0)</f>
        <v>84</v>
      </c>
      <c r="J991" s="1">
        <f>IFERROR(__xludf.DUMMYFUNCTION("""COMPUTED_VALUE"""),94.0)</f>
        <v>94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 t="str">
        <f>IFERROR(__xludf.DUMMYFUNCTION("""COMPUTED_VALUE"""),"A")</f>
        <v>A</v>
      </c>
      <c r="E992" s="1">
        <f>IFERROR(__xludf.DUMMYFUNCTION("""COMPUTED_VALUE"""),19.0)</f>
        <v>19</v>
      </c>
      <c r="F992" s="1">
        <f>IFERROR(__xludf.DUMMYFUNCTION("""COMPUTED_VALUE"""),45.0)</f>
        <v>45</v>
      </c>
      <c r="G992" s="1">
        <f>IFERROR(__xludf.DUMMYFUNCTION("""COMPUTED_VALUE"""),62.0)</f>
        <v>62</v>
      </c>
      <c r="H992" s="1">
        <f>IFERROR(__xludf.DUMMYFUNCTION("""COMPUTED_VALUE"""),85.0)</f>
        <v>85</v>
      </c>
      <c r="I992" s="1">
        <f>IFERROR(__xludf.DUMMYFUNCTION("""COMPUTED_VALUE"""),72.0)</f>
        <v>72</v>
      </c>
      <c r="J992" s="1">
        <f>IFERROR(__xludf.DUMMYFUNCTION("""COMPUTED_VALUE"""),99.0)</f>
        <v>99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 t="str">
        <f>IFERROR(__xludf.DUMMYFUNCTION("""COMPUTED_VALUE"""),"D")</f>
        <v>D</v>
      </c>
      <c r="E993" s="1">
        <f>IFERROR(__xludf.DUMMYFUNCTION("""COMPUTED_VALUE"""),26.0)</f>
        <v>26</v>
      </c>
      <c r="F993" s="1">
        <f>IFERROR(__xludf.DUMMYFUNCTION("""COMPUTED_VALUE"""),42.0)</f>
        <v>42</v>
      </c>
      <c r="G993" s="1">
        <f>IFERROR(__xludf.DUMMYFUNCTION("""COMPUTED_VALUE"""),22.0)</f>
        <v>22</v>
      </c>
      <c r="H993" s="1">
        <f>IFERROR(__xludf.DUMMYFUNCTION("""COMPUTED_VALUE"""),48.0)</f>
        <v>48</v>
      </c>
      <c r="I993" s="1">
        <f>IFERROR(__xludf.DUMMYFUNCTION("""COMPUTED_VALUE"""),52.0)</f>
        <v>52</v>
      </c>
      <c r="J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 t="str">
        <f>IFERROR(__xludf.DUMMYFUNCTION("""COMPUTED_VALUE"""),"C")</f>
        <v>C</v>
      </c>
      <c r="E994" s="1">
        <f>IFERROR(__xludf.DUMMYFUNCTION("""COMPUTED_VALUE"""),61.0)</f>
        <v>61</v>
      </c>
      <c r="F994" s="1">
        <f>IFERROR(__xludf.DUMMYFUNCTION("""COMPUTED_VALUE"""),31.0)</f>
        <v>31</v>
      </c>
      <c r="G994" s="1">
        <f>IFERROR(__xludf.DUMMYFUNCTION("""COMPUTED_VALUE"""),25.0)</f>
        <v>25</v>
      </c>
      <c r="H994" s="1">
        <f>IFERROR(__xludf.DUMMYFUNCTION("""COMPUTED_VALUE"""),70.0)</f>
        <v>70</v>
      </c>
      <c r="I994" s="1">
        <f>IFERROR(__xludf.DUMMYFUNCTION("""COMPUTED_VALUE"""),91.0)</f>
        <v>91</v>
      </c>
      <c r="J994" s="1">
        <f>IFERROR(__xludf.DUMMYFUNCTION("""COMPUTED_VALUE"""),72.0)</f>
        <v>72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 t="str">
        <f>IFERROR(__xludf.DUMMYFUNCTION("""COMPUTED_VALUE"""),"A")</f>
        <v>A</v>
      </c>
      <c r="E995" s="1">
        <f>IFERROR(__xludf.DUMMYFUNCTION("""COMPUTED_VALUE"""),38.0)</f>
        <v>38</v>
      </c>
      <c r="F995" s="1">
        <f>IFERROR(__xludf.DUMMYFUNCTION("""COMPUTED_VALUE"""),71.0)</f>
        <v>71</v>
      </c>
      <c r="G995" s="1">
        <f>IFERROR(__xludf.DUMMYFUNCTION("""COMPUTED_VALUE"""),96.0)</f>
        <v>96</v>
      </c>
      <c r="H995" s="1">
        <f>IFERROR(__xludf.DUMMYFUNCTION("""COMPUTED_VALUE"""),35.0)</f>
        <v>35</v>
      </c>
      <c r="I995" s="1">
        <f>IFERROR(__xludf.DUMMYFUNCTION("""COMPUTED_VALUE"""),64.0)</f>
        <v>64</v>
      </c>
      <c r="J995" s="1">
        <f>IFERROR(__xludf.DUMMYFUNCTION("""COMPUTED_VALUE"""),60.0)</f>
        <v>60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 t="str">
        <f>IFERROR(__xludf.DUMMYFUNCTION("""COMPUTED_VALUE"""),"B")</f>
        <v>B</v>
      </c>
      <c r="E996" s="1">
        <f>IFERROR(__xludf.DUMMYFUNCTION("""COMPUTED_VALUE"""),91.0)</f>
        <v>91</v>
      </c>
      <c r="F996" s="1">
        <f>IFERROR(__xludf.DUMMYFUNCTION("""COMPUTED_VALUE"""),44.0)</f>
        <v>44</v>
      </c>
      <c r="G996" s="1">
        <f>IFERROR(__xludf.DUMMYFUNCTION("""COMPUTED_VALUE"""),53.0)</f>
        <v>53</v>
      </c>
      <c r="H996" s="1">
        <f>IFERROR(__xludf.DUMMYFUNCTION("""COMPUTED_VALUE"""),93.0)</f>
        <v>93</v>
      </c>
      <c r="I996" s="1">
        <f>IFERROR(__xludf.DUMMYFUNCTION("""COMPUTED_VALUE"""),47.0)</f>
        <v>47</v>
      </c>
      <c r="J996" s="1">
        <f>IFERROR(__xludf.DUMMYFUNCTION("""COMPUTED_VALUE"""),97.0)</f>
        <v>97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 t="str">
        <f>IFERROR(__xludf.DUMMYFUNCTION("""COMPUTED_VALUE"""),"A")</f>
        <v>A</v>
      </c>
      <c r="E997" s="1">
        <f>IFERROR(__xludf.DUMMYFUNCTION("""COMPUTED_VALUE"""),26.0)</f>
        <v>26</v>
      </c>
      <c r="F997" s="1">
        <f>IFERROR(__xludf.DUMMYFUNCTION("""COMPUTED_VALUE"""),41.0)</f>
        <v>41</v>
      </c>
      <c r="G997" s="1">
        <f>IFERROR(__xludf.DUMMYFUNCTION("""COMPUTED_VALUE"""),34.0)</f>
        <v>34</v>
      </c>
      <c r="H997" s="1">
        <f>IFERROR(__xludf.DUMMYFUNCTION("""COMPUTED_VALUE"""),31.0)</f>
        <v>31</v>
      </c>
      <c r="I997" s="1">
        <f>IFERROR(__xludf.DUMMYFUNCTION("""COMPUTED_VALUE"""),28.0)</f>
        <v>28</v>
      </c>
      <c r="J997" s="1">
        <f>IFERROR(__xludf.DUMMYFUNCTION("""COMPUTED_VALUE"""),74.0)</f>
        <v>74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 t="str">
        <f>IFERROR(__xludf.DUMMYFUNCTION("""COMPUTED_VALUE"""),"C")</f>
        <v>C</v>
      </c>
      <c r="E998" s="1">
        <f>IFERROR(__xludf.DUMMYFUNCTION("""COMPUTED_VALUE"""),71.0)</f>
        <v>71</v>
      </c>
      <c r="F998" s="1">
        <f>IFERROR(__xludf.DUMMYFUNCTION("""COMPUTED_VALUE"""),92.0)</f>
        <v>92</v>
      </c>
      <c r="G998" s="1">
        <f>IFERROR(__xludf.DUMMYFUNCTION("""COMPUTED_VALUE"""),66.0)</f>
        <v>66</v>
      </c>
      <c r="H998" s="1">
        <f>IFERROR(__xludf.DUMMYFUNCTION("""COMPUTED_VALUE"""),78.0)</f>
        <v>78</v>
      </c>
      <c r="I998" s="1">
        <f>IFERROR(__xludf.DUMMYFUNCTION("""COMPUTED_VALUE"""),41.0)</f>
        <v>41</v>
      </c>
      <c r="J998" s="1">
        <f>IFERROR(__xludf.DUMMYFUNCTION("""COMPUTED_VALUE"""),78.0)</f>
        <v>78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 t="str">
        <f>IFERROR(__xludf.DUMMYFUNCTION("""COMPUTED_VALUE"""),"C")</f>
        <v>C</v>
      </c>
      <c r="E999" s="1">
        <f>IFERROR(__xludf.DUMMYFUNCTION("""COMPUTED_VALUE"""),37.0)</f>
        <v>37</v>
      </c>
      <c r="F999" s="1">
        <f>IFERROR(__xludf.DUMMYFUNCTION("""COMPUTED_VALUE"""),52.0)</f>
        <v>52</v>
      </c>
      <c r="G999" s="1">
        <f>IFERROR(__xludf.DUMMYFUNCTION("""COMPUTED_VALUE"""),65.0)</f>
        <v>65</v>
      </c>
      <c r="H999" s="1">
        <f>IFERROR(__xludf.DUMMYFUNCTION("""COMPUTED_VALUE"""),95.0)</f>
        <v>95</v>
      </c>
      <c r="I999" s="1">
        <f>IFERROR(__xludf.DUMMYFUNCTION("""COMPUTED_VALUE"""),75.0)</f>
        <v>75</v>
      </c>
      <c r="J999" s="1">
        <f>IFERROR(__xludf.DUMMYFUNCTION("""COMPUTED_VALUE"""),20.0)</f>
        <v>20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 t="str">
        <f>IFERROR(__xludf.DUMMYFUNCTION("""COMPUTED_VALUE"""),"C")</f>
        <v>C</v>
      </c>
      <c r="E1000" s="1">
        <f>IFERROR(__xludf.DUMMYFUNCTION("""COMPUTED_VALUE"""),49.0)</f>
        <v>49</v>
      </c>
      <c r="F1000" s="1">
        <f>IFERROR(__xludf.DUMMYFUNCTION("""COMPUTED_VALUE"""),98.0)</f>
        <v>98</v>
      </c>
      <c r="G1000" s="1">
        <f>IFERROR(__xludf.DUMMYFUNCTION("""COMPUTED_VALUE"""),29.0)</f>
        <v>29</v>
      </c>
      <c r="H1000" s="1">
        <f>IFERROR(__xludf.DUMMYFUNCTION("""COMPUTED_VALUE"""),88.0)</f>
        <v>88</v>
      </c>
      <c r="I1000" s="1">
        <f>IFERROR(__xludf.DUMMYFUNCTION("""COMPUTED_VALUE"""),70.0)</f>
        <v>70</v>
      </c>
      <c r="J1000" s="1">
        <f>IFERROR(__xludf.DUMMYFUNCTION("""COMPUTED_VALUE"""),35.0)</f>
        <v>35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 t="str">
        <f>IFERROR(__xludf.DUMMYFUNCTION("""COMPUTED_VALUE"""),"A")</f>
        <v>A</v>
      </c>
      <c r="E1001" s="1">
        <f>IFERROR(__xludf.DUMMYFUNCTION("""COMPUTED_VALUE"""),16.0)</f>
        <v>16</v>
      </c>
      <c r="F1001" s="1">
        <f>IFERROR(__xludf.DUMMYFUNCTION("""COMPUTED_VALUE"""),42.0)</f>
        <v>42</v>
      </c>
      <c r="G1001" s="1">
        <f>IFERROR(__xludf.DUMMYFUNCTION("""COMPUTED_VALUE"""),79.0)</f>
        <v>79</v>
      </c>
      <c r="H1001" s="1">
        <f>IFERROR(__xludf.DUMMYFUNCTION("""COMPUTED_VALUE"""),89.0)</f>
        <v>89</v>
      </c>
      <c r="I1001" s="1">
        <f>IFERROR(__xludf.DUMMYFUNCTION("""COMPUTED_VALUE"""),58.0)</f>
        <v>58</v>
      </c>
      <c r="J1001" s="1">
        <f>IFERROR(__xludf.DUMMYFUNCTION("""COMPUTED_VALUE"""),91.0)</f>
        <v>91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 t="str">
        <f>IFERROR(__xludf.DUMMYFUNCTION("""COMPUTED_VALUE"""),"A")</f>
        <v>A</v>
      </c>
      <c r="E1002" s="1">
        <f>IFERROR(__xludf.DUMMYFUNCTION("""COMPUTED_VALUE"""),62.0)</f>
        <v>62</v>
      </c>
      <c r="F1002" s="1">
        <f>IFERROR(__xludf.DUMMYFUNCTION("""COMPUTED_VALUE"""),76.0)</f>
        <v>76</v>
      </c>
      <c r="G1002" s="1">
        <f>IFERROR(__xludf.DUMMYFUNCTION("""COMPUTED_VALUE"""),87.0)</f>
        <v>87</v>
      </c>
      <c r="H1002" s="1">
        <f>IFERROR(__xludf.DUMMYFUNCTION("""COMPUTED_VALUE"""),69.0)</f>
        <v>69</v>
      </c>
      <c r="I1002" s="1">
        <f>IFERROR(__xludf.DUMMYFUNCTION("""COMPUTED_VALUE"""),55.0)</f>
        <v>55</v>
      </c>
      <c r="J1002" s="1">
        <f>IFERROR(__xludf.DUMMYFUNCTION("""COMPUTED_VALUE"""),91.0)</f>
        <v>91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 t="str">
        <f>IFERROR(__xludf.DUMMYFUNCTION("""COMPUTED_VALUE"""),"C")</f>
        <v>C</v>
      </c>
      <c r="E1003" s="1">
        <f>IFERROR(__xludf.DUMMYFUNCTION("""COMPUTED_VALUE"""),59.0)</f>
        <v>59</v>
      </c>
      <c r="F1003" s="1">
        <f>IFERROR(__xludf.DUMMYFUNCTION("""COMPUTED_VALUE"""),65.0)</f>
        <v>65</v>
      </c>
      <c r="G1003" s="1">
        <f>IFERROR(__xludf.DUMMYFUNCTION("""COMPUTED_VALUE"""),34.0)</f>
        <v>34</v>
      </c>
      <c r="H1003" s="1">
        <f>IFERROR(__xludf.DUMMYFUNCTION("""COMPUTED_VALUE"""),40.0)</f>
        <v>40</v>
      </c>
      <c r="I1003" s="1">
        <f>IFERROR(__xludf.DUMMYFUNCTION("""COMPUTED_VALUE"""),54.0)</f>
        <v>54</v>
      </c>
      <c r="J1003" s="1">
        <f>IFERROR(__xludf.DUMMYFUNCTION("""COMPUTED_VALUE"""),44.0)</f>
        <v>44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 t="str">
        <f>IFERROR(__xludf.DUMMYFUNCTION("""COMPUTED_VALUE"""),"A")</f>
        <v>A</v>
      </c>
      <c r="E1004" s="1">
        <f>IFERROR(__xludf.DUMMYFUNCTION("""COMPUTED_VALUE"""),70.0)</f>
        <v>70</v>
      </c>
      <c r="F1004" s="1">
        <f>IFERROR(__xludf.DUMMYFUNCTION("""COMPUTED_VALUE"""),80.0)</f>
        <v>80</v>
      </c>
      <c r="G1004" s="1">
        <f>IFERROR(__xludf.DUMMYFUNCTION("""COMPUTED_VALUE"""),67.0)</f>
        <v>67</v>
      </c>
      <c r="H1004" s="1">
        <f>IFERROR(__xludf.DUMMYFUNCTION("""COMPUTED_VALUE"""),70.0)</f>
        <v>70</v>
      </c>
      <c r="I1004" s="1">
        <f>IFERROR(__xludf.DUMMYFUNCTION("""COMPUTED_VALUE"""),29.0)</f>
        <v>29</v>
      </c>
      <c r="J1004" s="1">
        <f>IFERROR(__xludf.DUMMYFUNCTION("""COMPUTED_VALUE"""),49.0)</f>
        <v>49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 t="str">
        <f>IFERROR(__xludf.DUMMYFUNCTION("""COMPUTED_VALUE"""),"A")</f>
        <v>A</v>
      </c>
      <c r="E1005" s="1">
        <f>IFERROR(__xludf.DUMMYFUNCTION("""COMPUTED_VALUE"""),60.0)</f>
        <v>60</v>
      </c>
      <c r="F1005" s="1">
        <f>IFERROR(__xludf.DUMMYFUNCTION("""COMPUTED_VALUE"""),43.0)</f>
        <v>43</v>
      </c>
      <c r="G1005" s="1">
        <f>IFERROR(__xludf.DUMMYFUNCTION("""COMPUTED_VALUE"""),99.0)</f>
        <v>99</v>
      </c>
      <c r="H1005" s="1">
        <f>IFERROR(__xludf.DUMMYFUNCTION("""COMPUTED_VALUE"""),68.0)</f>
        <v>68</v>
      </c>
      <c r="I1005" s="1">
        <f>IFERROR(__xludf.DUMMYFUNCTION("""COMPUTED_VALUE"""),48.0)</f>
        <v>48</v>
      </c>
      <c r="J1005" s="1">
        <f>IFERROR(__xludf.DUMMYFUNCTION("""COMPUTED_VALUE"""),80.0)</f>
        <v>80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 t="str">
        <f>IFERROR(__xludf.DUMMYFUNCTION("""COMPUTED_VALUE"""),"A")</f>
        <v>A</v>
      </c>
      <c r="E1006" s="1">
        <f>IFERROR(__xludf.DUMMYFUNCTION("""COMPUTED_VALUE"""),20.0)</f>
        <v>20</v>
      </c>
      <c r="F1006" s="1">
        <f>IFERROR(__xludf.DUMMYFUNCTION("""COMPUTED_VALUE"""),68.0)</f>
        <v>68</v>
      </c>
      <c r="G1006" s="1">
        <f>IFERROR(__xludf.DUMMYFUNCTION("""COMPUTED_VALUE"""),72.0)</f>
        <v>72</v>
      </c>
      <c r="H1006" s="1">
        <f>IFERROR(__xludf.DUMMYFUNCTION("""COMPUTED_VALUE"""),81.0)</f>
        <v>81</v>
      </c>
      <c r="I1006" s="1">
        <f>IFERROR(__xludf.DUMMYFUNCTION("""COMPUTED_VALUE"""),68.0)</f>
        <v>68</v>
      </c>
      <c r="J1006" s="1">
        <f>IFERROR(__xludf.DUMMYFUNCTION("""COMPUTED_VALUE"""),95.0)</f>
        <v>95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 t="str">
        <f>IFERROR(__xludf.DUMMYFUNCTION("""COMPUTED_VALUE"""),"A")</f>
        <v>A</v>
      </c>
      <c r="E1007" s="1">
        <f>IFERROR(__xludf.DUMMYFUNCTION("""COMPUTED_VALUE"""),29.0)</f>
        <v>29</v>
      </c>
      <c r="F1007" s="1">
        <f>IFERROR(__xludf.DUMMYFUNCTION("""COMPUTED_VALUE"""),45.0)</f>
        <v>45</v>
      </c>
      <c r="G1007" s="1">
        <f>IFERROR(__xludf.DUMMYFUNCTION("""COMPUTED_VALUE"""),54.0)</f>
        <v>54</v>
      </c>
      <c r="H1007" s="1">
        <f>IFERROR(__xludf.DUMMYFUNCTION("""COMPUTED_VALUE"""),77.0)</f>
        <v>77</v>
      </c>
      <c r="I1007" s="1">
        <f>IFERROR(__xludf.DUMMYFUNCTION("""COMPUTED_VALUE"""),92.0)</f>
        <v>92</v>
      </c>
      <c r="J1007" s="1">
        <f>IFERROR(__xludf.DUMMYFUNCTION("""COMPUTED_VALUE"""),80.0)</f>
        <v>80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 t="str">
        <f>IFERROR(__xludf.DUMMYFUNCTION("""COMPUTED_VALUE"""),"A")</f>
        <v>A</v>
      </c>
      <c r="E1008" s="1">
        <f>IFERROR(__xludf.DUMMYFUNCTION("""COMPUTED_VALUE"""),66.0)</f>
        <v>66</v>
      </c>
      <c r="F1008" s="1">
        <f>IFERROR(__xludf.DUMMYFUNCTION("""COMPUTED_VALUE"""),59.0)</f>
        <v>59</v>
      </c>
      <c r="G1008" s="1">
        <f>IFERROR(__xludf.DUMMYFUNCTION("""COMPUTED_VALUE"""),23.0)</f>
        <v>23</v>
      </c>
      <c r="H1008" s="1">
        <f>IFERROR(__xludf.DUMMYFUNCTION("""COMPUTED_VALUE"""),68.0)</f>
        <v>68</v>
      </c>
      <c r="I1008" s="1">
        <f>IFERROR(__xludf.DUMMYFUNCTION("""COMPUTED_VALUE"""),85.0)</f>
        <v>85</v>
      </c>
      <c r="J1008" s="1">
        <f>IFERROR(__xludf.DUMMYFUNCTION("""COMPUTED_VALUE"""),51.0)</f>
        <v>51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 t="str">
        <f>IFERROR(__xludf.DUMMYFUNCTION("""COMPUTED_VALUE"""),"B")</f>
        <v>B</v>
      </c>
      <c r="E1009" s="1">
        <f>IFERROR(__xludf.DUMMYFUNCTION("""COMPUTED_VALUE"""),73.0)</f>
        <v>73</v>
      </c>
      <c r="F1009" s="1">
        <f>IFERROR(__xludf.DUMMYFUNCTION("""COMPUTED_VALUE"""),76.0)</f>
        <v>76</v>
      </c>
      <c r="G1009" s="1">
        <f>IFERROR(__xludf.DUMMYFUNCTION("""COMPUTED_VALUE"""),30.0)</f>
        <v>30</v>
      </c>
      <c r="H1009" s="1">
        <f>IFERROR(__xludf.DUMMYFUNCTION("""COMPUTED_VALUE"""),46.0)</f>
        <v>46</v>
      </c>
      <c r="I1009" s="1">
        <f>IFERROR(__xludf.DUMMYFUNCTION("""COMPUTED_VALUE"""),39.0)</f>
        <v>39</v>
      </c>
      <c r="J1009" s="1">
        <f>IFERROR(__xludf.DUMMYFUNCTION("""COMPUTED_VALUE"""),76.0)</f>
        <v>76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 t="str">
        <f>IFERROR(__xludf.DUMMYFUNCTION("""COMPUTED_VALUE"""),"D")</f>
        <v>D</v>
      </c>
      <c r="E1010" s="1">
        <f>IFERROR(__xludf.DUMMYFUNCTION("""COMPUTED_VALUE"""),28.0)</f>
        <v>28</v>
      </c>
      <c r="F1010" s="1">
        <f>IFERROR(__xludf.DUMMYFUNCTION("""COMPUTED_VALUE"""),36.0)</f>
        <v>36</v>
      </c>
      <c r="G1010" s="1">
        <f>IFERROR(__xludf.DUMMYFUNCTION("""COMPUTED_VALUE"""),58.0)</f>
        <v>58</v>
      </c>
      <c r="H1010" s="1">
        <f>IFERROR(__xludf.DUMMYFUNCTION("""COMPUTED_VALUE"""),52.0)</f>
        <v>52</v>
      </c>
      <c r="I1010" s="1">
        <f>IFERROR(__xludf.DUMMYFUNCTION("""COMPUTED_VALUE"""),77.0)</f>
        <v>77</v>
      </c>
      <c r="J1010" s="1">
        <f>IFERROR(__xludf.DUMMYFUNCTION("""COMPUTED_VALUE"""),54.0)</f>
        <v>54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 t="str">
        <f>IFERROR(__xludf.DUMMYFUNCTION("""COMPUTED_VALUE"""),"A")</f>
        <v>A</v>
      </c>
      <c r="E1011" s="1">
        <f>IFERROR(__xludf.DUMMYFUNCTION("""COMPUTED_VALUE"""),82.0)</f>
        <v>82</v>
      </c>
      <c r="F1011" s="1">
        <f>IFERROR(__xludf.DUMMYFUNCTION("""COMPUTED_VALUE"""),90.0)</f>
        <v>90</v>
      </c>
      <c r="G1011" s="1">
        <f>IFERROR(__xludf.DUMMYFUNCTION("""COMPUTED_VALUE"""),50.0)</f>
        <v>50</v>
      </c>
      <c r="H1011" s="1">
        <f>IFERROR(__xludf.DUMMYFUNCTION("""COMPUTED_VALUE"""),32.0)</f>
        <v>32</v>
      </c>
      <c r="I1011" s="1">
        <f>IFERROR(__xludf.DUMMYFUNCTION("""COMPUTED_VALUE"""),97.0)</f>
        <v>97</v>
      </c>
      <c r="J1011" s="1">
        <f>IFERROR(__xludf.DUMMYFUNCTION("""COMPUTED_VALUE"""),87.0)</f>
        <v>87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 t="str">
        <f>IFERROR(__xludf.DUMMYFUNCTION("""COMPUTED_VALUE"""),"D")</f>
        <v>D</v>
      </c>
      <c r="E1012" s="1">
        <f>IFERROR(__xludf.DUMMYFUNCTION("""COMPUTED_VALUE"""),18.0)</f>
        <v>18</v>
      </c>
      <c r="F1012" s="1">
        <f>IFERROR(__xludf.DUMMYFUNCTION("""COMPUTED_VALUE"""),22.0)</f>
        <v>22</v>
      </c>
      <c r="G1012" s="1">
        <f>IFERROR(__xludf.DUMMYFUNCTION("""COMPUTED_VALUE"""),68.0)</f>
        <v>68</v>
      </c>
      <c r="H1012" s="1">
        <f>IFERROR(__xludf.DUMMYFUNCTION("""COMPUTED_VALUE"""),67.0)</f>
        <v>67</v>
      </c>
      <c r="I1012" s="1">
        <f>IFERROR(__xludf.DUMMYFUNCTION("""COMPUTED_VALUE"""),91.0)</f>
        <v>91</v>
      </c>
      <c r="J1012" s="1">
        <f>IFERROR(__xludf.DUMMYFUNCTION("""COMPUTED_VALUE"""),95.0)</f>
        <v>95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 t="str">
        <f>IFERROR(__xludf.DUMMYFUNCTION("""COMPUTED_VALUE"""),"B")</f>
        <v>B</v>
      </c>
      <c r="E1013" s="1">
        <f>IFERROR(__xludf.DUMMYFUNCTION("""COMPUTED_VALUE"""),94.0)</f>
        <v>94</v>
      </c>
      <c r="F1013" s="1">
        <f>IFERROR(__xludf.DUMMYFUNCTION("""COMPUTED_VALUE"""),49.0)</f>
        <v>49</v>
      </c>
      <c r="G1013" s="1">
        <f>IFERROR(__xludf.DUMMYFUNCTION("""COMPUTED_VALUE"""),71.0)</f>
        <v>71</v>
      </c>
      <c r="H1013" s="1">
        <f>IFERROR(__xludf.DUMMYFUNCTION("""COMPUTED_VALUE"""),30.0)</f>
        <v>30</v>
      </c>
      <c r="I1013" s="1">
        <f>IFERROR(__xludf.DUMMYFUNCTION("""COMPUTED_VALUE"""),89.0)</f>
        <v>89</v>
      </c>
      <c r="J1013" s="1">
        <f>IFERROR(__xludf.DUMMYFUNCTION("""COMPUTED_VALUE"""),24.0)</f>
        <v>24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 t="str">
        <f>IFERROR(__xludf.DUMMYFUNCTION("""COMPUTED_VALUE"""),"D")</f>
        <v>D</v>
      </c>
      <c r="E1014" s="1">
        <f>IFERROR(__xludf.DUMMYFUNCTION("""COMPUTED_VALUE"""),15.0)</f>
        <v>15</v>
      </c>
      <c r="F1014" s="1">
        <f>IFERROR(__xludf.DUMMYFUNCTION("""COMPUTED_VALUE"""),76.0)</f>
        <v>76</v>
      </c>
      <c r="G1014" s="1">
        <f>IFERROR(__xludf.DUMMYFUNCTION("""COMPUTED_VALUE"""),75.0)</f>
        <v>75</v>
      </c>
      <c r="H1014" s="1">
        <f>IFERROR(__xludf.DUMMYFUNCTION("""COMPUTED_VALUE"""),68.0)</f>
        <v>68</v>
      </c>
      <c r="I1014" s="1">
        <f>IFERROR(__xludf.DUMMYFUNCTION("""COMPUTED_VALUE"""),42.0)</f>
        <v>42</v>
      </c>
      <c r="J1014" s="1">
        <f>IFERROR(__xludf.DUMMYFUNCTION("""COMPUTED_VALUE"""),89.0)</f>
        <v>89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 t="str">
        <f>IFERROR(__xludf.DUMMYFUNCTION("""COMPUTED_VALUE"""),"C")</f>
        <v>C</v>
      </c>
      <c r="E1015" s="1">
        <f>IFERROR(__xludf.DUMMYFUNCTION("""COMPUTED_VALUE"""),52.0)</f>
        <v>52</v>
      </c>
      <c r="F1015" s="1">
        <f>IFERROR(__xludf.DUMMYFUNCTION("""COMPUTED_VALUE"""),87.0)</f>
        <v>87</v>
      </c>
      <c r="G1015" s="1">
        <f>IFERROR(__xludf.DUMMYFUNCTION("""COMPUTED_VALUE"""),36.0)</f>
        <v>36</v>
      </c>
      <c r="H1015" s="1">
        <f>IFERROR(__xludf.DUMMYFUNCTION("""COMPUTED_VALUE"""),62.0)</f>
        <v>62</v>
      </c>
      <c r="I1015" s="1">
        <f>IFERROR(__xludf.DUMMYFUNCTION("""COMPUTED_VALUE"""),85.0)</f>
        <v>85</v>
      </c>
      <c r="J1015" s="1">
        <f>IFERROR(__xludf.DUMMYFUNCTION("""COMPUTED_VALUE"""),70.0)</f>
        <v>70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 t="str">
        <f>IFERROR(__xludf.DUMMYFUNCTION("""COMPUTED_VALUE"""),"B")</f>
        <v>B</v>
      </c>
      <c r="E1016" s="1">
        <f>IFERROR(__xludf.DUMMYFUNCTION("""COMPUTED_VALUE"""),85.0)</f>
        <v>85</v>
      </c>
      <c r="F1016" s="1">
        <f>IFERROR(__xludf.DUMMYFUNCTION("""COMPUTED_VALUE"""),75.0)</f>
        <v>75</v>
      </c>
      <c r="G1016" s="1">
        <f>IFERROR(__xludf.DUMMYFUNCTION("""COMPUTED_VALUE"""),26.0)</f>
        <v>26</v>
      </c>
      <c r="H1016" s="1">
        <f>IFERROR(__xludf.DUMMYFUNCTION("""COMPUTED_VALUE"""),41.0)</f>
        <v>41</v>
      </c>
      <c r="I1016" s="1">
        <f>IFERROR(__xludf.DUMMYFUNCTION("""COMPUTED_VALUE"""),64.0)</f>
        <v>64</v>
      </c>
      <c r="J1016" s="1">
        <f>IFERROR(__xludf.DUMMYFUNCTION("""COMPUTED_VALUE"""),94.0)</f>
        <v>94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 t="str">
        <f>IFERROR(__xludf.DUMMYFUNCTION("""COMPUTED_VALUE"""),"D")</f>
        <v>D</v>
      </c>
      <c r="E1017" s="1">
        <f>IFERROR(__xludf.DUMMYFUNCTION("""COMPUTED_VALUE"""),85.0)</f>
        <v>85</v>
      </c>
      <c r="F1017" s="1">
        <f>IFERROR(__xludf.DUMMYFUNCTION("""COMPUTED_VALUE"""),80.0)</f>
        <v>80</v>
      </c>
      <c r="G1017" s="1">
        <f>IFERROR(__xludf.DUMMYFUNCTION("""COMPUTED_VALUE"""),82.0)</f>
        <v>82</v>
      </c>
      <c r="H1017" s="1">
        <f>IFERROR(__xludf.DUMMYFUNCTION("""COMPUTED_VALUE"""),34.0)</f>
        <v>34</v>
      </c>
      <c r="I1017" s="1">
        <f>IFERROR(__xludf.DUMMYFUNCTION("""COMPUTED_VALUE"""),86.0)</f>
        <v>86</v>
      </c>
      <c r="J1017" s="1">
        <f>IFERROR(__xludf.DUMMYFUNCTION("""COMPUTED_VALUE"""),50.0)</f>
        <v>50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 t="str">
        <f>IFERROR(__xludf.DUMMYFUNCTION("""COMPUTED_VALUE"""),"C")</f>
        <v>C</v>
      </c>
      <c r="E1018" s="1">
        <f>IFERROR(__xludf.DUMMYFUNCTION("""COMPUTED_VALUE"""),13.0)</f>
        <v>13</v>
      </c>
      <c r="F1018" s="1">
        <f>IFERROR(__xludf.DUMMYFUNCTION("""COMPUTED_VALUE"""),72.0)</f>
        <v>72</v>
      </c>
      <c r="G1018" s="1">
        <f>IFERROR(__xludf.DUMMYFUNCTION("""COMPUTED_VALUE"""),68.0)</f>
        <v>68</v>
      </c>
      <c r="H1018" s="1">
        <f>IFERROR(__xludf.DUMMYFUNCTION("""COMPUTED_VALUE"""),55.0)</f>
        <v>55</v>
      </c>
      <c r="I1018" s="1">
        <f>IFERROR(__xludf.DUMMYFUNCTION("""COMPUTED_VALUE"""),86.0)</f>
        <v>86</v>
      </c>
      <c r="J1018" s="1">
        <f>IFERROR(__xludf.DUMMYFUNCTION("""COMPUTED_VALUE"""),74.0)</f>
        <v>74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 t="str">
        <f>IFERROR(__xludf.DUMMYFUNCTION("""COMPUTED_VALUE"""),"C")</f>
        <v>C</v>
      </c>
      <c r="E1019" s="1">
        <f>IFERROR(__xludf.DUMMYFUNCTION("""COMPUTED_VALUE"""),96.0)</f>
        <v>96</v>
      </c>
      <c r="F1019" s="1">
        <f>IFERROR(__xludf.DUMMYFUNCTION("""COMPUTED_VALUE"""),22.0)</f>
        <v>22</v>
      </c>
      <c r="G1019" s="1">
        <f>IFERROR(__xludf.DUMMYFUNCTION("""COMPUTED_VALUE"""),26.0)</f>
        <v>26</v>
      </c>
      <c r="H1019" s="1">
        <f>IFERROR(__xludf.DUMMYFUNCTION("""COMPUTED_VALUE"""),77.0)</f>
        <v>77</v>
      </c>
      <c r="I1019" s="1">
        <f>IFERROR(__xludf.DUMMYFUNCTION("""COMPUTED_VALUE"""),35.0)</f>
        <v>35</v>
      </c>
      <c r="J1019" s="1">
        <f>IFERROR(__xludf.DUMMYFUNCTION("""COMPUTED_VALUE"""),24.0)</f>
        <v>24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 t="str">
        <f>IFERROR(__xludf.DUMMYFUNCTION("""COMPUTED_VALUE"""),"A")</f>
        <v>A</v>
      </c>
      <c r="E1020" s="1">
        <f>IFERROR(__xludf.DUMMYFUNCTION("""COMPUTED_VALUE"""),84.0)</f>
        <v>84</v>
      </c>
      <c r="F1020" s="1">
        <f>IFERROR(__xludf.DUMMYFUNCTION("""COMPUTED_VALUE"""),88.0)</f>
        <v>88</v>
      </c>
      <c r="G1020" s="1">
        <f>IFERROR(__xludf.DUMMYFUNCTION("""COMPUTED_VALUE"""),40.0)</f>
        <v>40</v>
      </c>
      <c r="H1020" s="1">
        <f>IFERROR(__xludf.DUMMYFUNCTION("""COMPUTED_VALUE"""),60.0)</f>
        <v>60</v>
      </c>
      <c r="I1020" s="1">
        <f>IFERROR(__xludf.DUMMYFUNCTION("""COMPUTED_VALUE"""),98.0)</f>
        <v>98</v>
      </c>
      <c r="J1020" s="1">
        <f>IFERROR(__xludf.DUMMYFUNCTION("""COMPUTED_VALUE"""),95.0)</f>
        <v>95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 t="str">
        <f>IFERROR(__xludf.DUMMYFUNCTION("""COMPUTED_VALUE"""),"C")</f>
        <v>C</v>
      </c>
      <c r="E1021" s="1">
        <f>IFERROR(__xludf.DUMMYFUNCTION("""COMPUTED_VALUE"""),99.0)</f>
        <v>99</v>
      </c>
      <c r="F1021" s="1">
        <f>IFERROR(__xludf.DUMMYFUNCTION("""COMPUTED_VALUE"""),52.0)</f>
        <v>52</v>
      </c>
      <c r="G1021" s="1">
        <f>IFERROR(__xludf.DUMMYFUNCTION("""COMPUTED_VALUE"""),37.0)</f>
        <v>37</v>
      </c>
      <c r="H1021" s="1">
        <f>IFERROR(__xludf.DUMMYFUNCTION("""COMPUTED_VALUE"""),79.0)</f>
        <v>79</v>
      </c>
      <c r="I1021" s="1">
        <f>IFERROR(__xludf.DUMMYFUNCTION("""COMPUTED_VALUE"""),83.0)</f>
        <v>83</v>
      </c>
      <c r="J1021" s="1">
        <f>IFERROR(__xludf.DUMMYFUNCTION("""COMPUTED_VALUE"""),80.0)</f>
        <v>80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 t="str">
        <f>IFERROR(__xludf.DUMMYFUNCTION("""COMPUTED_VALUE"""),"B")</f>
        <v>B</v>
      </c>
      <c r="E1022" s="1">
        <f>IFERROR(__xludf.DUMMYFUNCTION("""COMPUTED_VALUE"""),20.0)</f>
        <v>20</v>
      </c>
      <c r="F1022" s="1">
        <f>IFERROR(__xludf.DUMMYFUNCTION("""COMPUTED_VALUE"""),66.0)</f>
        <v>66</v>
      </c>
      <c r="G1022" s="1">
        <f>IFERROR(__xludf.DUMMYFUNCTION("""COMPUTED_VALUE"""),52.0)</f>
        <v>52</v>
      </c>
      <c r="H1022" s="1">
        <f>IFERROR(__xludf.DUMMYFUNCTION("""COMPUTED_VALUE"""),93.0)</f>
        <v>93</v>
      </c>
      <c r="I1022" s="1">
        <f>IFERROR(__xludf.DUMMYFUNCTION("""COMPUTED_VALUE"""),67.0)</f>
        <v>67</v>
      </c>
      <c r="J1022" s="1">
        <f>IFERROR(__xludf.DUMMYFUNCTION("""COMPUTED_VALUE"""),78.0)</f>
        <v>78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 t="str">
        <f>IFERROR(__xludf.DUMMYFUNCTION("""COMPUTED_VALUE"""),"C")</f>
        <v>C</v>
      </c>
      <c r="E1023" s="1">
        <f>IFERROR(__xludf.DUMMYFUNCTION("""COMPUTED_VALUE"""),71.0)</f>
        <v>71</v>
      </c>
      <c r="F1023" s="1">
        <f>IFERROR(__xludf.DUMMYFUNCTION("""COMPUTED_VALUE"""),28.0)</f>
        <v>28</v>
      </c>
      <c r="G1023" s="1">
        <f>IFERROR(__xludf.DUMMYFUNCTION("""COMPUTED_VALUE"""),20.0)</f>
        <v>20</v>
      </c>
      <c r="H1023" s="1">
        <f>IFERROR(__xludf.DUMMYFUNCTION("""COMPUTED_VALUE"""),77.0)</f>
        <v>77</v>
      </c>
      <c r="I1023" s="1">
        <f>IFERROR(__xludf.DUMMYFUNCTION("""COMPUTED_VALUE"""),90.0)</f>
        <v>90</v>
      </c>
      <c r="J1023" s="1">
        <f>IFERROR(__xludf.DUMMYFUNCTION("""COMPUTED_VALUE"""),83.0)</f>
        <v>83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 t="str">
        <f>IFERROR(__xludf.DUMMYFUNCTION("""COMPUTED_VALUE"""),"D")</f>
        <v>D</v>
      </c>
      <c r="E1024" s="1">
        <f>IFERROR(__xludf.DUMMYFUNCTION("""COMPUTED_VALUE"""),55.0)</f>
        <v>55</v>
      </c>
      <c r="F1024" s="1">
        <f>IFERROR(__xludf.DUMMYFUNCTION("""COMPUTED_VALUE"""),37.0)</f>
        <v>37</v>
      </c>
      <c r="G1024" s="1">
        <f>IFERROR(__xludf.DUMMYFUNCTION("""COMPUTED_VALUE"""),60.0)</f>
        <v>60</v>
      </c>
      <c r="H1024" s="1">
        <f>IFERROR(__xludf.DUMMYFUNCTION("""COMPUTED_VALUE"""),97.0)</f>
        <v>97</v>
      </c>
      <c r="I1024" s="1">
        <f>IFERROR(__xludf.DUMMYFUNCTION("""COMPUTED_VALUE"""),84.0)</f>
        <v>84</v>
      </c>
      <c r="J1024" s="1">
        <f>IFERROR(__xludf.DUMMYFUNCTION("""COMPUTED_VALUE"""),71.0)</f>
        <v>71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 t="str">
        <f>IFERROR(__xludf.DUMMYFUNCTION("""COMPUTED_VALUE"""),"C")</f>
        <v>C</v>
      </c>
      <c r="E1025" s="1">
        <f>IFERROR(__xludf.DUMMYFUNCTION("""COMPUTED_VALUE"""),22.0)</f>
        <v>22</v>
      </c>
      <c r="F1025" s="1">
        <f>IFERROR(__xludf.DUMMYFUNCTION("""COMPUTED_VALUE"""),98.0)</f>
        <v>98</v>
      </c>
      <c r="G1025" s="1">
        <f>IFERROR(__xludf.DUMMYFUNCTION("""COMPUTED_VALUE"""),55.0)</f>
        <v>55</v>
      </c>
      <c r="H1025" s="1">
        <f>IFERROR(__xludf.DUMMYFUNCTION("""COMPUTED_VALUE"""),30.0)</f>
        <v>30</v>
      </c>
      <c r="I1025" s="1">
        <f>IFERROR(__xludf.DUMMYFUNCTION("""COMPUTED_VALUE"""),74.0)</f>
        <v>74</v>
      </c>
      <c r="J1025" s="1">
        <f>IFERROR(__xludf.DUMMYFUNCTION("""COMPUTED_VALUE"""),98.0)</f>
        <v>98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 t="str">
        <f>IFERROR(__xludf.DUMMYFUNCTION("""COMPUTED_VALUE"""),"D")</f>
        <v>D</v>
      </c>
      <c r="E1026" s="1">
        <f>IFERROR(__xludf.DUMMYFUNCTION("""COMPUTED_VALUE"""),58.0)</f>
        <v>58</v>
      </c>
      <c r="F1026" s="1">
        <f>IFERROR(__xludf.DUMMYFUNCTION("""COMPUTED_VALUE"""),37.0)</f>
        <v>37</v>
      </c>
      <c r="G1026" s="1">
        <f>IFERROR(__xludf.DUMMYFUNCTION("""COMPUTED_VALUE"""),79.0)</f>
        <v>79</v>
      </c>
      <c r="H1026" s="1">
        <f>IFERROR(__xludf.DUMMYFUNCTION("""COMPUTED_VALUE"""),85.0)</f>
        <v>85</v>
      </c>
      <c r="I1026" s="1">
        <f>IFERROR(__xludf.DUMMYFUNCTION("""COMPUTED_VALUE"""),47.0)</f>
        <v>47</v>
      </c>
      <c r="J1026" s="1">
        <f>IFERROR(__xludf.DUMMYFUNCTION("""COMPUTED_VALUE"""),25.0)</f>
        <v>25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 t="str">
        <f>IFERROR(__xludf.DUMMYFUNCTION("""COMPUTED_VALUE"""),"B")</f>
        <v>B</v>
      </c>
      <c r="E1027" s="1">
        <f>IFERROR(__xludf.DUMMYFUNCTION("""COMPUTED_VALUE"""),73.0)</f>
        <v>73</v>
      </c>
      <c r="F1027" s="1">
        <f>IFERROR(__xludf.DUMMYFUNCTION("""COMPUTED_VALUE"""),47.0)</f>
        <v>47</v>
      </c>
      <c r="G1027" s="1">
        <f>IFERROR(__xludf.DUMMYFUNCTION("""COMPUTED_VALUE"""),56.0)</f>
        <v>56</v>
      </c>
      <c r="H1027" s="1">
        <f>IFERROR(__xludf.DUMMYFUNCTION("""COMPUTED_VALUE"""),59.0)</f>
        <v>59</v>
      </c>
      <c r="I1027" s="1">
        <f>IFERROR(__xludf.DUMMYFUNCTION("""COMPUTED_VALUE"""),67.0)</f>
        <v>67</v>
      </c>
      <c r="J1027" s="1">
        <f>IFERROR(__xludf.DUMMYFUNCTION("""COMPUTED_VALUE"""),96.0)</f>
        <v>96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 t="str">
        <f>IFERROR(__xludf.DUMMYFUNCTION("""COMPUTED_VALUE"""),"B")</f>
        <v>B</v>
      </c>
      <c r="E1028" s="1">
        <f>IFERROR(__xludf.DUMMYFUNCTION("""COMPUTED_VALUE"""),16.0)</f>
        <v>16</v>
      </c>
      <c r="F1028" s="1">
        <f>IFERROR(__xludf.DUMMYFUNCTION("""COMPUTED_VALUE"""),46.0)</f>
        <v>46</v>
      </c>
      <c r="G1028" s="1">
        <f>IFERROR(__xludf.DUMMYFUNCTION("""COMPUTED_VALUE"""),48.0)</f>
        <v>48</v>
      </c>
      <c r="H1028" s="1">
        <f>IFERROR(__xludf.DUMMYFUNCTION("""COMPUTED_VALUE"""),46.0)</f>
        <v>46</v>
      </c>
      <c r="I1028" s="1">
        <f>IFERROR(__xludf.DUMMYFUNCTION("""COMPUTED_VALUE"""),24.0)</f>
        <v>24</v>
      </c>
      <c r="J1028" s="1">
        <f>IFERROR(__xludf.DUMMYFUNCTION("""COMPUTED_VALUE"""),74.0)</f>
        <v>74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 t="str">
        <f>IFERROR(__xludf.DUMMYFUNCTION("""COMPUTED_VALUE"""),"C")</f>
        <v>C</v>
      </c>
      <c r="E1029" s="1">
        <f>IFERROR(__xludf.DUMMYFUNCTION("""COMPUTED_VALUE"""),60.0)</f>
        <v>60</v>
      </c>
      <c r="F1029" s="1">
        <f>IFERROR(__xludf.DUMMYFUNCTION("""COMPUTED_VALUE"""),40.0)</f>
        <v>40</v>
      </c>
      <c r="G1029" s="1">
        <f>IFERROR(__xludf.DUMMYFUNCTION("""COMPUTED_VALUE"""),77.0)</f>
        <v>77</v>
      </c>
      <c r="H1029" s="1">
        <f>IFERROR(__xludf.DUMMYFUNCTION("""COMPUTED_VALUE"""),75.0)</f>
        <v>75</v>
      </c>
      <c r="I1029" s="1">
        <f>IFERROR(__xludf.DUMMYFUNCTION("""COMPUTED_VALUE"""),64.0)</f>
        <v>64</v>
      </c>
      <c r="J1029" s="1">
        <f>IFERROR(__xludf.DUMMYFUNCTION("""COMPUTED_VALUE"""),45.0)</f>
        <v>45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 t="str">
        <f>IFERROR(__xludf.DUMMYFUNCTION("""COMPUTED_VALUE"""),"B")</f>
        <v>B</v>
      </c>
      <c r="E1030" s="1">
        <f>IFERROR(__xludf.DUMMYFUNCTION("""COMPUTED_VALUE"""),53.0)</f>
        <v>53</v>
      </c>
      <c r="F1030" s="1">
        <f>IFERROR(__xludf.DUMMYFUNCTION("""COMPUTED_VALUE"""),25.0)</f>
        <v>25</v>
      </c>
      <c r="G1030" s="1">
        <f>IFERROR(__xludf.DUMMYFUNCTION("""COMPUTED_VALUE"""),95.0)</f>
        <v>95</v>
      </c>
      <c r="H1030" s="1">
        <f>IFERROR(__xludf.DUMMYFUNCTION("""COMPUTED_VALUE"""),49.0)</f>
        <v>49</v>
      </c>
      <c r="I1030" s="1">
        <f>IFERROR(__xludf.DUMMYFUNCTION("""COMPUTED_VALUE"""),48.0)</f>
        <v>48</v>
      </c>
      <c r="J1030" s="1">
        <f>IFERROR(__xludf.DUMMYFUNCTION("""COMPUTED_VALUE"""),53.0)</f>
        <v>53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 t="str">
        <f>IFERROR(__xludf.DUMMYFUNCTION("""COMPUTED_VALUE"""),"A")</f>
        <v>A</v>
      </c>
      <c r="E1031" s="1">
        <f>IFERROR(__xludf.DUMMYFUNCTION("""COMPUTED_VALUE"""),52.0)</f>
        <v>52</v>
      </c>
      <c r="F1031" s="1">
        <f>IFERROR(__xludf.DUMMYFUNCTION("""COMPUTED_VALUE"""),20.0)</f>
        <v>20</v>
      </c>
      <c r="G1031" s="1">
        <f>IFERROR(__xludf.DUMMYFUNCTION("""COMPUTED_VALUE"""),61.0)</f>
        <v>61</v>
      </c>
      <c r="H1031" s="1">
        <f>IFERROR(__xludf.DUMMYFUNCTION("""COMPUTED_VALUE"""),58.0)</f>
        <v>58</v>
      </c>
      <c r="I1031" s="1">
        <f>IFERROR(__xludf.DUMMYFUNCTION("""COMPUTED_VALUE"""),22.0)</f>
        <v>22</v>
      </c>
      <c r="J1031" s="1">
        <f>IFERROR(__xludf.DUMMYFUNCTION("""COMPUTED_VALUE"""),78.0)</f>
        <v>78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 t="str">
        <f>IFERROR(__xludf.DUMMYFUNCTION("""COMPUTED_VALUE"""),"B")</f>
        <v>B</v>
      </c>
      <c r="E1032" s="1">
        <f>IFERROR(__xludf.DUMMYFUNCTION("""COMPUTED_VALUE"""),59.0)</f>
        <v>59</v>
      </c>
      <c r="F1032" s="1">
        <f>IFERROR(__xludf.DUMMYFUNCTION("""COMPUTED_VALUE"""),81.0)</f>
        <v>81</v>
      </c>
      <c r="G1032" s="1">
        <f>IFERROR(__xludf.DUMMYFUNCTION("""COMPUTED_VALUE"""),22.0)</f>
        <v>22</v>
      </c>
      <c r="H1032" s="1">
        <f>IFERROR(__xludf.DUMMYFUNCTION("""COMPUTED_VALUE"""),49.0)</f>
        <v>49</v>
      </c>
      <c r="I1032" s="1">
        <f>IFERROR(__xludf.DUMMYFUNCTION("""COMPUTED_VALUE"""),71.0)</f>
        <v>71</v>
      </c>
      <c r="J1032" s="1">
        <f>IFERROR(__xludf.DUMMYFUNCTION("""COMPUTED_VALUE"""),59.0)</f>
        <v>59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 t="str">
        <f>IFERROR(__xludf.DUMMYFUNCTION("""COMPUTED_VALUE"""),"B")</f>
        <v>B</v>
      </c>
      <c r="E1033" s="1">
        <f>IFERROR(__xludf.DUMMYFUNCTION("""COMPUTED_VALUE"""),40.0)</f>
        <v>40</v>
      </c>
      <c r="F1033" s="1">
        <f>IFERROR(__xludf.DUMMYFUNCTION("""COMPUTED_VALUE"""),92.0)</f>
        <v>92</v>
      </c>
      <c r="G1033" s="1">
        <f>IFERROR(__xludf.DUMMYFUNCTION("""COMPUTED_VALUE"""),66.0)</f>
        <v>66</v>
      </c>
      <c r="H1033" s="1">
        <f>IFERROR(__xludf.DUMMYFUNCTION("""COMPUTED_VALUE"""),64.0)</f>
        <v>64</v>
      </c>
      <c r="I1033" s="1">
        <f>IFERROR(__xludf.DUMMYFUNCTION("""COMPUTED_VALUE"""),41.0)</f>
        <v>41</v>
      </c>
      <c r="J1033" s="1">
        <f>IFERROR(__xludf.DUMMYFUNCTION("""COMPUTED_VALUE"""),80.0)</f>
        <v>80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 t="str">
        <f>IFERROR(__xludf.DUMMYFUNCTION("""COMPUTED_VALUE"""),"B")</f>
        <v>B</v>
      </c>
      <c r="E1034" s="1">
        <f>IFERROR(__xludf.DUMMYFUNCTION("""COMPUTED_VALUE"""),59.0)</f>
        <v>59</v>
      </c>
      <c r="F1034" s="1">
        <f>IFERROR(__xludf.DUMMYFUNCTION("""COMPUTED_VALUE"""),24.0)</f>
        <v>24</v>
      </c>
      <c r="G1034" s="1">
        <f>IFERROR(__xludf.DUMMYFUNCTION("""COMPUTED_VALUE"""),41.0)</f>
        <v>41</v>
      </c>
      <c r="H1034" s="1">
        <f>IFERROR(__xludf.DUMMYFUNCTION("""COMPUTED_VALUE"""),50.0)</f>
        <v>50</v>
      </c>
      <c r="I1034" s="1">
        <f>IFERROR(__xludf.DUMMYFUNCTION("""COMPUTED_VALUE"""),36.0)</f>
        <v>36</v>
      </c>
      <c r="J1034" s="1">
        <f>IFERROR(__xludf.DUMMYFUNCTION("""COMPUTED_VALUE"""),55.0)</f>
        <v>55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 t="str">
        <f>IFERROR(__xludf.DUMMYFUNCTION("""COMPUTED_VALUE"""),"A")</f>
        <v>A</v>
      </c>
      <c r="E1035" s="1">
        <f>IFERROR(__xludf.DUMMYFUNCTION("""COMPUTED_VALUE"""),26.0)</f>
        <v>26</v>
      </c>
      <c r="F1035" s="1">
        <f>IFERROR(__xludf.DUMMYFUNCTION("""COMPUTED_VALUE"""),91.0)</f>
        <v>91</v>
      </c>
      <c r="G1035" s="1">
        <f>IFERROR(__xludf.DUMMYFUNCTION("""COMPUTED_VALUE"""),33.0)</f>
        <v>33</v>
      </c>
      <c r="H1035" s="1">
        <f>IFERROR(__xludf.DUMMYFUNCTION("""COMPUTED_VALUE"""),52.0)</f>
        <v>52</v>
      </c>
      <c r="I1035" s="1">
        <f>IFERROR(__xludf.DUMMYFUNCTION("""COMPUTED_VALUE"""),67.0)</f>
        <v>67</v>
      </c>
      <c r="J1035" s="1">
        <f>IFERROR(__xludf.DUMMYFUNCTION("""COMPUTED_VALUE"""),89.0)</f>
        <v>89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 t="str">
        <f>IFERROR(__xludf.DUMMYFUNCTION("""COMPUTED_VALUE"""),"A")</f>
        <v>A</v>
      </c>
      <c r="E1036" s="1">
        <f>IFERROR(__xludf.DUMMYFUNCTION("""COMPUTED_VALUE"""),99.0)</f>
        <v>99</v>
      </c>
      <c r="F1036" s="1">
        <f>IFERROR(__xludf.DUMMYFUNCTION("""COMPUTED_VALUE"""),21.0)</f>
        <v>21</v>
      </c>
      <c r="G1036" s="1">
        <f>IFERROR(__xludf.DUMMYFUNCTION("""COMPUTED_VALUE"""),60.0)</f>
        <v>60</v>
      </c>
      <c r="H1036" s="1">
        <f>IFERROR(__xludf.DUMMYFUNCTION("""COMPUTED_VALUE"""),55.0)</f>
        <v>55</v>
      </c>
      <c r="I1036" s="1">
        <f>IFERROR(__xludf.DUMMYFUNCTION("""COMPUTED_VALUE"""),83.0)</f>
        <v>83</v>
      </c>
      <c r="J1036" s="1">
        <f>IFERROR(__xludf.DUMMYFUNCTION("""COMPUTED_VALUE"""),26.0)</f>
        <v>26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 t="str">
        <f>IFERROR(__xludf.DUMMYFUNCTION("""COMPUTED_VALUE"""),"A")</f>
        <v>A</v>
      </c>
      <c r="E1037" s="1">
        <f>IFERROR(__xludf.DUMMYFUNCTION("""COMPUTED_VALUE"""),81.0)</f>
        <v>81</v>
      </c>
      <c r="F1037" s="1">
        <f>IFERROR(__xludf.DUMMYFUNCTION("""COMPUTED_VALUE"""),98.0)</f>
        <v>98</v>
      </c>
      <c r="G1037" s="1">
        <f>IFERROR(__xludf.DUMMYFUNCTION("""COMPUTED_VALUE"""),91.0)</f>
        <v>91</v>
      </c>
      <c r="H1037" s="1">
        <f>IFERROR(__xludf.DUMMYFUNCTION("""COMPUTED_VALUE"""),73.0)</f>
        <v>73</v>
      </c>
      <c r="I1037" s="1">
        <f>IFERROR(__xludf.DUMMYFUNCTION("""COMPUTED_VALUE"""),49.0)</f>
        <v>49</v>
      </c>
      <c r="J1037" s="1">
        <f>IFERROR(__xludf.DUMMYFUNCTION("""COMPUTED_VALUE"""),26.0)</f>
        <v>26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 t="str">
        <f>IFERROR(__xludf.DUMMYFUNCTION("""COMPUTED_VALUE"""),"A")</f>
        <v>A</v>
      </c>
      <c r="E1038" s="1">
        <f>IFERROR(__xludf.DUMMYFUNCTION("""COMPUTED_VALUE"""),76.0)</f>
        <v>76</v>
      </c>
      <c r="F1038" s="1">
        <f>IFERROR(__xludf.DUMMYFUNCTION("""COMPUTED_VALUE"""),67.0)</f>
        <v>67</v>
      </c>
      <c r="G1038" s="1">
        <f>IFERROR(__xludf.DUMMYFUNCTION("""COMPUTED_VALUE"""),23.0)</f>
        <v>23</v>
      </c>
      <c r="H1038" s="1">
        <f>IFERROR(__xludf.DUMMYFUNCTION("""COMPUTED_VALUE"""),24.0)</f>
        <v>24</v>
      </c>
      <c r="I1038" s="1">
        <f>IFERROR(__xludf.DUMMYFUNCTION("""COMPUTED_VALUE"""),20.0)</f>
        <v>20</v>
      </c>
      <c r="J1038" s="1">
        <f>IFERROR(__xludf.DUMMYFUNCTION("""COMPUTED_VALUE"""),24.0)</f>
        <v>24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 t="str">
        <f>IFERROR(__xludf.DUMMYFUNCTION("""COMPUTED_VALUE"""),"A")</f>
        <v>A</v>
      </c>
      <c r="E1039" s="1">
        <f>IFERROR(__xludf.DUMMYFUNCTION("""COMPUTED_VALUE"""),46.0)</f>
        <v>46</v>
      </c>
      <c r="F1039" s="1">
        <f>IFERROR(__xludf.DUMMYFUNCTION("""COMPUTED_VALUE"""),68.0)</f>
        <v>68</v>
      </c>
      <c r="G1039" s="1">
        <f>IFERROR(__xludf.DUMMYFUNCTION("""COMPUTED_VALUE"""),89.0)</f>
        <v>89</v>
      </c>
      <c r="H1039" s="1">
        <f>IFERROR(__xludf.DUMMYFUNCTION("""COMPUTED_VALUE"""),24.0)</f>
        <v>24</v>
      </c>
      <c r="I1039" s="1">
        <f>IFERROR(__xludf.DUMMYFUNCTION("""COMPUTED_VALUE"""),25.0)</f>
        <v>25</v>
      </c>
      <c r="J1039" s="1">
        <f>IFERROR(__xludf.DUMMYFUNCTION("""COMPUTED_VALUE"""),41.0)</f>
        <v>41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 t="str">
        <f>IFERROR(__xludf.DUMMYFUNCTION("""COMPUTED_VALUE"""),"C")</f>
        <v>C</v>
      </c>
      <c r="E1040" s="1">
        <f>IFERROR(__xludf.DUMMYFUNCTION("""COMPUTED_VALUE"""),16.0)</f>
        <v>16</v>
      </c>
      <c r="F1040" s="1">
        <f>IFERROR(__xludf.DUMMYFUNCTION("""COMPUTED_VALUE"""),86.0)</f>
        <v>86</v>
      </c>
      <c r="G1040" s="1">
        <f>IFERROR(__xludf.DUMMYFUNCTION("""COMPUTED_VALUE"""),37.0)</f>
        <v>37</v>
      </c>
      <c r="H1040" s="1">
        <f>IFERROR(__xludf.DUMMYFUNCTION("""COMPUTED_VALUE"""),77.0)</f>
        <v>77</v>
      </c>
      <c r="I1040" s="1">
        <f>IFERROR(__xludf.DUMMYFUNCTION("""COMPUTED_VALUE"""),75.0)</f>
        <v>75</v>
      </c>
      <c r="J1040" s="1">
        <f>IFERROR(__xludf.DUMMYFUNCTION("""COMPUTED_VALUE"""),26.0)</f>
        <v>26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 t="str">
        <f>IFERROR(__xludf.DUMMYFUNCTION("""COMPUTED_VALUE"""),"B")</f>
        <v>B</v>
      </c>
      <c r="E1041" s="1">
        <f>IFERROR(__xludf.DUMMYFUNCTION("""COMPUTED_VALUE"""),75.0)</f>
        <v>75</v>
      </c>
      <c r="F1041" s="1">
        <f>IFERROR(__xludf.DUMMYFUNCTION("""COMPUTED_VALUE"""),89.0)</f>
        <v>89</v>
      </c>
      <c r="G1041" s="1">
        <f>IFERROR(__xludf.DUMMYFUNCTION("""COMPUTED_VALUE"""),71.0)</f>
        <v>71</v>
      </c>
      <c r="H1041" s="1">
        <f>IFERROR(__xludf.DUMMYFUNCTION("""COMPUTED_VALUE"""),41.0)</f>
        <v>41</v>
      </c>
      <c r="I1041" s="1">
        <f>IFERROR(__xludf.DUMMYFUNCTION("""COMPUTED_VALUE"""),20.0)</f>
        <v>20</v>
      </c>
      <c r="J1041" s="1">
        <f>IFERROR(__xludf.DUMMYFUNCTION("""COMPUTED_VALUE"""),54.0)</f>
        <v>54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 t="str">
        <f>IFERROR(__xludf.DUMMYFUNCTION("""COMPUTED_VALUE"""),"A")</f>
        <v>A</v>
      </c>
      <c r="E1042" s="1">
        <f>IFERROR(__xludf.DUMMYFUNCTION("""COMPUTED_VALUE"""),34.0)</f>
        <v>34</v>
      </c>
      <c r="F1042" s="1">
        <f>IFERROR(__xludf.DUMMYFUNCTION("""COMPUTED_VALUE"""),24.0)</f>
        <v>24</v>
      </c>
      <c r="G1042" s="1">
        <f>IFERROR(__xludf.DUMMYFUNCTION("""COMPUTED_VALUE"""),69.0)</f>
        <v>69</v>
      </c>
      <c r="H1042" s="1">
        <f>IFERROR(__xludf.DUMMYFUNCTION("""COMPUTED_VALUE"""),21.0)</f>
        <v>21</v>
      </c>
      <c r="I1042" s="1">
        <f>IFERROR(__xludf.DUMMYFUNCTION("""COMPUTED_VALUE"""),23.0)</f>
        <v>23</v>
      </c>
      <c r="J1042" s="1">
        <f>IFERROR(__xludf.DUMMYFUNCTION("""COMPUTED_VALUE"""),68.0)</f>
        <v>68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 t="str">
        <f>IFERROR(__xludf.DUMMYFUNCTION("""COMPUTED_VALUE"""),"A")</f>
        <v>A</v>
      </c>
      <c r="E1043" s="1">
        <f>IFERROR(__xludf.DUMMYFUNCTION("""COMPUTED_VALUE"""),95.0)</f>
        <v>95</v>
      </c>
      <c r="F1043" s="1">
        <f>IFERROR(__xludf.DUMMYFUNCTION("""COMPUTED_VALUE"""),29.0)</f>
        <v>29</v>
      </c>
      <c r="G1043" s="1">
        <f>IFERROR(__xludf.DUMMYFUNCTION("""COMPUTED_VALUE"""),68.0)</f>
        <v>68</v>
      </c>
      <c r="H1043" s="1">
        <f>IFERROR(__xludf.DUMMYFUNCTION("""COMPUTED_VALUE"""),90.0)</f>
        <v>90</v>
      </c>
      <c r="I1043" s="1">
        <f>IFERROR(__xludf.DUMMYFUNCTION("""COMPUTED_VALUE"""),24.0)</f>
        <v>24</v>
      </c>
      <c r="J1043" s="1">
        <f>IFERROR(__xludf.DUMMYFUNCTION("""COMPUTED_VALUE"""),38.0)</f>
        <v>38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 t="str">
        <f>IFERROR(__xludf.DUMMYFUNCTION("""COMPUTED_VALUE"""),"A")</f>
        <v>A</v>
      </c>
      <c r="E1044" s="1">
        <f>IFERROR(__xludf.DUMMYFUNCTION("""COMPUTED_VALUE"""),82.0)</f>
        <v>82</v>
      </c>
      <c r="F1044" s="1">
        <f>IFERROR(__xludf.DUMMYFUNCTION("""COMPUTED_VALUE"""),85.0)</f>
        <v>85</v>
      </c>
      <c r="G1044" s="1">
        <f>IFERROR(__xludf.DUMMYFUNCTION("""COMPUTED_VALUE"""),58.0)</f>
        <v>58</v>
      </c>
      <c r="H1044" s="1">
        <f>IFERROR(__xludf.DUMMYFUNCTION("""COMPUTED_VALUE"""),54.0)</f>
        <v>54</v>
      </c>
      <c r="I1044" s="1">
        <f>IFERROR(__xludf.DUMMYFUNCTION("""COMPUTED_VALUE"""),40.0)</f>
        <v>40</v>
      </c>
      <c r="J1044" s="1">
        <f>IFERROR(__xludf.DUMMYFUNCTION("""COMPUTED_VALUE"""),85.0)</f>
        <v>85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 t="str">
        <f>IFERROR(__xludf.DUMMYFUNCTION("""COMPUTED_VALUE"""),"B")</f>
        <v>B</v>
      </c>
      <c r="E1045" s="1">
        <f>IFERROR(__xludf.DUMMYFUNCTION("""COMPUTED_VALUE"""),82.0)</f>
        <v>82</v>
      </c>
      <c r="F1045" s="1">
        <f>IFERROR(__xludf.DUMMYFUNCTION("""COMPUTED_VALUE"""),82.0)</f>
        <v>82</v>
      </c>
      <c r="G1045" s="1">
        <f>IFERROR(__xludf.DUMMYFUNCTION("""COMPUTED_VALUE"""),24.0)</f>
        <v>24</v>
      </c>
      <c r="H1045" s="1">
        <f>IFERROR(__xludf.DUMMYFUNCTION("""COMPUTED_VALUE"""),84.0)</f>
        <v>84</v>
      </c>
      <c r="I1045" s="1">
        <f>IFERROR(__xludf.DUMMYFUNCTION("""COMPUTED_VALUE"""),33.0)</f>
        <v>33</v>
      </c>
      <c r="J1045" s="1">
        <f>IFERROR(__xludf.DUMMYFUNCTION("""COMPUTED_VALUE"""),36.0)</f>
        <v>36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 t="str">
        <f>IFERROR(__xludf.DUMMYFUNCTION("""COMPUTED_VALUE"""),"C")</f>
        <v>C</v>
      </c>
      <c r="E1046" s="1">
        <f>IFERROR(__xludf.DUMMYFUNCTION("""COMPUTED_VALUE"""),59.0)</f>
        <v>59</v>
      </c>
      <c r="F1046" s="1">
        <f>IFERROR(__xludf.DUMMYFUNCTION("""COMPUTED_VALUE"""),71.0)</f>
        <v>71</v>
      </c>
      <c r="G1046" s="1">
        <f>IFERROR(__xludf.DUMMYFUNCTION("""COMPUTED_VALUE"""),32.0)</f>
        <v>32</v>
      </c>
      <c r="H1046" s="1">
        <f>IFERROR(__xludf.DUMMYFUNCTION("""COMPUTED_VALUE"""),97.0)</f>
        <v>97</v>
      </c>
      <c r="I1046" s="1">
        <f>IFERROR(__xludf.DUMMYFUNCTION("""COMPUTED_VALUE"""),92.0)</f>
        <v>92</v>
      </c>
      <c r="J1046" s="1">
        <f>IFERROR(__xludf.DUMMYFUNCTION("""COMPUTED_VALUE"""),58.0)</f>
        <v>58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 t="str">
        <f>IFERROR(__xludf.DUMMYFUNCTION("""COMPUTED_VALUE"""),"A")</f>
        <v>A</v>
      </c>
      <c r="E1047" s="1">
        <f>IFERROR(__xludf.DUMMYFUNCTION("""COMPUTED_VALUE"""),83.0)</f>
        <v>83</v>
      </c>
      <c r="F1047" s="1">
        <f>IFERROR(__xludf.DUMMYFUNCTION("""COMPUTED_VALUE"""),55.0)</f>
        <v>55</v>
      </c>
      <c r="G1047" s="1">
        <f>IFERROR(__xludf.DUMMYFUNCTION("""COMPUTED_VALUE"""),45.0)</f>
        <v>45</v>
      </c>
      <c r="H1047" s="1">
        <f>IFERROR(__xludf.DUMMYFUNCTION("""COMPUTED_VALUE"""),99.0)</f>
        <v>99</v>
      </c>
      <c r="I1047" s="1">
        <f>IFERROR(__xludf.DUMMYFUNCTION("""COMPUTED_VALUE"""),41.0)</f>
        <v>41</v>
      </c>
      <c r="J1047" s="1">
        <f>IFERROR(__xludf.DUMMYFUNCTION("""COMPUTED_VALUE"""),23.0)</f>
        <v>23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 t="str">
        <f>IFERROR(__xludf.DUMMYFUNCTION("""COMPUTED_VALUE"""),"A")</f>
        <v>A</v>
      </c>
      <c r="E1048" s="1">
        <f>IFERROR(__xludf.DUMMYFUNCTION("""COMPUTED_VALUE"""),71.0)</f>
        <v>71</v>
      </c>
      <c r="F1048" s="1">
        <f>IFERROR(__xludf.DUMMYFUNCTION("""COMPUTED_VALUE"""),79.0)</f>
        <v>79</v>
      </c>
      <c r="G1048" s="1">
        <f>IFERROR(__xludf.DUMMYFUNCTION("""COMPUTED_VALUE"""),50.0)</f>
        <v>50</v>
      </c>
      <c r="H1048" s="1">
        <f>IFERROR(__xludf.DUMMYFUNCTION("""COMPUTED_VALUE"""),72.0)</f>
        <v>72</v>
      </c>
      <c r="I1048" s="1">
        <f>IFERROR(__xludf.DUMMYFUNCTION("""COMPUTED_VALUE"""),50.0)</f>
        <v>50</v>
      </c>
      <c r="J1048" s="1">
        <f>IFERROR(__xludf.DUMMYFUNCTION("""COMPUTED_VALUE"""),78.0)</f>
        <v>78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 t="str">
        <f>IFERROR(__xludf.DUMMYFUNCTION("""COMPUTED_VALUE"""),"D")</f>
        <v>D</v>
      </c>
      <c r="E1049" s="1">
        <f>IFERROR(__xludf.DUMMYFUNCTION("""COMPUTED_VALUE"""),10.0)</f>
        <v>10</v>
      </c>
      <c r="F1049" s="1">
        <f>IFERROR(__xludf.DUMMYFUNCTION("""COMPUTED_VALUE"""),68.0)</f>
        <v>68</v>
      </c>
      <c r="G1049" s="1">
        <f>IFERROR(__xludf.DUMMYFUNCTION("""COMPUTED_VALUE"""),47.0)</f>
        <v>47</v>
      </c>
      <c r="H1049" s="1">
        <f>IFERROR(__xludf.DUMMYFUNCTION("""COMPUTED_VALUE"""),68.0)</f>
        <v>68</v>
      </c>
      <c r="I1049" s="1">
        <f>IFERROR(__xludf.DUMMYFUNCTION("""COMPUTED_VALUE"""),45.0)</f>
        <v>45</v>
      </c>
      <c r="J1049" s="1">
        <f>IFERROR(__xludf.DUMMYFUNCTION("""COMPUTED_VALUE"""),32.0)</f>
        <v>32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 t="str">
        <f>IFERROR(__xludf.DUMMYFUNCTION("""COMPUTED_VALUE"""),"C")</f>
        <v>C</v>
      </c>
      <c r="E1050" s="1">
        <f>IFERROR(__xludf.DUMMYFUNCTION("""COMPUTED_VALUE"""),85.0)</f>
        <v>85</v>
      </c>
      <c r="F1050" s="1">
        <f>IFERROR(__xludf.DUMMYFUNCTION("""COMPUTED_VALUE"""),83.0)</f>
        <v>83</v>
      </c>
      <c r="G1050" s="1">
        <f>IFERROR(__xludf.DUMMYFUNCTION("""COMPUTED_VALUE"""),38.0)</f>
        <v>38</v>
      </c>
      <c r="H1050" s="1">
        <f>IFERROR(__xludf.DUMMYFUNCTION("""COMPUTED_VALUE"""),73.0)</f>
        <v>73</v>
      </c>
      <c r="I1050" s="1">
        <f>IFERROR(__xludf.DUMMYFUNCTION("""COMPUTED_VALUE"""),68.0)</f>
        <v>68</v>
      </c>
      <c r="J1050" s="1">
        <f>IFERROR(__xludf.DUMMYFUNCTION("""COMPUTED_VALUE"""),36.0)</f>
        <v>36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 t="str">
        <f>IFERROR(__xludf.DUMMYFUNCTION("""COMPUTED_VALUE"""),"D")</f>
        <v>D</v>
      </c>
      <c r="E1051" s="1">
        <f>IFERROR(__xludf.DUMMYFUNCTION("""COMPUTED_VALUE"""),88.0)</f>
        <v>88</v>
      </c>
      <c r="F1051" s="1">
        <f>IFERROR(__xludf.DUMMYFUNCTION("""COMPUTED_VALUE"""),76.0)</f>
        <v>76</v>
      </c>
      <c r="G1051" s="1">
        <f>IFERROR(__xludf.DUMMYFUNCTION("""COMPUTED_VALUE"""),96.0)</f>
        <v>96</v>
      </c>
      <c r="H1051" s="1">
        <f>IFERROR(__xludf.DUMMYFUNCTION("""COMPUTED_VALUE"""),24.0)</f>
        <v>24</v>
      </c>
      <c r="I1051" s="1">
        <f>IFERROR(__xludf.DUMMYFUNCTION("""COMPUTED_VALUE"""),29.0)</f>
        <v>29</v>
      </c>
      <c r="J1051" s="1">
        <f>IFERROR(__xludf.DUMMYFUNCTION("""COMPUTED_VALUE"""),32.0)</f>
        <v>32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 t="str">
        <f>IFERROR(__xludf.DUMMYFUNCTION("""COMPUTED_VALUE"""),"A")</f>
        <v>A</v>
      </c>
      <c r="E1052" s="1">
        <f>IFERROR(__xludf.DUMMYFUNCTION("""COMPUTED_VALUE"""),44.0)</f>
        <v>44</v>
      </c>
      <c r="F1052" s="1">
        <f>IFERROR(__xludf.DUMMYFUNCTION("""COMPUTED_VALUE"""),25.0)</f>
        <v>25</v>
      </c>
      <c r="G1052" s="1">
        <f>IFERROR(__xludf.DUMMYFUNCTION("""COMPUTED_VALUE"""),49.0)</f>
        <v>49</v>
      </c>
      <c r="H1052" s="1">
        <f>IFERROR(__xludf.DUMMYFUNCTION("""COMPUTED_VALUE"""),44.0)</f>
        <v>44</v>
      </c>
      <c r="I1052" s="1">
        <f>IFERROR(__xludf.DUMMYFUNCTION("""COMPUTED_VALUE"""),86.0)</f>
        <v>86</v>
      </c>
      <c r="J1052" s="1">
        <f>IFERROR(__xludf.DUMMYFUNCTION("""COMPUTED_VALUE"""),39.0)</f>
        <v>39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 t="str">
        <f>IFERROR(__xludf.DUMMYFUNCTION("""COMPUTED_VALUE"""),"C")</f>
        <v>C</v>
      </c>
      <c r="E1053" s="1">
        <f>IFERROR(__xludf.DUMMYFUNCTION("""COMPUTED_VALUE"""),34.0)</f>
        <v>34</v>
      </c>
      <c r="F1053" s="1">
        <f>IFERROR(__xludf.DUMMYFUNCTION("""COMPUTED_VALUE"""),33.0)</f>
        <v>33</v>
      </c>
      <c r="G1053" s="1">
        <f>IFERROR(__xludf.DUMMYFUNCTION("""COMPUTED_VALUE"""),34.0)</f>
        <v>34</v>
      </c>
      <c r="H1053" s="1">
        <f>IFERROR(__xludf.DUMMYFUNCTION("""COMPUTED_VALUE"""),92.0)</f>
        <v>92</v>
      </c>
      <c r="I1053" s="1">
        <f>IFERROR(__xludf.DUMMYFUNCTION("""COMPUTED_VALUE"""),25.0)</f>
        <v>25</v>
      </c>
      <c r="J1053" s="1">
        <f>IFERROR(__xludf.DUMMYFUNCTION("""COMPUTED_VALUE"""),96.0)</f>
        <v>96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 t="str">
        <f>IFERROR(__xludf.DUMMYFUNCTION("""COMPUTED_VALUE"""),"C")</f>
        <v>C</v>
      </c>
      <c r="E1054" s="1">
        <f>IFERROR(__xludf.DUMMYFUNCTION("""COMPUTED_VALUE"""),51.0)</f>
        <v>51</v>
      </c>
      <c r="F1054" s="1">
        <f>IFERROR(__xludf.DUMMYFUNCTION("""COMPUTED_VALUE"""),43.0)</f>
        <v>43</v>
      </c>
      <c r="G1054" s="1">
        <f>IFERROR(__xludf.DUMMYFUNCTION("""COMPUTED_VALUE"""),29.0)</f>
        <v>29</v>
      </c>
      <c r="H1054" s="1">
        <f>IFERROR(__xludf.DUMMYFUNCTION("""COMPUTED_VALUE"""),98.0)</f>
        <v>98</v>
      </c>
      <c r="I1054" s="1">
        <f>IFERROR(__xludf.DUMMYFUNCTION("""COMPUTED_VALUE"""),73.0)</f>
        <v>73</v>
      </c>
      <c r="J1054" s="1">
        <f>IFERROR(__xludf.DUMMYFUNCTION("""COMPUTED_VALUE"""),94.0)</f>
        <v>94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 t="str">
        <f>IFERROR(__xludf.DUMMYFUNCTION("""COMPUTED_VALUE"""),"B")</f>
        <v>B</v>
      </c>
      <c r="E1055" s="1">
        <f>IFERROR(__xludf.DUMMYFUNCTION("""COMPUTED_VALUE"""),84.0)</f>
        <v>84</v>
      </c>
      <c r="F1055" s="1">
        <f>IFERROR(__xludf.DUMMYFUNCTION("""COMPUTED_VALUE"""),21.0)</f>
        <v>21</v>
      </c>
      <c r="G1055" s="1">
        <f>IFERROR(__xludf.DUMMYFUNCTION("""COMPUTED_VALUE"""),20.0)</f>
        <v>20</v>
      </c>
      <c r="H1055" s="1">
        <f>IFERROR(__xludf.DUMMYFUNCTION("""COMPUTED_VALUE"""),44.0)</f>
        <v>44</v>
      </c>
      <c r="I1055" s="1">
        <f>IFERROR(__xludf.DUMMYFUNCTION("""COMPUTED_VALUE"""),50.0)</f>
        <v>50</v>
      </c>
      <c r="J1055" s="1">
        <f>IFERROR(__xludf.DUMMYFUNCTION("""COMPUTED_VALUE"""),85.0)</f>
        <v>85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 t="str">
        <f>IFERROR(__xludf.DUMMYFUNCTION("""COMPUTED_VALUE"""),"A")</f>
        <v>A</v>
      </c>
      <c r="E1056" s="1">
        <f>IFERROR(__xludf.DUMMYFUNCTION("""COMPUTED_VALUE"""),87.0)</f>
        <v>87</v>
      </c>
      <c r="F1056" s="1">
        <f>IFERROR(__xludf.DUMMYFUNCTION("""COMPUTED_VALUE"""),77.0)</f>
        <v>77</v>
      </c>
      <c r="G1056" s="1">
        <f>IFERROR(__xludf.DUMMYFUNCTION("""COMPUTED_VALUE"""),69.0)</f>
        <v>69</v>
      </c>
      <c r="H1056" s="1">
        <f>IFERROR(__xludf.DUMMYFUNCTION("""COMPUTED_VALUE"""),70.0)</f>
        <v>70</v>
      </c>
      <c r="I1056" s="1">
        <f>IFERROR(__xludf.DUMMYFUNCTION("""COMPUTED_VALUE"""),79.0)</f>
        <v>79</v>
      </c>
      <c r="J1056" s="1">
        <f>IFERROR(__xludf.DUMMYFUNCTION("""COMPUTED_VALUE"""),61.0)</f>
        <v>61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 t="str">
        <f>IFERROR(__xludf.DUMMYFUNCTION("""COMPUTED_VALUE"""),"A")</f>
        <v>A</v>
      </c>
      <c r="E1057" s="1">
        <f>IFERROR(__xludf.DUMMYFUNCTION("""COMPUTED_VALUE"""),99.0)</f>
        <v>99</v>
      </c>
      <c r="F1057" s="1">
        <f>IFERROR(__xludf.DUMMYFUNCTION("""COMPUTED_VALUE"""),65.0)</f>
        <v>65</v>
      </c>
      <c r="G1057" s="1">
        <f>IFERROR(__xludf.DUMMYFUNCTION("""COMPUTED_VALUE"""),57.0)</f>
        <v>57</v>
      </c>
      <c r="H1057" s="1">
        <f>IFERROR(__xludf.DUMMYFUNCTION("""COMPUTED_VALUE"""),21.0)</f>
        <v>21</v>
      </c>
      <c r="I1057" s="1">
        <f>IFERROR(__xludf.DUMMYFUNCTION("""COMPUTED_VALUE"""),55.0)</f>
        <v>55</v>
      </c>
      <c r="J1057" s="1">
        <f>IFERROR(__xludf.DUMMYFUNCTION("""COMPUTED_VALUE"""),92.0)</f>
        <v>92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 t="str">
        <f>IFERROR(__xludf.DUMMYFUNCTION("""COMPUTED_VALUE"""),"A")</f>
        <v>A</v>
      </c>
      <c r="E1058" s="1">
        <f>IFERROR(__xludf.DUMMYFUNCTION("""COMPUTED_VALUE"""),12.0)</f>
        <v>12</v>
      </c>
      <c r="F1058" s="1">
        <f>IFERROR(__xludf.DUMMYFUNCTION("""COMPUTED_VALUE"""),99.0)</f>
        <v>99</v>
      </c>
      <c r="G1058" s="1">
        <f>IFERROR(__xludf.DUMMYFUNCTION("""COMPUTED_VALUE"""),75.0)</f>
        <v>75</v>
      </c>
      <c r="H1058" s="1">
        <f>IFERROR(__xludf.DUMMYFUNCTION("""COMPUTED_VALUE"""),24.0)</f>
        <v>24</v>
      </c>
      <c r="I1058" s="1">
        <f>IFERROR(__xludf.DUMMYFUNCTION("""COMPUTED_VALUE"""),47.0)</f>
        <v>47</v>
      </c>
      <c r="J1058" s="1">
        <f>IFERROR(__xludf.DUMMYFUNCTION("""COMPUTED_VALUE"""),99.0)</f>
        <v>99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 t="str">
        <f>IFERROR(__xludf.DUMMYFUNCTION("""COMPUTED_VALUE"""),"A")</f>
        <v>A</v>
      </c>
      <c r="E1059" s="1">
        <f>IFERROR(__xludf.DUMMYFUNCTION("""COMPUTED_VALUE"""),10.0)</f>
        <v>10</v>
      </c>
      <c r="F1059" s="1">
        <f>IFERROR(__xludf.DUMMYFUNCTION("""COMPUTED_VALUE"""),25.0)</f>
        <v>25</v>
      </c>
      <c r="G1059" s="1">
        <f>IFERROR(__xludf.DUMMYFUNCTION("""COMPUTED_VALUE"""),25.0)</f>
        <v>25</v>
      </c>
      <c r="H1059" s="1">
        <f>IFERROR(__xludf.DUMMYFUNCTION("""COMPUTED_VALUE"""),71.0)</f>
        <v>71</v>
      </c>
      <c r="I1059" s="1">
        <f>IFERROR(__xludf.DUMMYFUNCTION("""COMPUTED_VALUE"""),38.0)</f>
        <v>38</v>
      </c>
      <c r="J1059" s="1">
        <f>IFERROR(__xludf.DUMMYFUNCTION("""COMPUTED_VALUE"""),45.0)</f>
        <v>45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 t="str">
        <f>IFERROR(__xludf.DUMMYFUNCTION("""COMPUTED_VALUE"""),"A")</f>
        <v>A</v>
      </c>
      <c r="E1060" s="1">
        <f>IFERROR(__xludf.DUMMYFUNCTION("""COMPUTED_VALUE"""),57.0)</f>
        <v>57</v>
      </c>
      <c r="F1060" s="1">
        <f>IFERROR(__xludf.DUMMYFUNCTION("""COMPUTED_VALUE"""),99.0)</f>
        <v>99</v>
      </c>
      <c r="G1060" s="1">
        <f>IFERROR(__xludf.DUMMYFUNCTION("""COMPUTED_VALUE"""),52.0)</f>
        <v>52</v>
      </c>
      <c r="H1060" s="1">
        <f>IFERROR(__xludf.DUMMYFUNCTION("""COMPUTED_VALUE"""),34.0)</f>
        <v>34</v>
      </c>
      <c r="I1060" s="1">
        <f>IFERROR(__xludf.DUMMYFUNCTION("""COMPUTED_VALUE"""),97.0)</f>
        <v>97</v>
      </c>
      <c r="J1060" s="1">
        <f>IFERROR(__xludf.DUMMYFUNCTION("""COMPUTED_VALUE"""),26.0)</f>
        <v>26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 t="str">
        <f>IFERROR(__xludf.DUMMYFUNCTION("""COMPUTED_VALUE"""),"D")</f>
        <v>D</v>
      </c>
      <c r="E1061" s="1">
        <f>IFERROR(__xludf.DUMMYFUNCTION("""COMPUTED_VALUE"""),57.0)</f>
        <v>57</v>
      </c>
      <c r="F1061" s="1">
        <f>IFERROR(__xludf.DUMMYFUNCTION("""COMPUTED_VALUE"""),60.0)</f>
        <v>60</v>
      </c>
      <c r="G1061" s="1">
        <f>IFERROR(__xludf.DUMMYFUNCTION("""COMPUTED_VALUE"""),31.0)</f>
        <v>31</v>
      </c>
      <c r="H1061" s="1">
        <f>IFERROR(__xludf.DUMMYFUNCTION("""COMPUTED_VALUE"""),32.0)</f>
        <v>32</v>
      </c>
      <c r="I1061" s="1">
        <f>IFERROR(__xludf.DUMMYFUNCTION("""COMPUTED_VALUE"""),68.0)</f>
        <v>68</v>
      </c>
      <c r="J1061" s="1">
        <f>IFERROR(__xludf.DUMMYFUNCTION("""COMPUTED_VALUE"""),67.0)</f>
        <v>67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 t="str">
        <f>IFERROR(__xludf.DUMMYFUNCTION("""COMPUTED_VALUE"""),"C")</f>
        <v>C</v>
      </c>
      <c r="E1062" s="1">
        <f>IFERROR(__xludf.DUMMYFUNCTION("""COMPUTED_VALUE"""),62.0)</f>
        <v>62</v>
      </c>
      <c r="F1062" s="1">
        <f>IFERROR(__xludf.DUMMYFUNCTION("""COMPUTED_VALUE"""),23.0)</f>
        <v>23</v>
      </c>
      <c r="G1062" s="1">
        <f>IFERROR(__xludf.DUMMYFUNCTION("""COMPUTED_VALUE"""),24.0)</f>
        <v>24</v>
      </c>
      <c r="H1062" s="1">
        <f>IFERROR(__xludf.DUMMYFUNCTION("""COMPUTED_VALUE"""),96.0)</f>
        <v>96</v>
      </c>
      <c r="I1062" s="1">
        <f>IFERROR(__xludf.DUMMYFUNCTION("""COMPUTED_VALUE"""),94.0)</f>
        <v>94</v>
      </c>
      <c r="J1062" s="1">
        <f>IFERROR(__xludf.DUMMYFUNCTION("""COMPUTED_VALUE"""),24.0)</f>
        <v>24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 t="str">
        <f>IFERROR(__xludf.DUMMYFUNCTION("""COMPUTED_VALUE"""),"B")</f>
        <v>B</v>
      </c>
      <c r="E1063" s="1">
        <f>IFERROR(__xludf.DUMMYFUNCTION("""COMPUTED_VALUE"""),27.0)</f>
        <v>27</v>
      </c>
      <c r="F1063" s="1">
        <f>IFERROR(__xludf.DUMMYFUNCTION("""COMPUTED_VALUE"""),61.0)</f>
        <v>61</v>
      </c>
      <c r="G1063" s="1">
        <f>IFERROR(__xludf.DUMMYFUNCTION("""COMPUTED_VALUE"""),50.0)</f>
        <v>50</v>
      </c>
      <c r="H1063" s="1">
        <f>IFERROR(__xludf.DUMMYFUNCTION("""COMPUTED_VALUE"""),75.0)</f>
        <v>75</v>
      </c>
      <c r="I1063" s="1">
        <f>IFERROR(__xludf.DUMMYFUNCTION("""COMPUTED_VALUE"""),81.0)</f>
        <v>81</v>
      </c>
      <c r="J1063" s="1">
        <f>IFERROR(__xludf.DUMMYFUNCTION("""COMPUTED_VALUE"""),46.0)</f>
        <v>46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 t="str">
        <f>IFERROR(__xludf.DUMMYFUNCTION("""COMPUTED_VALUE"""),"D")</f>
        <v>D</v>
      </c>
      <c r="E1064" s="1">
        <f>IFERROR(__xludf.DUMMYFUNCTION("""COMPUTED_VALUE"""),89.0)</f>
        <v>89</v>
      </c>
      <c r="F1064" s="1">
        <f>IFERROR(__xludf.DUMMYFUNCTION("""COMPUTED_VALUE"""),32.0)</f>
        <v>32</v>
      </c>
      <c r="G1064" s="1">
        <f>IFERROR(__xludf.DUMMYFUNCTION("""COMPUTED_VALUE"""),32.0)</f>
        <v>32</v>
      </c>
      <c r="H1064" s="1">
        <f>IFERROR(__xludf.DUMMYFUNCTION("""COMPUTED_VALUE"""),92.0)</f>
        <v>92</v>
      </c>
      <c r="I1064" s="1">
        <f>IFERROR(__xludf.DUMMYFUNCTION("""COMPUTED_VALUE"""),94.0)</f>
        <v>94</v>
      </c>
      <c r="J1064" s="1">
        <f>IFERROR(__xludf.DUMMYFUNCTION("""COMPUTED_VALUE"""),69.0)</f>
        <v>69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 t="str">
        <f>IFERROR(__xludf.DUMMYFUNCTION("""COMPUTED_VALUE"""),"B")</f>
        <v>B</v>
      </c>
      <c r="E1065" s="1">
        <f>IFERROR(__xludf.DUMMYFUNCTION("""COMPUTED_VALUE"""),96.0)</f>
        <v>96</v>
      </c>
      <c r="F1065" s="1">
        <f>IFERROR(__xludf.DUMMYFUNCTION("""COMPUTED_VALUE"""),56.0)</f>
        <v>56</v>
      </c>
      <c r="G1065" s="1">
        <f>IFERROR(__xludf.DUMMYFUNCTION("""COMPUTED_VALUE"""),46.0)</f>
        <v>46</v>
      </c>
      <c r="H1065" s="1">
        <f>IFERROR(__xludf.DUMMYFUNCTION("""COMPUTED_VALUE"""),84.0)</f>
        <v>84</v>
      </c>
      <c r="I1065" s="1">
        <f>IFERROR(__xludf.DUMMYFUNCTION("""COMPUTED_VALUE"""),83.0)</f>
        <v>83</v>
      </c>
      <c r="J1065" s="1">
        <f>IFERROR(__xludf.DUMMYFUNCTION("""COMPUTED_VALUE"""),22.0)</f>
        <v>22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 t="str">
        <f>IFERROR(__xludf.DUMMYFUNCTION("""COMPUTED_VALUE"""),"A")</f>
        <v>A</v>
      </c>
      <c r="E1066" s="1">
        <f>IFERROR(__xludf.DUMMYFUNCTION("""COMPUTED_VALUE"""),85.0)</f>
        <v>85</v>
      </c>
      <c r="F1066" s="1">
        <f>IFERROR(__xludf.DUMMYFUNCTION("""COMPUTED_VALUE"""),74.0)</f>
        <v>74</v>
      </c>
      <c r="G1066" s="1">
        <f>IFERROR(__xludf.DUMMYFUNCTION("""COMPUTED_VALUE"""),29.0)</f>
        <v>29</v>
      </c>
      <c r="H1066" s="1">
        <f>IFERROR(__xludf.DUMMYFUNCTION("""COMPUTED_VALUE"""),23.0)</f>
        <v>23</v>
      </c>
      <c r="I1066" s="1">
        <f>IFERROR(__xludf.DUMMYFUNCTION("""COMPUTED_VALUE"""),40.0)</f>
        <v>40</v>
      </c>
      <c r="J1066" s="1">
        <f>IFERROR(__xludf.DUMMYFUNCTION("""COMPUTED_VALUE"""),86.0)</f>
        <v>86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 t="str">
        <f>IFERROR(__xludf.DUMMYFUNCTION("""COMPUTED_VALUE"""),"B")</f>
        <v>B</v>
      </c>
      <c r="E1067" s="1">
        <f>IFERROR(__xludf.DUMMYFUNCTION("""COMPUTED_VALUE"""),11.0)</f>
        <v>11</v>
      </c>
      <c r="F1067" s="1">
        <f>IFERROR(__xludf.DUMMYFUNCTION("""COMPUTED_VALUE"""),39.0)</f>
        <v>39</v>
      </c>
      <c r="G1067" s="1">
        <f>IFERROR(__xludf.DUMMYFUNCTION("""COMPUTED_VALUE"""),56.0)</f>
        <v>56</v>
      </c>
      <c r="H1067" s="1">
        <f>IFERROR(__xludf.DUMMYFUNCTION("""COMPUTED_VALUE"""),88.0)</f>
        <v>88</v>
      </c>
      <c r="I1067" s="1">
        <f>IFERROR(__xludf.DUMMYFUNCTION("""COMPUTED_VALUE"""),45.0)</f>
        <v>45</v>
      </c>
      <c r="J1067" s="1">
        <f>IFERROR(__xludf.DUMMYFUNCTION("""COMPUTED_VALUE"""),69.0)</f>
        <v>69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 t="str">
        <f>IFERROR(__xludf.DUMMYFUNCTION("""COMPUTED_VALUE"""),"D")</f>
        <v>D</v>
      </c>
      <c r="E1068" s="1">
        <f>IFERROR(__xludf.DUMMYFUNCTION("""COMPUTED_VALUE"""),54.0)</f>
        <v>54</v>
      </c>
      <c r="F1068" s="1">
        <f>IFERROR(__xludf.DUMMYFUNCTION("""COMPUTED_VALUE"""),48.0)</f>
        <v>48</v>
      </c>
      <c r="G1068" s="1">
        <f>IFERROR(__xludf.DUMMYFUNCTION("""COMPUTED_VALUE"""),78.0)</f>
        <v>78</v>
      </c>
      <c r="H1068" s="1">
        <f>IFERROR(__xludf.DUMMYFUNCTION("""COMPUTED_VALUE"""),25.0)</f>
        <v>25</v>
      </c>
      <c r="I1068" s="1">
        <f>IFERROR(__xludf.DUMMYFUNCTION("""COMPUTED_VALUE"""),43.0)</f>
        <v>43</v>
      </c>
      <c r="J1068" s="1">
        <f>IFERROR(__xludf.DUMMYFUNCTION("""COMPUTED_VALUE"""),87.0)</f>
        <v>87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 t="str">
        <f>IFERROR(__xludf.DUMMYFUNCTION("""COMPUTED_VALUE"""),"D")</f>
        <v>D</v>
      </c>
      <c r="E1069" s="1">
        <f>IFERROR(__xludf.DUMMYFUNCTION("""COMPUTED_VALUE"""),27.0)</f>
        <v>27</v>
      </c>
      <c r="F1069" s="1">
        <f>IFERROR(__xludf.DUMMYFUNCTION("""COMPUTED_VALUE"""),73.0)</f>
        <v>73</v>
      </c>
      <c r="G1069" s="1">
        <f>IFERROR(__xludf.DUMMYFUNCTION("""COMPUTED_VALUE"""),76.0)</f>
        <v>76</v>
      </c>
      <c r="H1069" s="1">
        <f>IFERROR(__xludf.DUMMYFUNCTION("""COMPUTED_VALUE"""),44.0)</f>
        <v>44</v>
      </c>
      <c r="I1069" s="1">
        <f>IFERROR(__xludf.DUMMYFUNCTION("""COMPUTED_VALUE"""),24.0)</f>
        <v>24</v>
      </c>
      <c r="J1069" s="1">
        <f>IFERROR(__xludf.DUMMYFUNCTION("""COMPUTED_VALUE"""),26.0)</f>
        <v>26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 t="str">
        <f>IFERROR(__xludf.DUMMYFUNCTION("""COMPUTED_VALUE"""),"D")</f>
        <v>D</v>
      </c>
      <c r="E1070" s="1">
        <f>IFERROR(__xludf.DUMMYFUNCTION("""COMPUTED_VALUE"""),64.0)</f>
        <v>64</v>
      </c>
      <c r="F1070" s="1">
        <f>IFERROR(__xludf.DUMMYFUNCTION("""COMPUTED_VALUE"""),55.0)</f>
        <v>55</v>
      </c>
      <c r="G1070" s="1">
        <f>IFERROR(__xludf.DUMMYFUNCTION("""COMPUTED_VALUE"""),72.0)</f>
        <v>72</v>
      </c>
      <c r="H1070" s="1">
        <f>IFERROR(__xludf.DUMMYFUNCTION("""COMPUTED_VALUE"""),81.0)</f>
        <v>81</v>
      </c>
      <c r="I1070" s="1">
        <f>IFERROR(__xludf.DUMMYFUNCTION("""COMPUTED_VALUE"""),76.0)</f>
        <v>76</v>
      </c>
      <c r="J1070" s="1">
        <f>IFERROR(__xludf.DUMMYFUNCTION("""COMPUTED_VALUE"""),40.0)</f>
        <v>40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 t="str">
        <f>IFERROR(__xludf.DUMMYFUNCTION("""COMPUTED_VALUE"""),"B")</f>
        <v>B</v>
      </c>
      <c r="E1071" s="1">
        <f>IFERROR(__xludf.DUMMYFUNCTION("""COMPUTED_VALUE"""),51.0)</f>
        <v>51</v>
      </c>
      <c r="F1071" s="1">
        <f>IFERROR(__xludf.DUMMYFUNCTION("""COMPUTED_VALUE"""),93.0)</f>
        <v>93</v>
      </c>
      <c r="G1071" s="1">
        <f>IFERROR(__xludf.DUMMYFUNCTION("""COMPUTED_VALUE"""),47.0)</f>
        <v>47</v>
      </c>
      <c r="H1071" s="1">
        <f>IFERROR(__xludf.DUMMYFUNCTION("""COMPUTED_VALUE"""),89.0)</f>
        <v>89</v>
      </c>
      <c r="I1071" s="1">
        <f>IFERROR(__xludf.DUMMYFUNCTION("""COMPUTED_VALUE"""),63.0)</f>
        <v>63</v>
      </c>
      <c r="J1071" s="1">
        <f>IFERROR(__xludf.DUMMYFUNCTION("""COMPUTED_VALUE"""),61.0)</f>
        <v>61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 t="str">
        <f>IFERROR(__xludf.DUMMYFUNCTION("""COMPUTED_VALUE"""),"C")</f>
        <v>C</v>
      </c>
      <c r="E1072" s="1">
        <f>IFERROR(__xludf.DUMMYFUNCTION("""COMPUTED_VALUE"""),18.0)</f>
        <v>18</v>
      </c>
      <c r="F1072" s="1">
        <f>IFERROR(__xludf.DUMMYFUNCTION("""COMPUTED_VALUE"""),83.0)</f>
        <v>83</v>
      </c>
      <c r="G1072" s="1">
        <f>IFERROR(__xludf.DUMMYFUNCTION("""COMPUTED_VALUE"""),23.0)</f>
        <v>23</v>
      </c>
      <c r="H1072" s="1">
        <f>IFERROR(__xludf.DUMMYFUNCTION("""COMPUTED_VALUE"""),95.0)</f>
        <v>95</v>
      </c>
      <c r="I1072" s="1">
        <f>IFERROR(__xludf.DUMMYFUNCTION("""COMPUTED_VALUE"""),98.0)</f>
        <v>98</v>
      </c>
      <c r="J1072" s="1">
        <f>IFERROR(__xludf.DUMMYFUNCTION("""COMPUTED_VALUE"""),78.0)</f>
        <v>78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 t="str">
        <f>IFERROR(__xludf.DUMMYFUNCTION("""COMPUTED_VALUE"""),"D")</f>
        <v>D</v>
      </c>
      <c r="E1073" s="1">
        <f>IFERROR(__xludf.DUMMYFUNCTION("""COMPUTED_VALUE"""),17.0)</f>
        <v>17</v>
      </c>
      <c r="F1073" s="1">
        <f>IFERROR(__xludf.DUMMYFUNCTION("""COMPUTED_VALUE"""),95.0)</f>
        <v>95</v>
      </c>
      <c r="G1073" s="1">
        <f>IFERROR(__xludf.DUMMYFUNCTION("""COMPUTED_VALUE"""),69.0)</f>
        <v>69</v>
      </c>
      <c r="H1073" s="1">
        <f>IFERROR(__xludf.DUMMYFUNCTION("""COMPUTED_VALUE"""),88.0)</f>
        <v>88</v>
      </c>
      <c r="I1073" s="1">
        <f>IFERROR(__xludf.DUMMYFUNCTION("""COMPUTED_VALUE"""),57.0)</f>
        <v>57</v>
      </c>
      <c r="J1073" s="1">
        <f>IFERROR(__xludf.DUMMYFUNCTION("""COMPUTED_VALUE"""),25.0)</f>
        <v>25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 t="str">
        <f>IFERROR(__xludf.DUMMYFUNCTION("""COMPUTED_VALUE"""),"D")</f>
        <v>D</v>
      </c>
      <c r="E1074" s="1">
        <f>IFERROR(__xludf.DUMMYFUNCTION("""COMPUTED_VALUE"""),87.0)</f>
        <v>87</v>
      </c>
      <c r="F1074" s="1">
        <f>IFERROR(__xludf.DUMMYFUNCTION("""COMPUTED_VALUE"""),31.0)</f>
        <v>31</v>
      </c>
      <c r="G1074" s="1">
        <f>IFERROR(__xludf.DUMMYFUNCTION("""COMPUTED_VALUE"""),61.0)</f>
        <v>61</v>
      </c>
      <c r="H1074" s="1">
        <f>IFERROR(__xludf.DUMMYFUNCTION("""COMPUTED_VALUE"""),64.0)</f>
        <v>64</v>
      </c>
      <c r="I1074" s="1">
        <f>IFERROR(__xludf.DUMMYFUNCTION("""COMPUTED_VALUE"""),24.0)</f>
        <v>24</v>
      </c>
      <c r="J1074" s="1">
        <f>IFERROR(__xludf.DUMMYFUNCTION("""COMPUTED_VALUE"""),48.0)</f>
        <v>48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 t="str">
        <f>IFERROR(__xludf.DUMMYFUNCTION("""COMPUTED_VALUE"""),"B")</f>
        <v>B</v>
      </c>
      <c r="E1075" s="1">
        <f>IFERROR(__xludf.DUMMYFUNCTION("""COMPUTED_VALUE"""),20.0)</f>
        <v>20</v>
      </c>
      <c r="F1075" s="1">
        <f>IFERROR(__xludf.DUMMYFUNCTION("""COMPUTED_VALUE"""),84.0)</f>
        <v>84</v>
      </c>
      <c r="G1075" s="1">
        <f>IFERROR(__xludf.DUMMYFUNCTION("""COMPUTED_VALUE"""),93.0)</f>
        <v>93</v>
      </c>
      <c r="H1075" s="1">
        <f>IFERROR(__xludf.DUMMYFUNCTION("""COMPUTED_VALUE"""),69.0)</f>
        <v>69</v>
      </c>
      <c r="I1075" s="1">
        <f>IFERROR(__xludf.DUMMYFUNCTION("""COMPUTED_VALUE"""),62.0)</f>
        <v>62</v>
      </c>
      <c r="J1075" s="1">
        <f>IFERROR(__xludf.DUMMYFUNCTION("""COMPUTED_VALUE"""),87.0)</f>
        <v>87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 t="str">
        <f>IFERROR(__xludf.DUMMYFUNCTION("""COMPUTED_VALUE"""),"C")</f>
        <v>C</v>
      </c>
      <c r="E1076" s="1">
        <f>IFERROR(__xludf.DUMMYFUNCTION("""COMPUTED_VALUE"""),36.0)</f>
        <v>36</v>
      </c>
      <c r="F1076" s="1">
        <f>IFERROR(__xludf.DUMMYFUNCTION("""COMPUTED_VALUE"""),55.0)</f>
        <v>55</v>
      </c>
      <c r="G1076" s="1">
        <f>IFERROR(__xludf.DUMMYFUNCTION("""COMPUTED_VALUE"""),43.0)</f>
        <v>43</v>
      </c>
      <c r="H1076" s="1">
        <f>IFERROR(__xludf.DUMMYFUNCTION("""COMPUTED_VALUE"""),56.0)</f>
        <v>56</v>
      </c>
      <c r="I1076" s="1">
        <f>IFERROR(__xludf.DUMMYFUNCTION("""COMPUTED_VALUE"""),78.0)</f>
        <v>78</v>
      </c>
      <c r="J1076" s="1">
        <f>IFERROR(__xludf.DUMMYFUNCTION("""COMPUTED_VALUE"""),27.0)</f>
        <v>27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 t="str">
        <f>IFERROR(__xludf.DUMMYFUNCTION("""COMPUTED_VALUE"""),"D")</f>
        <v>D</v>
      </c>
      <c r="E1077" s="1">
        <f>IFERROR(__xludf.DUMMYFUNCTION("""COMPUTED_VALUE"""),74.0)</f>
        <v>74</v>
      </c>
      <c r="F1077" s="1">
        <f>IFERROR(__xludf.DUMMYFUNCTION("""COMPUTED_VALUE"""),39.0)</f>
        <v>39</v>
      </c>
      <c r="G1077" s="1">
        <f>IFERROR(__xludf.DUMMYFUNCTION("""COMPUTED_VALUE"""),59.0)</f>
        <v>59</v>
      </c>
      <c r="H1077" s="1">
        <f>IFERROR(__xludf.DUMMYFUNCTION("""COMPUTED_VALUE"""),30.0)</f>
        <v>30</v>
      </c>
      <c r="I1077" s="1">
        <f>IFERROR(__xludf.DUMMYFUNCTION("""COMPUTED_VALUE"""),43.0)</f>
        <v>43</v>
      </c>
      <c r="J1077" s="1">
        <f>IFERROR(__xludf.DUMMYFUNCTION("""COMPUTED_VALUE"""),99.0)</f>
        <v>99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 t="str">
        <f>IFERROR(__xludf.DUMMYFUNCTION("""COMPUTED_VALUE"""),"D")</f>
        <v>D</v>
      </c>
      <c r="E1078" s="1">
        <f>IFERROR(__xludf.DUMMYFUNCTION("""COMPUTED_VALUE"""),55.0)</f>
        <v>55</v>
      </c>
      <c r="F1078" s="1">
        <f>IFERROR(__xludf.DUMMYFUNCTION("""COMPUTED_VALUE"""),79.0)</f>
        <v>79</v>
      </c>
      <c r="G1078" s="1">
        <f>IFERROR(__xludf.DUMMYFUNCTION("""COMPUTED_VALUE"""),91.0)</f>
        <v>91</v>
      </c>
      <c r="H1078" s="1">
        <f>IFERROR(__xludf.DUMMYFUNCTION("""COMPUTED_VALUE"""),33.0)</f>
        <v>33</v>
      </c>
      <c r="I1078" s="1">
        <f>IFERROR(__xludf.DUMMYFUNCTION("""COMPUTED_VALUE"""),84.0)</f>
        <v>84</v>
      </c>
      <c r="J1078" s="1">
        <f>IFERROR(__xludf.DUMMYFUNCTION("""COMPUTED_VALUE"""),40.0)</f>
        <v>40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 t="str">
        <f>IFERROR(__xludf.DUMMYFUNCTION("""COMPUTED_VALUE"""),"A")</f>
        <v>A</v>
      </c>
      <c r="E1079" s="1">
        <f>IFERROR(__xludf.DUMMYFUNCTION("""COMPUTED_VALUE"""),79.0)</f>
        <v>79</v>
      </c>
      <c r="F1079" s="1">
        <f>IFERROR(__xludf.DUMMYFUNCTION("""COMPUTED_VALUE"""),30.0)</f>
        <v>30</v>
      </c>
      <c r="G1079" s="1">
        <f>IFERROR(__xludf.DUMMYFUNCTION("""COMPUTED_VALUE"""),86.0)</f>
        <v>86</v>
      </c>
      <c r="H1079" s="1">
        <f>IFERROR(__xludf.DUMMYFUNCTION("""COMPUTED_VALUE"""),62.0)</f>
        <v>62</v>
      </c>
      <c r="I1079" s="1">
        <f>IFERROR(__xludf.DUMMYFUNCTION("""COMPUTED_VALUE"""),83.0)</f>
        <v>83</v>
      </c>
      <c r="J1079" s="1">
        <f>IFERROR(__xludf.DUMMYFUNCTION("""COMPUTED_VALUE"""),96.0)</f>
        <v>96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 t="str">
        <f>IFERROR(__xludf.DUMMYFUNCTION("""COMPUTED_VALUE"""),"B")</f>
        <v>B</v>
      </c>
      <c r="E1080" s="1">
        <f>IFERROR(__xludf.DUMMYFUNCTION("""COMPUTED_VALUE"""),65.0)</f>
        <v>65</v>
      </c>
      <c r="F1080" s="1">
        <f>IFERROR(__xludf.DUMMYFUNCTION("""COMPUTED_VALUE"""),86.0)</f>
        <v>86</v>
      </c>
      <c r="G1080" s="1">
        <f>IFERROR(__xludf.DUMMYFUNCTION("""COMPUTED_VALUE"""),46.0)</f>
        <v>46</v>
      </c>
      <c r="H1080" s="1">
        <f>IFERROR(__xludf.DUMMYFUNCTION("""COMPUTED_VALUE"""),77.0)</f>
        <v>77</v>
      </c>
      <c r="I1080" s="1">
        <f>IFERROR(__xludf.DUMMYFUNCTION("""COMPUTED_VALUE"""),73.0)</f>
        <v>73</v>
      </c>
      <c r="J1080" s="1">
        <f>IFERROR(__xludf.DUMMYFUNCTION("""COMPUTED_VALUE"""),74.0)</f>
        <v>74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 t="str">
        <f>IFERROR(__xludf.DUMMYFUNCTION("""COMPUTED_VALUE"""),"A")</f>
        <v>A</v>
      </c>
      <c r="E1081" s="1">
        <f>IFERROR(__xludf.DUMMYFUNCTION("""COMPUTED_VALUE"""),96.0)</f>
        <v>96</v>
      </c>
      <c r="F1081" s="1">
        <f>IFERROR(__xludf.DUMMYFUNCTION("""COMPUTED_VALUE"""),34.0)</f>
        <v>34</v>
      </c>
      <c r="G1081" s="1">
        <f>IFERROR(__xludf.DUMMYFUNCTION("""COMPUTED_VALUE"""),45.0)</f>
        <v>45</v>
      </c>
      <c r="H1081" s="1">
        <f>IFERROR(__xludf.DUMMYFUNCTION("""COMPUTED_VALUE"""),33.0)</f>
        <v>33</v>
      </c>
      <c r="I1081" s="1">
        <f>IFERROR(__xludf.DUMMYFUNCTION("""COMPUTED_VALUE"""),44.0)</f>
        <v>44</v>
      </c>
      <c r="J1081" s="1">
        <f>IFERROR(__xludf.DUMMYFUNCTION("""COMPUTED_VALUE"""),63.0)</f>
        <v>63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 t="str">
        <f>IFERROR(__xludf.DUMMYFUNCTION("""COMPUTED_VALUE"""),"B")</f>
        <v>B</v>
      </c>
      <c r="E1082" s="1">
        <f>IFERROR(__xludf.DUMMYFUNCTION("""COMPUTED_VALUE"""),57.0)</f>
        <v>57</v>
      </c>
      <c r="F1082" s="1">
        <f>IFERROR(__xludf.DUMMYFUNCTION("""COMPUTED_VALUE"""),39.0)</f>
        <v>39</v>
      </c>
      <c r="G1082" s="1">
        <f>IFERROR(__xludf.DUMMYFUNCTION("""COMPUTED_VALUE"""),64.0)</f>
        <v>64</v>
      </c>
      <c r="H1082" s="1">
        <f>IFERROR(__xludf.DUMMYFUNCTION("""COMPUTED_VALUE"""),35.0)</f>
        <v>35</v>
      </c>
      <c r="I1082" s="1">
        <f>IFERROR(__xludf.DUMMYFUNCTION("""COMPUTED_VALUE"""),40.0)</f>
        <v>40</v>
      </c>
      <c r="J1082" s="1">
        <f>IFERROR(__xludf.DUMMYFUNCTION("""COMPUTED_VALUE"""),20.0)</f>
        <v>20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 t="str">
        <f>IFERROR(__xludf.DUMMYFUNCTION("""COMPUTED_VALUE"""),"D")</f>
        <v>D</v>
      </c>
      <c r="E1083" s="1">
        <f>IFERROR(__xludf.DUMMYFUNCTION("""COMPUTED_VALUE"""),62.0)</f>
        <v>62</v>
      </c>
      <c r="F1083" s="1">
        <f>IFERROR(__xludf.DUMMYFUNCTION("""COMPUTED_VALUE"""),27.0)</f>
        <v>27</v>
      </c>
      <c r="G1083" s="1">
        <f>IFERROR(__xludf.DUMMYFUNCTION("""COMPUTED_VALUE"""),66.0)</f>
        <v>66</v>
      </c>
      <c r="H1083" s="1">
        <f>IFERROR(__xludf.DUMMYFUNCTION("""COMPUTED_VALUE"""),26.0)</f>
        <v>26</v>
      </c>
      <c r="I1083" s="1">
        <f>IFERROR(__xludf.DUMMYFUNCTION("""COMPUTED_VALUE"""),47.0)</f>
        <v>47</v>
      </c>
      <c r="J1083" s="1">
        <f>IFERROR(__xludf.DUMMYFUNCTION("""COMPUTED_VALUE"""),36.0)</f>
        <v>36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 t="str">
        <f>IFERROR(__xludf.DUMMYFUNCTION("""COMPUTED_VALUE"""),"A")</f>
        <v>A</v>
      </c>
      <c r="E1084" s="1">
        <f>IFERROR(__xludf.DUMMYFUNCTION("""COMPUTED_VALUE"""),65.0)</f>
        <v>65</v>
      </c>
      <c r="F1084" s="1">
        <f>IFERROR(__xludf.DUMMYFUNCTION("""COMPUTED_VALUE"""),44.0)</f>
        <v>44</v>
      </c>
      <c r="G1084" s="1">
        <f>IFERROR(__xludf.DUMMYFUNCTION("""COMPUTED_VALUE"""),78.0)</f>
        <v>78</v>
      </c>
      <c r="H1084" s="1">
        <f>IFERROR(__xludf.DUMMYFUNCTION("""COMPUTED_VALUE"""),96.0)</f>
        <v>96</v>
      </c>
      <c r="I1084" s="1">
        <f>IFERROR(__xludf.DUMMYFUNCTION("""COMPUTED_VALUE"""),43.0)</f>
        <v>43</v>
      </c>
      <c r="J1084" s="1">
        <f>IFERROR(__xludf.DUMMYFUNCTION("""COMPUTED_VALUE"""),57.0)</f>
        <v>57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 t="str">
        <f>IFERROR(__xludf.DUMMYFUNCTION("""COMPUTED_VALUE"""),"A")</f>
        <v>A</v>
      </c>
      <c r="E1085" s="1">
        <f>IFERROR(__xludf.DUMMYFUNCTION("""COMPUTED_VALUE"""),11.0)</f>
        <v>11</v>
      </c>
      <c r="F1085" s="1">
        <f>IFERROR(__xludf.DUMMYFUNCTION("""COMPUTED_VALUE"""),65.0)</f>
        <v>65</v>
      </c>
      <c r="G1085" s="1">
        <f>IFERROR(__xludf.DUMMYFUNCTION("""COMPUTED_VALUE"""),36.0)</f>
        <v>36</v>
      </c>
      <c r="H1085" s="1">
        <f>IFERROR(__xludf.DUMMYFUNCTION("""COMPUTED_VALUE"""),51.0)</f>
        <v>51</v>
      </c>
      <c r="I1085" s="1">
        <f>IFERROR(__xludf.DUMMYFUNCTION("""COMPUTED_VALUE"""),39.0)</f>
        <v>39</v>
      </c>
      <c r="J1085" s="1">
        <f>IFERROR(__xludf.DUMMYFUNCTION("""COMPUTED_VALUE"""),32.0)</f>
        <v>32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 t="str">
        <f>IFERROR(__xludf.DUMMYFUNCTION("""COMPUTED_VALUE"""),"A")</f>
        <v>A</v>
      </c>
      <c r="E1086" s="1">
        <f>IFERROR(__xludf.DUMMYFUNCTION("""COMPUTED_VALUE"""),63.0)</f>
        <v>63</v>
      </c>
      <c r="F1086" s="1">
        <f>IFERROR(__xludf.DUMMYFUNCTION("""COMPUTED_VALUE"""),56.0)</f>
        <v>56</v>
      </c>
      <c r="G1086" s="1">
        <f>IFERROR(__xludf.DUMMYFUNCTION("""COMPUTED_VALUE"""),88.0)</f>
        <v>88</v>
      </c>
      <c r="H1086" s="1">
        <f>IFERROR(__xludf.DUMMYFUNCTION("""COMPUTED_VALUE"""),77.0)</f>
        <v>77</v>
      </c>
      <c r="I1086" s="1">
        <f>IFERROR(__xludf.DUMMYFUNCTION("""COMPUTED_VALUE"""),97.0)</f>
        <v>97</v>
      </c>
      <c r="J1086" s="1">
        <f>IFERROR(__xludf.DUMMYFUNCTION("""COMPUTED_VALUE"""),62.0)</f>
        <v>62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 t="str">
        <f>IFERROR(__xludf.DUMMYFUNCTION("""COMPUTED_VALUE"""),"A")</f>
        <v>A</v>
      </c>
      <c r="E1087" s="1">
        <f>IFERROR(__xludf.DUMMYFUNCTION("""COMPUTED_VALUE"""),66.0)</f>
        <v>66</v>
      </c>
      <c r="F1087" s="1">
        <f>IFERROR(__xludf.DUMMYFUNCTION("""COMPUTED_VALUE"""),72.0)</f>
        <v>72</v>
      </c>
      <c r="G1087" s="1">
        <f>IFERROR(__xludf.DUMMYFUNCTION("""COMPUTED_VALUE"""),32.0)</f>
        <v>32</v>
      </c>
      <c r="H1087" s="1">
        <f>IFERROR(__xludf.DUMMYFUNCTION("""COMPUTED_VALUE"""),69.0)</f>
        <v>69</v>
      </c>
      <c r="I1087" s="1">
        <f>IFERROR(__xludf.DUMMYFUNCTION("""COMPUTED_VALUE"""),34.0)</f>
        <v>34</v>
      </c>
      <c r="J1087" s="1">
        <f>IFERROR(__xludf.DUMMYFUNCTION("""COMPUTED_VALUE"""),33.0)</f>
        <v>33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 t="str">
        <f>IFERROR(__xludf.DUMMYFUNCTION("""COMPUTED_VALUE"""),"C")</f>
        <v>C</v>
      </c>
      <c r="E1088" s="1">
        <f>IFERROR(__xludf.DUMMYFUNCTION("""COMPUTED_VALUE"""),81.0)</f>
        <v>81</v>
      </c>
      <c r="F1088" s="1">
        <f>IFERROR(__xludf.DUMMYFUNCTION("""COMPUTED_VALUE"""),46.0)</f>
        <v>46</v>
      </c>
      <c r="G1088" s="1">
        <f>IFERROR(__xludf.DUMMYFUNCTION("""COMPUTED_VALUE"""),73.0)</f>
        <v>73</v>
      </c>
      <c r="H1088" s="1">
        <f>IFERROR(__xludf.DUMMYFUNCTION("""COMPUTED_VALUE"""),33.0)</f>
        <v>33</v>
      </c>
      <c r="I1088" s="1">
        <f>IFERROR(__xludf.DUMMYFUNCTION("""COMPUTED_VALUE"""),50.0)</f>
        <v>50</v>
      </c>
      <c r="J1088" s="1">
        <f>IFERROR(__xludf.DUMMYFUNCTION("""COMPUTED_VALUE"""),55.0)</f>
        <v>55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 t="str">
        <f>IFERROR(__xludf.DUMMYFUNCTION("""COMPUTED_VALUE"""),"A")</f>
        <v>A</v>
      </c>
      <c r="E1089" s="1">
        <f>IFERROR(__xludf.DUMMYFUNCTION("""COMPUTED_VALUE"""),56.0)</f>
        <v>56</v>
      </c>
      <c r="F1089" s="1">
        <f>IFERROR(__xludf.DUMMYFUNCTION("""COMPUTED_VALUE"""),71.0)</f>
        <v>71</v>
      </c>
      <c r="G1089" s="1">
        <f>IFERROR(__xludf.DUMMYFUNCTION("""COMPUTED_VALUE"""),77.0)</f>
        <v>77</v>
      </c>
      <c r="H1089" s="1">
        <f>IFERROR(__xludf.DUMMYFUNCTION("""COMPUTED_VALUE"""),29.0)</f>
        <v>29</v>
      </c>
      <c r="I1089" s="1">
        <f>IFERROR(__xludf.DUMMYFUNCTION("""COMPUTED_VALUE"""),83.0)</f>
        <v>83</v>
      </c>
      <c r="J1089" s="1">
        <f>IFERROR(__xludf.DUMMYFUNCTION("""COMPUTED_VALUE"""),33.0)</f>
        <v>33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 t="str">
        <f>IFERROR(__xludf.DUMMYFUNCTION("""COMPUTED_VALUE"""),"C")</f>
        <v>C</v>
      </c>
      <c r="E1090" s="1">
        <f>IFERROR(__xludf.DUMMYFUNCTION("""COMPUTED_VALUE"""),77.0)</f>
        <v>77</v>
      </c>
      <c r="F1090" s="1">
        <f>IFERROR(__xludf.DUMMYFUNCTION("""COMPUTED_VALUE"""),69.0)</f>
        <v>69</v>
      </c>
      <c r="G1090" s="1">
        <f>IFERROR(__xludf.DUMMYFUNCTION("""COMPUTED_VALUE"""),47.0)</f>
        <v>47</v>
      </c>
      <c r="H1090" s="1">
        <f>IFERROR(__xludf.DUMMYFUNCTION("""COMPUTED_VALUE"""),60.0)</f>
        <v>60</v>
      </c>
      <c r="I1090" s="1">
        <f>IFERROR(__xludf.DUMMYFUNCTION("""COMPUTED_VALUE"""),95.0)</f>
        <v>95</v>
      </c>
      <c r="J1090" s="1">
        <f>IFERROR(__xludf.DUMMYFUNCTION("""COMPUTED_VALUE"""),36.0)</f>
        <v>36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 t="str">
        <f>IFERROR(__xludf.DUMMYFUNCTION("""COMPUTED_VALUE"""),"B")</f>
        <v>B</v>
      </c>
      <c r="E1091" s="1">
        <f>IFERROR(__xludf.DUMMYFUNCTION("""COMPUTED_VALUE"""),80.0)</f>
        <v>80</v>
      </c>
      <c r="F1091" s="1">
        <f>IFERROR(__xludf.DUMMYFUNCTION("""COMPUTED_VALUE"""),36.0)</f>
        <v>36</v>
      </c>
      <c r="G1091" s="1">
        <f>IFERROR(__xludf.DUMMYFUNCTION("""COMPUTED_VALUE"""),80.0)</f>
        <v>80</v>
      </c>
      <c r="H1091" s="1">
        <f>IFERROR(__xludf.DUMMYFUNCTION("""COMPUTED_VALUE"""),71.0)</f>
        <v>71</v>
      </c>
      <c r="I1091" s="1">
        <f>IFERROR(__xludf.DUMMYFUNCTION("""COMPUTED_VALUE"""),42.0)</f>
        <v>42</v>
      </c>
      <c r="J1091" s="1">
        <f>IFERROR(__xludf.DUMMYFUNCTION("""COMPUTED_VALUE"""),78.0)</f>
        <v>78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 t="str">
        <f>IFERROR(__xludf.DUMMYFUNCTION("""COMPUTED_VALUE"""),"C")</f>
        <v>C</v>
      </c>
      <c r="E1092" s="1">
        <f>IFERROR(__xludf.DUMMYFUNCTION("""COMPUTED_VALUE"""),77.0)</f>
        <v>77</v>
      </c>
      <c r="F1092" s="1">
        <f>IFERROR(__xludf.DUMMYFUNCTION("""COMPUTED_VALUE"""),70.0)</f>
        <v>70</v>
      </c>
      <c r="G1092" s="1">
        <f>IFERROR(__xludf.DUMMYFUNCTION("""COMPUTED_VALUE"""),61.0)</f>
        <v>61</v>
      </c>
      <c r="H1092" s="1">
        <f>IFERROR(__xludf.DUMMYFUNCTION("""COMPUTED_VALUE"""),23.0)</f>
        <v>23</v>
      </c>
      <c r="I1092" s="1">
        <f>IFERROR(__xludf.DUMMYFUNCTION("""COMPUTED_VALUE"""),82.0)</f>
        <v>82</v>
      </c>
      <c r="J1092" s="1">
        <f>IFERROR(__xludf.DUMMYFUNCTION("""COMPUTED_VALUE"""),27.0)</f>
        <v>27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 t="str">
        <f>IFERROR(__xludf.DUMMYFUNCTION("""COMPUTED_VALUE"""),"B")</f>
        <v>B</v>
      </c>
      <c r="E1093" s="1">
        <f>IFERROR(__xludf.DUMMYFUNCTION("""COMPUTED_VALUE"""),64.0)</f>
        <v>64</v>
      </c>
      <c r="F1093" s="1">
        <f>IFERROR(__xludf.DUMMYFUNCTION("""COMPUTED_VALUE"""),65.0)</f>
        <v>65</v>
      </c>
      <c r="G1093" s="1">
        <f>IFERROR(__xludf.DUMMYFUNCTION("""COMPUTED_VALUE"""),45.0)</f>
        <v>45</v>
      </c>
      <c r="H1093" s="1">
        <f>IFERROR(__xludf.DUMMYFUNCTION("""COMPUTED_VALUE"""),85.0)</f>
        <v>85</v>
      </c>
      <c r="I1093" s="1">
        <f>IFERROR(__xludf.DUMMYFUNCTION("""COMPUTED_VALUE"""),36.0)</f>
        <v>36</v>
      </c>
      <c r="J1093" s="1">
        <f>IFERROR(__xludf.DUMMYFUNCTION("""COMPUTED_VALUE"""),39.0)</f>
        <v>39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 t="str">
        <f>IFERROR(__xludf.DUMMYFUNCTION("""COMPUTED_VALUE"""),"C")</f>
        <v>C</v>
      </c>
      <c r="E1094" s="1">
        <f>IFERROR(__xludf.DUMMYFUNCTION("""COMPUTED_VALUE"""),50.0)</f>
        <v>50</v>
      </c>
      <c r="F1094" s="1">
        <f>IFERROR(__xludf.DUMMYFUNCTION("""COMPUTED_VALUE"""),30.0)</f>
        <v>30</v>
      </c>
      <c r="G1094" s="1">
        <f>IFERROR(__xludf.DUMMYFUNCTION("""COMPUTED_VALUE"""),87.0)</f>
        <v>87</v>
      </c>
      <c r="H1094" s="1">
        <f>IFERROR(__xludf.DUMMYFUNCTION("""COMPUTED_VALUE"""),46.0)</f>
        <v>46</v>
      </c>
      <c r="I1094" s="1">
        <f>IFERROR(__xludf.DUMMYFUNCTION("""COMPUTED_VALUE"""),85.0)</f>
        <v>85</v>
      </c>
      <c r="J1094" s="1">
        <f>IFERROR(__xludf.DUMMYFUNCTION("""COMPUTED_VALUE"""),92.0)</f>
        <v>92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 t="str">
        <f>IFERROR(__xludf.DUMMYFUNCTION("""COMPUTED_VALUE"""),"D")</f>
        <v>D</v>
      </c>
      <c r="E1095" s="1">
        <f>IFERROR(__xludf.DUMMYFUNCTION("""COMPUTED_VALUE"""),54.0)</f>
        <v>54</v>
      </c>
      <c r="F1095" s="1">
        <f>IFERROR(__xludf.DUMMYFUNCTION("""COMPUTED_VALUE"""),31.0)</f>
        <v>31</v>
      </c>
      <c r="G1095" s="1">
        <f>IFERROR(__xludf.DUMMYFUNCTION("""COMPUTED_VALUE"""),26.0)</f>
        <v>26</v>
      </c>
      <c r="H1095" s="1">
        <f>IFERROR(__xludf.DUMMYFUNCTION("""COMPUTED_VALUE"""),43.0)</f>
        <v>43</v>
      </c>
      <c r="I1095" s="1">
        <f>IFERROR(__xludf.DUMMYFUNCTION("""COMPUTED_VALUE"""),59.0)</f>
        <v>59</v>
      </c>
      <c r="J1095" s="1">
        <f>IFERROR(__xludf.DUMMYFUNCTION("""COMPUTED_VALUE"""),82.0)</f>
        <v>82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 t="str">
        <f>IFERROR(__xludf.DUMMYFUNCTION("""COMPUTED_VALUE"""),"D")</f>
        <v>D</v>
      </c>
      <c r="E1096" s="1">
        <f>IFERROR(__xludf.DUMMYFUNCTION("""COMPUTED_VALUE"""),97.0)</f>
        <v>97</v>
      </c>
      <c r="F1096" s="1">
        <f>IFERROR(__xludf.DUMMYFUNCTION("""COMPUTED_VALUE"""),24.0)</f>
        <v>24</v>
      </c>
      <c r="G1096" s="1">
        <f>IFERROR(__xludf.DUMMYFUNCTION("""COMPUTED_VALUE"""),88.0)</f>
        <v>88</v>
      </c>
      <c r="H1096" s="1">
        <f>IFERROR(__xludf.DUMMYFUNCTION("""COMPUTED_VALUE"""),72.0)</f>
        <v>72</v>
      </c>
      <c r="I1096" s="1">
        <f>IFERROR(__xludf.DUMMYFUNCTION("""COMPUTED_VALUE"""),98.0)</f>
        <v>98</v>
      </c>
      <c r="J1096" s="1">
        <f>IFERROR(__xludf.DUMMYFUNCTION("""COMPUTED_VALUE"""),20.0)</f>
        <v>20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 t="str">
        <f>IFERROR(__xludf.DUMMYFUNCTION("""COMPUTED_VALUE"""),"A")</f>
        <v>A</v>
      </c>
      <c r="E1097" s="1">
        <f>IFERROR(__xludf.DUMMYFUNCTION("""COMPUTED_VALUE"""),86.0)</f>
        <v>86</v>
      </c>
      <c r="F1097" s="1">
        <f>IFERROR(__xludf.DUMMYFUNCTION("""COMPUTED_VALUE"""),55.0)</f>
        <v>55</v>
      </c>
      <c r="G1097" s="1">
        <f>IFERROR(__xludf.DUMMYFUNCTION("""COMPUTED_VALUE"""),25.0)</f>
        <v>25</v>
      </c>
      <c r="H1097" s="1">
        <f>IFERROR(__xludf.DUMMYFUNCTION("""COMPUTED_VALUE"""),93.0)</f>
        <v>93</v>
      </c>
      <c r="I1097" s="1">
        <f>IFERROR(__xludf.DUMMYFUNCTION("""COMPUTED_VALUE"""),41.0)</f>
        <v>41</v>
      </c>
      <c r="J1097" s="1">
        <f>IFERROR(__xludf.DUMMYFUNCTION("""COMPUTED_VALUE"""),75.0)</f>
        <v>75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 t="str">
        <f>IFERROR(__xludf.DUMMYFUNCTION("""COMPUTED_VALUE"""),"D")</f>
        <v>D</v>
      </c>
      <c r="E1098" s="1">
        <f>IFERROR(__xludf.DUMMYFUNCTION("""COMPUTED_VALUE"""),16.0)</f>
        <v>16</v>
      </c>
      <c r="F1098" s="1">
        <f>IFERROR(__xludf.DUMMYFUNCTION("""COMPUTED_VALUE"""),80.0)</f>
        <v>80</v>
      </c>
      <c r="G1098" s="1">
        <f>IFERROR(__xludf.DUMMYFUNCTION("""COMPUTED_VALUE"""),52.0)</f>
        <v>52</v>
      </c>
      <c r="H1098" s="1">
        <f>IFERROR(__xludf.DUMMYFUNCTION("""COMPUTED_VALUE"""),73.0)</f>
        <v>73</v>
      </c>
      <c r="I1098" s="1">
        <f>IFERROR(__xludf.DUMMYFUNCTION("""COMPUTED_VALUE"""),97.0)</f>
        <v>97</v>
      </c>
      <c r="J1098" s="1">
        <f>IFERROR(__xludf.DUMMYFUNCTION("""COMPUTED_VALUE"""),70.0)</f>
        <v>70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 t="str">
        <f>IFERROR(__xludf.DUMMYFUNCTION("""COMPUTED_VALUE"""),"D")</f>
        <v>D</v>
      </c>
      <c r="E1099" s="1">
        <f>IFERROR(__xludf.DUMMYFUNCTION("""COMPUTED_VALUE"""),44.0)</f>
        <v>44</v>
      </c>
      <c r="F1099" s="1">
        <f>IFERROR(__xludf.DUMMYFUNCTION("""COMPUTED_VALUE"""),53.0)</f>
        <v>53</v>
      </c>
      <c r="G1099" s="1">
        <f>IFERROR(__xludf.DUMMYFUNCTION("""COMPUTED_VALUE"""),70.0)</f>
        <v>70</v>
      </c>
      <c r="H1099" s="1">
        <f>IFERROR(__xludf.DUMMYFUNCTION("""COMPUTED_VALUE"""),90.0)</f>
        <v>90</v>
      </c>
      <c r="I1099" s="1">
        <f>IFERROR(__xludf.DUMMYFUNCTION("""COMPUTED_VALUE"""),40.0)</f>
        <v>40</v>
      </c>
      <c r="J1099" s="1">
        <f>IFERROR(__xludf.DUMMYFUNCTION("""COMPUTED_VALUE"""),61.0)</f>
        <v>61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 t="str">
        <f>IFERROR(__xludf.DUMMYFUNCTION("""COMPUTED_VALUE"""),"D")</f>
        <v>D</v>
      </c>
      <c r="E1100" s="1">
        <f>IFERROR(__xludf.DUMMYFUNCTION("""COMPUTED_VALUE"""),77.0)</f>
        <v>77</v>
      </c>
      <c r="F1100" s="1">
        <f>IFERROR(__xludf.DUMMYFUNCTION("""COMPUTED_VALUE"""),76.0)</f>
        <v>76</v>
      </c>
      <c r="G1100" s="1">
        <f>IFERROR(__xludf.DUMMYFUNCTION("""COMPUTED_VALUE"""),20.0)</f>
        <v>20</v>
      </c>
      <c r="H1100" s="1">
        <f>IFERROR(__xludf.DUMMYFUNCTION("""COMPUTED_VALUE"""),28.0)</f>
        <v>28</v>
      </c>
      <c r="I1100" s="1">
        <f>IFERROR(__xludf.DUMMYFUNCTION("""COMPUTED_VALUE"""),90.0)</f>
        <v>90</v>
      </c>
      <c r="J1100" s="1">
        <f>IFERROR(__xludf.DUMMYFUNCTION("""COMPUTED_VALUE"""),21.0)</f>
        <v>21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 t="str">
        <f>IFERROR(__xludf.DUMMYFUNCTION("""COMPUTED_VALUE"""),"B")</f>
        <v>B</v>
      </c>
      <c r="E1101" s="1">
        <f>IFERROR(__xludf.DUMMYFUNCTION("""COMPUTED_VALUE"""),48.0)</f>
        <v>48</v>
      </c>
      <c r="F1101" s="1">
        <f>IFERROR(__xludf.DUMMYFUNCTION("""COMPUTED_VALUE"""),69.0)</f>
        <v>69</v>
      </c>
      <c r="G1101" s="1">
        <f>IFERROR(__xludf.DUMMYFUNCTION("""COMPUTED_VALUE"""),86.0)</f>
        <v>86</v>
      </c>
      <c r="H1101" s="1">
        <f>IFERROR(__xludf.DUMMYFUNCTION("""COMPUTED_VALUE"""),26.0)</f>
        <v>26</v>
      </c>
      <c r="I1101" s="1">
        <f>IFERROR(__xludf.DUMMYFUNCTION("""COMPUTED_VALUE"""),58.0)</f>
        <v>58</v>
      </c>
      <c r="J1101" s="1">
        <f>IFERROR(__xludf.DUMMYFUNCTION("""COMPUTED_VALUE"""),60.0)</f>
        <v>60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 t="str">
        <f>IFERROR(__xludf.DUMMYFUNCTION("""COMPUTED_VALUE"""),"C")</f>
        <v>C</v>
      </c>
      <c r="E1102" s="1">
        <f>IFERROR(__xludf.DUMMYFUNCTION("""COMPUTED_VALUE"""),41.0)</f>
        <v>41</v>
      </c>
      <c r="F1102" s="1">
        <f>IFERROR(__xludf.DUMMYFUNCTION("""COMPUTED_VALUE"""),68.0)</f>
        <v>68</v>
      </c>
      <c r="G1102" s="1">
        <f>IFERROR(__xludf.DUMMYFUNCTION("""COMPUTED_VALUE"""),37.0)</f>
        <v>37</v>
      </c>
      <c r="H1102" s="1">
        <f>IFERROR(__xludf.DUMMYFUNCTION("""COMPUTED_VALUE"""),57.0)</f>
        <v>57</v>
      </c>
      <c r="I1102" s="1">
        <f>IFERROR(__xludf.DUMMYFUNCTION("""COMPUTED_VALUE"""),74.0)</f>
        <v>74</v>
      </c>
      <c r="J1102" s="1">
        <f>IFERROR(__xludf.DUMMYFUNCTION("""COMPUTED_VALUE"""),97.0)</f>
        <v>97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 t="str">
        <f>IFERROR(__xludf.DUMMYFUNCTION("""COMPUTED_VALUE"""),"A")</f>
        <v>A</v>
      </c>
      <c r="E1103" s="1">
        <f>IFERROR(__xludf.DUMMYFUNCTION("""COMPUTED_VALUE"""),95.0)</f>
        <v>95</v>
      </c>
      <c r="F1103" s="1">
        <f>IFERROR(__xludf.DUMMYFUNCTION("""COMPUTED_VALUE"""),30.0)</f>
        <v>30</v>
      </c>
      <c r="G1103" s="1">
        <f>IFERROR(__xludf.DUMMYFUNCTION("""COMPUTED_VALUE"""),41.0)</f>
        <v>41</v>
      </c>
      <c r="H1103" s="1">
        <f>IFERROR(__xludf.DUMMYFUNCTION("""COMPUTED_VALUE"""),56.0)</f>
        <v>56</v>
      </c>
      <c r="I1103" s="1">
        <f>IFERROR(__xludf.DUMMYFUNCTION("""COMPUTED_VALUE"""),87.0)</f>
        <v>87</v>
      </c>
      <c r="J1103" s="1">
        <f>IFERROR(__xludf.DUMMYFUNCTION("""COMPUTED_VALUE"""),51.0)</f>
        <v>51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 t="str">
        <f>IFERROR(__xludf.DUMMYFUNCTION("""COMPUTED_VALUE"""),"A")</f>
        <v>A</v>
      </c>
      <c r="E1104" s="1">
        <f>IFERROR(__xludf.DUMMYFUNCTION("""COMPUTED_VALUE"""),48.0)</f>
        <v>48</v>
      </c>
      <c r="F1104" s="1">
        <f>IFERROR(__xludf.DUMMYFUNCTION("""COMPUTED_VALUE"""),82.0)</f>
        <v>82</v>
      </c>
      <c r="G1104" s="1">
        <f>IFERROR(__xludf.DUMMYFUNCTION("""COMPUTED_VALUE"""),77.0)</f>
        <v>77</v>
      </c>
      <c r="H1104" s="1">
        <f>IFERROR(__xludf.DUMMYFUNCTION("""COMPUTED_VALUE"""),75.0)</f>
        <v>75</v>
      </c>
      <c r="I1104" s="1">
        <f>IFERROR(__xludf.DUMMYFUNCTION("""COMPUTED_VALUE"""),43.0)</f>
        <v>43</v>
      </c>
      <c r="J1104" s="1">
        <f>IFERROR(__xludf.DUMMYFUNCTION("""COMPUTED_VALUE"""),63.0)</f>
        <v>63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 t="str">
        <f>IFERROR(__xludf.DUMMYFUNCTION("""COMPUTED_VALUE"""),"B")</f>
        <v>B</v>
      </c>
      <c r="E1105" s="1">
        <f>IFERROR(__xludf.DUMMYFUNCTION("""COMPUTED_VALUE"""),53.0)</f>
        <v>53</v>
      </c>
      <c r="F1105" s="1">
        <f>IFERROR(__xludf.DUMMYFUNCTION("""COMPUTED_VALUE"""),55.0)</f>
        <v>55</v>
      </c>
      <c r="G1105" s="1">
        <f>IFERROR(__xludf.DUMMYFUNCTION("""COMPUTED_VALUE"""),48.0)</f>
        <v>48</v>
      </c>
      <c r="H1105" s="1">
        <f>IFERROR(__xludf.DUMMYFUNCTION("""COMPUTED_VALUE"""),66.0)</f>
        <v>66</v>
      </c>
      <c r="I1105" s="1">
        <f>IFERROR(__xludf.DUMMYFUNCTION("""COMPUTED_VALUE"""),66.0)</f>
        <v>66</v>
      </c>
      <c r="J1105" s="1">
        <f>IFERROR(__xludf.DUMMYFUNCTION("""COMPUTED_VALUE"""),58.0)</f>
        <v>58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 t="str">
        <f>IFERROR(__xludf.DUMMYFUNCTION("""COMPUTED_VALUE"""),"D")</f>
        <v>D</v>
      </c>
      <c r="E1106" s="1">
        <f>IFERROR(__xludf.DUMMYFUNCTION("""COMPUTED_VALUE"""),77.0)</f>
        <v>77</v>
      </c>
      <c r="F1106" s="1">
        <f>IFERROR(__xludf.DUMMYFUNCTION("""COMPUTED_VALUE"""),39.0)</f>
        <v>39</v>
      </c>
      <c r="G1106" s="1">
        <f>IFERROR(__xludf.DUMMYFUNCTION("""COMPUTED_VALUE"""),54.0)</f>
        <v>54</v>
      </c>
      <c r="H1106" s="1">
        <f>IFERROR(__xludf.DUMMYFUNCTION("""COMPUTED_VALUE"""),89.0)</f>
        <v>89</v>
      </c>
      <c r="I1106" s="1">
        <f>IFERROR(__xludf.DUMMYFUNCTION("""COMPUTED_VALUE"""),86.0)</f>
        <v>86</v>
      </c>
      <c r="J1106" s="1">
        <f>IFERROR(__xludf.DUMMYFUNCTION("""COMPUTED_VALUE"""),35.0)</f>
        <v>35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 t="str">
        <f>IFERROR(__xludf.DUMMYFUNCTION("""COMPUTED_VALUE"""),"C")</f>
        <v>C</v>
      </c>
      <c r="E1107" s="1">
        <f>IFERROR(__xludf.DUMMYFUNCTION("""COMPUTED_VALUE"""),45.0)</f>
        <v>45</v>
      </c>
      <c r="F1107" s="1">
        <f>IFERROR(__xludf.DUMMYFUNCTION("""COMPUTED_VALUE"""),50.0)</f>
        <v>50</v>
      </c>
      <c r="G1107" s="1">
        <f>IFERROR(__xludf.DUMMYFUNCTION("""COMPUTED_VALUE"""),58.0)</f>
        <v>58</v>
      </c>
      <c r="H1107" s="1">
        <f>IFERROR(__xludf.DUMMYFUNCTION("""COMPUTED_VALUE"""),32.0)</f>
        <v>32</v>
      </c>
      <c r="I1107" s="1">
        <f>IFERROR(__xludf.DUMMYFUNCTION("""COMPUTED_VALUE"""),86.0)</f>
        <v>86</v>
      </c>
      <c r="J1107" s="1">
        <f>IFERROR(__xludf.DUMMYFUNCTION("""COMPUTED_VALUE"""),90.0)</f>
        <v>90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 t="str">
        <f>IFERROR(__xludf.DUMMYFUNCTION("""COMPUTED_VALUE"""),"C")</f>
        <v>C</v>
      </c>
      <c r="E1108" s="1">
        <f>IFERROR(__xludf.DUMMYFUNCTION("""COMPUTED_VALUE"""),98.0)</f>
        <v>98</v>
      </c>
      <c r="F1108" s="1">
        <f>IFERROR(__xludf.DUMMYFUNCTION("""COMPUTED_VALUE"""),73.0)</f>
        <v>73</v>
      </c>
      <c r="G1108" s="1">
        <f>IFERROR(__xludf.DUMMYFUNCTION("""COMPUTED_VALUE"""),30.0)</f>
        <v>30</v>
      </c>
      <c r="H1108" s="1">
        <f>IFERROR(__xludf.DUMMYFUNCTION("""COMPUTED_VALUE"""),49.0)</f>
        <v>49</v>
      </c>
      <c r="I1108" s="1">
        <f>IFERROR(__xludf.DUMMYFUNCTION("""COMPUTED_VALUE"""),76.0)</f>
        <v>76</v>
      </c>
      <c r="J1108" s="1">
        <f>IFERROR(__xludf.DUMMYFUNCTION("""COMPUTED_VALUE"""),25.0)</f>
        <v>25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 t="str">
        <f>IFERROR(__xludf.DUMMYFUNCTION("""COMPUTED_VALUE"""),"A")</f>
        <v>A</v>
      </c>
      <c r="E1109" s="1">
        <f>IFERROR(__xludf.DUMMYFUNCTION("""COMPUTED_VALUE"""),48.0)</f>
        <v>48</v>
      </c>
      <c r="F1109" s="1">
        <f>IFERROR(__xludf.DUMMYFUNCTION("""COMPUTED_VALUE"""),99.0)</f>
        <v>99</v>
      </c>
      <c r="G1109" s="1">
        <f>IFERROR(__xludf.DUMMYFUNCTION("""COMPUTED_VALUE"""),24.0)</f>
        <v>24</v>
      </c>
      <c r="H1109" s="1">
        <f>IFERROR(__xludf.DUMMYFUNCTION("""COMPUTED_VALUE"""),61.0)</f>
        <v>61</v>
      </c>
      <c r="I1109" s="1">
        <f>IFERROR(__xludf.DUMMYFUNCTION("""COMPUTED_VALUE"""),65.0)</f>
        <v>65</v>
      </c>
      <c r="J1109" s="1">
        <f>IFERROR(__xludf.DUMMYFUNCTION("""COMPUTED_VALUE"""),97.0)</f>
        <v>97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 t="str">
        <f>IFERROR(__xludf.DUMMYFUNCTION("""COMPUTED_VALUE"""),"A")</f>
        <v>A</v>
      </c>
      <c r="E1110" s="1">
        <f>IFERROR(__xludf.DUMMYFUNCTION("""COMPUTED_VALUE"""),17.0)</f>
        <v>17</v>
      </c>
      <c r="F1110" s="1">
        <f>IFERROR(__xludf.DUMMYFUNCTION("""COMPUTED_VALUE"""),31.0)</f>
        <v>31</v>
      </c>
      <c r="G1110" s="1">
        <f>IFERROR(__xludf.DUMMYFUNCTION("""COMPUTED_VALUE"""),78.0)</f>
        <v>78</v>
      </c>
      <c r="H1110" s="1">
        <f>IFERROR(__xludf.DUMMYFUNCTION("""COMPUTED_VALUE"""),50.0)</f>
        <v>50</v>
      </c>
      <c r="I1110" s="1">
        <f>IFERROR(__xludf.DUMMYFUNCTION("""COMPUTED_VALUE"""),78.0)</f>
        <v>78</v>
      </c>
      <c r="J1110" s="1">
        <f>IFERROR(__xludf.DUMMYFUNCTION("""COMPUTED_VALUE"""),67.0)</f>
        <v>67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 t="str">
        <f>IFERROR(__xludf.DUMMYFUNCTION("""COMPUTED_VALUE"""),"A")</f>
        <v>A</v>
      </c>
      <c r="E1111" s="1">
        <f>IFERROR(__xludf.DUMMYFUNCTION("""COMPUTED_VALUE"""),77.0)</f>
        <v>77</v>
      </c>
      <c r="F1111" s="1">
        <f>IFERROR(__xludf.DUMMYFUNCTION("""COMPUTED_VALUE"""),21.0)</f>
        <v>21</v>
      </c>
      <c r="G1111" s="1">
        <f>IFERROR(__xludf.DUMMYFUNCTION("""COMPUTED_VALUE"""),20.0)</f>
        <v>20</v>
      </c>
      <c r="H1111" s="1">
        <f>IFERROR(__xludf.DUMMYFUNCTION("""COMPUTED_VALUE"""),68.0)</f>
        <v>68</v>
      </c>
      <c r="I1111" s="1">
        <f>IFERROR(__xludf.DUMMYFUNCTION("""COMPUTED_VALUE"""),46.0)</f>
        <v>46</v>
      </c>
      <c r="J1111" s="1">
        <f>IFERROR(__xludf.DUMMYFUNCTION("""COMPUTED_VALUE"""),78.0)</f>
        <v>78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 t="str">
        <f>IFERROR(__xludf.DUMMYFUNCTION("""COMPUTED_VALUE"""),"B")</f>
        <v>B</v>
      </c>
      <c r="E1112" s="1">
        <f>IFERROR(__xludf.DUMMYFUNCTION("""COMPUTED_VALUE"""),88.0)</f>
        <v>88</v>
      </c>
      <c r="F1112" s="1">
        <f>IFERROR(__xludf.DUMMYFUNCTION("""COMPUTED_VALUE"""),62.0)</f>
        <v>62</v>
      </c>
      <c r="G1112" s="1">
        <f>IFERROR(__xludf.DUMMYFUNCTION("""COMPUTED_VALUE"""),86.0)</f>
        <v>86</v>
      </c>
      <c r="H1112" s="1">
        <f>IFERROR(__xludf.DUMMYFUNCTION("""COMPUTED_VALUE"""),32.0)</f>
        <v>32</v>
      </c>
      <c r="I1112" s="1">
        <f>IFERROR(__xludf.DUMMYFUNCTION("""COMPUTED_VALUE"""),86.0)</f>
        <v>86</v>
      </c>
      <c r="J1112" s="1">
        <f>IFERROR(__xludf.DUMMYFUNCTION("""COMPUTED_VALUE"""),49.0)</f>
        <v>49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 t="str">
        <f>IFERROR(__xludf.DUMMYFUNCTION("""COMPUTED_VALUE"""),"D")</f>
        <v>D</v>
      </c>
      <c r="E1113" s="1">
        <f>IFERROR(__xludf.DUMMYFUNCTION("""COMPUTED_VALUE"""),28.0)</f>
        <v>28</v>
      </c>
      <c r="F1113" s="1">
        <f>IFERROR(__xludf.DUMMYFUNCTION("""COMPUTED_VALUE"""),72.0)</f>
        <v>72</v>
      </c>
      <c r="G1113" s="1">
        <f>IFERROR(__xludf.DUMMYFUNCTION("""COMPUTED_VALUE"""),88.0)</f>
        <v>88</v>
      </c>
      <c r="H1113" s="1">
        <f>IFERROR(__xludf.DUMMYFUNCTION("""COMPUTED_VALUE"""),54.0)</f>
        <v>54</v>
      </c>
      <c r="I1113" s="1">
        <f>IFERROR(__xludf.DUMMYFUNCTION("""COMPUTED_VALUE"""),79.0)</f>
        <v>79</v>
      </c>
      <c r="J1113" s="1">
        <f>IFERROR(__xludf.DUMMYFUNCTION("""COMPUTED_VALUE"""),70.0)</f>
        <v>70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 t="str">
        <f>IFERROR(__xludf.DUMMYFUNCTION("""COMPUTED_VALUE"""),"A")</f>
        <v>A</v>
      </c>
      <c r="E1114" s="1">
        <f>IFERROR(__xludf.DUMMYFUNCTION("""COMPUTED_VALUE"""),72.0)</f>
        <v>72</v>
      </c>
      <c r="F1114" s="1">
        <f>IFERROR(__xludf.DUMMYFUNCTION("""COMPUTED_VALUE"""),51.0)</f>
        <v>51</v>
      </c>
      <c r="G1114" s="1">
        <f>IFERROR(__xludf.DUMMYFUNCTION("""COMPUTED_VALUE"""),68.0)</f>
        <v>68</v>
      </c>
      <c r="H1114" s="1">
        <f>IFERROR(__xludf.DUMMYFUNCTION("""COMPUTED_VALUE"""),82.0)</f>
        <v>82</v>
      </c>
      <c r="I1114" s="1">
        <f>IFERROR(__xludf.DUMMYFUNCTION("""COMPUTED_VALUE"""),82.0)</f>
        <v>82</v>
      </c>
      <c r="J1114" s="1">
        <f>IFERROR(__xludf.DUMMYFUNCTION("""COMPUTED_VALUE"""),39.0)</f>
        <v>39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 t="str">
        <f>IFERROR(__xludf.DUMMYFUNCTION("""COMPUTED_VALUE"""),"A")</f>
        <v>A</v>
      </c>
      <c r="E1115" s="1">
        <f>IFERROR(__xludf.DUMMYFUNCTION("""COMPUTED_VALUE"""),77.0)</f>
        <v>77</v>
      </c>
      <c r="F1115" s="1">
        <f>IFERROR(__xludf.DUMMYFUNCTION("""COMPUTED_VALUE"""),35.0)</f>
        <v>35</v>
      </c>
      <c r="G1115" s="1">
        <f>IFERROR(__xludf.DUMMYFUNCTION("""COMPUTED_VALUE"""),85.0)</f>
        <v>85</v>
      </c>
      <c r="H1115" s="1">
        <f>IFERROR(__xludf.DUMMYFUNCTION("""COMPUTED_VALUE"""),65.0)</f>
        <v>65</v>
      </c>
      <c r="I1115" s="1">
        <f>IFERROR(__xludf.DUMMYFUNCTION("""COMPUTED_VALUE"""),22.0)</f>
        <v>22</v>
      </c>
      <c r="J1115" s="1">
        <f>IFERROR(__xludf.DUMMYFUNCTION("""COMPUTED_VALUE"""),31.0)</f>
        <v>31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 t="str">
        <f>IFERROR(__xludf.DUMMYFUNCTION("""COMPUTED_VALUE"""),"B")</f>
        <v>B</v>
      </c>
      <c r="E1116" s="1">
        <f>IFERROR(__xludf.DUMMYFUNCTION("""COMPUTED_VALUE"""),66.0)</f>
        <v>66</v>
      </c>
      <c r="F1116" s="1">
        <f>IFERROR(__xludf.DUMMYFUNCTION("""COMPUTED_VALUE"""),51.0)</f>
        <v>51</v>
      </c>
      <c r="G1116" s="1">
        <f>IFERROR(__xludf.DUMMYFUNCTION("""COMPUTED_VALUE"""),58.0)</f>
        <v>58</v>
      </c>
      <c r="H1116" s="1">
        <f>IFERROR(__xludf.DUMMYFUNCTION("""COMPUTED_VALUE"""),95.0)</f>
        <v>95</v>
      </c>
      <c r="I1116" s="1">
        <f>IFERROR(__xludf.DUMMYFUNCTION("""COMPUTED_VALUE"""),45.0)</f>
        <v>45</v>
      </c>
      <c r="J1116" s="1">
        <f>IFERROR(__xludf.DUMMYFUNCTION("""COMPUTED_VALUE"""),81.0)</f>
        <v>81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 t="str">
        <f>IFERROR(__xludf.DUMMYFUNCTION("""COMPUTED_VALUE"""),"A")</f>
        <v>A</v>
      </c>
      <c r="E1117" s="1">
        <f>IFERROR(__xludf.DUMMYFUNCTION("""COMPUTED_VALUE"""),11.0)</f>
        <v>11</v>
      </c>
      <c r="F1117" s="1">
        <f>IFERROR(__xludf.DUMMYFUNCTION("""COMPUTED_VALUE"""),69.0)</f>
        <v>69</v>
      </c>
      <c r="G1117" s="1">
        <f>IFERROR(__xludf.DUMMYFUNCTION("""COMPUTED_VALUE"""),20.0)</f>
        <v>20</v>
      </c>
      <c r="H1117" s="1">
        <f>IFERROR(__xludf.DUMMYFUNCTION("""COMPUTED_VALUE"""),66.0)</f>
        <v>66</v>
      </c>
      <c r="I1117" s="1">
        <f>IFERROR(__xludf.DUMMYFUNCTION("""COMPUTED_VALUE"""),76.0)</f>
        <v>76</v>
      </c>
      <c r="J1117" s="1">
        <f>IFERROR(__xludf.DUMMYFUNCTION("""COMPUTED_VALUE"""),83.0)</f>
        <v>83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 t="str">
        <f>IFERROR(__xludf.DUMMYFUNCTION("""COMPUTED_VALUE"""),"A")</f>
        <v>A</v>
      </c>
      <c r="E1118" s="1">
        <f>IFERROR(__xludf.DUMMYFUNCTION("""COMPUTED_VALUE"""),70.0)</f>
        <v>70</v>
      </c>
      <c r="F1118" s="1">
        <f>IFERROR(__xludf.DUMMYFUNCTION("""COMPUTED_VALUE"""),90.0)</f>
        <v>90</v>
      </c>
      <c r="G1118" s="1">
        <f>IFERROR(__xludf.DUMMYFUNCTION("""COMPUTED_VALUE"""),32.0)</f>
        <v>32</v>
      </c>
      <c r="H1118" s="1">
        <f>IFERROR(__xludf.DUMMYFUNCTION("""COMPUTED_VALUE"""),30.0)</f>
        <v>30</v>
      </c>
      <c r="I1118" s="1">
        <f>IFERROR(__xludf.DUMMYFUNCTION("""COMPUTED_VALUE"""),61.0)</f>
        <v>61</v>
      </c>
      <c r="J1118" s="1">
        <f>IFERROR(__xludf.DUMMYFUNCTION("""COMPUTED_VALUE"""),49.0)</f>
        <v>49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 t="str">
        <f>IFERROR(__xludf.DUMMYFUNCTION("""COMPUTED_VALUE"""),"B")</f>
        <v>B</v>
      </c>
      <c r="E1119" s="1">
        <f>IFERROR(__xludf.DUMMYFUNCTION("""COMPUTED_VALUE"""),77.0)</f>
        <v>77</v>
      </c>
      <c r="F1119" s="1">
        <f>IFERROR(__xludf.DUMMYFUNCTION("""COMPUTED_VALUE"""),86.0)</f>
        <v>86</v>
      </c>
      <c r="G1119" s="1">
        <f>IFERROR(__xludf.DUMMYFUNCTION("""COMPUTED_VALUE"""),56.0)</f>
        <v>56</v>
      </c>
      <c r="H1119" s="1">
        <f>IFERROR(__xludf.DUMMYFUNCTION("""COMPUTED_VALUE"""),32.0)</f>
        <v>32</v>
      </c>
      <c r="I1119" s="1">
        <f>IFERROR(__xludf.DUMMYFUNCTION("""COMPUTED_VALUE"""),26.0)</f>
        <v>26</v>
      </c>
      <c r="J1119" s="1">
        <f>IFERROR(__xludf.DUMMYFUNCTION("""COMPUTED_VALUE"""),87.0)</f>
        <v>87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 t="str">
        <f>IFERROR(__xludf.DUMMYFUNCTION("""COMPUTED_VALUE"""),"B")</f>
        <v>B</v>
      </c>
      <c r="E1120" s="1">
        <f>IFERROR(__xludf.DUMMYFUNCTION("""COMPUTED_VALUE"""),50.0)</f>
        <v>50</v>
      </c>
      <c r="F1120" s="1">
        <f>IFERROR(__xludf.DUMMYFUNCTION("""COMPUTED_VALUE"""),64.0)</f>
        <v>64</v>
      </c>
      <c r="G1120" s="1">
        <f>IFERROR(__xludf.DUMMYFUNCTION("""COMPUTED_VALUE"""),73.0)</f>
        <v>73</v>
      </c>
      <c r="H1120" s="1">
        <f>IFERROR(__xludf.DUMMYFUNCTION("""COMPUTED_VALUE"""),49.0)</f>
        <v>49</v>
      </c>
      <c r="I1120" s="1">
        <f>IFERROR(__xludf.DUMMYFUNCTION("""COMPUTED_VALUE"""),68.0)</f>
        <v>68</v>
      </c>
      <c r="J1120" s="1">
        <f>IFERROR(__xludf.DUMMYFUNCTION("""COMPUTED_VALUE"""),30.0)</f>
        <v>30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 t="str">
        <f>IFERROR(__xludf.DUMMYFUNCTION("""COMPUTED_VALUE"""),"D")</f>
        <v>D</v>
      </c>
      <c r="E1121" s="1">
        <f>IFERROR(__xludf.DUMMYFUNCTION("""COMPUTED_VALUE"""),80.0)</f>
        <v>80</v>
      </c>
      <c r="F1121" s="1">
        <f>IFERROR(__xludf.DUMMYFUNCTION("""COMPUTED_VALUE"""),69.0)</f>
        <v>69</v>
      </c>
      <c r="G1121" s="1">
        <f>IFERROR(__xludf.DUMMYFUNCTION("""COMPUTED_VALUE"""),74.0)</f>
        <v>74</v>
      </c>
      <c r="H1121" s="1">
        <f>IFERROR(__xludf.DUMMYFUNCTION("""COMPUTED_VALUE"""),76.0)</f>
        <v>76</v>
      </c>
      <c r="I1121" s="1">
        <f>IFERROR(__xludf.DUMMYFUNCTION("""COMPUTED_VALUE"""),30.0)</f>
        <v>30</v>
      </c>
      <c r="J1121" s="1">
        <f>IFERROR(__xludf.DUMMYFUNCTION("""COMPUTED_VALUE"""),76.0)</f>
        <v>76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 t="str">
        <f>IFERROR(__xludf.DUMMYFUNCTION("""COMPUTED_VALUE"""),"D")</f>
        <v>D</v>
      </c>
      <c r="E1122" s="1">
        <f>IFERROR(__xludf.DUMMYFUNCTION("""COMPUTED_VALUE"""),14.0)</f>
        <v>14</v>
      </c>
      <c r="F1122" s="1">
        <f>IFERROR(__xludf.DUMMYFUNCTION("""COMPUTED_VALUE"""),44.0)</f>
        <v>44</v>
      </c>
      <c r="G1122" s="1">
        <f>IFERROR(__xludf.DUMMYFUNCTION("""COMPUTED_VALUE"""),54.0)</f>
        <v>54</v>
      </c>
      <c r="H1122" s="1">
        <f>IFERROR(__xludf.DUMMYFUNCTION("""COMPUTED_VALUE"""),76.0)</f>
        <v>76</v>
      </c>
      <c r="I1122" s="1">
        <f>IFERROR(__xludf.DUMMYFUNCTION("""COMPUTED_VALUE"""),48.0)</f>
        <v>48</v>
      </c>
      <c r="J1122" s="1">
        <f>IFERROR(__xludf.DUMMYFUNCTION("""COMPUTED_VALUE"""),95.0)</f>
        <v>95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 t="str">
        <f>IFERROR(__xludf.DUMMYFUNCTION("""COMPUTED_VALUE"""),"D")</f>
        <v>D</v>
      </c>
      <c r="E1123" s="1">
        <f>IFERROR(__xludf.DUMMYFUNCTION("""COMPUTED_VALUE"""),100.0)</f>
        <v>100</v>
      </c>
      <c r="F1123" s="1">
        <f>IFERROR(__xludf.DUMMYFUNCTION("""COMPUTED_VALUE"""),77.0)</f>
        <v>77</v>
      </c>
      <c r="G1123" s="1">
        <f>IFERROR(__xludf.DUMMYFUNCTION("""COMPUTED_VALUE"""),63.0)</f>
        <v>63</v>
      </c>
      <c r="H1123" s="1">
        <f>IFERROR(__xludf.DUMMYFUNCTION("""COMPUTED_VALUE"""),63.0)</f>
        <v>63</v>
      </c>
      <c r="I1123" s="1">
        <f>IFERROR(__xludf.DUMMYFUNCTION("""COMPUTED_VALUE"""),80.0)</f>
        <v>80</v>
      </c>
      <c r="J1123" s="1">
        <f>IFERROR(__xludf.DUMMYFUNCTION("""COMPUTED_VALUE"""),55.0)</f>
        <v>55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 t="str">
        <f>IFERROR(__xludf.DUMMYFUNCTION("""COMPUTED_VALUE"""),"B")</f>
        <v>B</v>
      </c>
      <c r="E1124" s="1">
        <f>IFERROR(__xludf.DUMMYFUNCTION("""COMPUTED_VALUE"""),99.0)</f>
        <v>99</v>
      </c>
      <c r="F1124" s="1">
        <f>IFERROR(__xludf.DUMMYFUNCTION("""COMPUTED_VALUE"""),49.0)</f>
        <v>49</v>
      </c>
      <c r="G1124" s="1">
        <f>IFERROR(__xludf.DUMMYFUNCTION("""COMPUTED_VALUE"""),51.0)</f>
        <v>51</v>
      </c>
      <c r="H1124" s="1">
        <f>IFERROR(__xludf.DUMMYFUNCTION("""COMPUTED_VALUE"""),95.0)</f>
        <v>95</v>
      </c>
      <c r="I1124" s="1">
        <f>IFERROR(__xludf.DUMMYFUNCTION("""COMPUTED_VALUE"""),37.0)</f>
        <v>37</v>
      </c>
      <c r="J1124" s="1">
        <f>IFERROR(__xludf.DUMMYFUNCTION("""COMPUTED_VALUE"""),58.0)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 t="str">
        <f>IFERROR(__xludf.DUMMYFUNCTION("""COMPUTED_VALUE"""),"D")</f>
        <v>D</v>
      </c>
      <c r="E1125" s="1">
        <f>IFERROR(__xludf.DUMMYFUNCTION("""COMPUTED_VALUE"""),77.0)</f>
        <v>77</v>
      </c>
      <c r="F1125" s="1">
        <f>IFERROR(__xludf.DUMMYFUNCTION("""COMPUTED_VALUE"""),54.0)</f>
        <v>54</v>
      </c>
      <c r="G1125" s="1">
        <f>IFERROR(__xludf.DUMMYFUNCTION("""COMPUTED_VALUE"""),67.0)</f>
        <v>67</v>
      </c>
      <c r="H1125" s="1">
        <f>IFERROR(__xludf.DUMMYFUNCTION("""COMPUTED_VALUE"""),82.0)</f>
        <v>82</v>
      </c>
      <c r="I1125" s="1">
        <f>IFERROR(__xludf.DUMMYFUNCTION("""COMPUTED_VALUE"""),94.0)</f>
        <v>94</v>
      </c>
      <c r="J1125" s="1">
        <f>IFERROR(__xludf.DUMMYFUNCTION("""COMPUTED_VALUE"""),90.0)</f>
        <v>90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 t="str">
        <f>IFERROR(__xludf.DUMMYFUNCTION("""COMPUTED_VALUE"""),"C")</f>
        <v>C</v>
      </c>
      <c r="E1126" s="1">
        <f>IFERROR(__xludf.DUMMYFUNCTION("""COMPUTED_VALUE"""),12.0)</f>
        <v>12</v>
      </c>
      <c r="F1126" s="1">
        <f>IFERROR(__xludf.DUMMYFUNCTION("""COMPUTED_VALUE"""),86.0)</f>
        <v>86</v>
      </c>
      <c r="G1126" s="1">
        <f>IFERROR(__xludf.DUMMYFUNCTION("""COMPUTED_VALUE"""),70.0)</f>
        <v>70</v>
      </c>
      <c r="H1126" s="1">
        <f>IFERROR(__xludf.DUMMYFUNCTION("""COMPUTED_VALUE"""),73.0)</f>
        <v>73</v>
      </c>
      <c r="I1126" s="1">
        <f>IFERROR(__xludf.DUMMYFUNCTION("""COMPUTED_VALUE"""),36.0)</f>
        <v>36</v>
      </c>
      <c r="J1126" s="1">
        <f>IFERROR(__xludf.DUMMYFUNCTION("""COMPUTED_VALUE"""),30.0)</f>
        <v>30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 t="str">
        <f>IFERROR(__xludf.DUMMYFUNCTION("""COMPUTED_VALUE"""),"A")</f>
        <v>A</v>
      </c>
      <c r="E1127" s="1">
        <f>IFERROR(__xludf.DUMMYFUNCTION("""COMPUTED_VALUE"""),75.0)</f>
        <v>75</v>
      </c>
      <c r="F1127" s="1">
        <f>IFERROR(__xludf.DUMMYFUNCTION("""COMPUTED_VALUE"""),95.0)</f>
        <v>95</v>
      </c>
      <c r="G1127" s="1">
        <f>IFERROR(__xludf.DUMMYFUNCTION("""COMPUTED_VALUE"""),28.0)</f>
        <v>28</v>
      </c>
      <c r="H1127" s="1">
        <f>IFERROR(__xludf.DUMMYFUNCTION("""COMPUTED_VALUE"""),95.0)</f>
        <v>95</v>
      </c>
      <c r="I1127" s="1">
        <f>IFERROR(__xludf.DUMMYFUNCTION("""COMPUTED_VALUE"""),65.0)</f>
        <v>65</v>
      </c>
      <c r="J1127" s="1">
        <f>IFERROR(__xludf.DUMMYFUNCTION("""COMPUTED_VALUE"""),26.0)</f>
        <v>26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 t="str">
        <f>IFERROR(__xludf.DUMMYFUNCTION("""COMPUTED_VALUE"""),"A")</f>
        <v>A</v>
      </c>
      <c r="E1128" s="1">
        <f>IFERROR(__xludf.DUMMYFUNCTION("""COMPUTED_VALUE"""),21.0)</f>
        <v>21</v>
      </c>
      <c r="F1128" s="1">
        <f>IFERROR(__xludf.DUMMYFUNCTION("""COMPUTED_VALUE"""),62.0)</f>
        <v>62</v>
      </c>
      <c r="G1128" s="1">
        <f>IFERROR(__xludf.DUMMYFUNCTION("""COMPUTED_VALUE"""),51.0)</f>
        <v>51</v>
      </c>
      <c r="H1128" s="1">
        <f>IFERROR(__xludf.DUMMYFUNCTION("""COMPUTED_VALUE"""),84.0)</f>
        <v>84</v>
      </c>
      <c r="I1128" s="1">
        <f>IFERROR(__xludf.DUMMYFUNCTION("""COMPUTED_VALUE"""),63.0)</f>
        <v>63</v>
      </c>
      <c r="J1128" s="1">
        <f>IFERROR(__xludf.DUMMYFUNCTION("""COMPUTED_VALUE"""),78.0)</f>
        <v>78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 t="str">
        <f>IFERROR(__xludf.DUMMYFUNCTION("""COMPUTED_VALUE"""),"A")</f>
        <v>A</v>
      </c>
      <c r="E1129" s="1">
        <f>IFERROR(__xludf.DUMMYFUNCTION("""COMPUTED_VALUE"""),80.0)</f>
        <v>80</v>
      </c>
      <c r="F1129" s="1">
        <f>IFERROR(__xludf.DUMMYFUNCTION("""COMPUTED_VALUE"""),23.0)</f>
        <v>23</v>
      </c>
      <c r="G1129" s="1">
        <f>IFERROR(__xludf.DUMMYFUNCTION("""COMPUTED_VALUE"""),80.0)</f>
        <v>80</v>
      </c>
      <c r="H1129" s="1">
        <f>IFERROR(__xludf.DUMMYFUNCTION("""COMPUTED_VALUE"""),72.0)</f>
        <v>72</v>
      </c>
      <c r="I1129" s="1">
        <f>IFERROR(__xludf.DUMMYFUNCTION("""COMPUTED_VALUE"""),26.0)</f>
        <v>26</v>
      </c>
      <c r="J1129" s="1">
        <f>IFERROR(__xludf.DUMMYFUNCTION("""COMPUTED_VALUE"""),82.0)</f>
        <v>82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 t="str">
        <f>IFERROR(__xludf.DUMMYFUNCTION("""COMPUTED_VALUE"""),"C")</f>
        <v>C</v>
      </c>
      <c r="E1130" s="1">
        <f>IFERROR(__xludf.DUMMYFUNCTION("""COMPUTED_VALUE"""),54.0)</f>
        <v>54</v>
      </c>
      <c r="F1130" s="1">
        <f>IFERROR(__xludf.DUMMYFUNCTION("""COMPUTED_VALUE"""),58.0)</f>
        <v>58</v>
      </c>
      <c r="G1130" s="1">
        <f>IFERROR(__xludf.DUMMYFUNCTION("""COMPUTED_VALUE"""),68.0)</f>
        <v>68</v>
      </c>
      <c r="H1130" s="1">
        <f>IFERROR(__xludf.DUMMYFUNCTION("""COMPUTED_VALUE"""),87.0)</f>
        <v>87</v>
      </c>
      <c r="I1130" s="1">
        <f>IFERROR(__xludf.DUMMYFUNCTION("""COMPUTED_VALUE"""),74.0)</f>
        <v>74</v>
      </c>
      <c r="J1130" s="1">
        <f>IFERROR(__xludf.DUMMYFUNCTION("""COMPUTED_VALUE"""),50.0)</f>
        <v>50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 t="str">
        <f>IFERROR(__xludf.DUMMYFUNCTION("""COMPUTED_VALUE"""),"C")</f>
        <v>C</v>
      </c>
      <c r="E1131" s="1">
        <f>IFERROR(__xludf.DUMMYFUNCTION("""COMPUTED_VALUE"""),23.0)</f>
        <v>23</v>
      </c>
      <c r="F1131" s="1">
        <f>IFERROR(__xludf.DUMMYFUNCTION("""COMPUTED_VALUE"""),67.0)</f>
        <v>67</v>
      </c>
      <c r="G1131" s="1">
        <f>IFERROR(__xludf.DUMMYFUNCTION("""COMPUTED_VALUE"""),25.0)</f>
        <v>25</v>
      </c>
      <c r="H1131" s="1">
        <f>IFERROR(__xludf.DUMMYFUNCTION("""COMPUTED_VALUE"""),94.0)</f>
        <v>94</v>
      </c>
      <c r="I1131" s="1">
        <f>IFERROR(__xludf.DUMMYFUNCTION("""COMPUTED_VALUE"""),23.0)</f>
        <v>23</v>
      </c>
      <c r="J1131" s="1">
        <f>IFERROR(__xludf.DUMMYFUNCTION("""COMPUTED_VALUE"""),72.0)</f>
        <v>72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 t="str">
        <f>IFERROR(__xludf.DUMMYFUNCTION("""COMPUTED_VALUE"""),"A")</f>
        <v>A</v>
      </c>
      <c r="E1132" s="1">
        <f>IFERROR(__xludf.DUMMYFUNCTION("""COMPUTED_VALUE"""),84.0)</f>
        <v>84</v>
      </c>
      <c r="F1132" s="1">
        <f>IFERROR(__xludf.DUMMYFUNCTION("""COMPUTED_VALUE"""),33.0)</f>
        <v>33</v>
      </c>
      <c r="G1132" s="1">
        <f>IFERROR(__xludf.DUMMYFUNCTION("""COMPUTED_VALUE"""),45.0)</f>
        <v>45</v>
      </c>
      <c r="H1132" s="1">
        <f>IFERROR(__xludf.DUMMYFUNCTION("""COMPUTED_VALUE"""),71.0)</f>
        <v>71</v>
      </c>
      <c r="I1132" s="1">
        <f>IFERROR(__xludf.DUMMYFUNCTION("""COMPUTED_VALUE"""),43.0)</f>
        <v>43</v>
      </c>
      <c r="J1132" s="1">
        <f>IFERROR(__xludf.DUMMYFUNCTION("""COMPUTED_VALUE"""),94.0)</f>
        <v>94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 t="str">
        <f>IFERROR(__xludf.DUMMYFUNCTION("""COMPUTED_VALUE"""),"C")</f>
        <v>C</v>
      </c>
      <c r="E1133" s="1">
        <f>IFERROR(__xludf.DUMMYFUNCTION("""COMPUTED_VALUE"""),77.0)</f>
        <v>77</v>
      </c>
      <c r="F1133" s="1">
        <f>IFERROR(__xludf.DUMMYFUNCTION("""COMPUTED_VALUE"""),97.0)</f>
        <v>97</v>
      </c>
      <c r="G1133" s="1">
        <f>IFERROR(__xludf.DUMMYFUNCTION("""COMPUTED_VALUE"""),99.0)</f>
        <v>99</v>
      </c>
      <c r="H1133" s="1">
        <f>IFERROR(__xludf.DUMMYFUNCTION("""COMPUTED_VALUE"""),75.0)</f>
        <v>75</v>
      </c>
      <c r="I1133" s="1">
        <f>IFERROR(__xludf.DUMMYFUNCTION("""COMPUTED_VALUE"""),90.0)</f>
        <v>90</v>
      </c>
      <c r="J1133" s="1">
        <f>IFERROR(__xludf.DUMMYFUNCTION("""COMPUTED_VALUE"""),60.0)</f>
        <v>60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 t="str">
        <f>IFERROR(__xludf.DUMMYFUNCTION("""COMPUTED_VALUE"""),"A")</f>
        <v>A</v>
      </c>
      <c r="E1134" s="1">
        <f>IFERROR(__xludf.DUMMYFUNCTION("""COMPUTED_VALUE"""),33.0)</f>
        <v>33</v>
      </c>
      <c r="F1134" s="1">
        <f>IFERROR(__xludf.DUMMYFUNCTION("""COMPUTED_VALUE"""),22.0)</f>
        <v>22</v>
      </c>
      <c r="G1134" s="1">
        <f>IFERROR(__xludf.DUMMYFUNCTION("""COMPUTED_VALUE"""),68.0)</f>
        <v>68</v>
      </c>
      <c r="H1134" s="1">
        <f>IFERROR(__xludf.DUMMYFUNCTION("""COMPUTED_VALUE"""),26.0)</f>
        <v>26</v>
      </c>
      <c r="I1134" s="1">
        <f>IFERROR(__xludf.DUMMYFUNCTION("""COMPUTED_VALUE"""),52.0)</f>
        <v>52</v>
      </c>
      <c r="J1134" s="1">
        <f>IFERROR(__xludf.DUMMYFUNCTION("""COMPUTED_VALUE"""),25.0)</f>
        <v>25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 t="str">
        <f>IFERROR(__xludf.DUMMYFUNCTION("""COMPUTED_VALUE"""),"A")</f>
        <v>A</v>
      </c>
      <c r="E1135" s="1">
        <f>IFERROR(__xludf.DUMMYFUNCTION("""COMPUTED_VALUE"""),63.0)</f>
        <v>63</v>
      </c>
      <c r="F1135" s="1">
        <f>IFERROR(__xludf.DUMMYFUNCTION("""COMPUTED_VALUE"""),29.0)</f>
        <v>29</v>
      </c>
      <c r="G1135" s="1">
        <f>IFERROR(__xludf.DUMMYFUNCTION("""COMPUTED_VALUE"""),42.0)</f>
        <v>42</v>
      </c>
      <c r="H1135" s="1">
        <f>IFERROR(__xludf.DUMMYFUNCTION("""COMPUTED_VALUE"""),74.0)</f>
        <v>74</v>
      </c>
      <c r="I1135" s="1">
        <f>IFERROR(__xludf.DUMMYFUNCTION("""COMPUTED_VALUE"""),35.0)</f>
        <v>35</v>
      </c>
      <c r="J1135" s="1">
        <f>IFERROR(__xludf.DUMMYFUNCTION("""COMPUTED_VALUE"""),53.0)</f>
        <v>53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 t="str">
        <f>IFERROR(__xludf.DUMMYFUNCTION("""COMPUTED_VALUE"""),"D")</f>
        <v>D</v>
      </c>
      <c r="E1136" s="1">
        <f>IFERROR(__xludf.DUMMYFUNCTION("""COMPUTED_VALUE"""),22.0)</f>
        <v>22</v>
      </c>
      <c r="F1136" s="1">
        <f>IFERROR(__xludf.DUMMYFUNCTION("""COMPUTED_VALUE"""),54.0)</f>
        <v>54</v>
      </c>
      <c r="G1136" s="1">
        <f>IFERROR(__xludf.DUMMYFUNCTION("""COMPUTED_VALUE"""),28.0)</f>
        <v>28</v>
      </c>
      <c r="H1136" s="1">
        <f>IFERROR(__xludf.DUMMYFUNCTION("""COMPUTED_VALUE"""),56.0)</f>
        <v>56</v>
      </c>
      <c r="I1136" s="1">
        <f>IFERROR(__xludf.DUMMYFUNCTION("""COMPUTED_VALUE"""),32.0)</f>
        <v>32</v>
      </c>
      <c r="J1136" s="1">
        <f>IFERROR(__xludf.DUMMYFUNCTION("""COMPUTED_VALUE"""),62.0)</f>
        <v>62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 t="str">
        <f>IFERROR(__xludf.DUMMYFUNCTION("""COMPUTED_VALUE"""),"A")</f>
        <v>A</v>
      </c>
      <c r="E1137" s="1">
        <f>IFERROR(__xludf.DUMMYFUNCTION("""COMPUTED_VALUE"""),32.0)</f>
        <v>32</v>
      </c>
      <c r="F1137" s="1">
        <f>IFERROR(__xludf.DUMMYFUNCTION("""COMPUTED_VALUE"""),55.0)</f>
        <v>55</v>
      </c>
      <c r="G1137" s="1">
        <f>IFERROR(__xludf.DUMMYFUNCTION("""COMPUTED_VALUE"""),75.0)</f>
        <v>75</v>
      </c>
      <c r="H1137" s="1">
        <f>IFERROR(__xludf.DUMMYFUNCTION("""COMPUTED_VALUE"""),86.0)</f>
        <v>86</v>
      </c>
      <c r="I1137" s="1">
        <f>IFERROR(__xludf.DUMMYFUNCTION("""COMPUTED_VALUE"""),90.0)</f>
        <v>90</v>
      </c>
      <c r="J1137" s="1">
        <f>IFERROR(__xludf.DUMMYFUNCTION("""COMPUTED_VALUE"""),42.0)</f>
        <v>42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 t="str">
        <f>IFERROR(__xludf.DUMMYFUNCTION("""COMPUTED_VALUE"""),"D")</f>
        <v>D</v>
      </c>
      <c r="E1138" s="1">
        <f>IFERROR(__xludf.DUMMYFUNCTION("""COMPUTED_VALUE"""),19.0)</f>
        <v>19</v>
      </c>
      <c r="F1138" s="1">
        <f>IFERROR(__xludf.DUMMYFUNCTION("""COMPUTED_VALUE"""),61.0)</f>
        <v>61</v>
      </c>
      <c r="G1138" s="1">
        <f>IFERROR(__xludf.DUMMYFUNCTION("""COMPUTED_VALUE"""),59.0)</f>
        <v>59</v>
      </c>
      <c r="H1138" s="1">
        <f>IFERROR(__xludf.DUMMYFUNCTION("""COMPUTED_VALUE"""),35.0)</f>
        <v>35</v>
      </c>
      <c r="I1138" s="1">
        <f>IFERROR(__xludf.DUMMYFUNCTION("""COMPUTED_VALUE"""),51.0)</f>
        <v>51</v>
      </c>
      <c r="J1138" s="1">
        <f>IFERROR(__xludf.DUMMYFUNCTION("""COMPUTED_VALUE"""),51.0)</f>
        <v>51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 t="str">
        <f>IFERROR(__xludf.DUMMYFUNCTION("""COMPUTED_VALUE"""),"B")</f>
        <v>B</v>
      </c>
      <c r="E1139" s="1">
        <f>IFERROR(__xludf.DUMMYFUNCTION("""COMPUTED_VALUE"""),47.0)</f>
        <v>47</v>
      </c>
      <c r="F1139" s="1">
        <f>IFERROR(__xludf.DUMMYFUNCTION("""COMPUTED_VALUE"""),24.0)</f>
        <v>24</v>
      </c>
      <c r="G1139" s="1">
        <f>IFERROR(__xludf.DUMMYFUNCTION("""COMPUTED_VALUE"""),64.0)</f>
        <v>64</v>
      </c>
      <c r="H1139" s="1">
        <f>IFERROR(__xludf.DUMMYFUNCTION("""COMPUTED_VALUE"""),74.0)</f>
        <v>74</v>
      </c>
      <c r="I1139" s="1">
        <f>IFERROR(__xludf.DUMMYFUNCTION("""COMPUTED_VALUE"""),72.0)</f>
        <v>72</v>
      </c>
      <c r="J1139" s="1">
        <f>IFERROR(__xludf.DUMMYFUNCTION("""COMPUTED_VALUE"""),51.0)</f>
        <v>51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 t="str">
        <f>IFERROR(__xludf.DUMMYFUNCTION("""COMPUTED_VALUE"""),"A")</f>
        <v>A</v>
      </c>
      <c r="E1140" s="1">
        <f>IFERROR(__xludf.DUMMYFUNCTION("""COMPUTED_VALUE"""),28.0)</f>
        <v>28</v>
      </c>
      <c r="F1140" s="1">
        <f>IFERROR(__xludf.DUMMYFUNCTION("""COMPUTED_VALUE"""),63.0)</f>
        <v>63</v>
      </c>
      <c r="G1140" s="1">
        <f>IFERROR(__xludf.DUMMYFUNCTION("""COMPUTED_VALUE"""),69.0)</f>
        <v>69</v>
      </c>
      <c r="H1140" s="1">
        <f>IFERROR(__xludf.DUMMYFUNCTION("""COMPUTED_VALUE"""),97.0)</f>
        <v>97</v>
      </c>
      <c r="I1140" s="1">
        <f>IFERROR(__xludf.DUMMYFUNCTION("""COMPUTED_VALUE"""),81.0)</f>
        <v>81</v>
      </c>
      <c r="J1140" s="1">
        <f>IFERROR(__xludf.DUMMYFUNCTION("""COMPUTED_VALUE"""),38.0)</f>
        <v>38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 t="str">
        <f>IFERROR(__xludf.DUMMYFUNCTION("""COMPUTED_VALUE"""),"D")</f>
        <v>D</v>
      </c>
      <c r="E1141" s="1">
        <f>IFERROR(__xludf.DUMMYFUNCTION("""COMPUTED_VALUE"""),63.0)</f>
        <v>63</v>
      </c>
      <c r="F1141" s="1">
        <f>IFERROR(__xludf.DUMMYFUNCTION("""COMPUTED_VALUE"""),92.0)</f>
        <v>92</v>
      </c>
      <c r="G1141" s="1">
        <f>IFERROR(__xludf.DUMMYFUNCTION("""COMPUTED_VALUE"""),56.0)</f>
        <v>56</v>
      </c>
      <c r="H1141" s="1">
        <f>IFERROR(__xludf.DUMMYFUNCTION("""COMPUTED_VALUE"""),37.0)</f>
        <v>37</v>
      </c>
      <c r="I1141" s="1">
        <f>IFERROR(__xludf.DUMMYFUNCTION("""COMPUTED_VALUE"""),62.0)</f>
        <v>62</v>
      </c>
      <c r="J1141" s="1">
        <f>IFERROR(__xludf.DUMMYFUNCTION("""COMPUTED_VALUE"""),44.0)</f>
        <v>44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 t="str">
        <f>IFERROR(__xludf.DUMMYFUNCTION("""COMPUTED_VALUE"""),"A")</f>
        <v>A</v>
      </c>
      <c r="E1142" s="1">
        <f>IFERROR(__xludf.DUMMYFUNCTION("""COMPUTED_VALUE"""),47.0)</f>
        <v>47</v>
      </c>
      <c r="F1142" s="1">
        <f>IFERROR(__xludf.DUMMYFUNCTION("""COMPUTED_VALUE"""),83.0)</f>
        <v>83</v>
      </c>
      <c r="G1142" s="1">
        <f>IFERROR(__xludf.DUMMYFUNCTION("""COMPUTED_VALUE"""),75.0)</f>
        <v>75</v>
      </c>
      <c r="H1142" s="1">
        <f>IFERROR(__xludf.DUMMYFUNCTION("""COMPUTED_VALUE"""),39.0)</f>
        <v>39</v>
      </c>
      <c r="I1142" s="1">
        <f>IFERROR(__xludf.DUMMYFUNCTION("""COMPUTED_VALUE"""),41.0)</f>
        <v>41</v>
      </c>
      <c r="J1142" s="1">
        <f>IFERROR(__xludf.DUMMYFUNCTION("""COMPUTED_VALUE"""),77.0)</f>
        <v>77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 t="str">
        <f>IFERROR(__xludf.DUMMYFUNCTION("""COMPUTED_VALUE"""),"D")</f>
        <v>D</v>
      </c>
      <c r="E1143" s="1">
        <f>IFERROR(__xludf.DUMMYFUNCTION("""COMPUTED_VALUE"""),42.0)</f>
        <v>42</v>
      </c>
      <c r="F1143" s="1">
        <f>IFERROR(__xludf.DUMMYFUNCTION("""COMPUTED_VALUE"""),91.0)</f>
        <v>91</v>
      </c>
      <c r="G1143" s="1">
        <f>IFERROR(__xludf.DUMMYFUNCTION("""COMPUTED_VALUE"""),84.0)</f>
        <v>84</v>
      </c>
      <c r="H1143" s="1">
        <f>IFERROR(__xludf.DUMMYFUNCTION("""COMPUTED_VALUE"""),82.0)</f>
        <v>82</v>
      </c>
      <c r="I1143" s="1">
        <f>IFERROR(__xludf.DUMMYFUNCTION("""COMPUTED_VALUE"""),44.0)</f>
        <v>44</v>
      </c>
      <c r="J1143" s="1">
        <f>IFERROR(__xludf.DUMMYFUNCTION("""COMPUTED_VALUE"""),42.0)</f>
        <v>42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 t="str">
        <f>IFERROR(__xludf.DUMMYFUNCTION("""COMPUTED_VALUE"""),"D")</f>
        <v>D</v>
      </c>
      <c r="E1144" s="1">
        <f>IFERROR(__xludf.DUMMYFUNCTION("""COMPUTED_VALUE"""),46.0)</f>
        <v>46</v>
      </c>
      <c r="F1144" s="1">
        <f>IFERROR(__xludf.DUMMYFUNCTION("""COMPUTED_VALUE"""),32.0)</f>
        <v>32</v>
      </c>
      <c r="G1144" s="1">
        <f>IFERROR(__xludf.DUMMYFUNCTION("""COMPUTED_VALUE"""),22.0)</f>
        <v>22</v>
      </c>
      <c r="H1144" s="1">
        <f>IFERROR(__xludf.DUMMYFUNCTION("""COMPUTED_VALUE"""),38.0)</f>
        <v>38</v>
      </c>
      <c r="I1144" s="1">
        <f>IFERROR(__xludf.DUMMYFUNCTION("""COMPUTED_VALUE"""),64.0)</f>
        <v>64</v>
      </c>
      <c r="J1144" s="1">
        <f>IFERROR(__xludf.DUMMYFUNCTION("""COMPUTED_VALUE"""),43.0)</f>
        <v>43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 t="str">
        <f>IFERROR(__xludf.DUMMYFUNCTION("""COMPUTED_VALUE"""),"D")</f>
        <v>D</v>
      </c>
      <c r="E1145" s="1">
        <f>IFERROR(__xludf.DUMMYFUNCTION("""COMPUTED_VALUE"""),37.0)</f>
        <v>37</v>
      </c>
      <c r="F1145" s="1">
        <f>IFERROR(__xludf.DUMMYFUNCTION("""COMPUTED_VALUE"""),53.0)</f>
        <v>53</v>
      </c>
      <c r="G1145" s="1">
        <f>IFERROR(__xludf.DUMMYFUNCTION("""COMPUTED_VALUE"""),99.0)</f>
        <v>99</v>
      </c>
      <c r="H1145" s="1">
        <f>IFERROR(__xludf.DUMMYFUNCTION("""COMPUTED_VALUE"""),49.0)</f>
        <v>49</v>
      </c>
      <c r="I1145" s="1">
        <f>IFERROR(__xludf.DUMMYFUNCTION("""COMPUTED_VALUE"""),56.0)</f>
        <v>56</v>
      </c>
      <c r="J1145" s="1">
        <f>IFERROR(__xludf.DUMMYFUNCTION("""COMPUTED_VALUE"""),50.0)</f>
        <v>50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 t="str">
        <f>IFERROR(__xludf.DUMMYFUNCTION("""COMPUTED_VALUE"""),"B")</f>
        <v>B</v>
      </c>
      <c r="E1146" s="1">
        <f>IFERROR(__xludf.DUMMYFUNCTION("""COMPUTED_VALUE"""),60.0)</f>
        <v>60</v>
      </c>
      <c r="F1146" s="1">
        <f>IFERROR(__xludf.DUMMYFUNCTION("""COMPUTED_VALUE"""),44.0)</f>
        <v>44</v>
      </c>
      <c r="G1146" s="1">
        <f>IFERROR(__xludf.DUMMYFUNCTION("""COMPUTED_VALUE"""),59.0)</f>
        <v>59</v>
      </c>
      <c r="H1146" s="1">
        <f>IFERROR(__xludf.DUMMYFUNCTION("""COMPUTED_VALUE"""),44.0)</f>
        <v>44</v>
      </c>
      <c r="I1146" s="1">
        <f>IFERROR(__xludf.DUMMYFUNCTION("""COMPUTED_VALUE"""),66.0)</f>
        <v>66</v>
      </c>
      <c r="J1146" s="1">
        <f>IFERROR(__xludf.DUMMYFUNCTION("""COMPUTED_VALUE"""),52.0)</f>
        <v>52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 t="str">
        <f>IFERROR(__xludf.DUMMYFUNCTION("""COMPUTED_VALUE"""),"C")</f>
        <v>C</v>
      </c>
      <c r="E1147" s="1">
        <f>IFERROR(__xludf.DUMMYFUNCTION("""COMPUTED_VALUE"""),21.0)</f>
        <v>21</v>
      </c>
      <c r="F1147" s="1">
        <f>IFERROR(__xludf.DUMMYFUNCTION("""COMPUTED_VALUE"""),70.0)</f>
        <v>70</v>
      </c>
      <c r="G1147" s="1">
        <f>IFERROR(__xludf.DUMMYFUNCTION("""COMPUTED_VALUE"""),26.0)</f>
        <v>26</v>
      </c>
      <c r="H1147" s="1">
        <f>IFERROR(__xludf.DUMMYFUNCTION("""COMPUTED_VALUE"""),89.0)</f>
        <v>89</v>
      </c>
      <c r="I1147" s="1">
        <f>IFERROR(__xludf.DUMMYFUNCTION("""COMPUTED_VALUE"""),58.0)</f>
        <v>58</v>
      </c>
      <c r="J1147" s="1">
        <f>IFERROR(__xludf.DUMMYFUNCTION("""COMPUTED_VALUE"""),33.0)</f>
        <v>33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 t="str">
        <f>IFERROR(__xludf.DUMMYFUNCTION("""COMPUTED_VALUE"""),"D")</f>
        <v>D</v>
      </c>
      <c r="E1148" s="1">
        <f>IFERROR(__xludf.DUMMYFUNCTION("""COMPUTED_VALUE"""),79.0)</f>
        <v>79</v>
      </c>
      <c r="F1148" s="1">
        <f>IFERROR(__xludf.DUMMYFUNCTION("""COMPUTED_VALUE"""),27.0)</f>
        <v>27</v>
      </c>
      <c r="G1148" s="1">
        <f>IFERROR(__xludf.DUMMYFUNCTION("""COMPUTED_VALUE"""),63.0)</f>
        <v>63</v>
      </c>
      <c r="H1148" s="1">
        <f>IFERROR(__xludf.DUMMYFUNCTION("""COMPUTED_VALUE"""),35.0)</f>
        <v>35</v>
      </c>
      <c r="I1148" s="1">
        <f>IFERROR(__xludf.DUMMYFUNCTION("""COMPUTED_VALUE"""),25.0)</f>
        <v>25</v>
      </c>
      <c r="J1148" s="1">
        <f>IFERROR(__xludf.DUMMYFUNCTION("""COMPUTED_VALUE"""),56.0)</f>
        <v>56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 t="str">
        <f>IFERROR(__xludf.DUMMYFUNCTION("""COMPUTED_VALUE"""),"B")</f>
        <v>B</v>
      </c>
      <c r="E1149" s="1">
        <f>IFERROR(__xludf.DUMMYFUNCTION("""COMPUTED_VALUE"""),61.0)</f>
        <v>61</v>
      </c>
      <c r="F1149" s="1">
        <f>IFERROR(__xludf.DUMMYFUNCTION("""COMPUTED_VALUE"""),81.0)</f>
        <v>81</v>
      </c>
      <c r="G1149" s="1">
        <f>IFERROR(__xludf.DUMMYFUNCTION("""COMPUTED_VALUE"""),45.0)</f>
        <v>45</v>
      </c>
      <c r="H1149" s="1">
        <f>IFERROR(__xludf.DUMMYFUNCTION("""COMPUTED_VALUE"""),50.0)</f>
        <v>50</v>
      </c>
      <c r="I1149" s="1">
        <f>IFERROR(__xludf.DUMMYFUNCTION("""COMPUTED_VALUE"""),78.0)</f>
        <v>78</v>
      </c>
      <c r="J1149" s="1">
        <f>IFERROR(__xludf.DUMMYFUNCTION("""COMPUTED_VALUE"""),35.0)</f>
        <v>35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 t="str">
        <f>IFERROR(__xludf.DUMMYFUNCTION("""COMPUTED_VALUE"""),"C")</f>
        <v>C</v>
      </c>
      <c r="E1150" s="1">
        <f>IFERROR(__xludf.DUMMYFUNCTION("""COMPUTED_VALUE"""),21.0)</f>
        <v>21</v>
      </c>
      <c r="F1150" s="1">
        <f>IFERROR(__xludf.DUMMYFUNCTION("""COMPUTED_VALUE"""),85.0)</f>
        <v>85</v>
      </c>
      <c r="G1150" s="1">
        <f>IFERROR(__xludf.DUMMYFUNCTION("""COMPUTED_VALUE"""),41.0)</f>
        <v>41</v>
      </c>
      <c r="H1150" s="1">
        <f>IFERROR(__xludf.DUMMYFUNCTION("""COMPUTED_VALUE"""),60.0)</f>
        <v>60</v>
      </c>
      <c r="I1150" s="1">
        <f>IFERROR(__xludf.DUMMYFUNCTION("""COMPUTED_VALUE"""),76.0)</f>
        <v>76</v>
      </c>
      <c r="J1150" s="1">
        <f>IFERROR(__xludf.DUMMYFUNCTION("""COMPUTED_VALUE"""),76.0)</f>
        <v>76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 t="str">
        <f>IFERROR(__xludf.DUMMYFUNCTION("""COMPUTED_VALUE"""),"A")</f>
        <v>A</v>
      </c>
      <c r="E1151" s="1">
        <f>IFERROR(__xludf.DUMMYFUNCTION("""COMPUTED_VALUE"""),98.0)</f>
        <v>98</v>
      </c>
      <c r="F1151" s="1">
        <f>IFERROR(__xludf.DUMMYFUNCTION("""COMPUTED_VALUE"""),50.0)</f>
        <v>50</v>
      </c>
      <c r="G1151" s="1">
        <f>IFERROR(__xludf.DUMMYFUNCTION("""COMPUTED_VALUE"""),60.0)</f>
        <v>60</v>
      </c>
      <c r="H1151" s="1">
        <f>IFERROR(__xludf.DUMMYFUNCTION("""COMPUTED_VALUE"""),47.0)</f>
        <v>47</v>
      </c>
      <c r="I1151" s="1">
        <f>IFERROR(__xludf.DUMMYFUNCTION("""COMPUTED_VALUE"""),89.0)</f>
        <v>89</v>
      </c>
      <c r="J1151" s="1">
        <f>IFERROR(__xludf.DUMMYFUNCTION("""COMPUTED_VALUE"""),59.0)</f>
        <v>59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 t="str">
        <f>IFERROR(__xludf.DUMMYFUNCTION("""COMPUTED_VALUE"""),"A")</f>
        <v>A</v>
      </c>
      <c r="E1152" s="1">
        <f>IFERROR(__xludf.DUMMYFUNCTION("""COMPUTED_VALUE"""),84.0)</f>
        <v>84</v>
      </c>
      <c r="F1152" s="1">
        <f>IFERROR(__xludf.DUMMYFUNCTION("""COMPUTED_VALUE"""),51.0)</f>
        <v>51</v>
      </c>
      <c r="G1152" s="1">
        <f>IFERROR(__xludf.DUMMYFUNCTION("""COMPUTED_VALUE"""),28.0)</f>
        <v>28</v>
      </c>
      <c r="H1152" s="1">
        <f>IFERROR(__xludf.DUMMYFUNCTION("""COMPUTED_VALUE"""),87.0)</f>
        <v>87</v>
      </c>
      <c r="I1152" s="1">
        <f>IFERROR(__xludf.DUMMYFUNCTION("""COMPUTED_VALUE"""),25.0)</f>
        <v>25</v>
      </c>
      <c r="J1152" s="1">
        <f>IFERROR(__xludf.DUMMYFUNCTION("""COMPUTED_VALUE"""),65.0)</f>
        <v>65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 t="str">
        <f>IFERROR(__xludf.DUMMYFUNCTION("""COMPUTED_VALUE"""),"D")</f>
        <v>D</v>
      </c>
      <c r="E1153" s="1">
        <f>IFERROR(__xludf.DUMMYFUNCTION("""COMPUTED_VALUE"""),15.0)</f>
        <v>15</v>
      </c>
      <c r="F1153" s="1">
        <f>IFERROR(__xludf.DUMMYFUNCTION("""COMPUTED_VALUE"""),66.0)</f>
        <v>66</v>
      </c>
      <c r="G1153" s="1">
        <f>IFERROR(__xludf.DUMMYFUNCTION("""COMPUTED_VALUE"""),53.0)</f>
        <v>53</v>
      </c>
      <c r="H1153" s="1">
        <f>IFERROR(__xludf.DUMMYFUNCTION("""COMPUTED_VALUE"""),23.0)</f>
        <v>23</v>
      </c>
      <c r="I1153" s="1">
        <f>IFERROR(__xludf.DUMMYFUNCTION("""COMPUTED_VALUE"""),71.0)</f>
        <v>71</v>
      </c>
      <c r="J1153" s="1">
        <f>IFERROR(__xludf.DUMMYFUNCTION("""COMPUTED_VALUE"""),93.0)</f>
        <v>93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 t="str">
        <f>IFERROR(__xludf.DUMMYFUNCTION("""COMPUTED_VALUE"""),"D")</f>
        <v>D</v>
      </c>
      <c r="E1154" s="1">
        <f>IFERROR(__xludf.DUMMYFUNCTION("""COMPUTED_VALUE"""),95.0)</f>
        <v>95</v>
      </c>
      <c r="F1154" s="1">
        <f>IFERROR(__xludf.DUMMYFUNCTION("""COMPUTED_VALUE"""),25.0)</f>
        <v>25</v>
      </c>
      <c r="G1154" s="1">
        <f>IFERROR(__xludf.DUMMYFUNCTION("""COMPUTED_VALUE"""),31.0)</f>
        <v>31</v>
      </c>
      <c r="H1154" s="1">
        <f>IFERROR(__xludf.DUMMYFUNCTION("""COMPUTED_VALUE"""),87.0)</f>
        <v>87</v>
      </c>
      <c r="I1154" s="1">
        <f>IFERROR(__xludf.DUMMYFUNCTION("""COMPUTED_VALUE"""),73.0)</f>
        <v>73</v>
      </c>
      <c r="J1154" s="1">
        <f>IFERROR(__xludf.DUMMYFUNCTION("""COMPUTED_VALUE"""),74.0)</f>
        <v>74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 t="str">
        <f>IFERROR(__xludf.DUMMYFUNCTION("""COMPUTED_VALUE"""),"C")</f>
        <v>C</v>
      </c>
      <c r="E1155" s="1">
        <f>IFERROR(__xludf.DUMMYFUNCTION("""COMPUTED_VALUE"""),30.0)</f>
        <v>30</v>
      </c>
      <c r="F1155" s="1">
        <f>IFERROR(__xludf.DUMMYFUNCTION("""COMPUTED_VALUE"""),29.0)</f>
        <v>29</v>
      </c>
      <c r="G1155" s="1">
        <f>IFERROR(__xludf.DUMMYFUNCTION("""COMPUTED_VALUE"""),85.0)</f>
        <v>85</v>
      </c>
      <c r="H1155" s="1">
        <f>IFERROR(__xludf.DUMMYFUNCTION("""COMPUTED_VALUE"""),45.0)</f>
        <v>45</v>
      </c>
      <c r="I1155" s="1">
        <f>IFERROR(__xludf.DUMMYFUNCTION("""COMPUTED_VALUE"""),36.0)</f>
        <v>36</v>
      </c>
      <c r="J1155" s="1">
        <f>IFERROR(__xludf.DUMMYFUNCTION("""COMPUTED_VALUE"""),79.0)</f>
        <v>79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 t="str">
        <f>IFERROR(__xludf.DUMMYFUNCTION("""COMPUTED_VALUE"""),"B")</f>
        <v>B</v>
      </c>
      <c r="E1156" s="1">
        <f>IFERROR(__xludf.DUMMYFUNCTION("""COMPUTED_VALUE"""),18.0)</f>
        <v>18</v>
      </c>
      <c r="F1156" s="1">
        <f>IFERROR(__xludf.DUMMYFUNCTION("""COMPUTED_VALUE"""),35.0)</f>
        <v>35</v>
      </c>
      <c r="G1156" s="1">
        <f>IFERROR(__xludf.DUMMYFUNCTION("""COMPUTED_VALUE"""),98.0)</f>
        <v>98</v>
      </c>
      <c r="H1156" s="1">
        <f>IFERROR(__xludf.DUMMYFUNCTION("""COMPUTED_VALUE"""),82.0)</f>
        <v>82</v>
      </c>
      <c r="I1156" s="1">
        <f>IFERROR(__xludf.DUMMYFUNCTION("""COMPUTED_VALUE"""),27.0)</f>
        <v>27</v>
      </c>
      <c r="J1156" s="1">
        <f>IFERROR(__xludf.DUMMYFUNCTION("""COMPUTED_VALUE"""),31.0)</f>
        <v>31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 t="str">
        <f>IFERROR(__xludf.DUMMYFUNCTION("""COMPUTED_VALUE"""),"B")</f>
        <v>B</v>
      </c>
      <c r="E1157" s="1">
        <f>IFERROR(__xludf.DUMMYFUNCTION("""COMPUTED_VALUE"""),16.0)</f>
        <v>16</v>
      </c>
      <c r="F1157" s="1">
        <f>IFERROR(__xludf.DUMMYFUNCTION("""COMPUTED_VALUE"""),72.0)</f>
        <v>72</v>
      </c>
      <c r="G1157" s="1">
        <f>IFERROR(__xludf.DUMMYFUNCTION("""COMPUTED_VALUE"""),47.0)</f>
        <v>47</v>
      </c>
      <c r="H1157" s="1">
        <f>IFERROR(__xludf.DUMMYFUNCTION("""COMPUTED_VALUE"""),40.0)</f>
        <v>40</v>
      </c>
      <c r="I1157" s="1">
        <f>IFERROR(__xludf.DUMMYFUNCTION("""COMPUTED_VALUE"""),72.0)</f>
        <v>72</v>
      </c>
      <c r="J1157" s="1">
        <f>IFERROR(__xludf.DUMMYFUNCTION("""COMPUTED_VALUE"""),95.0)</f>
        <v>95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 t="str">
        <f>IFERROR(__xludf.DUMMYFUNCTION("""COMPUTED_VALUE"""),"C")</f>
        <v>C</v>
      </c>
      <c r="E1158" s="1">
        <f>IFERROR(__xludf.DUMMYFUNCTION("""COMPUTED_VALUE"""),55.0)</f>
        <v>55</v>
      </c>
      <c r="F1158" s="1">
        <f>IFERROR(__xludf.DUMMYFUNCTION("""COMPUTED_VALUE"""),82.0)</f>
        <v>82</v>
      </c>
      <c r="G1158" s="1">
        <f>IFERROR(__xludf.DUMMYFUNCTION("""COMPUTED_VALUE"""),82.0)</f>
        <v>82</v>
      </c>
      <c r="H1158" s="1">
        <f>IFERROR(__xludf.DUMMYFUNCTION("""COMPUTED_VALUE"""),85.0)</f>
        <v>85</v>
      </c>
      <c r="I1158" s="1">
        <f>IFERROR(__xludf.DUMMYFUNCTION("""COMPUTED_VALUE"""),31.0)</f>
        <v>31</v>
      </c>
      <c r="J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 t="str">
        <f>IFERROR(__xludf.DUMMYFUNCTION("""COMPUTED_VALUE"""),"C")</f>
        <v>C</v>
      </c>
      <c r="E1159" s="1">
        <f>IFERROR(__xludf.DUMMYFUNCTION("""COMPUTED_VALUE"""),28.0)</f>
        <v>28</v>
      </c>
      <c r="F1159" s="1">
        <f>IFERROR(__xludf.DUMMYFUNCTION("""COMPUTED_VALUE"""),21.0)</f>
        <v>21</v>
      </c>
      <c r="G1159" s="1">
        <f>IFERROR(__xludf.DUMMYFUNCTION("""COMPUTED_VALUE"""),80.0)</f>
        <v>80</v>
      </c>
      <c r="H1159" s="1">
        <f>IFERROR(__xludf.DUMMYFUNCTION("""COMPUTED_VALUE"""),99.0)</f>
        <v>99</v>
      </c>
      <c r="I1159" s="1">
        <f>IFERROR(__xludf.DUMMYFUNCTION("""COMPUTED_VALUE"""),39.0)</f>
        <v>39</v>
      </c>
      <c r="J1159" s="1">
        <f>IFERROR(__xludf.DUMMYFUNCTION("""COMPUTED_VALUE"""),45.0)</f>
        <v>45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 t="str">
        <f>IFERROR(__xludf.DUMMYFUNCTION("""COMPUTED_VALUE"""),"C")</f>
        <v>C</v>
      </c>
      <c r="E1160" s="1">
        <f>IFERROR(__xludf.DUMMYFUNCTION("""COMPUTED_VALUE"""),79.0)</f>
        <v>79</v>
      </c>
      <c r="F1160" s="1">
        <f>IFERROR(__xludf.DUMMYFUNCTION("""COMPUTED_VALUE"""),99.0)</f>
        <v>99</v>
      </c>
      <c r="G1160" s="1">
        <f>IFERROR(__xludf.DUMMYFUNCTION("""COMPUTED_VALUE"""),36.0)</f>
        <v>36</v>
      </c>
      <c r="H1160" s="1">
        <f>IFERROR(__xludf.DUMMYFUNCTION("""COMPUTED_VALUE"""),51.0)</f>
        <v>51</v>
      </c>
      <c r="I1160" s="1">
        <f>IFERROR(__xludf.DUMMYFUNCTION("""COMPUTED_VALUE"""),22.0)</f>
        <v>22</v>
      </c>
      <c r="J1160" s="1">
        <f>IFERROR(__xludf.DUMMYFUNCTION("""COMPUTED_VALUE"""),26.0)</f>
        <v>26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 t="str">
        <f>IFERROR(__xludf.DUMMYFUNCTION("""COMPUTED_VALUE"""),"B")</f>
        <v>B</v>
      </c>
      <c r="E1161" s="1">
        <f>IFERROR(__xludf.DUMMYFUNCTION("""COMPUTED_VALUE"""),92.0)</f>
        <v>92</v>
      </c>
      <c r="F1161" s="1">
        <f>IFERROR(__xludf.DUMMYFUNCTION("""COMPUTED_VALUE"""),88.0)</f>
        <v>88</v>
      </c>
      <c r="G1161" s="1">
        <f>IFERROR(__xludf.DUMMYFUNCTION("""COMPUTED_VALUE"""),33.0)</f>
        <v>33</v>
      </c>
      <c r="H1161" s="1">
        <f>IFERROR(__xludf.DUMMYFUNCTION("""COMPUTED_VALUE"""),32.0)</f>
        <v>32</v>
      </c>
      <c r="I1161" s="1">
        <f>IFERROR(__xludf.DUMMYFUNCTION("""COMPUTED_VALUE"""),47.0)</f>
        <v>47</v>
      </c>
      <c r="J1161" s="1">
        <f>IFERROR(__xludf.DUMMYFUNCTION("""COMPUTED_VALUE"""),67.0)</f>
        <v>67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 t="str">
        <f>IFERROR(__xludf.DUMMYFUNCTION("""COMPUTED_VALUE"""),"A")</f>
        <v>A</v>
      </c>
      <c r="E1162" s="1">
        <f>IFERROR(__xludf.DUMMYFUNCTION("""COMPUTED_VALUE"""),10.0)</f>
        <v>10</v>
      </c>
      <c r="F1162" s="1">
        <f>IFERROR(__xludf.DUMMYFUNCTION("""COMPUTED_VALUE"""),93.0)</f>
        <v>93</v>
      </c>
      <c r="G1162" s="1">
        <f>IFERROR(__xludf.DUMMYFUNCTION("""COMPUTED_VALUE"""),81.0)</f>
        <v>81</v>
      </c>
      <c r="H1162" s="1">
        <f>IFERROR(__xludf.DUMMYFUNCTION("""COMPUTED_VALUE"""),84.0)</f>
        <v>84</v>
      </c>
      <c r="I1162" s="1">
        <f>IFERROR(__xludf.DUMMYFUNCTION("""COMPUTED_VALUE"""),39.0)</f>
        <v>39</v>
      </c>
      <c r="J1162" s="1">
        <f>IFERROR(__xludf.DUMMYFUNCTION("""COMPUTED_VALUE"""),63.0)</f>
        <v>63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 t="str">
        <f>IFERROR(__xludf.DUMMYFUNCTION("""COMPUTED_VALUE"""),"D")</f>
        <v>D</v>
      </c>
      <c r="E1163" s="1">
        <f>IFERROR(__xludf.DUMMYFUNCTION("""COMPUTED_VALUE"""),10.0)</f>
        <v>10</v>
      </c>
      <c r="F1163" s="1">
        <f>IFERROR(__xludf.DUMMYFUNCTION("""COMPUTED_VALUE"""),80.0)</f>
        <v>80</v>
      </c>
      <c r="G1163" s="1">
        <f>IFERROR(__xludf.DUMMYFUNCTION("""COMPUTED_VALUE"""),72.0)</f>
        <v>72</v>
      </c>
      <c r="H1163" s="1">
        <f>IFERROR(__xludf.DUMMYFUNCTION("""COMPUTED_VALUE"""),87.0)</f>
        <v>87</v>
      </c>
      <c r="I1163" s="1">
        <f>IFERROR(__xludf.DUMMYFUNCTION("""COMPUTED_VALUE"""),98.0)</f>
        <v>98</v>
      </c>
      <c r="J1163" s="1">
        <f>IFERROR(__xludf.DUMMYFUNCTION("""COMPUTED_VALUE"""),42.0)</f>
        <v>42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 t="str">
        <f>IFERROR(__xludf.DUMMYFUNCTION("""COMPUTED_VALUE"""),"A")</f>
        <v>A</v>
      </c>
      <c r="E1164" s="1">
        <f>IFERROR(__xludf.DUMMYFUNCTION("""COMPUTED_VALUE"""),42.0)</f>
        <v>42</v>
      </c>
      <c r="F1164" s="1">
        <f>IFERROR(__xludf.DUMMYFUNCTION("""COMPUTED_VALUE"""),74.0)</f>
        <v>74</v>
      </c>
      <c r="G1164" s="1">
        <f>IFERROR(__xludf.DUMMYFUNCTION("""COMPUTED_VALUE"""),34.0)</f>
        <v>34</v>
      </c>
      <c r="H1164" s="1">
        <f>IFERROR(__xludf.DUMMYFUNCTION("""COMPUTED_VALUE"""),99.0)</f>
        <v>99</v>
      </c>
      <c r="I1164" s="1">
        <f>IFERROR(__xludf.DUMMYFUNCTION("""COMPUTED_VALUE"""),58.0)</f>
        <v>58</v>
      </c>
      <c r="J1164" s="1">
        <f>IFERROR(__xludf.DUMMYFUNCTION("""COMPUTED_VALUE"""),49.0)</f>
        <v>49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 t="str">
        <f>IFERROR(__xludf.DUMMYFUNCTION("""COMPUTED_VALUE"""),"B")</f>
        <v>B</v>
      </c>
      <c r="E1165" s="1">
        <f>IFERROR(__xludf.DUMMYFUNCTION("""COMPUTED_VALUE"""),82.0)</f>
        <v>82</v>
      </c>
      <c r="F1165" s="1">
        <f>IFERROR(__xludf.DUMMYFUNCTION("""COMPUTED_VALUE"""),92.0)</f>
        <v>92</v>
      </c>
      <c r="G1165" s="1">
        <f>IFERROR(__xludf.DUMMYFUNCTION("""COMPUTED_VALUE"""),66.0)</f>
        <v>66</v>
      </c>
      <c r="H1165" s="1">
        <f>IFERROR(__xludf.DUMMYFUNCTION("""COMPUTED_VALUE"""),78.0)</f>
        <v>78</v>
      </c>
      <c r="I1165" s="1">
        <f>IFERROR(__xludf.DUMMYFUNCTION("""COMPUTED_VALUE"""),71.0)</f>
        <v>71</v>
      </c>
      <c r="J1165" s="1">
        <f>IFERROR(__xludf.DUMMYFUNCTION("""COMPUTED_VALUE"""),45.0)</f>
        <v>45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 t="str">
        <f>IFERROR(__xludf.DUMMYFUNCTION("""COMPUTED_VALUE"""),"A")</f>
        <v>A</v>
      </c>
      <c r="E1166" s="1">
        <f>IFERROR(__xludf.DUMMYFUNCTION("""COMPUTED_VALUE"""),96.0)</f>
        <v>96</v>
      </c>
      <c r="F1166" s="1">
        <f>IFERROR(__xludf.DUMMYFUNCTION("""COMPUTED_VALUE"""),26.0)</f>
        <v>26</v>
      </c>
      <c r="G1166" s="1">
        <f>IFERROR(__xludf.DUMMYFUNCTION("""COMPUTED_VALUE"""),41.0)</f>
        <v>41</v>
      </c>
      <c r="H1166" s="1">
        <f>IFERROR(__xludf.DUMMYFUNCTION("""COMPUTED_VALUE"""),40.0)</f>
        <v>40</v>
      </c>
      <c r="I1166" s="1">
        <f>IFERROR(__xludf.DUMMYFUNCTION("""COMPUTED_VALUE"""),51.0)</f>
        <v>51</v>
      </c>
      <c r="J1166" s="1">
        <f>IFERROR(__xludf.DUMMYFUNCTION("""COMPUTED_VALUE"""),45.0)</f>
        <v>45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 t="str">
        <f>IFERROR(__xludf.DUMMYFUNCTION("""COMPUTED_VALUE"""),"A")</f>
        <v>A</v>
      </c>
      <c r="E1167" s="1">
        <f>IFERROR(__xludf.DUMMYFUNCTION("""COMPUTED_VALUE"""),51.0)</f>
        <v>51</v>
      </c>
      <c r="F1167" s="1">
        <f>IFERROR(__xludf.DUMMYFUNCTION("""COMPUTED_VALUE"""),76.0)</f>
        <v>76</v>
      </c>
      <c r="G1167" s="1">
        <f>IFERROR(__xludf.DUMMYFUNCTION("""COMPUTED_VALUE"""),58.0)</f>
        <v>58</v>
      </c>
      <c r="H1167" s="1">
        <f>IFERROR(__xludf.DUMMYFUNCTION("""COMPUTED_VALUE"""),47.0)</f>
        <v>47</v>
      </c>
      <c r="I1167" s="1">
        <f>IFERROR(__xludf.DUMMYFUNCTION("""COMPUTED_VALUE"""),61.0)</f>
        <v>61</v>
      </c>
      <c r="J1167" s="1">
        <f>IFERROR(__xludf.DUMMYFUNCTION("""COMPUTED_VALUE"""),69.0)</f>
        <v>69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 t="str">
        <f>IFERROR(__xludf.DUMMYFUNCTION("""COMPUTED_VALUE"""),"A")</f>
        <v>A</v>
      </c>
      <c r="E1168" s="1">
        <f>IFERROR(__xludf.DUMMYFUNCTION("""COMPUTED_VALUE"""),59.0)</f>
        <v>59</v>
      </c>
      <c r="F1168" s="1">
        <f>IFERROR(__xludf.DUMMYFUNCTION("""COMPUTED_VALUE"""),79.0)</f>
        <v>79</v>
      </c>
      <c r="G1168" s="1">
        <f>IFERROR(__xludf.DUMMYFUNCTION("""COMPUTED_VALUE"""),46.0)</f>
        <v>46</v>
      </c>
      <c r="H1168" s="1">
        <f>IFERROR(__xludf.DUMMYFUNCTION("""COMPUTED_VALUE"""),78.0)</f>
        <v>78</v>
      </c>
      <c r="I1168" s="1">
        <f>IFERROR(__xludf.DUMMYFUNCTION("""COMPUTED_VALUE"""),65.0)</f>
        <v>65</v>
      </c>
      <c r="J1168" s="1">
        <f>IFERROR(__xludf.DUMMYFUNCTION("""COMPUTED_VALUE"""),27.0)</f>
        <v>27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 t="str">
        <f>IFERROR(__xludf.DUMMYFUNCTION("""COMPUTED_VALUE"""),"A")</f>
        <v>A</v>
      </c>
      <c r="E1169" s="1">
        <f>IFERROR(__xludf.DUMMYFUNCTION("""COMPUTED_VALUE"""),55.0)</f>
        <v>55</v>
      </c>
      <c r="F1169" s="1">
        <f>IFERROR(__xludf.DUMMYFUNCTION("""COMPUTED_VALUE"""),95.0)</f>
        <v>95</v>
      </c>
      <c r="G1169" s="1">
        <f>IFERROR(__xludf.DUMMYFUNCTION("""COMPUTED_VALUE"""),91.0)</f>
        <v>91</v>
      </c>
      <c r="H1169" s="1">
        <f>IFERROR(__xludf.DUMMYFUNCTION("""COMPUTED_VALUE"""),81.0)</f>
        <v>81</v>
      </c>
      <c r="I1169" s="1">
        <f>IFERROR(__xludf.DUMMYFUNCTION("""COMPUTED_VALUE"""),82.0)</f>
        <v>82</v>
      </c>
      <c r="J1169" s="1">
        <f>IFERROR(__xludf.DUMMYFUNCTION("""COMPUTED_VALUE"""),72.0)</f>
        <v>72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 t="str">
        <f>IFERROR(__xludf.DUMMYFUNCTION("""COMPUTED_VALUE"""),"A")</f>
        <v>A</v>
      </c>
      <c r="E1170" s="1">
        <f>IFERROR(__xludf.DUMMYFUNCTION("""COMPUTED_VALUE"""),35.0)</f>
        <v>35</v>
      </c>
      <c r="F1170" s="1">
        <f>IFERROR(__xludf.DUMMYFUNCTION("""COMPUTED_VALUE"""),80.0)</f>
        <v>80</v>
      </c>
      <c r="G1170" s="1">
        <f>IFERROR(__xludf.DUMMYFUNCTION("""COMPUTED_VALUE"""),24.0)</f>
        <v>24</v>
      </c>
      <c r="H1170" s="1">
        <f>IFERROR(__xludf.DUMMYFUNCTION("""COMPUTED_VALUE"""),20.0)</f>
        <v>20</v>
      </c>
      <c r="I1170" s="1">
        <f>IFERROR(__xludf.DUMMYFUNCTION("""COMPUTED_VALUE"""),48.0)</f>
        <v>48</v>
      </c>
      <c r="J1170" s="1">
        <f>IFERROR(__xludf.DUMMYFUNCTION("""COMPUTED_VALUE"""),50.0)</f>
        <v>50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 t="str">
        <f>IFERROR(__xludf.DUMMYFUNCTION("""COMPUTED_VALUE"""),"B")</f>
        <v>B</v>
      </c>
      <c r="E1171" s="1">
        <f>IFERROR(__xludf.DUMMYFUNCTION("""COMPUTED_VALUE"""),16.0)</f>
        <v>16</v>
      </c>
      <c r="F1171" s="1">
        <f>IFERROR(__xludf.DUMMYFUNCTION("""COMPUTED_VALUE"""),44.0)</f>
        <v>44</v>
      </c>
      <c r="G1171" s="1">
        <f>IFERROR(__xludf.DUMMYFUNCTION("""COMPUTED_VALUE"""),38.0)</f>
        <v>38</v>
      </c>
      <c r="H1171" s="1">
        <f>IFERROR(__xludf.DUMMYFUNCTION("""COMPUTED_VALUE"""),65.0)</f>
        <v>65</v>
      </c>
      <c r="I1171" s="1">
        <f>IFERROR(__xludf.DUMMYFUNCTION("""COMPUTED_VALUE"""),69.0)</f>
        <v>69</v>
      </c>
      <c r="J1171" s="1">
        <f>IFERROR(__xludf.DUMMYFUNCTION("""COMPUTED_VALUE"""),74.0)</f>
        <v>74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 t="str">
        <f>IFERROR(__xludf.DUMMYFUNCTION("""COMPUTED_VALUE"""),"B")</f>
        <v>B</v>
      </c>
      <c r="E1172" s="1">
        <f>IFERROR(__xludf.DUMMYFUNCTION("""COMPUTED_VALUE"""),36.0)</f>
        <v>36</v>
      </c>
      <c r="F1172" s="1">
        <f>IFERROR(__xludf.DUMMYFUNCTION("""COMPUTED_VALUE"""),36.0)</f>
        <v>36</v>
      </c>
      <c r="G1172" s="1">
        <f>IFERROR(__xludf.DUMMYFUNCTION("""COMPUTED_VALUE"""),49.0)</f>
        <v>49</v>
      </c>
      <c r="H1172" s="1">
        <f>IFERROR(__xludf.DUMMYFUNCTION("""COMPUTED_VALUE"""),52.0)</f>
        <v>52</v>
      </c>
      <c r="I1172" s="1">
        <f>IFERROR(__xludf.DUMMYFUNCTION("""COMPUTED_VALUE"""),20.0)</f>
        <v>20</v>
      </c>
      <c r="J1172" s="1">
        <f>IFERROR(__xludf.DUMMYFUNCTION("""COMPUTED_VALUE"""),28.0)</f>
        <v>28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 t="str">
        <f>IFERROR(__xludf.DUMMYFUNCTION("""COMPUTED_VALUE"""),"C")</f>
        <v>C</v>
      </c>
      <c r="E1173" s="1">
        <f>IFERROR(__xludf.DUMMYFUNCTION("""COMPUTED_VALUE"""),77.0)</f>
        <v>77</v>
      </c>
      <c r="F1173" s="1">
        <f>IFERROR(__xludf.DUMMYFUNCTION("""COMPUTED_VALUE"""),55.0)</f>
        <v>55</v>
      </c>
      <c r="G1173" s="1">
        <f>IFERROR(__xludf.DUMMYFUNCTION("""COMPUTED_VALUE"""),32.0)</f>
        <v>32</v>
      </c>
      <c r="H1173" s="1">
        <f>IFERROR(__xludf.DUMMYFUNCTION("""COMPUTED_VALUE"""),36.0)</f>
        <v>36</v>
      </c>
      <c r="I1173" s="1">
        <f>IFERROR(__xludf.DUMMYFUNCTION("""COMPUTED_VALUE"""),68.0)</f>
        <v>68</v>
      </c>
      <c r="J1173" s="1">
        <f>IFERROR(__xludf.DUMMYFUNCTION("""COMPUTED_VALUE"""),90.0)</f>
        <v>90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 t="str">
        <f>IFERROR(__xludf.DUMMYFUNCTION("""COMPUTED_VALUE"""),"D")</f>
        <v>D</v>
      </c>
      <c r="E1174" s="1">
        <f>IFERROR(__xludf.DUMMYFUNCTION("""COMPUTED_VALUE"""),59.0)</f>
        <v>59</v>
      </c>
      <c r="F1174" s="1">
        <f>IFERROR(__xludf.DUMMYFUNCTION("""COMPUTED_VALUE"""),33.0)</f>
        <v>33</v>
      </c>
      <c r="G1174" s="1">
        <f>IFERROR(__xludf.DUMMYFUNCTION("""COMPUTED_VALUE"""),33.0)</f>
        <v>33</v>
      </c>
      <c r="H1174" s="1">
        <f>IFERROR(__xludf.DUMMYFUNCTION("""COMPUTED_VALUE"""),69.0)</f>
        <v>69</v>
      </c>
      <c r="I1174" s="1">
        <f>IFERROR(__xludf.DUMMYFUNCTION("""COMPUTED_VALUE"""),25.0)</f>
        <v>25</v>
      </c>
      <c r="J1174" s="1">
        <f>IFERROR(__xludf.DUMMYFUNCTION("""COMPUTED_VALUE"""),86.0)</f>
        <v>86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 t="str">
        <f>IFERROR(__xludf.DUMMYFUNCTION("""COMPUTED_VALUE"""),"C")</f>
        <v>C</v>
      </c>
      <c r="E1175" s="1">
        <f>IFERROR(__xludf.DUMMYFUNCTION("""COMPUTED_VALUE"""),22.0)</f>
        <v>22</v>
      </c>
      <c r="F1175" s="1">
        <f>IFERROR(__xludf.DUMMYFUNCTION("""COMPUTED_VALUE"""),22.0)</f>
        <v>22</v>
      </c>
      <c r="G1175" s="1">
        <f>IFERROR(__xludf.DUMMYFUNCTION("""COMPUTED_VALUE"""),69.0)</f>
        <v>69</v>
      </c>
      <c r="H1175" s="1">
        <f>IFERROR(__xludf.DUMMYFUNCTION("""COMPUTED_VALUE"""),38.0)</f>
        <v>38</v>
      </c>
      <c r="I1175" s="1">
        <f>IFERROR(__xludf.DUMMYFUNCTION("""COMPUTED_VALUE"""),96.0)</f>
        <v>96</v>
      </c>
      <c r="J1175" s="1">
        <f>IFERROR(__xludf.DUMMYFUNCTION("""COMPUTED_VALUE"""),95.0)</f>
        <v>95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 t="str">
        <f>IFERROR(__xludf.DUMMYFUNCTION("""COMPUTED_VALUE"""),"D")</f>
        <v>D</v>
      </c>
      <c r="E1176" s="1">
        <f>IFERROR(__xludf.DUMMYFUNCTION("""COMPUTED_VALUE"""),78.0)</f>
        <v>78</v>
      </c>
      <c r="F1176" s="1">
        <f>IFERROR(__xludf.DUMMYFUNCTION("""COMPUTED_VALUE"""),71.0)</f>
        <v>71</v>
      </c>
      <c r="G1176" s="1">
        <f>IFERROR(__xludf.DUMMYFUNCTION("""COMPUTED_VALUE"""),60.0)</f>
        <v>60</v>
      </c>
      <c r="H1176" s="1">
        <f>IFERROR(__xludf.DUMMYFUNCTION("""COMPUTED_VALUE"""),88.0)</f>
        <v>88</v>
      </c>
      <c r="I1176" s="1">
        <f>IFERROR(__xludf.DUMMYFUNCTION("""COMPUTED_VALUE"""),47.0)</f>
        <v>47</v>
      </c>
      <c r="J1176" s="1">
        <f>IFERROR(__xludf.DUMMYFUNCTION("""COMPUTED_VALUE"""),43.0)</f>
        <v>43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 t="str">
        <f>IFERROR(__xludf.DUMMYFUNCTION("""COMPUTED_VALUE"""),"A")</f>
        <v>A</v>
      </c>
      <c r="E1177" s="1">
        <f>IFERROR(__xludf.DUMMYFUNCTION("""COMPUTED_VALUE"""),93.0)</f>
        <v>93</v>
      </c>
      <c r="F1177" s="1">
        <f>IFERROR(__xludf.DUMMYFUNCTION("""COMPUTED_VALUE"""),26.0)</f>
        <v>26</v>
      </c>
      <c r="G1177" s="1">
        <f>IFERROR(__xludf.DUMMYFUNCTION("""COMPUTED_VALUE"""),22.0)</f>
        <v>22</v>
      </c>
      <c r="H1177" s="1">
        <f>IFERROR(__xludf.DUMMYFUNCTION("""COMPUTED_VALUE"""),66.0)</f>
        <v>66</v>
      </c>
      <c r="I1177" s="1">
        <f>IFERROR(__xludf.DUMMYFUNCTION("""COMPUTED_VALUE"""),41.0)</f>
        <v>41</v>
      </c>
      <c r="J1177" s="1">
        <f>IFERROR(__xludf.DUMMYFUNCTION("""COMPUTED_VALUE"""),29.0)</f>
        <v>29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 t="str">
        <f>IFERROR(__xludf.DUMMYFUNCTION("""COMPUTED_VALUE"""),"B")</f>
        <v>B</v>
      </c>
      <c r="E1178" s="1">
        <f>IFERROR(__xludf.DUMMYFUNCTION("""COMPUTED_VALUE"""),53.0)</f>
        <v>53</v>
      </c>
      <c r="F1178" s="1">
        <f>IFERROR(__xludf.DUMMYFUNCTION("""COMPUTED_VALUE"""),79.0)</f>
        <v>79</v>
      </c>
      <c r="G1178" s="1">
        <f>IFERROR(__xludf.DUMMYFUNCTION("""COMPUTED_VALUE"""),49.0)</f>
        <v>49</v>
      </c>
      <c r="H1178" s="1">
        <f>IFERROR(__xludf.DUMMYFUNCTION("""COMPUTED_VALUE"""),45.0)</f>
        <v>45</v>
      </c>
      <c r="I1178" s="1">
        <f>IFERROR(__xludf.DUMMYFUNCTION("""COMPUTED_VALUE"""),57.0)</f>
        <v>57</v>
      </c>
      <c r="J1178" s="1">
        <f>IFERROR(__xludf.DUMMYFUNCTION("""COMPUTED_VALUE"""),41.0)</f>
        <v>41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 t="str">
        <f>IFERROR(__xludf.DUMMYFUNCTION("""COMPUTED_VALUE"""),"C")</f>
        <v>C</v>
      </c>
      <c r="E1179" s="1">
        <f>IFERROR(__xludf.DUMMYFUNCTION("""COMPUTED_VALUE"""),45.0)</f>
        <v>45</v>
      </c>
      <c r="F1179" s="1">
        <f>IFERROR(__xludf.DUMMYFUNCTION("""COMPUTED_VALUE"""),31.0)</f>
        <v>31</v>
      </c>
      <c r="G1179" s="1">
        <f>IFERROR(__xludf.DUMMYFUNCTION("""COMPUTED_VALUE"""),45.0)</f>
        <v>45</v>
      </c>
      <c r="H1179" s="1">
        <f>IFERROR(__xludf.DUMMYFUNCTION("""COMPUTED_VALUE"""),68.0)</f>
        <v>68</v>
      </c>
      <c r="I1179" s="1">
        <f>IFERROR(__xludf.DUMMYFUNCTION("""COMPUTED_VALUE"""),92.0)</f>
        <v>92</v>
      </c>
      <c r="J1179" s="1">
        <f>IFERROR(__xludf.DUMMYFUNCTION("""COMPUTED_VALUE"""),65.0)</f>
        <v>65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 t="str">
        <f>IFERROR(__xludf.DUMMYFUNCTION("""COMPUTED_VALUE"""),"B")</f>
        <v>B</v>
      </c>
      <c r="E1180" s="1">
        <f>IFERROR(__xludf.DUMMYFUNCTION("""COMPUTED_VALUE"""),55.0)</f>
        <v>55</v>
      </c>
      <c r="F1180" s="1">
        <f>IFERROR(__xludf.DUMMYFUNCTION("""COMPUTED_VALUE"""),82.0)</f>
        <v>82</v>
      </c>
      <c r="G1180" s="1">
        <f>IFERROR(__xludf.DUMMYFUNCTION("""COMPUTED_VALUE"""),27.0)</f>
        <v>27</v>
      </c>
      <c r="H1180" s="1">
        <f>IFERROR(__xludf.DUMMYFUNCTION("""COMPUTED_VALUE"""),30.0)</f>
        <v>30</v>
      </c>
      <c r="I1180" s="1">
        <f>IFERROR(__xludf.DUMMYFUNCTION("""COMPUTED_VALUE"""),48.0)</f>
        <v>48</v>
      </c>
      <c r="J1180" s="1">
        <f>IFERROR(__xludf.DUMMYFUNCTION("""COMPUTED_VALUE"""),84.0)</f>
        <v>84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 t="str">
        <f>IFERROR(__xludf.DUMMYFUNCTION("""COMPUTED_VALUE"""),"D")</f>
        <v>D</v>
      </c>
      <c r="E1181" s="1">
        <f>IFERROR(__xludf.DUMMYFUNCTION("""COMPUTED_VALUE"""),41.0)</f>
        <v>41</v>
      </c>
      <c r="F1181" s="1">
        <f>IFERROR(__xludf.DUMMYFUNCTION("""COMPUTED_VALUE"""),39.0)</f>
        <v>39</v>
      </c>
      <c r="G1181" s="1">
        <f>IFERROR(__xludf.DUMMYFUNCTION("""COMPUTED_VALUE"""),41.0)</f>
        <v>41</v>
      </c>
      <c r="H1181" s="1">
        <f>IFERROR(__xludf.DUMMYFUNCTION("""COMPUTED_VALUE"""),87.0)</f>
        <v>87</v>
      </c>
      <c r="I1181" s="1">
        <f>IFERROR(__xludf.DUMMYFUNCTION("""COMPUTED_VALUE"""),86.0)</f>
        <v>86</v>
      </c>
      <c r="J1181" s="1">
        <f>IFERROR(__xludf.DUMMYFUNCTION("""COMPUTED_VALUE"""),81.0)</f>
        <v>81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 t="str">
        <f>IFERROR(__xludf.DUMMYFUNCTION("""COMPUTED_VALUE"""),"B")</f>
        <v>B</v>
      </c>
      <c r="E1182" s="1">
        <f>IFERROR(__xludf.DUMMYFUNCTION("""COMPUTED_VALUE"""),59.0)</f>
        <v>59</v>
      </c>
      <c r="F1182" s="1">
        <f>IFERROR(__xludf.DUMMYFUNCTION("""COMPUTED_VALUE"""),40.0)</f>
        <v>40</v>
      </c>
      <c r="G1182" s="1">
        <f>IFERROR(__xludf.DUMMYFUNCTION("""COMPUTED_VALUE"""),86.0)</f>
        <v>86</v>
      </c>
      <c r="H1182" s="1">
        <f>IFERROR(__xludf.DUMMYFUNCTION("""COMPUTED_VALUE"""),22.0)</f>
        <v>22</v>
      </c>
      <c r="I1182" s="1">
        <f>IFERROR(__xludf.DUMMYFUNCTION("""COMPUTED_VALUE"""),98.0)</f>
        <v>98</v>
      </c>
      <c r="J1182" s="1">
        <f>IFERROR(__xludf.DUMMYFUNCTION("""COMPUTED_VALUE"""),89.0)</f>
        <v>89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 t="str">
        <f>IFERROR(__xludf.DUMMYFUNCTION("""COMPUTED_VALUE"""),"B")</f>
        <v>B</v>
      </c>
      <c r="E1183" s="1">
        <f>IFERROR(__xludf.DUMMYFUNCTION("""COMPUTED_VALUE"""),19.0)</f>
        <v>19</v>
      </c>
      <c r="F1183" s="1">
        <f>IFERROR(__xludf.DUMMYFUNCTION("""COMPUTED_VALUE"""),84.0)</f>
        <v>84</v>
      </c>
      <c r="G1183" s="1">
        <f>IFERROR(__xludf.DUMMYFUNCTION("""COMPUTED_VALUE"""),65.0)</f>
        <v>65</v>
      </c>
      <c r="H1183" s="1">
        <f>IFERROR(__xludf.DUMMYFUNCTION("""COMPUTED_VALUE"""),20.0)</f>
        <v>20</v>
      </c>
      <c r="I1183" s="1">
        <f>IFERROR(__xludf.DUMMYFUNCTION("""COMPUTED_VALUE"""),73.0)</f>
        <v>73</v>
      </c>
      <c r="J1183" s="1">
        <f>IFERROR(__xludf.DUMMYFUNCTION("""COMPUTED_VALUE"""),66.0)</f>
        <v>66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 t="str">
        <f>IFERROR(__xludf.DUMMYFUNCTION("""COMPUTED_VALUE"""),"D")</f>
        <v>D</v>
      </c>
      <c r="E1184" s="1">
        <f>IFERROR(__xludf.DUMMYFUNCTION("""COMPUTED_VALUE"""),20.0)</f>
        <v>20</v>
      </c>
      <c r="F1184" s="1">
        <f>IFERROR(__xludf.DUMMYFUNCTION("""COMPUTED_VALUE"""),99.0)</f>
        <v>99</v>
      </c>
      <c r="G1184" s="1">
        <f>IFERROR(__xludf.DUMMYFUNCTION("""COMPUTED_VALUE"""),66.0)</f>
        <v>66</v>
      </c>
      <c r="H1184" s="1">
        <f>IFERROR(__xludf.DUMMYFUNCTION("""COMPUTED_VALUE"""),41.0)</f>
        <v>41</v>
      </c>
      <c r="I1184" s="1">
        <f>IFERROR(__xludf.DUMMYFUNCTION("""COMPUTED_VALUE"""),28.0)</f>
        <v>28</v>
      </c>
      <c r="J1184" s="1">
        <f>IFERROR(__xludf.DUMMYFUNCTION("""COMPUTED_VALUE"""),23.0)</f>
        <v>23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 t="str">
        <f>IFERROR(__xludf.DUMMYFUNCTION("""COMPUTED_VALUE"""),"B")</f>
        <v>B</v>
      </c>
      <c r="E1185" s="1">
        <f>IFERROR(__xludf.DUMMYFUNCTION("""COMPUTED_VALUE"""),94.0)</f>
        <v>94</v>
      </c>
      <c r="F1185" s="1">
        <f>IFERROR(__xludf.DUMMYFUNCTION("""COMPUTED_VALUE"""),89.0)</f>
        <v>89</v>
      </c>
      <c r="G1185" s="1">
        <f>IFERROR(__xludf.DUMMYFUNCTION("""COMPUTED_VALUE"""),24.0)</f>
        <v>24</v>
      </c>
      <c r="H1185" s="1">
        <f>IFERROR(__xludf.DUMMYFUNCTION("""COMPUTED_VALUE"""),81.0)</f>
        <v>81</v>
      </c>
      <c r="I1185" s="1">
        <f>IFERROR(__xludf.DUMMYFUNCTION("""COMPUTED_VALUE"""),85.0)</f>
        <v>85</v>
      </c>
      <c r="J1185" s="1">
        <f>IFERROR(__xludf.DUMMYFUNCTION("""COMPUTED_VALUE"""),51.0)</f>
        <v>51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 t="str">
        <f>IFERROR(__xludf.DUMMYFUNCTION("""COMPUTED_VALUE"""),"A")</f>
        <v>A</v>
      </c>
      <c r="E1186" s="1">
        <f>IFERROR(__xludf.DUMMYFUNCTION("""COMPUTED_VALUE"""),21.0)</f>
        <v>21</v>
      </c>
      <c r="F1186" s="1">
        <f>IFERROR(__xludf.DUMMYFUNCTION("""COMPUTED_VALUE"""),86.0)</f>
        <v>86</v>
      </c>
      <c r="G1186" s="1">
        <f>IFERROR(__xludf.DUMMYFUNCTION("""COMPUTED_VALUE"""),52.0)</f>
        <v>52</v>
      </c>
      <c r="H1186" s="1">
        <f>IFERROR(__xludf.DUMMYFUNCTION("""COMPUTED_VALUE"""),45.0)</f>
        <v>45</v>
      </c>
      <c r="I1186" s="1">
        <f>IFERROR(__xludf.DUMMYFUNCTION("""COMPUTED_VALUE"""),66.0)</f>
        <v>66</v>
      </c>
      <c r="J1186" s="1">
        <f>IFERROR(__xludf.DUMMYFUNCTION("""COMPUTED_VALUE"""),51.0)</f>
        <v>51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 t="str">
        <f>IFERROR(__xludf.DUMMYFUNCTION("""COMPUTED_VALUE"""),"D")</f>
        <v>D</v>
      </c>
      <c r="E1187" s="1">
        <f>IFERROR(__xludf.DUMMYFUNCTION("""COMPUTED_VALUE"""),51.0)</f>
        <v>51</v>
      </c>
      <c r="F1187" s="1">
        <f>IFERROR(__xludf.DUMMYFUNCTION("""COMPUTED_VALUE"""),60.0)</f>
        <v>60</v>
      </c>
      <c r="G1187" s="1">
        <f>IFERROR(__xludf.DUMMYFUNCTION("""COMPUTED_VALUE"""),20.0)</f>
        <v>20</v>
      </c>
      <c r="H1187" s="1">
        <f>IFERROR(__xludf.DUMMYFUNCTION("""COMPUTED_VALUE"""),58.0)</f>
        <v>58</v>
      </c>
      <c r="I1187" s="1">
        <f>IFERROR(__xludf.DUMMYFUNCTION("""COMPUTED_VALUE"""),43.0)</f>
        <v>43</v>
      </c>
      <c r="J1187" s="1">
        <f>IFERROR(__xludf.DUMMYFUNCTION("""COMPUTED_VALUE"""),26.0)</f>
        <v>26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 t="str">
        <f>IFERROR(__xludf.DUMMYFUNCTION("""COMPUTED_VALUE"""),"D")</f>
        <v>D</v>
      </c>
      <c r="E1188" s="1">
        <f>IFERROR(__xludf.DUMMYFUNCTION("""COMPUTED_VALUE"""),58.0)</f>
        <v>58</v>
      </c>
      <c r="F1188" s="1">
        <f>IFERROR(__xludf.DUMMYFUNCTION("""COMPUTED_VALUE"""),46.0)</f>
        <v>46</v>
      </c>
      <c r="G1188" s="1">
        <f>IFERROR(__xludf.DUMMYFUNCTION("""COMPUTED_VALUE"""),52.0)</f>
        <v>52</v>
      </c>
      <c r="H1188" s="1">
        <f>IFERROR(__xludf.DUMMYFUNCTION("""COMPUTED_VALUE"""),44.0)</f>
        <v>44</v>
      </c>
      <c r="I1188" s="1">
        <f>IFERROR(__xludf.DUMMYFUNCTION("""COMPUTED_VALUE"""),86.0)</f>
        <v>86</v>
      </c>
      <c r="J1188" s="1">
        <f>IFERROR(__xludf.DUMMYFUNCTION("""COMPUTED_VALUE"""),32.0)</f>
        <v>32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 t="str">
        <f>IFERROR(__xludf.DUMMYFUNCTION("""COMPUTED_VALUE"""),"B")</f>
        <v>B</v>
      </c>
      <c r="E1189" s="1">
        <f>IFERROR(__xludf.DUMMYFUNCTION("""COMPUTED_VALUE"""),27.0)</f>
        <v>27</v>
      </c>
      <c r="F1189" s="1">
        <f>IFERROR(__xludf.DUMMYFUNCTION("""COMPUTED_VALUE"""),90.0)</f>
        <v>90</v>
      </c>
      <c r="G1189" s="1">
        <f>IFERROR(__xludf.DUMMYFUNCTION("""COMPUTED_VALUE"""),59.0)</f>
        <v>59</v>
      </c>
      <c r="H1189" s="1">
        <f>IFERROR(__xludf.DUMMYFUNCTION("""COMPUTED_VALUE"""),99.0)</f>
        <v>99</v>
      </c>
      <c r="I1189" s="1">
        <f>IFERROR(__xludf.DUMMYFUNCTION("""COMPUTED_VALUE"""),71.0)</f>
        <v>71</v>
      </c>
      <c r="J1189" s="1">
        <f>IFERROR(__xludf.DUMMYFUNCTION("""COMPUTED_VALUE"""),40.0)</f>
        <v>40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 t="str">
        <f>IFERROR(__xludf.DUMMYFUNCTION("""COMPUTED_VALUE"""),"C")</f>
        <v>C</v>
      </c>
      <c r="E1190" s="1">
        <f>IFERROR(__xludf.DUMMYFUNCTION("""COMPUTED_VALUE"""),27.0)</f>
        <v>27</v>
      </c>
      <c r="F1190" s="1">
        <f>IFERROR(__xludf.DUMMYFUNCTION("""COMPUTED_VALUE"""),74.0)</f>
        <v>74</v>
      </c>
      <c r="G1190" s="1">
        <f>IFERROR(__xludf.DUMMYFUNCTION("""COMPUTED_VALUE"""),96.0)</f>
        <v>96</v>
      </c>
      <c r="H1190" s="1">
        <f>IFERROR(__xludf.DUMMYFUNCTION("""COMPUTED_VALUE"""),38.0)</f>
        <v>38</v>
      </c>
      <c r="I1190" s="1">
        <f>IFERROR(__xludf.DUMMYFUNCTION("""COMPUTED_VALUE"""),49.0)</f>
        <v>49</v>
      </c>
      <c r="J1190" s="1">
        <f>IFERROR(__xludf.DUMMYFUNCTION("""COMPUTED_VALUE"""),59.0)</f>
        <v>59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 t="str">
        <f>IFERROR(__xludf.DUMMYFUNCTION("""COMPUTED_VALUE"""),"D")</f>
        <v>D</v>
      </c>
      <c r="E1191" s="1">
        <f>IFERROR(__xludf.DUMMYFUNCTION("""COMPUTED_VALUE"""),97.0)</f>
        <v>97</v>
      </c>
      <c r="F1191" s="1">
        <f>IFERROR(__xludf.DUMMYFUNCTION("""COMPUTED_VALUE"""),95.0)</f>
        <v>95</v>
      </c>
      <c r="G1191" s="1">
        <f>IFERROR(__xludf.DUMMYFUNCTION("""COMPUTED_VALUE"""),93.0)</f>
        <v>93</v>
      </c>
      <c r="H1191" s="1">
        <f>IFERROR(__xludf.DUMMYFUNCTION("""COMPUTED_VALUE"""),35.0)</f>
        <v>35</v>
      </c>
      <c r="I1191" s="1">
        <f>IFERROR(__xludf.DUMMYFUNCTION("""COMPUTED_VALUE"""),73.0)</f>
        <v>73</v>
      </c>
      <c r="J1191" s="1">
        <f>IFERROR(__xludf.DUMMYFUNCTION("""COMPUTED_VALUE"""),91.0)</f>
        <v>91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 t="str">
        <f>IFERROR(__xludf.DUMMYFUNCTION("""COMPUTED_VALUE"""),"C")</f>
        <v>C</v>
      </c>
      <c r="E1192" s="1">
        <f>IFERROR(__xludf.DUMMYFUNCTION("""COMPUTED_VALUE"""),87.0)</f>
        <v>87</v>
      </c>
      <c r="F1192" s="1">
        <f>IFERROR(__xludf.DUMMYFUNCTION("""COMPUTED_VALUE"""),50.0)</f>
        <v>50</v>
      </c>
      <c r="G1192" s="1">
        <f>IFERROR(__xludf.DUMMYFUNCTION("""COMPUTED_VALUE"""),58.0)</f>
        <v>58</v>
      </c>
      <c r="H1192" s="1">
        <f>IFERROR(__xludf.DUMMYFUNCTION("""COMPUTED_VALUE"""),72.0)</f>
        <v>72</v>
      </c>
      <c r="I1192" s="1">
        <f>IFERROR(__xludf.DUMMYFUNCTION("""COMPUTED_VALUE"""),41.0)</f>
        <v>41</v>
      </c>
      <c r="J1192" s="1">
        <f>IFERROR(__xludf.DUMMYFUNCTION("""COMPUTED_VALUE"""),62.0)</f>
        <v>62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 t="str">
        <f>IFERROR(__xludf.DUMMYFUNCTION("""COMPUTED_VALUE"""),"C")</f>
        <v>C</v>
      </c>
      <c r="E1193" s="1">
        <f>IFERROR(__xludf.DUMMYFUNCTION("""COMPUTED_VALUE"""),82.0)</f>
        <v>82</v>
      </c>
      <c r="F1193" s="1">
        <f>IFERROR(__xludf.DUMMYFUNCTION("""COMPUTED_VALUE"""),54.0)</f>
        <v>54</v>
      </c>
      <c r="G1193" s="1">
        <f>IFERROR(__xludf.DUMMYFUNCTION("""COMPUTED_VALUE"""),42.0)</f>
        <v>42</v>
      </c>
      <c r="H1193" s="1">
        <f>IFERROR(__xludf.DUMMYFUNCTION("""COMPUTED_VALUE"""),45.0)</f>
        <v>45</v>
      </c>
      <c r="I1193" s="1">
        <f>IFERROR(__xludf.DUMMYFUNCTION("""COMPUTED_VALUE"""),89.0)</f>
        <v>89</v>
      </c>
      <c r="J1193" s="1">
        <f>IFERROR(__xludf.DUMMYFUNCTION("""COMPUTED_VALUE"""),59.0)</f>
        <v>59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 t="str">
        <f>IFERROR(__xludf.DUMMYFUNCTION("""COMPUTED_VALUE"""),"C")</f>
        <v>C</v>
      </c>
      <c r="E1194" s="1">
        <f>IFERROR(__xludf.DUMMYFUNCTION("""COMPUTED_VALUE"""),32.0)</f>
        <v>32</v>
      </c>
      <c r="F1194" s="1">
        <f>IFERROR(__xludf.DUMMYFUNCTION("""COMPUTED_VALUE"""),80.0)</f>
        <v>80</v>
      </c>
      <c r="G1194" s="1">
        <f>IFERROR(__xludf.DUMMYFUNCTION("""COMPUTED_VALUE"""),55.0)</f>
        <v>55</v>
      </c>
      <c r="H1194" s="1">
        <f>IFERROR(__xludf.DUMMYFUNCTION("""COMPUTED_VALUE"""),58.0)</f>
        <v>58</v>
      </c>
      <c r="I1194" s="1">
        <f>IFERROR(__xludf.DUMMYFUNCTION("""COMPUTED_VALUE"""),68.0)</f>
        <v>68</v>
      </c>
      <c r="J1194" s="1">
        <f>IFERROR(__xludf.DUMMYFUNCTION("""COMPUTED_VALUE"""),63.0)</f>
        <v>63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 t="str">
        <f>IFERROR(__xludf.DUMMYFUNCTION("""COMPUTED_VALUE"""),"D")</f>
        <v>D</v>
      </c>
      <c r="E1195" s="1">
        <f>IFERROR(__xludf.DUMMYFUNCTION("""COMPUTED_VALUE"""),17.0)</f>
        <v>17</v>
      </c>
      <c r="F1195" s="1">
        <f>IFERROR(__xludf.DUMMYFUNCTION("""COMPUTED_VALUE"""),96.0)</f>
        <v>96</v>
      </c>
      <c r="G1195" s="1">
        <f>IFERROR(__xludf.DUMMYFUNCTION("""COMPUTED_VALUE"""),28.0)</f>
        <v>28</v>
      </c>
      <c r="H1195" s="1">
        <f>IFERROR(__xludf.DUMMYFUNCTION("""COMPUTED_VALUE"""),66.0)</f>
        <v>66</v>
      </c>
      <c r="I1195" s="1">
        <f>IFERROR(__xludf.DUMMYFUNCTION("""COMPUTED_VALUE"""),55.0)</f>
        <v>55</v>
      </c>
      <c r="J1195" s="1">
        <f>IFERROR(__xludf.DUMMYFUNCTION("""COMPUTED_VALUE"""),36.0)</f>
        <v>36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 t="str">
        <f>IFERROR(__xludf.DUMMYFUNCTION("""COMPUTED_VALUE"""),"B")</f>
        <v>B</v>
      </c>
      <c r="E1196" s="1">
        <f>IFERROR(__xludf.DUMMYFUNCTION("""COMPUTED_VALUE"""),36.0)</f>
        <v>36</v>
      </c>
      <c r="F1196" s="1">
        <f>IFERROR(__xludf.DUMMYFUNCTION("""COMPUTED_VALUE"""),51.0)</f>
        <v>51</v>
      </c>
      <c r="G1196" s="1">
        <f>IFERROR(__xludf.DUMMYFUNCTION("""COMPUTED_VALUE"""),44.0)</f>
        <v>44</v>
      </c>
      <c r="H1196" s="1">
        <f>IFERROR(__xludf.DUMMYFUNCTION("""COMPUTED_VALUE"""),77.0)</f>
        <v>77</v>
      </c>
      <c r="I1196" s="1">
        <f>IFERROR(__xludf.DUMMYFUNCTION("""COMPUTED_VALUE"""),53.0)</f>
        <v>53</v>
      </c>
      <c r="J1196" s="1">
        <f>IFERROR(__xludf.DUMMYFUNCTION("""COMPUTED_VALUE"""),46.0)</f>
        <v>46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 t="str">
        <f>IFERROR(__xludf.DUMMYFUNCTION("""COMPUTED_VALUE"""),"A")</f>
        <v>A</v>
      </c>
      <c r="E1197" s="1">
        <f>IFERROR(__xludf.DUMMYFUNCTION("""COMPUTED_VALUE"""),38.0)</f>
        <v>38</v>
      </c>
      <c r="F1197" s="1">
        <f>IFERROR(__xludf.DUMMYFUNCTION("""COMPUTED_VALUE"""),21.0)</f>
        <v>21</v>
      </c>
      <c r="G1197" s="1">
        <f>IFERROR(__xludf.DUMMYFUNCTION("""COMPUTED_VALUE"""),94.0)</f>
        <v>94</v>
      </c>
      <c r="H1197" s="1">
        <f>IFERROR(__xludf.DUMMYFUNCTION("""COMPUTED_VALUE"""),54.0)</f>
        <v>54</v>
      </c>
      <c r="I1197" s="1">
        <f>IFERROR(__xludf.DUMMYFUNCTION("""COMPUTED_VALUE"""),99.0)</f>
        <v>99</v>
      </c>
      <c r="J1197" s="1">
        <f>IFERROR(__xludf.DUMMYFUNCTION("""COMPUTED_VALUE"""),51.0)</f>
        <v>51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 t="str">
        <f>IFERROR(__xludf.DUMMYFUNCTION("""COMPUTED_VALUE"""),"A")</f>
        <v>A</v>
      </c>
      <c r="E1198" s="1">
        <f>IFERROR(__xludf.DUMMYFUNCTION("""COMPUTED_VALUE"""),77.0)</f>
        <v>77</v>
      </c>
      <c r="F1198" s="1">
        <f>IFERROR(__xludf.DUMMYFUNCTION("""COMPUTED_VALUE"""),94.0)</f>
        <v>94</v>
      </c>
      <c r="G1198" s="1">
        <f>IFERROR(__xludf.DUMMYFUNCTION("""COMPUTED_VALUE"""),77.0)</f>
        <v>77</v>
      </c>
      <c r="H1198" s="1">
        <f>IFERROR(__xludf.DUMMYFUNCTION("""COMPUTED_VALUE"""),89.0)</f>
        <v>89</v>
      </c>
      <c r="I1198" s="1">
        <f>IFERROR(__xludf.DUMMYFUNCTION("""COMPUTED_VALUE"""),29.0)</f>
        <v>29</v>
      </c>
      <c r="J1198" s="1">
        <f>IFERROR(__xludf.DUMMYFUNCTION("""COMPUTED_VALUE"""),59.0)</f>
        <v>59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 t="str">
        <f>IFERROR(__xludf.DUMMYFUNCTION("""COMPUTED_VALUE"""),"C")</f>
        <v>C</v>
      </c>
      <c r="E1199" s="1">
        <f>IFERROR(__xludf.DUMMYFUNCTION("""COMPUTED_VALUE"""),37.0)</f>
        <v>37</v>
      </c>
      <c r="F1199" s="1">
        <f>IFERROR(__xludf.DUMMYFUNCTION("""COMPUTED_VALUE"""),87.0)</f>
        <v>87</v>
      </c>
      <c r="G1199" s="1">
        <f>IFERROR(__xludf.DUMMYFUNCTION("""COMPUTED_VALUE"""),46.0)</f>
        <v>46</v>
      </c>
      <c r="H1199" s="1">
        <f>IFERROR(__xludf.DUMMYFUNCTION("""COMPUTED_VALUE"""),50.0)</f>
        <v>50</v>
      </c>
      <c r="I1199" s="1">
        <f>IFERROR(__xludf.DUMMYFUNCTION("""COMPUTED_VALUE"""),72.0)</f>
        <v>72</v>
      </c>
      <c r="J1199" s="1">
        <f>IFERROR(__xludf.DUMMYFUNCTION("""COMPUTED_VALUE"""),49.0)</f>
        <v>49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 t="str">
        <f>IFERROR(__xludf.DUMMYFUNCTION("""COMPUTED_VALUE"""),"C")</f>
        <v>C</v>
      </c>
      <c r="E1200" s="1">
        <f>IFERROR(__xludf.DUMMYFUNCTION("""COMPUTED_VALUE"""),47.0)</f>
        <v>47</v>
      </c>
      <c r="F1200" s="1">
        <f>IFERROR(__xludf.DUMMYFUNCTION("""COMPUTED_VALUE"""),91.0)</f>
        <v>91</v>
      </c>
      <c r="G1200" s="1">
        <f>IFERROR(__xludf.DUMMYFUNCTION("""COMPUTED_VALUE"""),80.0)</f>
        <v>80</v>
      </c>
      <c r="H1200" s="1">
        <f>IFERROR(__xludf.DUMMYFUNCTION("""COMPUTED_VALUE"""),36.0)</f>
        <v>36</v>
      </c>
      <c r="I1200" s="1">
        <f>IFERROR(__xludf.DUMMYFUNCTION("""COMPUTED_VALUE"""),54.0)</f>
        <v>54</v>
      </c>
      <c r="J1200" s="1">
        <f>IFERROR(__xludf.DUMMYFUNCTION("""COMPUTED_VALUE"""),28.0)</f>
        <v>28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 t="str">
        <f>IFERROR(__xludf.DUMMYFUNCTION("""COMPUTED_VALUE"""),"B")</f>
        <v>B</v>
      </c>
      <c r="E1201" s="1">
        <f>IFERROR(__xludf.DUMMYFUNCTION("""COMPUTED_VALUE"""),46.0)</f>
        <v>46</v>
      </c>
      <c r="F1201" s="1">
        <f>IFERROR(__xludf.DUMMYFUNCTION("""COMPUTED_VALUE"""),94.0)</f>
        <v>94</v>
      </c>
      <c r="G1201" s="1">
        <f>IFERROR(__xludf.DUMMYFUNCTION("""COMPUTED_VALUE"""),69.0)</f>
        <v>69</v>
      </c>
      <c r="H1201" s="1">
        <f>IFERROR(__xludf.DUMMYFUNCTION("""COMPUTED_VALUE"""),46.0)</f>
        <v>46</v>
      </c>
      <c r="I1201" s="1">
        <f>IFERROR(__xludf.DUMMYFUNCTION("""COMPUTED_VALUE"""),30.0)</f>
        <v>30</v>
      </c>
      <c r="J1201" s="1">
        <f>IFERROR(__xludf.DUMMYFUNCTION("""COMPUTED_VALUE"""),96.0)</f>
        <v>96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 t="str">
        <f>IFERROR(__xludf.DUMMYFUNCTION("""COMPUTED_VALUE"""),"D")</f>
        <v>D</v>
      </c>
      <c r="E1202" s="1">
        <f>IFERROR(__xludf.DUMMYFUNCTION("""COMPUTED_VALUE"""),23.0)</f>
        <v>23</v>
      </c>
      <c r="F1202" s="1">
        <f>IFERROR(__xludf.DUMMYFUNCTION("""COMPUTED_VALUE"""),72.0)</f>
        <v>72</v>
      </c>
      <c r="G1202" s="1">
        <f>IFERROR(__xludf.DUMMYFUNCTION("""COMPUTED_VALUE"""),93.0)</f>
        <v>93</v>
      </c>
      <c r="H1202" s="1">
        <f>IFERROR(__xludf.DUMMYFUNCTION("""COMPUTED_VALUE"""),28.0)</f>
        <v>28</v>
      </c>
      <c r="I1202" s="1">
        <f>IFERROR(__xludf.DUMMYFUNCTION("""COMPUTED_VALUE"""),57.0)</f>
        <v>57</v>
      </c>
      <c r="J1202" s="1">
        <f>IFERROR(__xludf.DUMMYFUNCTION("""COMPUTED_VALUE"""),47.0)</f>
        <v>47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 t="str">
        <f>IFERROR(__xludf.DUMMYFUNCTION("""COMPUTED_VALUE"""),"B")</f>
        <v>B</v>
      </c>
      <c r="E1203" s="1">
        <f>IFERROR(__xludf.DUMMYFUNCTION("""COMPUTED_VALUE"""),63.0)</f>
        <v>63</v>
      </c>
      <c r="F1203" s="1">
        <f>IFERROR(__xludf.DUMMYFUNCTION("""COMPUTED_VALUE"""),83.0)</f>
        <v>83</v>
      </c>
      <c r="G1203" s="1">
        <f>IFERROR(__xludf.DUMMYFUNCTION("""COMPUTED_VALUE"""),20.0)</f>
        <v>20</v>
      </c>
      <c r="H1203" s="1">
        <f>IFERROR(__xludf.DUMMYFUNCTION("""COMPUTED_VALUE"""),61.0)</f>
        <v>61</v>
      </c>
      <c r="I1203" s="1">
        <f>IFERROR(__xludf.DUMMYFUNCTION("""COMPUTED_VALUE"""),30.0)</f>
        <v>30</v>
      </c>
      <c r="J1203" s="1">
        <f>IFERROR(__xludf.DUMMYFUNCTION("""COMPUTED_VALUE"""),79.0)</f>
        <v>79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 t="str">
        <f>IFERROR(__xludf.DUMMYFUNCTION("""COMPUTED_VALUE"""),"A")</f>
        <v>A</v>
      </c>
      <c r="E1204" s="1">
        <f>IFERROR(__xludf.DUMMYFUNCTION("""COMPUTED_VALUE"""),23.0)</f>
        <v>23</v>
      </c>
      <c r="F1204" s="1">
        <f>IFERROR(__xludf.DUMMYFUNCTION("""COMPUTED_VALUE"""),45.0)</f>
        <v>45</v>
      </c>
      <c r="G1204" s="1">
        <f>IFERROR(__xludf.DUMMYFUNCTION("""COMPUTED_VALUE"""),32.0)</f>
        <v>32</v>
      </c>
      <c r="H1204" s="1">
        <f>IFERROR(__xludf.DUMMYFUNCTION("""COMPUTED_VALUE"""),56.0)</f>
        <v>56</v>
      </c>
      <c r="I1204" s="1">
        <f>IFERROR(__xludf.DUMMYFUNCTION("""COMPUTED_VALUE"""),56.0)</f>
        <v>56</v>
      </c>
      <c r="J1204" s="1">
        <f>IFERROR(__xludf.DUMMYFUNCTION("""COMPUTED_VALUE"""),45.0)</f>
        <v>45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 t="str">
        <f>IFERROR(__xludf.DUMMYFUNCTION("""COMPUTED_VALUE"""),"D")</f>
        <v>D</v>
      </c>
      <c r="E1205" s="1">
        <f>IFERROR(__xludf.DUMMYFUNCTION("""COMPUTED_VALUE"""),44.0)</f>
        <v>44</v>
      </c>
      <c r="F1205" s="1">
        <f>IFERROR(__xludf.DUMMYFUNCTION("""COMPUTED_VALUE"""),27.0)</f>
        <v>27</v>
      </c>
      <c r="G1205" s="1">
        <f>IFERROR(__xludf.DUMMYFUNCTION("""COMPUTED_VALUE"""),23.0)</f>
        <v>23</v>
      </c>
      <c r="H1205" s="1">
        <f>IFERROR(__xludf.DUMMYFUNCTION("""COMPUTED_VALUE"""),72.0)</f>
        <v>72</v>
      </c>
      <c r="I1205" s="1">
        <f>IFERROR(__xludf.DUMMYFUNCTION("""COMPUTED_VALUE"""),42.0)</f>
        <v>42</v>
      </c>
      <c r="J1205" s="1">
        <f>IFERROR(__xludf.DUMMYFUNCTION("""COMPUTED_VALUE"""),52.0)</f>
        <v>52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 t="str">
        <f>IFERROR(__xludf.DUMMYFUNCTION("""COMPUTED_VALUE"""),"C")</f>
        <v>C</v>
      </c>
      <c r="E1206" s="1">
        <f>IFERROR(__xludf.DUMMYFUNCTION("""COMPUTED_VALUE"""),76.0)</f>
        <v>76</v>
      </c>
      <c r="F1206" s="1">
        <f>IFERROR(__xludf.DUMMYFUNCTION("""COMPUTED_VALUE"""),74.0)</f>
        <v>74</v>
      </c>
      <c r="G1206" s="1">
        <f>IFERROR(__xludf.DUMMYFUNCTION("""COMPUTED_VALUE"""),27.0)</f>
        <v>27</v>
      </c>
      <c r="H1206" s="1">
        <f>IFERROR(__xludf.DUMMYFUNCTION("""COMPUTED_VALUE"""),50.0)</f>
        <v>50</v>
      </c>
      <c r="I1206" s="1">
        <f>IFERROR(__xludf.DUMMYFUNCTION("""COMPUTED_VALUE"""),79.0)</f>
        <v>79</v>
      </c>
      <c r="J1206" s="1">
        <f>IFERROR(__xludf.DUMMYFUNCTION("""COMPUTED_VALUE"""),97.0)</f>
        <v>97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 t="str">
        <f>IFERROR(__xludf.DUMMYFUNCTION("""COMPUTED_VALUE"""),"A")</f>
        <v>A</v>
      </c>
      <c r="E1207" s="1">
        <f>IFERROR(__xludf.DUMMYFUNCTION("""COMPUTED_VALUE"""),21.0)</f>
        <v>21</v>
      </c>
      <c r="F1207" s="1">
        <f>IFERROR(__xludf.DUMMYFUNCTION("""COMPUTED_VALUE"""),78.0)</f>
        <v>78</v>
      </c>
      <c r="G1207" s="1">
        <f>IFERROR(__xludf.DUMMYFUNCTION("""COMPUTED_VALUE"""),77.0)</f>
        <v>77</v>
      </c>
      <c r="H1207" s="1">
        <f>IFERROR(__xludf.DUMMYFUNCTION("""COMPUTED_VALUE"""),73.0)</f>
        <v>73</v>
      </c>
      <c r="I1207" s="1">
        <f>IFERROR(__xludf.DUMMYFUNCTION("""COMPUTED_VALUE"""),64.0)</f>
        <v>64</v>
      </c>
      <c r="J1207" s="1">
        <f>IFERROR(__xludf.DUMMYFUNCTION("""COMPUTED_VALUE"""),29.0)</f>
        <v>29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 t="str">
        <f>IFERROR(__xludf.DUMMYFUNCTION("""COMPUTED_VALUE"""),"B")</f>
        <v>B</v>
      </c>
      <c r="E1208" s="1">
        <f>IFERROR(__xludf.DUMMYFUNCTION("""COMPUTED_VALUE"""),28.0)</f>
        <v>28</v>
      </c>
      <c r="F1208" s="1">
        <f>IFERROR(__xludf.DUMMYFUNCTION("""COMPUTED_VALUE"""),94.0)</f>
        <v>94</v>
      </c>
      <c r="G1208" s="1">
        <f>IFERROR(__xludf.DUMMYFUNCTION("""COMPUTED_VALUE"""),64.0)</f>
        <v>64</v>
      </c>
      <c r="H1208" s="1">
        <f>IFERROR(__xludf.DUMMYFUNCTION("""COMPUTED_VALUE"""),27.0)</f>
        <v>27</v>
      </c>
      <c r="I1208" s="1">
        <f>IFERROR(__xludf.DUMMYFUNCTION("""COMPUTED_VALUE"""),85.0)</f>
        <v>85</v>
      </c>
      <c r="J1208" s="1">
        <f>IFERROR(__xludf.DUMMYFUNCTION("""COMPUTED_VALUE"""),28.0)</f>
        <v>28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 t="str">
        <f>IFERROR(__xludf.DUMMYFUNCTION("""COMPUTED_VALUE"""),"B")</f>
        <v>B</v>
      </c>
      <c r="E1209" s="1">
        <f>IFERROR(__xludf.DUMMYFUNCTION("""COMPUTED_VALUE"""),48.0)</f>
        <v>48</v>
      </c>
      <c r="F1209" s="1">
        <f>IFERROR(__xludf.DUMMYFUNCTION("""COMPUTED_VALUE"""),34.0)</f>
        <v>34</v>
      </c>
      <c r="G1209" s="1">
        <f>IFERROR(__xludf.DUMMYFUNCTION("""COMPUTED_VALUE"""),93.0)</f>
        <v>93</v>
      </c>
      <c r="H1209" s="1">
        <f>IFERROR(__xludf.DUMMYFUNCTION("""COMPUTED_VALUE"""),27.0)</f>
        <v>27</v>
      </c>
      <c r="I1209" s="1">
        <f>IFERROR(__xludf.DUMMYFUNCTION("""COMPUTED_VALUE"""),71.0)</f>
        <v>71</v>
      </c>
      <c r="J1209" s="1">
        <f>IFERROR(__xludf.DUMMYFUNCTION("""COMPUTED_VALUE"""),79.0)</f>
        <v>79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 t="str">
        <f>IFERROR(__xludf.DUMMYFUNCTION("""COMPUTED_VALUE"""),"B")</f>
        <v>B</v>
      </c>
      <c r="E1210" s="1">
        <f>IFERROR(__xludf.DUMMYFUNCTION("""COMPUTED_VALUE"""),12.0)</f>
        <v>12</v>
      </c>
      <c r="F1210" s="1">
        <f>IFERROR(__xludf.DUMMYFUNCTION("""COMPUTED_VALUE"""),33.0)</f>
        <v>33</v>
      </c>
      <c r="G1210" s="1">
        <f>IFERROR(__xludf.DUMMYFUNCTION("""COMPUTED_VALUE"""),52.0)</f>
        <v>52</v>
      </c>
      <c r="H1210" s="1">
        <f>IFERROR(__xludf.DUMMYFUNCTION("""COMPUTED_VALUE"""),53.0)</f>
        <v>53</v>
      </c>
      <c r="I1210" s="1">
        <f>IFERROR(__xludf.DUMMYFUNCTION("""COMPUTED_VALUE"""),79.0)</f>
        <v>79</v>
      </c>
      <c r="J1210" s="1">
        <f>IFERROR(__xludf.DUMMYFUNCTION("""COMPUTED_VALUE"""),36.0)</f>
        <v>36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 t="str">
        <f>IFERROR(__xludf.DUMMYFUNCTION("""COMPUTED_VALUE"""),"A")</f>
        <v>A</v>
      </c>
      <c r="E1211" s="1">
        <f>IFERROR(__xludf.DUMMYFUNCTION("""COMPUTED_VALUE"""),14.0)</f>
        <v>14</v>
      </c>
      <c r="F1211" s="1">
        <f>IFERROR(__xludf.DUMMYFUNCTION("""COMPUTED_VALUE"""),58.0)</f>
        <v>58</v>
      </c>
      <c r="G1211" s="1">
        <f>IFERROR(__xludf.DUMMYFUNCTION("""COMPUTED_VALUE"""),56.0)</f>
        <v>56</v>
      </c>
      <c r="H1211" s="1">
        <f>IFERROR(__xludf.DUMMYFUNCTION("""COMPUTED_VALUE"""),60.0)</f>
        <v>60</v>
      </c>
      <c r="I1211" s="1">
        <f>IFERROR(__xludf.DUMMYFUNCTION("""COMPUTED_VALUE"""),73.0)</f>
        <v>73</v>
      </c>
      <c r="J1211" s="1">
        <f>IFERROR(__xludf.DUMMYFUNCTION("""COMPUTED_VALUE"""),32.0)</f>
        <v>32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 t="str">
        <f>IFERROR(__xludf.DUMMYFUNCTION("""COMPUTED_VALUE"""),"A")</f>
        <v>A</v>
      </c>
      <c r="E1212" s="1">
        <f>IFERROR(__xludf.DUMMYFUNCTION("""COMPUTED_VALUE"""),39.0)</f>
        <v>39</v>
      </c>
      <c r="F1212" s="1">
        <f>IFERROR(__xludf.DUMMYFUNCTION("""COMPUTED_VALUE"""),72.0)</f>
        <v>72</v>
      </c>
      <c r="G1212" s="1">
        <f>IFERROR(__xludf.DUMMYFUNCTION("""COMPUTED_VALUE"""),82.0)</f>
        <v>82</v>
      </c>
      <c r="H1212" s="1">
        <f>IFERROR(__xludf.DUMMYFUNCTION("""COMPUTED_VALUE"""),85.0)</f>
        <v>85</v>
      </c>
      <c r="I1212" s="1">
        <f>IFERROR(__xludf.DUMMYFUNCTION("""COMPUTED_VALUE"""),81.0)</f>
        <v>81</v>
      </c>
      <c r="J1212" s="1">
        <f>IFERROR(__xludf.DUMMYFUNCTION("""COMPUTED_VALUE"""),37.0)</f>
        <v>37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 t="str">
        <f>IFERROR(__xludf.DUMMYFUNCTION("""COMPUTED_VALUE"""),"C")</f>
        <v>C</v>
      </c>
      <c r="E1213" s="1">
        <f>IFERROR(__xludf.DUMMYFUNCTION("""COMPUTED_VALUE"""),22.0)</f>
        <v>22</v>
      </c>
      <c r="F1213" s="1">
        <f>IFERROR(__xludf.DUMMYFUNCTION("""COMPUTED_VALUE"""),59.0)</f>
        <v>59</v>
      </c>
      <c r="G1213" s="1">
        <f>IFERROR(__xludf.DUMMYFUNCTION("""COMPUTED_VALUE"""),77.0)</f>
        <v>77</v>
      </c>
      <c r="H1213" s="1">
        <f>IFERROR(__xludf.DUMMYFUNCTION("""COMPUTED_VALUE"""),94.0)</f>
        <v>94</v>
      </c>
      <c r="I1213" s="1">
        <f>IFERROR(__xludf.DUMMYFUNCTION("""COMPUTED_VALUE"""),24.0)</f>
        <v>24</v>
      </c>
      <c r="J1213" s="1">
        <f>IFERROR(__xludf.DUMMYFUNCTION("""COMPUTED_VALUE"""),78.0)</f>
        <v>78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 t="str">
        <f>IFERROR(__xludf.DUMMYFUNCTION("""COMPUTED_VALUE"""),"D")</f>
        <v>D</v>
      </c>
      <c r="E1214" s="1">
        <f>IFERROR(__xludf.DUMMYFUNCTION("""COMPUTED_VALUE"""),25.0)</f>
        <v>25</v>
      </c>
      <c r="F1214" s="1">
        <f>IFERROR(__xludf.DUMMYFUNCTION("""COMPUTED_VALUE"""),75.0)</f>
        <v>75</v>
      </c>
      <c r="G1214" s="1">
        <f>IFERROR(__xludf.DUMMYFUNCTION("""COMPUTED_VALUE"""),40.0)</f>
        <v>40</v>
      </c>
      <c r="H1214" s="1">
        <f>IFERROR(__xludf.DUMMYFUNCTION("""COMPUTED_VALUE"""),26.0)</f>
        <v>26</v>
      </c>
      <c r="I1214" s="1">
        <f>IFERROR(__xludf.DUMMYFUNCTION("""COMPUTED_VALUE"""),49.0)</f>
        <v>49</v>
      </c>
      <c r="J1214" s="1">
        <f>IFERROR(__xludf.DUMMYFUNCTION("""COMPUTED_VALUE"""),52.0)</f>
        <v>52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 t="str">
        <f>IFERROR(__xludf.DUMMYFUNCTION("""COMPUTED_VALUE"""),"B")</f>
        <v>B</v>
      </c>
      <c r="E1215" s="1">
        <f>IFERROR(__xludf.DUMMYFUNCTION("""COMPUTED_VALUE"""),61.0)</f>
        <v>61</v>
      </c>
      <c r="F1215" s="1">
        <f>IFERROR(__xludf.DUMMYFUNCTION("""COMPUTED_VALUE"""),70.0)</f>
        <v>70</v>
      </c>
      <c r="G1215" s="1">
        <f>IFERROR(__xludf.DUMMYFUNCTION("""COMPUTED_VALUE"""),46.0)</f>
        <v>46</v>
      </c>
      <c r="H1215" s="1">
        <f>IFERROR(__xludf.DUMMYFUNCTION("""COMPUTED_VALUE"""),91.0)</f>
        <v>91</v>
      </c>
      <c r="I1215" s="1">
        <f>IFERROR(__xludf.DUMMYFUNCTION("""COMPUTED_VALUE"""),98.0)</f>
        <v>98</v>
      </c>
      <c r="J1215" s="1">
        <f>IFERROR(__xludf.DUMMYFUNCTION("""COMPUTED_VALUE"""),71.0)</f>
        <v>71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 t="str">
        <f>IFERROR(__xludf.DUMMYFUNCTION("""COMPUTED_VALUE"""),"D")</f>
        <v>D</v>
      </c>
      <c r="E1216" s="1">
        <f>IFERROR(__xludf.DUMMYFUNCTION("""COMPUTED_VALUE"""),83.0)</f>
        <v>83</v>
      </c>
      <c r="F1216" s="1">
        <f>IFERROR(__xludf.DUMMYFUNCTION("""COMPUTED_VALUE"""),72.0)</f>
        <v>72</v>
      </c>
      <c r="G1216" s="1">
        <f>IFERROR(__xludf.DUMMYFUNCTION("""COMPUTED_VALUE"""),99.0)</f>
        <v>99</v>
      </c>
      <c r="H1216" s="1">
        <f>IFERROR(__xludf.DUMMYFUNCTION("""COMPUTED_VALUE"""),64.0)</f>
        <v>64</v>
      </c>
      <c r="I1216" s="1">
        <f>IFERROR(__xludf.DUMMYFUNCTION("""COMPUTED_VALUE"""),45.0)</f>
        <v>45</v>
      </c>
      <c r="J1216" s="1">
        <f>IFERROR(__xludf.DUMMYFUNCTION("""COMPUTED_VALUE"""),64.0)</f>
        <v>64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 t="str">
        <f>IFERROR(__xludf.DUMMYFUNCTION("""COMPUTED_VALUE"""),"C")</f>
        <v>C</v>
      </c>
      <c r="E1217" s="1">
        <f>IFERROR(__xludf.DUMMYFUNCTION("""COMPUTED_VALUE"""),65.0)</f>
        <v>65</v>
      </c>
      <c r="F1217" s="1">
        <f>IFERROR(__xludf.DUMMYFUNCTION("""COMPUTED_VALUE"""),89.0)</f>
        <v>89</v>
      </c>
      <c r="G1217" s="1">
        <f>IFERROR(__xludf.DUMMYFUNCTION("""COMPUTED_VALUE"""),49.0)</f>
        <v>49</v>
      </c>
      <c r="H1217" s="1">
        <f>IFERROR(__xludf.DUMMYFUNCTION("""COMPUTED_VALUE"""),34.0)</f>
        <v>34</v>
      </c>
      <c r="I1217" s="1">
        <f>IFERROR(__xludf.DUMMYFUNCTION("""COMPUTED_VALUE"""),73.0)</f>
        <v>73</v>
      </c>
      <c r="J1217" s="1">
        <f>IFERROR(__xludf.DUMMYFUNCTION("""COMPUTED_VALUE"""),33.0)</f>
        <v>33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 t="str">
        <f>IFERROR(__xludf.DUMMYFUNCTION("""COMPUTED_VALUE"""),"C")</f>
        <v>C</v>
      </c>
      <c r="E1218" s="1">
        <f>IFERROR(__xludf.DUMMYFUNCTION("""COMPUTED_VALUE"""),85.0)</f>
        <v>85</v>
      </c>
      <c r="F1218" s="1">
        <f>IFERROR(__xludf.DUMMYFUNCTION("""COMPUTED_VALUE"""),80.0)</f>
        <v>80</v>
      </c>
      <c r="G1218" s="1">
        <f>IFERROR(__xludf.DUMMYFUNCTION("""COMPUTED_VALUE"""),26.0)</f>
        <v>26</v>
      </c>
      <c r="H1218" s="1">
        <f>IFERROR(__xludf.DUMMYFUNCTION("""COMPUTED_VALUE"""),70.0)</f>
        <v>70</v>
      </c>
      <c r="I1218" s="1">
        <f>IFERROR(__xludf.DUMMYFUNCTION("""COMPUTED_VALUE"""),67.0)</f>
        <v>67</v>
      </c>
      <c r="J1218" s="1">
        <f>IFERROR(__xludf.DUMMYFUNCTION("""COMPUTED_VALUE"""),78.0)</f>
        <v>78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 t="str">
        <f>IFERROR(__xludf.DUMMYFUNCTION("""COMPUTED_VALUE"""),"A")</f>
        <v>A</v>
      </c>
      <c r="E1219" s="1">
        <f>IFERROR(__xludf.DUMMYFUNCTION("""COMPUTED_VALUE"""),88.0)</f>
        <v>88</v>
      </c>
      <c r="F1219" s="1">
        <f>IFERROR(__xludf.DUMMYFUNCTION("""COMPUTED_VALUE"""),82.0)</f>
        <v>82</v>
      </c>
      <c r="G1219" s="1">
        <f>IFERROR(__xludf.DUMMYFUNCTION("""COMPUTED_VALUE"""),63.0)</f>
        <v>63</v>
      </c>
      <c r="H1219" s="1">
        <f>IFERROR(__xludf.DUMMYFUNCTION("""COMPUTED_VALUE"""),85.0)</f>
        <v>85</v>
      </c>
      <c r="I1219" s="1">
        <f>IFERROR(__xludf.DUMMYFUNCTION("""COMPUTED_VALUE"""),77.0)</f>
        <v>77</v>
      </c>
      <c r="J1219" s="1">
        <f>IFERROR(__xludf.DUMMYFUNCTION("""COMPUTED_VALUE"""),72.0)</f>
        <v>72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 t="str">
        <f>IFERROR(__xludf.DUMMYFUNCTION("""COMPUTED_VALUE"""),"C")</f>
        <v>C</v>
      </c>
      <c r="E1220" s="1">
        <f>IFERROR(__xludf.DUMMYFUNCTION("""COMPUTED_VALUE"""),46.0)</f>
        <v>46</v>
      </c>
      <c r="F1220" s="1">
        <f>IFERROR(__xludf.DUMMYFUNCTION("""COMPUTED_VALUE"""),23.0)</f>
        <v>23</v>
      </c>
      <c r="G1220" s="1">
        <f>IFERROR(__xludf.DUMMYFUNCTION("""COMPUTED_VALUE"""),41.0)</f>
        <v>41</v>
      </c>
      <c r="H1220" s="1">
        <f>IFERROR(__xludf.DUMMYFUNCTION("""COMPUTED_VALUE"""),70.0)</f>
        <v>70</v>
      </c>
      <c r="I1220" s="1">
        <f>IFERROR(__xludf.DUMMYFUNCTION("""COMPUTED_VALUE"""),92.0)</f>
        <v>92</v>
      </c>
      <c r="J1220" s="1">
        <f>IFERROR(__xludf.DUMMYFUNCTION("""COMPUTED_VALUE"""),80.0)</f>
        <v>80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 t="str">
        <f>IFERROR(__xludf.DUMMYFUNCTION("""COMPUTED_VALUE"""),"C")</f>
        <v>C</v>
      </c>
      <c r="E1221" s="1">
        <f>IFERROR(__xludf.DUMMYFUNCTION("""COMPUTED_VALUE"""),87.0)</f>
        <v>87</v>
      </c>
      <c r="F1221" s="1">
        <f>IFERROR(__xludf.DUMMYFUNCTION("""COMPUTED_VALUE"""),88.0)</f>
        <v>88</v>
      </c>
      <c r="G1221" s="1">
        <f>IFERROR(__xludf.DUMMYFUNCTION("""COMPUTED_VALUE"""),79.0)</f>
        <v>79</v>
      </c>
      <c r="H1221" s="1">
        <f>IFERROR(__xludf.DUMMYFUNCTION("""COMPUTED_VALUE"""),22.0)</f>
        <v>22</v>
      </c>
      <c r="I1221" s="1">
        <f>IFERROR(__xludf.DUMMYFUNCTION("""COMPUTED_VALUE"""),70.0)</f>
        <v>70</v>
      </c>
      <c r="J1221" s="1">
        <f>IFERROR(__xludf.DUMMYFUNCTION("""COMPUTED_VALUE"""),39.0)</f>
        <v>39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 t="str">
        <f>IFERROR(__xludf.DUMMYFUNCTION("""COMPUTED_VALUE"""),"B")</f>
        <v>B</v>
      </c>
      <c r="E1222" s="1">
        <f>IFERROR(__xludf.DUMMYFUNCTION("""COMPUTED_VALUE"""),15.0)</f>
        <v>15</v>
      </c>
      <c r="F1222" s="1">
        <f>IFERROR(__xludf.DUMMYFUNCTION("""COMPUTED_VALUE"""),38.0)</f>
        <v>38</v>
      </c>
      <c r="G1222" s="1">
        <f>IFERROR(__xludf.DUMMYFUNCTION("""COMPUTED_VALUE"""),45.0)</f>
        <v>45</v>
      </c>
      <c r="H1222" s="1">
        <f>IFERROR(__xludf.DUMMYFUNCTION("""COMPUTED_VALUE"""),82.0)</f>
        <v>82</v>
      </c>
      <c r="I1222" s="1">
        <f>IFERROR(__xludf.DUMMYFUNCTION("""COMPUTED_VALUE"""),89.0)</f>
        <v>89</v>
      </c>
      <c r="J1222" s="1">
        <f>IFERROR(__xludf.DUMMYFUNCTION("""COMPUTED_VALUE"""),40.0)</f>
        <v>40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 t="str">
        <f>IFERROR(__xludf.DUMMYFUNCTION("""COMPUTED_VALUE"""),"A")</f>
        <v>A</v>
      </c>
      <c r="E1223" s="1">
        <f>IFERROR(__xludf.DUMMYFUNCTION("""COMPUTED_VALUE"""),14.0)</f>
        <v>14</v>
      </c>
      <c r="F1223" s="1">
        <f>IFERROR(__xludf.DUMMYFUNCTION("""COMPUTED_VALUE"""),24.0)</f>
        <v>24</v>
      </c>
      <c r="G1223" s="1">
        <f>IFERROR(__xludf.DUMMYFUNCTION("""COMPUTED_VALUE"""),84.0)</f>
        <v>84</v>
      </c>
      <c r="H1223" s="1">
        <f>IFERROR(__xludf.DUMMYFUNCTION("""COMPUTED_VALUE"""),49.0)</f>
        <v>49</v>
      </c>
      <c r="I1223" s="1">
        <f>IFERROR(__xludf.DUMMYFUNCTION("""COMPUTED_VALUE"""),65.0)</f>
        <v>65</v>
      </c>
      <c r="J1223" s="1">
        <f>IFERROR(__xludf.DUMMYFUNCTION("""COMPUTED_VALUE"""),73.0)</f>
        <v>73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 t="str">
        <f>IFERROR(__xludf.DUMMYFUNCTION("""COMPUTED_VALUE"""),"C")</f>
        <v>C</v>
      </c>
      <c r="E1224" s="1">
        <f>IFERROR(__xludf.DUMMYFUNCTION("""COMPUTED_VALUE"""),38.0)</f>
        <v>38</v>
      </c>
      <c r="F1224" s="1">
        <f>IFERROR(__xludf.DUMMYFUNCTION("""COMPUTED_VALUE"""),27.0)</f>
        <v>27</v>
      </c>
      <c r="G1224" s="1">
        <f>IFERROR(__xludf.DUMMYFUNCTION("""COMPUTED_VALUE"""),61.0)</f>
        <v>61</v>
      </c>
      <c r="H1224" s="1">
        <f>IFERROR(__xludf.DUMMYFUNCTION("""COMPUTED_VALUE"""),95.0)</f>
        <v>95</v>
      </c>
      <c r="I1224" s="1">
        <f>IFERROR(__xludf.DUMMYFUNCTION("""COMPUTED_VALUE"""),61.0)</f>
        <v>61</v>
      </c>
      <c r="J1224" s="1">
        <f>IFERROR(__xludf.DUMMYFUNCTION("""COMPUTED_VALUE"""),52.0)</f>
        <v>52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 t="str">
        <f>IFERROR(__xludf.DUMMYFUNCTION("""COMPUTED_VALUE"""),"B")</f>
        <v>B</v>
      </c>
      <c r="E1225" s="1">
        <f>IFERROR(__xludf.DUMMYFUNCTION("""COMPUTED_VALUE"""),49.0)</f>
        <v>49</v>
      </c>
      <c r="F1225" s="1">
        <f>IFERROR(__xludf.DUMMYFUNCTION("""COMPUTED_VALUE"""),78.0)</f>
        <v>78</v>
      </c>
      <c r="G1225" s="1">
        <f>IFERROR(__xludf.DUMMYFUNCTION("""COMPUTED_VALUE"""),47.0)</f>
        <v>47</v>
      </c>
      <c r="H1225" s="1">
        <f>IFERROR(__xludf.DUMMYFUNCTION("""COMPUTED_VALUE"""),96.0)</f>
        <v>96</v>
      </c>
      <c r="I1225" s="1">
        <f>IFERROR(__xludf.DUMMYFUNCTION("""COMPUTED_VALUE"""),65.0)</f>
        <v>65</v>
      </c>
      <c r="J1225" s="1">
        <f>IFERROR(__xludf.DUMMYFUNCTION("""COMPUTED_VALUE"""),36.0)</f>
        <v>36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 t="str">
        <f>IFERROR(__xludf.DUMMYFUNCTION("""COMPUTED_VALUE"""),"D")</f>
        <v>D</v>
      </c>
      <c r="E1226" s="1">
        <f>IFERROR(__xludf.DUMMYFUNCTION("""COMPUTED_VALUE"""),77.0)</f>
        <v>77</v>
      </c>
      <c r="F1226" s="1">
        <f>IFERROR(__xludf.DUMMYFUNCTION("""COMPUTED_VALUE"""),51.0)</f>
        <v>51</v>
      </c>
      <c r="G1226" s="1">
        <f>IFERROR(__xludf.DUMMYFUNCTION("""COMPUTED_VALUE"""),28.0)</f>
        <v>28</v>
      </c>
      <c r="H1226" s="1">
        <f>IFERROR(__xludf.DUMMYFUNCTION("""COMPUTED_VALUE"""),73.0)</f>
        <v>73</v>
      </c>
      <c r="I1226" s="1">
        <f>IFERROR(__xludf.DUMMYFUNCTION("""COMPUTED_VALUE"""),39.0)</f>
        <v>39</v>
      </c>
      <c r="J1226" s="1">
        <f>IFERROR(__xludf.DUMMYFUNCTION("""COMPUTED_VALUE"""),50.0)</f>
        <v>50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 t="str">
        <f>IFERROR(__xludf.DUMMYFUNCTION("""COMPUTED_VALUE"""),"C")</f>
        <v>C</v>
      </c>
      <c r="E1227" s="1">
        <f>IFERROR(__xludf.DUMMYFUNCTION("""COMPUTED_VALUE"""),87.0)</f>
        <v>87</v>
      </c>
      <c r="F1227" s="1">
        <f>IFERROR(__xludf.DUMMYFUNCTION("""COMPUTED_VALUE"""),22.0)</f>
        <v>22</v>
      </c>
      <c r="G1227" s="1">
        <f>IFERROR(__xludf.DUMMYFUNCTION("""COMPUTED_VALUE"""),38.0)</f>
        <v>38</v>
      </c>
      <c r="H1227" s="1">
        <f>IFERROR(__xludf.DUMMYFUNCTION("""COMPUTED_VALUE"""),79.0)</f>
        <v>79</v>
      </c>
      <c r="I1227" s="1">
        <f>IFERROR(__xludf.DUMMYFUNCTION("""COMPUTED_VALUE"""),22.0)</f>
        <v>22</v>
      </c>
      <c r="J1227" s="1">
        <f>IFERROR(__xludf.DUMMYFUNCTION("""COMPUTED_VALUE"""),58.0)</f>
        <v>58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 t="str">
        <f>IFERROR(__xludf.DUMMYFUNCTION("""COMPUTED_VALUE"""),"C")</f>
        <v>C</v>
      </c>
      <c r="E1228" s="1">
        <f>IFERROR(__xludf.DUMMYFUNCTION("""COMPUTED_VALUE"""),84.0)</f>
        <v>84</v>
      </c>
      <c r="F1228" s="1">
        <f>IFERROR(__xludf.DUMMYFUNCTION("""COMPUTED_VALUE"""),60.0)</f>
        <v>60</v>
      </c>
      <c r="G1228" s="1">
        <f>IFERROR(__xludf.DUMMYFUNCTION("""COMPUTED_VALUE"""),72.0)</f>
        <v>72</v>
      </c>
      <c r="H1228" s="1">
        <f>IFERROR(__xludf.DUMMYFUNCTION("""COMPUTED_VALUE"""),88.0)</f>
        <v>88</v>
      </c>
      <c r="I1228" s="1">
        <f>IFERROR(__xludf.DUMMYFUNCTION("""COMPUTED_VALUE"""),60.0)</f>
        <v>60</v>
      </c>
      <c r="J1228" s="1">
        <f>IFERROR(__xludf.DUMMYFUNCTION("""COMPUTED_VALUE"""),25.0)</f>
        <v>25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 t="str">
        <f>IFERROR(__xludf.DUMMYFUNCTION("""COMPUTED_VALUE"""),"C")</f>
        <v>C</v>
      </c>
      <c r="E1229" s="1">
        <f>IFERROR(__xludf.DUMMYFUNCTION("""COMPUTED_VALUE"""),19.0)</f>
        <v>19</v>
      </c>
      <c r="F1229" s="1">
        <f>IFERROR(__xludf.DUMMYFUNCTION("""COMPUTED_VALUE"""),41.0)</f>
        <v>41</v>
      </c>
      <c r="G1229" s="1">
        <f>IFERROR(__xludf.DUMMYFUNCTION("""COMPUTED_VALUE"""),52.0)</f>
        <v>52</v>
      </c>
      <c r="H1229" s="1">
        <f>IFERROR(__xludf.DUMMYFUNCTION("""COMPUTED_VALUE"""),70.0)</f>
        <v>70</v>
      </c>
      <c r="I1229" s="1">
        <f>IFERROR(__xludf.DUMMYFUNCTION("""COMPUTED_VALUE"""),59.0)</f>
        <v>59</v>
      </c>
      <c r="J1229" s="1">
        <f>IFERROR(__xludf.DUMMYFUNCTION("""COMPUTED_VALUE"""),76.0)</f>
        <v>76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 t="str">
        <f>IFERROR(__xludf.DUMMYFUNCTION("""COMPUTED_VALUE"""),"A")</f>
        <v>A</v>
      </c>
      <c r="E1230" s="1">
        <f>IFERROR(__xludf.DUMMYFUNCTION("""COMPUTED_VALUE"""),28.0)</f>
        <v>28</v>
      </c>
      <c r="F1230" s="1">
        <f>IFERROR(__xludf.DUMMYFUNCTION("""COMPUTED_VALUE"""),44.0)</f>
        <v>44</v>
      </c>
      <c r="G1230" s="1">
        <f>IFERROR(__xludf.DUMMYFUNCTION("""COMPUTED_VALUE"""),44.0)</f>
        <v>44</v>
      </c>
      <c r="H1230" s="1">
        <f>IFERROR(__xludf.DUMMYFUNCTION("""COMPUTED_VALUE"""),56.0)</f>
        <v>56</v>
      </c>
      <c r="I1230" s="1">
        <f>IFERROR(__xludf.DUMMYFUNCTION("""COMPUTED_VALUE"""),21.0)</f>
        <v>21</v>
      </c>
      <c r="J1230" s="1">
        <f>IFERROR(__xludf.DUMMYFUNCTION("""COMPUTED_VALUE"""),34.0)</f>
        <v>34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 t="str">
        <f>IFERROR(__xludf.DUMMYFUNCTION("""COMPUTED_VALUE"""),"A")</f>
        <v>A</v>
      </c>
      <c r="E1231" s="1">
        <f>IFERROR(__xludf.DUMMYFUNCTION("""COMPUTED_VALUE"""),92.0)</f>
        <v>92</v>
      </c>
      <c r="F1231" s="1">
        <f>IFERROR(__xludf.DUMMYFUNCTION("""COMPUTED_VALUE"""),46.0)</f>
        <v>46</v>
      </c>
      <c r="G1231" s="1">
        <f>IFERROR(__xludf.DUMMYFUNCTION("""COMPUTED_VALUE"""),41.0)</f>
        <v>41</v>
      </c>
      <c r="H1231" s="1">
        <f>IFERROR(__xludf.DUMMYFUNCTION("""COMPUTED_VALUE"""),41.0)</f>
        <v>41</v>
      </c>
      <c r="I1231" s="1">
        <f>IFERROR(__xludf.DUMMYFUNCTION("""COMPUTED_VALUE"""),66.0)</f>
        <v>66</v>
      </c>
      <c r="J1231" s="1">
        <f>IFERROR(__xludf.DUMMYFUNCTION("""COMPUTED_VALUE"""),98.0)</f>
        <v>98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 t="str">
        <f>IFERROR(__xludf.DUMMYFUNCTION("""COMPUTED_VALUE"""),"A")</f>
        <v>A</v>
      </c>
      <c r="E1232" s="1">
        <f>IFERROR(__xludf.DUMMYFUNCTION("""COMPUTED_VALUE"""),99.0)</f>
        <v>99</v>
      </c>
      <c r="F1232" s="1">
        <f>IFERROR(__xludf.DUMMYFUNCTION("""COMPUTED_VALUE"""),60.0)</f>
        <v>60</v>
      </c>
      <c r="G1232" s="1">
        <f>IFERROR(__xludf.DUMMYFUNCTION("""COMPUTED_VALUE"""),99.0)</f>
        <v>99</v>
      </c>
      <c r="H1232" s="1">
        <f>IFERROR(__xludf.DUMMYFUNCTION("""COMPUTED_VALUE"""),85.0)</f>
        <v>85</v>
      </c>
      <c r="I1232" s="1">
        <f>IFERROR(__xludf.DUMMYFUNCTION("""COMPUTED_VALUE"""),28.0)</f>
        <v>28</v>
      </c>
      <c r="J1232" s="1">
        <f>IFERROR(__xludf.DUMMYFUNCTION("""COMPUTED_VALUE"""),92.0)</f>
        <v>92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 t="str">
        <f>IFERROR(__xludf.DUMMYFUNCTION("""COMPUTED_VALUE"""),"B")</f>
        <v>B</v>
      </c>
      <c r="E1233" s="1">
        <f>IFERROR(__xludf.DUMMYFUNCTION("""COMPUTED_VALUE"""),20.0)</f>
        <v>20</v>
      </c>
      <c r="F1233" s="1">
        <f>IFERROR(__xludf.DUMMYFUNCTION("""COMPUTED_VALUE"""),27.0)</f>
        <v>27</v>
      </c>
      <c r="G1233" s="1">
        <f>IFERROR(__xludf.DUMMYFUNCTION("""COMPUTED_VALUE"""),78.0)</f>
        <v>78</v>
      </c>
      <c r="H1233" s="1">
        <f>IFERROR(__xludf.DUMMYFUNCTION("""COMPUTED_VALUE"""),78.0)</f>
        <v>78</v>
      </c>
      <c r="I1233" s="1">
        <f>IFERROR(__xludf.DUMMYFUNCTION("""COMPUTED_VALUE"""),80.0)</f>
        <v>80</v>
      </c>
      <c r="J1233" s="1">
        <f>IFERROR(__xludf.DUMMYFUNCTION("""COMPUTED_VALUE"""),26.0)</f>
        <v>26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 t="str">
        <f>IFERROR(__xludf.DUMMYFUNCTION("""COMPUTED_VALUE"""),"C")</f>
        <v>C</v>
      </c>
      <c r="E1234" s="1">
        <f>IFERROR(__xludf.DUMMYFUNCTION("""COMPUTED_VALUE"""),73.0)</f>
        <v>73</v>
      </c>
      <c r="F1234" s="1">
        <f>IFERROR(__xludf.DUMMYFUNCTION("""COMPUTED_VALUE"""),53.0)</f>
        <v>53</v>
      </c>
      <c r="G1234" s="1">
        <f>IFERROR(__xludf.DUMMYFUNCTION("""COMPUTED_VALUE"""),57.0)</f>
        <v>57</v>
      </c>
      <c r="H1234" s="1">
        <f>IFERROR(__xludf.DUMMYFUNCTION("""COMPUTED_VALUE"""),38.0)</f>
        <v>38</v>
      </c>
      <c r="I1234" s="1">
        <f>IFERROR(__xludf.DUMMYFUNCTION("""COMPUTED_VALUE"""),58.0)</f>
        <v>58</v>
      </c>
      <c r="J1234" s="1">
        <f>IFERROR(__xludf.DUMMYFUNCTION("""COMPUTED_VALUE"""),60.0)</f>
        <v>60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 t="str">
        <f>IFERROR(__xludf.DUMMYFUNCTION("""COMPUTED_VALUE"""),"B")</f>
        <v>B</v>
      </c>
      <c r="E1235" s="1">
        <f>IFERROR(__xludf.DUMMYFUNCTION("""COMPUTED_VALUE"""),48.0)</f>
        <v>48</v>
      </c>
      <c r="F1235" s="1">
        <f>IFERROR(__xludf.DUMMYFUNCTION("""COMPUTED_VALUE"""),76.0)</f>
        <v>76</v>
      </c>
      <c r="G1235" s="1">
        <f>IFERROR(__xludf.DUMMYFUNCTION("""COMPUTED_VALUE"""),99.0)</f>
        <v>99</v>
      </c>
      <c r="H1235" s="1">
        <f>IFERROR(__xludf.DUMMYFUNCTION("""COMPUTED_VALUE"""),60.0)</f>
        <v>60</v>
      </c>
      <c r="I1235" s="1">
        <f>IFERROR(__xludf.DUMMYFUNCTION("""COMPUTED_VALUE"""),57.0)</f>
        <v>57</v>
      </c>
      <c r="J1235" s="1">
        <f>IFERROR(__xludf.DUMMYFUNCTION("""COMPUTED_VALUE"""),78.0)</f>
        <v>78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 t="str">
        <f>IFERROR(__xludf.DUMMYFUNCTION("""COMPUTED_VALUE"""),"A")</f>
        <v>A</v>
      </c>
      <c r="E1236" s="1">
        <f>IFERROR(__xludf.DUMMYFUNCTION("""COMPUTED_VALUE"""),33.0)</f>
        <v>33</v>
      </c>
      <c r="F1236" s="1">
        <f>IFERROR(__xludf.DUMMYFUNCTION("""COMPUTED_VALUE"""),32.0)</f>
        <v>32</v>
      </c>
      <c r="G1236" s="1">
        <f>IFERROR(__xludf.DUMMYFUNCTION("""COMPUTED_VALUE"""),61.0)</f>
        <v>61</v>
      </c>
      <c r="H1236" s="1">
        <f>IFERROR(__xludf.DUMMYFUNCTION("""COMPUTED_VALUE"""),73.0)</f>
        <v>73</v>
      </c>
      <c r="I1236" s="1">
        <f>IFERROR(__xludf.DUMMYFUNCTION("""COMPUTED_VALUE"""),53.0)</f>
        <v>53</v>
      </c>
      <c r="J1236" s="1">
        <f>IFERROR(__xludf.DUMMYFUNCTION("""COMPUTED_VALUE"""),77.0)</f>
        <v>77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 t="str">
        <f>IFERROR(__xludf.DUMMYFUNCTION("""COMPUTED_VALUE"""),"C")</f>
        <v>C</v>
      </c>
      <c r="E1237" s="1">
        <f>IFERROR(__xludf.DUMMYFUNCTION("""COMPUTED_VALUE"""),95.0)</f>
        <v>95</v>
      </c>
      <c r="F1237" s="1">
        <f>IFERROR(__xludf.DUMMYFUNCTION("""COMPUTED_VALUE"""),95.0)</f>
        <v>95</v>
      </c>
      <c r="G1237" s="1">
        <f>IFERROR(__xludf.DUMMYFUNCTION("""COMPUTED_VALUE"""),45.0)</f>
        <v>45</v>
      </c>
      <c r="H1237" s="1">
        <f>IFERROR(__xludf.DUMMYFUNCTION("""COMPUTED_VALUE"""),88.0)</f>
        <v>88</v>
      </c>
      <c r="I1237" s="1">
        <f>IFERROR(__xludf.DUMMYFUNCTION("""COMPUTED_VALUE"""),56.0)</f>
        <v>56</v>
      </c>
      <c r="J1237" s="1">
        <f>IFERROR(__xludf.DUMMYFUNCTION("""COMPUTED_VALUE"""),28.0)</f>
        <v>28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 t="str">
        <f>IFERROR(__xludf.DUMMYFUNCTION("""COMPUTED_VALUE"""),"D")</f>
        <v>D</v>
      </c>
      <c r="E1238" s="1">
        <f>IFERROR(__xludf.DUMMYFUNCTION("""COMPUTED_VALUE"""),40.0)</f>
        <v>40</v>
      </c>
      <c r="F1238" s="1">
        <f>IFERROR(__xludf.DUMMYFUNCTION("""COMPUTED_VALUE"""),29.0)</f>
        <v>29</v>
      </c>
      <c r="G1238" s="1">
        <f>IFERROR(__xludf.DUMMYFUNCTION("""COMPUTED_VALUE"""),81.0)</f>
        <v>81</v>
      </c>
      <c r="H1238" s="1">
        <f>IFERROR(__xludf.DUMMYFUNCTION("""COMPUTED_VALUE"""),35.0)</f>
        <v>35</v>
      </c>
      <c r="I1238" s="1">
        <f>IFERROR(__xludf.DUMMYFUNCTION("""COMPUTED_VALUE"""),38.0)</f>
        <v>38</v>
      </c>
      <c r="J1238" s="1">
        <f>IFERROR(__xludf.DUMMYFUNCTION("""COMPUTED_VALUE"""),51.0)</f>
        <v>51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 t="str">
        <f>IFERROR(__xludf.DUMMYFUNCTION("""COMPUTED_VALUE"""),"D")</f>
        <v>D</v>
      </c>
      <c r="E1239" s="1">
        <f>IFERROR(__xludf.DUMMYFUNCTION("""COMPUTED_VALUE"""),16.0)</f>
        <v>16</v>
      </c>
      <c r="F1239" s="1">
        <f>IFERROR(__xludf.DUMMYFUNCTION("""COMPUTED_VALUE"""),93.0)</f>
        <v>93</v>
      </c>
      <c r="G1239" s="1">
        <f>IFERROR(__xludf.DUMMYFUNCTION("""COMPUTED_VALUE"""),70.0)</f>
        <v>70</v>
      </c>
      <c r="H1239" s="1">
        <f>IFERROR(__xludf.DUMMYFUNCTION("""COMPUTED_VALUE"""),83.0)</f>
        <v>83</v>
      </c>
      <c r="I1239" s="1">
        <f>IFERROR(__xludf.DUMMYFUNCTION("""COMPUTED_VALUE"""),70.0)</f>
        <v>70</v>
      </c>
      <c r="J1239" s="1">
        <f>IFERROR(__xludf.DUMMYFUNCTION("""COMPUTED_VALUE"""),39.0)</f>
        <v>39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 t="str">
        <f>IFERROR(__xludf.DUMMYFUNCTION("""COMPUTED_VALUE"""),"D")</f>
        <v>D</v>
      </c>
      <c r="E1240" s="1">
        <f>IFERROR(__xludf.DUMMYFUNCTION("""COMPUTED_VALUE"""),73.0)</f>
        <v>73</v>
      </c>
      <c r="F1240" s="1">
        <f>IFERROR(__xludf.DUMMYFUNCTION("""COMPUTED_VALUE"""),66.0)</f>
        <v>66</v>
      </c>
      <c r="G1240" s="1">
        <f>IFERROR(__xludf.DUMMYFUNCTION("""COMPUTED_VALUE"""),25.0)</f>
        <v>25</v>
      </c>
      <c r="H1240" s="1">
        <f>IFERROR(__xludf.DUMMYFUNCTION("""COMPUTED_VALUE"""),41.0)</f>
        <v>41</v>
      </c>
      <c r="I1240" s="1">
        <f>IFERROR(__xludf.DUMMYFUNCTION("""COMPUTED_VALUE"""),55.0)</f>
        <v>55</v>
      </c>
      <c r="J1240" s="1">
        <f>IFERROR(__xludf.DUMMYFUNCTION("""COMPUTED_VALUE"""),26.0)</f>
        <v>26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 t="str">
        <f>IFERROR(__xludf.DUMMYFUNCTION("""COMPUTED_VALUE"""),"D")</f>
        <v>D</v>
      </c>
      <c r="E1241" s="1">
        <f>IFERROR(__xludf.DUMMYFUNCTION("""COMPUTED_VALUE"""),99.0)</f>
        <v>99</v>
      </c>
      <c r="F1241" s="1">
        <f>IFERROR(__xludf.DUMMYFUNCTION("""COMPUTED_VALUE"""),68.0)</f>
        <v>68</v>
      </c>
      <c r="G1241" s="1">
        <f>IFERROR(__xludf.DUMMYFUNCTION("""COMPUTED_VALUE"""),97.0)</f>
        <v>97</v>
      </c>
      <c r="H1241" s="1">
        <f>IFERROR(__xludf.DUMMYFUNCTION("""COMPUTED_VALUE"""),34.0)</f>
        <v>34</v>
      </c>
      <c r="I1241" s="1">
        <f>IFERROR(__xludf.DUMMYFUNCTION("""COMPUTED_VALUE"""),20.0)</f>
        <v>20</v>
      </c>
      <c r="J1241" s="1">
        <f>IFERROR(__xludf.DUMMYFUNCTION("""COMPUTED_VALUE"""),33.0)</f>
        <v>33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 t="str">
        <f>IFERROR(__xludf.DUMMYFUNCTION("""COMPUTED_VALUE"""),"B")</f>
        <v>B</v>
      </c>
      <c r="E1242" s="1">
        <f>IFERROR(__xludf.DUMMYFUNCTION("""COMPUTED_VALUE"""),54.0)</f>
        <v>54</v>
      </c>
      <c r="F1242" s="1">
        <f>IFERROR(__xludf.DUMMYFUNCTION("""COMPUTED_VALUE"""),54.0)</f>
        <v>54</v>
      </c>
      <c r="G1242" s="1">
        <f>IFERROR(__xludf.DUMMYFUNCTION("""COMPUTED_VALUE"""),44.0)</f>
        <v>44</v>
      </c>
      <c r="H1242" s="1">
        <f>IFERROR(__xludf.DUMMYFUNCTION("""COMPUTED_VALUE"""),72.0)</f>
        <v>72</v>
      </c>
      <c r="I1242" s="1">
        <f>IFERROR(__xludf.DUMMYFUNCTION("""COMPUTED_VALUE"""),27.0)</f>
        <v>27</v>
      </c>
      <c r="J1242" s="1">
        <f>IFERROR(__xludf.DUMMYFUNCTION("""COMPUTED_VALUE"""),60.0)</f>
        <v>60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 t="str">
        <f>IFERROR(__xludf.DUMMYFUNCTION("""COMPUTED_VALUE"""),"A")</f>
        <v>A</v>
      </c>
      <c r="E1243" s="1">
        <f>IFERROR(__xludf.DUMMYFUNCTION("""COMPUTED_VALUE"""),85.0)</f>
        <v>85</v>
      </c>
      <c r="F1243" s="1">
        <f>IFERROR(__xludf.DUMMYFUNCTION("""COMPUTED_VALUE"""),96.0)</f>
        <v>96</v>
      </c>
      <c r="G1243" s="1">
        <f>IFERROR(__xludf.DUMMYFUNCTION("""COMPUTED_VALUE"""),97.0)</f>
        <v>97</v>
      </c>
      <c r="H1243" s="1">
        <f>IFERROR(__xludf.DUMMYFUNCTION("""COMPUTED_VALUE"""),39.0)</f>
        <v>39</v>
      </c>
      <c r="I1243" s="1">
        <f>IFERROR(__xludf.DUMMYFUNCTION("""COMPUTED_VALUE"""),28.0)</f>
        <v>28</v>
      </c>
      <c r="J1243" s="1">
        <f>IFERROR(__xludf.DUMMYFUNCTION("""COMPUTED_VALUE"""),57.0)</f>
        <v>57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 t="str">
        <f>IFERROR(__xludf.DUMMYFUNCTION("""COMPUTED_VALUE"""),"B")</f>
        <v>B</v>
      </c>
      <c r="E1244" s="1">
        <f>IFERROR(__xludf.DUMMYFUNCTION("""COMPUTED_VALUE"""),73.0)</f>
        <v>73</v>
      </c>
      <c r="F1244" s="1">
        <f>IFERROR(__xludf.DUMMYFUNCTION("""COMPUTED_VALUE"""),26.0)</f>
        <v>26</v>
      </c>
      <c r="G1244" s="1">
        <f>IFERROR(__xludf.DUMMYFUNCTION("""COMPUTED_VALUE"""),52.0)</f>
        <v>52</v>
      </c>
      <c r="H1244" s="1">
        <f>IFERROR(__xludf.DUMMYFUNCTION("""COMPUTED_VALUE"""),92.0)</f>
        <v>92</v>
      </c>
      <c r="I1244" s="1">
        <f>IFERROR(__xludf.DUMMYFUNCTION("""COMPUTED_VALUE"""),91.0)</f>
        <v>91</v>
      </c>
      <c r="J1244" s="1">
        <f>IFERROR(__xludf.DUMMYFUNCTION("""COMPUTED_VALUE"""),21.0)</f>
        <v>21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 t="str">
        <f>IFERROR(__xludf.DUMMYFUNCTION("""COMPUTED_VALUE"""),"A")</f>
        <v>A</v>
      </c>
      <c r="E1245" s="1">
        <f>IFERROR(__xludf.DUMMYFUNCTION("""COMPUTED_VALUE"""),100.0)</f>
        <v>100</v>
      </c>
      <c r="F1245" s="1">
        <f>IFERROR(__xludf.DUMMYFUNCTION("""COMPUTED_VALUE"""),53.0)</f>
        <v>53</v>
      </c>
      <c r="G1245" s="1">
        <f>IFERROR(__xludf.DUMMYFUNCTION("""COMPUTED_VALUE"""),77.0)</f>
        <v>77</v>
      </c>
      <c r="H1245" s="1">
        <f>IFERROR(__xludf.DUMMYFUNCTION("""COMPUTED_VALUE"""),78.0)</f>
        <v>78</v>
      </c>
      <c r="I1245" s="1">
        <f>IFERROR(__xludf.DUMMYFUNCTION("""COMPUTED_VALUE"""),99.0)</f>
        <v>99</v>
      </c>
      <c r="J1245" s="1">
        <f>IFERROR(__xludf.DUMMYFUNCTION("""COMPUTED_VALUE"""),52.0)</f>
        <v>52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 t="str">
        <f>IFERROR(__xludf.DUMMYFUNCTION("""COMPUTED_VALUE"""),"D")</f>
        <v>D</v>
      </c>
      <c r="E1246" s="1">
        <f>IFERROR(__xludf.DUMMYFUNCTION("""COMPUTED_VALUE"""),45.0)</f>
        <v>45</v>
      </c>
      <c r="F1246" s="1">
        <f>IFERROR(__xludf.DUMMYFUNCTION("""COMPUTED_VALUE"""),96.0)</f>
        <v>96</v>
      </c>
      <c r="G1246" s="1">
        <f>IFERROR(__xludf.DUMMYFUNCTION("""COMPUTED_VALUE"""),50.0)</f>
        <v>50</v>
      </c>
      <c r="H1246" s="1">
        <f>IFERROR(__xludf.DUMMYFUNCTION("""COMPUTED_VALUE"""),69.0)</f>
        <v>69</v>
      </c>
      <c r="I1246" s="1">
        <f>IFERROR(__xludf.DUMMYFUNCTION("""COMPUTED_VALUE"""),75.0)</f>
        <v>75</v>
      </c>
      <c r="J1246" s="1">
        <f>IFERROR(__xludf.DUMMYFUNCTION("""COMPUTED_VALUE"""),83.0)</f>
        <v>83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 t="str">
        <f>IFERROR(__xludf.DUMMYFUNCTION("""COMPUTED_VALUE"""),"C")</f>
        <v>C</v>
      </c>
      <c r="E1247" s="1">
        <f>IFERROR(__xludf.DUMMYFUNCTION("""COMPUTED_VALUE"""),67.0)</f>
        <v>67</v>
      </c>
      <c r="F1247" s="1">
        <f>IFERROR(__xludf.DUMMYFUNCTION("""COMPUTED_VALUE"""),30.0)</f>
        <v>30</v>
      </c>
      <c r="G1247" s="1">
        <f>IFERROR(__xludf.DUMMYFUNCTION("""COMPUTED_VALUE"""),73.0)</f>
        <v>73</v>
      </c>
      <c r="H1247" s="1">
        <f>IFERROR(__xludf.DUMMYFUNCTION("""COMPUTED_VALUE"""),90.0)</f>
        <v>90</v>
      </c>
      <c r="I1247" s="1">
        <f>IFERROR(__xludf.DUMMYFUNCTION("""COMPUTED_VALUE"""),29.0)</f>
        <v>29</v>
      </c>
      <c r="J1247" s="1">
        <f>IFERROR(__xludf.DUMMYFUNCTION("""COMPUTED_VALUE"""),80.0)</f>
        <v>80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 t="str">
        <f>IFERROR(__xludf.DUMMYFUNCTION("""COMPUTED_VALUE"""),"A")</f>
        <v>A</v>
      </c>
      <c r="E1248" s="1">
        <f>IFERROR(__xludf.DUMMYFUNCTION("""COMPUTED_VALUE"""),30.0)</f>
        <v>30</v>
      </c>
      <c r="F1248" s="1">
        <f>IFERROR(__xludf.DUMMYFUNCTION("""COMPUTED_VALUE"""),65.0)</f>
        <v>65</v>
      </c>
      <c r="G1248" s="1">
        <f>IFERROR(__xludf.DUMMYFUNCTION("""COMPUTED_VALUE"""),67.0)</f>
        <v>67</v>
      </c>
      <c r="H1248" s="1">
        <f>IFERROR(__xludf.DUMMYFUNCTION("""COMPUTED_VALUE"""),82.0)</f>
        <v>82</v>
      </c>
      <c r="I1248" s="1">
        <f>IFERROR(__xludf.DUMMYFUNCTION("""COMPUTED_VALUE"""),26.0)</f>
        <v>26</v>
      </c>
      <c r="J1248" s="1">
        <f>IFERROR(__xludf.DUMMYFUNCTION("""COMPUTED_VALUE"""),29.0)</f>
        <v>29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 t="str">
        <f>IFERROR(__xludf.DUMMYFUNCTION("""COMPUTED_VALUE"""),"A")</f>
        <v>A</v>
      </c>
      <c r="E1249" s="1">
        <f>IFERROR(__xludf.DUMMYFUNCTION("""COMPUTED_VALUE"""),25.0)</f>
        <v>25</v>
      </c>
      <c r="F1249" s="1">
        <f>IFERROR(__xludf.DUMMYFUNCTION("""COMPUTED_VALUE"""),38.0)</f>
        <v>38</v>
      </c>
      <c r="G1249" s="1">
        <f>IFERROR(__xludf.DUMMYFUNCTION("""COMPUTED_VALUE"""),65.0)</f>
        <v>65</v>
      </c>
      <c r="H1249" s="1">
        <f>IFERROR(__xludf.DUMMYFUNCTION("""COMPUTED_VALUE"""),99.0)</f>
        <v>99</v>
      </c>
      <c r="I1249" s="1">
        <f>IFERROR(__xludf.DUMMYFUNCTION("""COMPUTED_VALUE"""),51.0)</f>
        <v>51</v>
      </c>
      <c r="J1249" s="1">
        <f>IFERROR(__xludf.DUMMYFUNCTION("""COMPUTED_VALUE"""),66.0)</f>
        <v>66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 t="str">
        <f>IFERROR(__xludf.DUMMYFUNCTION("""COMPUTED_VALUE"""),"D")</f>
        <v>D</v>
      </c>
      <c r="E1250" s="1">
        <f>IFERROR(__xludf.DUMMYFUNCTION("""COMPUTED_VALUE"""),77.0)</f>
        <v>77</v>
      </c>
      <c r="F1250" s="1">
        <f>IFERROR(__xludf.DUMMYFUNCTION("""COMPUTED_VALUE"""),61.0)</f>
        <v>61</v>
      </c>
      <c r="G1250" s="1">
        <f>IFERROR(__xludf.DUMMYFUNCTION("""COMPUTED_VALUE"""),36.0)</f>
        <v>36</v>
      </c>
      <c r="H1250" s="1">
        <f>IFERROR(__xludf.DUMMYFUNCTION("""COMPUTED_VALUE"""),45.0)</f>
        <v>45</v>
      </c>
      <c r="I1250" s="1">
        <f>IFERROR(__xludf.DUMMYFUNCTION("""COMPUTED_VALUE"""),24.0)</f>
        <v>24</v>
      </c>
      <c r="J1250" s="1">
        <f>IFERROR(__xludf.DUMMYFUNCTION("""COMPUTED_VALUE"""),31.0)</f>
        <v>31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 t="str">
        <f>IFERROR(__xludf.DUMMYFUNCTION("""COMPUTED_VALUE"""),"D")</f>
        <v>D</v>
      </c>
      <c r="E1251" s="1">
        <f>IFERROR(__xludf.DUMMYFUNCTION("""COMPUTED_VALUE"""),20.0)</f>
        <v>20</v>
      </c>
      <c r="F1251" s="1">
        <f>IFERROR(__xludf.DUMMYFUNCTION("""COMPUTED_VALUE"""),75.0)</f>
        <v>75</v>
      </c>
      <c r="G1251" s="1">
        <f>IFERROR(__xludf.DUMMYFUNCTION("""COMPUTED_VALUE"""),34.0)</f>
        <v>34</v>
      </c>
      <c r="H1251" s="1">
        <f>IFERROR(__xludf.DUMMYFUNCTION("""COMPUTED_VALUE"""),58.0)</f>
        <v>58</v>
      </c>
      <c r="I1251" s="1">
        <f>IFERROR(__xludf.DUMMYFUNCTION("""COMPUTED_VALUE"""),36.0)</f>
        <v>36</v>
      </c>
      <c r="J1251" s="1">
        <f>IFERROR(__xludf.DUMMYFUNCTION("""COMPUTED_VALUE"""),76.0)</f>
        <v>76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 t="str">
        <f>IFERROR(__xludf.DUMMYFUNCTION("""COMPUTED_VALUE"""),"C")</f>
        <v>C</v>
      </c>
      <c r="E1252" s="1">
        <f>IFERROR(__xludf.DUMMYFUNCTION("""COMPUTED_VALUE"""),49.0)</f>
        <v>49</v>
      </c>
      <c r="F1252" s="1">
        <f>IFERROR(__xludf.DUMMYFUNCTION("""COMPUTED_VALUE"""),85.0)</f>
        <v>85</v>
      </c>
      <c r="G1252" s="1">
        <f>IFERROR(__xludf.DUMMYFUNCTION("""COMPUTED_VALUE"""),41.0)</f>
        <v>41</v>
      </c>
      <c r="H1252" s="1">
        <f>IFERROR(__xludf.DUMMYFUNCTION("""COMPUTED_VALUE"""),80.0)</f>
        <v>80</v>
      </c>
      <c r="I1252" s="1">
        <f>IFERROR(__xludf.DUMMYFUNCTION("""COMPUTED_VALUE"""),24.0)</f>
        <v>24</v>
      </c>
      <c r="J1252" s="1">
        <f>IFERROR(__xludf.DUMMYFUNCTION("""COMPUTED_VALUE"""),76.0)</f>
        <v>76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 t="str">
        <f>IFERROR(__xludf.DUMMYFUNCTION("""COMPUTED_VALUE"""),"C")</f>
        <v>C</v>
      </c>
      <c r="E1253" s="1">
        <f>IFERROR(__xludf.DUMMYFUNCTION("""COMPUTED_VALUE"""),78.0)</f>
        <v>78</v>
      </c>
      <c r="F1253" s="1">
        <f>IFERROR(__xludf.DUMMYFUNCTION("""COMPUTED_VALUE"""),33.0)</f>
        <v>33</v>
      </c>
      <c r="G1253" s="1">
        <f>IFERROR(__xludf.DUMMYFUNCTION("""COMPUTED_VALUE"""),82.0)</f>
        <v>82</v>
      </c>
      <c r="H1253" s="1">
        <f>IFERROR(__xludf.DUMMYFUNCTION("""COMPUTED_VALUE"""),59.0)</f>
        <v>59</v>
      </c>
      <c r="I1253" s="1">
        <f>IFERROR(__xludf.DUMMYFUNCTION("""COMPUTED_VALUE"""),88.0)</f>
        <v>88</v>
      </c>
      <c r="J1253" s="1">
        <f>IFERROR(__xludf.DUMMYFUNCTION("""COMPUTED_VALUE"""),71.0)</f>
        <v>71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 t="str">
        <f>IFERROR(__xludf.DUMMYFUNCTION("""COMPUTED_VALUE"""),"A")</f>
        <v>A</v>
      </c>
      <c r="E1254" s="1">
        <f>IFERROR(__xludf.DUMMYFUNCTION("""COMPUTED_VALUE"""),33.0)</f>
        <v>33</v>
      </c>
      <c r="F1254" s="1">
        <f>IFERROR(__xludf.DUMMYFUNCTION("""COMPUTED_VALUE"""),64.0)</f>
        <v>64</v>
      </c>
      <c r="G1254" s="1">
        <f>IFERROR(__xludf.DUMMYFUNCTION("""COMPUTED_VALUE"""),89.0)</f>
        <v>89</v>
      </c>
      <c r="H1254" s="1">
        <f>IFERROR(__xludf.DUMMYFUNCTION("""COMPUTED_VALUE"""),51.0)</f>
        <v>51</v>
      </c>
      <c r="I1254" s="1">
        <f>IFERROR(__xludf.DUMMYFUNCTION("""COMPUTED_VALUE"""),98.0)</f>
        <v>98</v>
      </c>
      <c r="J1254" s="1">
        <f>IFERROR(__xludf.DUMMYFUNCTION("""COMPUTED_VALUE"""),88.0)</f>
        <v>88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 t="str">
        <f>IFERROR(__xludf.DUMMYFUNCTION("""COMPUTED_VALUE"""),"B")</f>
        <v>B</v>
      </c>
      <c r="E1255" s="1">
        <f>IFERROR(__xludf.DUMMYFUNCTION("""COMPUTED_VALUE"""),15.0)</f>
        <v>15</v>
      </c>
      <c r="F1255" s="1">
        <f>IFERROR(__xludf.DUMMYFUNCTION("""COMPUTED_VALUE"""),96.0)</f>
        <v>96</v>
      </c>
      <c r="G1255" s="1">
        <f>IFERROR(__xludf.DUMMYFUNCTION("""COMPUTED_VALUE"""),74.0)</f>
        <v>74</v>
      </c>
      <c r="H1255" s="1">
        <f>IFERROR(__xludf.DUMMYFUNCTION("""COMPUTED_VALUE"""),47.0)</f>
        <v>47</v>
      </c>
      <c r="I1255" s="1">
        <f>IFERROR(__xludf.DUMMYFUNCTION("""COMPUTED_VALUE"""),48.0)</f>
        <v>48</v>
      </c>
      <c r="J1255" s="1">
        <f>IFERROR(__xludf.DUMMYFUNCTION("""COMPUTED_VALUE"""),26.0)</f>
        <v>26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 t="str">
        <f>IFERROR(__xludf.DUMMYFUNCTION("""COMPUTED_VALUE"""),"D")</f>
        <v>D</v>
      </c>
      <c r="E1256" s="1">
        <f>IFERROR(__xludf.DUMMYFUNCTION("""COMPUTED_VALUE"""),60.0)</f>
        <v>60</v>
      </c>
      <c r="F1256" s="1">
        <f>IFERROR(__xludf.DUMMYFUNCTION("""COMPUTED_VALUE"""),50.0)</f>
        <v>50</v>
      </c>
      <c r="G1256" s="1">
        <f>IFERROR(__xludf.DUMMYFUNCTION("""COMPUTED_VALUE"""),21.0)</f>
        <v>21</v>
      </c>
      <c r="H1256" s="1">
        <f>IFERROR(__xludf.DUMMYFUNCTION("""COMPUTED_VALUE"""),75.0)</f>
        <v>75</v>
      </c>
      <c r="I1256" s="1">
        <f>IFERROR(__xludf.DUMMYFUNCTION("""COMPUTED_VALUE"""),67.0)</f>
        <v>67</v>
      </c>
      <c r="J1256" s="1">
        <f>IFERROR(__xludf.DUMMYFUNCTION("""COMPUTED_VALUE"""),26.0)</f>
        <v>26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 t="str">
        <f>IFERROR(__xludf.DUMMYFUNCTION("""COMPUTED_VALUE"""),"D")</f>
        <v>D</v>
      </c>
      <c r="E1257" s="1">
        <f>IFERROR(__xludf.DUMMYFUNCTION("""COMPUTED_VALUE"""),83.0)</f>
        <v>83</v>
      </c>
      <c r="F1257" s="1">
        <f>IFERROR(__xludf.DUMMYFUNCTION("""COMPUTED_VALUE"""),57.0)</f>
        <v>57</v>
      </c>
      <c r="G1257" s="1">
        <f>IFERROR(__xludf.DUMMYFUNCTION("""COMPUTED_VALUE"""),53.0)</f>
        <v>53</v>
      </c>
      <c r="H1257" s="1">
        <f>IFERROR(__xludf.DUMMYFUNCTION("""COMPUTED_VALUE"""),51.0)</f>
        <v>51</v>
      </c>
      <c r="I1257" s="1">
        <f>IFERROR(__xludf.DUMMYFUNCTION("""COMPUTED_VALUE"""),88.0)</f>
        <v>88</v>
      </c>
      <c r="J1257" s="1">
        <f>IFERROR(__xludf.DUMMYFUNCTION("""COMPUTED_VALUE"""),78.0)</f>
        <v>78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 t="str">
        <f>IFERROR(__xludf.DUMMYFUNCTION("""COMPUTED_VALUE"""),"D")</f>
        <v>D</v>
      </c>
      <c r="E1258" s="1">
        <f>IFERROR(__xludf.DUMMYFUNCTION("""COMPUTED_VALUE"""),42.0)</f>
        <v>42</v>
      </c>
      <c r="F1258" s="1">
        <f>IFERROR(__xludf.DUMMYFUNCTION("""COMPUTED_VALUE"""),90.0)</f>
        <v>90</v>
      </c>
      <c r="G1258" s="1">
        <f>IFERROR(__xludf.DUMMYFUNCTION("""COMPUTED_VALUE"""),49.0)</f>
        <v>49</v>
      </c>
      <c r="H1258" s="1">
        <f>IFERROR(__xludf.DUMMYFUNCTION("""COMPUTED_VALUE"""),95.0)</f>
        <v>95</v>
      </c>
      <c r="I1258" s="1">
        <f>IFERROR(__xludf.DUMMYFUNCTION("""COMPUTED_VALUE"""),33.0)</f>
        <v>33</v>
      </c>
      <c r="J1258" s="1">
        <f>IFERROR(__xludf.DUMMYFUNCTION("""COMPUTED_VALUE"""),70.0)</f>
        <v>70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 t="str">
        <f>IFERROR(__xludf.DUMMYFUNCTION("""COMPUTED_VALUE"""),"B")</f>
        <v>B</v>
      </c>
      <c r="E1259" s="1">
        <f>IFERROR(__xludf.DUMMYFUNCTION("""COMPUTED_VALUE"""),90.0)</f>
        <v>90</v>
      </c>
      <c r="F1259" s="1">
        <f>IFERROR(__xludf.DUMMYFUNCTION("""COMPUTED_VALUE"""),82.0)</f>
        <v>82</v>
      </c>
      <c r="G1259" s="1">
        <f>IFERROR(__xludf.DUMMYFUNCTION("""COMPUTED_VALUE"""),23.0)</f>
        <v>23</v>
      </c>
      <c r="H1259" s="1">
        <f>IFERROR(__xludf.DUMMYFUNCTION("""COMPUTED_VALUE"""),86.0)</f>
        <v>86</v>
      </c>
      <c r="I1259" s="1">
        <f>IFERROR(__xludf.DUMMYFUNCTION("""COMPUTED_VALUE"""),61.0)</f>
        <v>61</v>
      </c>
      <c r="J1259" s="1">
        <f>IFERROR(__xludf.DUMMYFUNCTION("""COMPUTED_VALUE"""),33.0)</f>
        <v>33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 t="str">
        <f>IFERROR(__xludf.DUMMYFUNCTION("""COMPUTED_VALUE"""),"D")</f>
        <v>D</v>
      </c>
      <c r="E1260" s="1">
        <f>IFERROR(__xludf.DUMMYFUNCTION("""COMPUTED_VALUE"""),85.0)</f>
        <v>85</v>
      </c>
      <c r="F1260" s="1">
        <f>IFERROR(__xludf.DUMMYFUNCTION("""COMPUTED_VALUE"""),31.0)</f>
        <v>31</v>
      </c>
      <c r="G1260" s="1">
        <f>IFERROR(__xludf.DUMMYFUNCTION("""COMPUTED_VALUE"""),42.0)</f>
        <v>42</v>
      </c>
      <c r="H1260" s="1">
        <f>IFERROR(__xludf.DUMMYFUNCTION("""COMPUTED_VALUE"""),89.0)</f>
        <v>89</v>
      </c>
      <c r="I1260" s="1">
        <f>IFERROR(__xludf.DUMMYFUNCTION("""COMPUTED_VALUE"""),63.0)</f>
        <v>63</v>
      </c>
      <c r="J1260" s="1">
        <f>IFERROR(__xludf.DUMMYFUNCTION("""COMPUTED_VALUE"""),41.0)</f>
        <v>41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 t="str">
        <f>IFERROR(__xludf.DUMMYFUNCTION("""COMPUTED_VALUE"""),"D")</f>
        <v>D</v>
      </c>
      <c r="E1261" s="1">
        <f>IFERROR(__xludf.DUMMYFUNCTION("""COMPUTED_VALUE"""),11.0)</f>
        <v>11</v>
      </c>
      <c r="F1261" s="1">
        <f>IFERROR(__xludf.DUMMYFUNCTION("""COMPUTED_VALUE"""),80.0)</f>
        <v>80</v>
      </c>
      <c r="G1261" s="1">
        <f>IFERROR(__xludf.DUMMYFUNCTION("""COMPUTED_VALUE"""),61.0)</f>
        <v>61</v>
      </c>
      <c r="H1261" s="1">
        <f>IFERROR(__xludf.DUMMYFUNCTION("""COMPUTED_VALUE"""),96.0)</f>
        <v>96</v>
      </c>
      <c r="I1261" s="1">
        <f>IFERROR(__xludf.DUMMYFUNCTION("""COMPUTED_VALUE"""),70.0)</f>
        <v>70</v>
      </c>
      <c r="J1261" s="1">
        <f>IFERROR(__xludf.DUMMYFUNCTION("""COMPUTED_VALUE"""),94.0)</f>
        <v>94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 t="str">
        <f>IFERROR(__xludf.DUMMYFUNCTION("""COMPUTED_VALUE"""),"D")</f>
        <v>D</v>
      </c>
      <c r="E1262" s="1">
        <f>IFERROR(__xludf.DUMMYFUNCTION("""COMPUTED_VALUE"""),56.0)</f>
        <v>56</v>
      </c>
      <c r="F1262" s="1">
        <f>IFERROR(__xludf.DUMMYFUNCTION("""COMPUTED_VALUE"""),51.0)</f>
        <v>51</v>
      </c>
      <c r="G1262" s="1">
        <f>IFERROR(__xludf.DUMMYFUNCTION("""COMPUTED_VALUE"""),39.0)</f>
        <v>39</v>
      </c>
      <c r="H1262" s="1">
        <f>IFERROR(__xludf.DUMMYFUNCTION("""COMPUTED_VALUE"""),69.0)</f>
        <v>69</v>
      </c>
      <c r="I1262" s="1">
        <f>IFERROR(__xludf.DUMMYFUNCTION("""COMPUTED_VALUE"""),43.0)</f>
        <v>43</v>
      </c>
      <c r="J1262" s="1">
        <f>IFERROR(__xludf.DUMMYFUNCTION("""COMPUTED_VALUE"""),80.0)</f>
        <v>80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 t="str">
        <f>IFERROR(__xludf.DUMMYFUNCTION("""COMPUTED_VALUE"""),"C")</f>
        <v>C</v>
      </c>
      <c r="E1263" s="1">
        <f>IFERROR(__xludf.DUMMYFUNCTION("""COMPUTED_VALUE"""),26.0)</f>
        <v>26</v>
      </c>
      <c r="F1263" s="1">
        <f>IFERROR(__xludf.DUMMYFUNCTION("""COMPUTED_VALUE"""),66.0)</f>
        <v>66</v>
      </c>
      <c r="G1263" s="1">
        <f>IFERROR(__xludf.DUMMYFUNCTION("""COMPUTED_VALUE"""),89.0)</f>
        <v>89</v>
      </c>
      <c r="H1263" s="1">
        <f>IFERROR(__xludf.DUMMYFUNCTION("""COMPUTED_VALUE"""),35.0)</f>
        <v>35</v>
      </c>
      <c r="I1263" s="1">
        <f>IFERROR(__xludf.DUMMYFUNCTION("""COMPUTED_VALUE"""),52.0)</f>
        <v>52</v>
      </c>
      <c r="J1263" s="1">
        <f>IFERROR(__xludf.DUMMYFUNCTION("""COMPUTED_VALUE"""),72.0)</f>
        <v>72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 t="str">
        <f>IFERROR(__xludf.DUMMYFUNCTION("""COMPUTED_VALUE"""),"B")</f>
        <v>B</v>
      </c>
      <c r="E1264" s="1">
        <f>IFERROR(__xludf.DUMMYFUNCTION("""COMPUTED_VALUE"""),20.0)</f>
        <v>20</v>
      </c>
      <c r="F1264" s="1">
        <f>IFERROR(__xludf.DUMMYFUNCTION("""COMPUTED_VALUE"""),31.0)</f>
        <v>31</v>
      </c>
      <c r="G1264" s="1">
        <f>IFERROR(__xludf.DUMMYFUNCTION("""COMPUTED_VALUE"""),63.0)</f>
        <v>63</v>
      </c>
      <c r="H1264" s="1">
        <f>IFERROR(__xludf.DUMMYFUNCTION("""COMPUTED_VALUE"""),60.0)</f>
        <v>60</v>
      </c>
      <c r="I1264" s="1">
        <f>IFERROR(__xludf.DUMMYFUNCTION("""COMPUTED_VALUE"""),69.0)</f>
        <v>69</v>
      </c>
      <c r="J1264" s="1">
        <f>IFERROR(__xludf.DUMMYFUNCTION("""COMPUTED_VALUE"""),22.0)</f>
        <v>22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 t="str">
        <f>IFERROR(__xludf.DUMMYFUNCTION("""COMPUTED_VALUE"""),"A")</f>
        <v>A</v>
      </c>
      <c r="E1265" s="1">
        <f>IFERROR(__xludf.DUMMYFUNCTION("""COMPUTED_VALUE"""),90.0)</f>
        <v>90</v>
      </c>
      <c r="F1265" s="1">
        <f>IFERROR(__xludf.DUMMYFUNCTION("""COMPUTED_VALUE"""),28.0)</f>
        <v>28</v>
      </c>
      <c r="G1265" s="1">
        <f>IFERROR(__xludf.DUMMYFUNCTION("""COMPUTED_VALUE"""),96.0)</f>
        <v>96</v>
      </c>
      <c r="H1265" s="1">
        <f>IFERROR(__xludf.DUMMYFUNCTION("""COMPUTED_VALUE"""),39.0)</f>
        <v>39</v>
      </c>
      <c r="I1265" s="1">
        <f>IFERROR(__xludf.DUMMYFUNCTION("""COMPUTED_VALUE"""),85.0)</f>
        <v>85</v>
      </c>
      <c r="J1265" s="1">
        <f>IFERROR(__xludf.DUMMYFUNCTION("""COMPUTED_VALUE"""),67.0)</f>
        <v>67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 t="str">
        <f>IFERROR(__xludf.DUMMYFUNCTION("""COMPUTED_VALUE"""),"B")</f>
        <v>B</v>
      </c>
      <c r="E1266" s="1">
        <f>IFERROR(__xludf.DUMMYFUNCTION("""COMPUTED_VALUE"""),22.0)</f>
        <v>22</v>
      </c>
      <c r="F1266" s="1">
        <f>IFERROR(__xludf.DUMMYFUNCTION("""COMPUTED_VALUE"""),82.0)</f>
        <v>82</v>
      </c>
      <c r="G1266" s="1">
        <f>IFERROR(__xludf.DUMMYFUNCTION("""COMPUTED_VALUE"""),22.0)</f>
        <v>22</v>
      </c>
      <c r="H1266" s="1">
        <f>IFERROR(__xludf.DUMMYFUNCTION("""COMPUTED_VALUE"""),95.0)</f>
        <v>95</v>
      </c>
      <c r="I1266" s="1">
        <f>IFERROR(__xludf.DUMMYFUNCTION("""COMPUTED_VALUE"""),62.0)</f>
        <v>62</v>
      </c>
      <c r="J1266" s="1">
        <f>IFERROR(__xludf.DUMMYFUNCTION("""COMPUTED_VALUE"""),33.0)</f>
        <v>33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 t="str">
        <f>IFERROR(__xludf.DUMMYFUNCTION("""COMPUTED_VALUE"""),"C")</f>
        <v>C</v>
      </c>
      <c r="E1267" s="1">
        <f>IFERROR(__xludf.DUMMYFUNCTION("""COMPUTED_VALUE"""),22.0)</f>
        <v>22</v>
      </c>
      <c r="F1267" s="1">
        <f>IFERROR(__xludf.DUMMYFUNCTION("""COMPUTED_VALUE"""),96.0)</f>
        <v>96</v>
      </c>
      <c r="G1267" s="1">
        <f>IFERROR(__xludf.DUMMYFUNCTION("""COMPUTED_VALUE"""),22.0)</f>
        <v>22</v>
      </c>
      <c r="H1267" s="1">
        <f>IFERROR(__xludf.DUMMYFUNCTION("""COMPUTED_VALUE"""),27.0)</f>
        <v>27</v>
      </c>
      <c r="I1267" s="1">
        <f>IFERROR(__xludf.DUMMYFUNCTION("""COMPUTED_VALUE"""),27.0)</f>
        <v>27</v>
      </c>
      <c r="J1267" s="1">
        <f>IFERROR(__xludf.DUMMYFUNCTION("""COMPUTED_VALUE"""),60.0)</f>
        <v>60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 t="str">
        <f>IFERROR(__xludf.DUMMYFUNCTION("""COMPUTED_VALUE"""),"B")</f>
        <v>B</v>
      </c>
      <c r="E1268" s="1">
        <f>IFERROR(__xludf.DUMMYFUNCTION("""COMPUTED_VALUE"""),84.0)</f>
        <v>84</v>
      </c>
      <c r="F1268" s="1">
        <f>IFERROR(__xludf.DUMMYFUNCTION("""COMPUTED_VALUE"""),43.0)</f>
        <v>43</v>
      </c>
      <c r="G1268" s="1">
        <f>IFERROR(__xludf.DUMMYFUNCTION("""COMPUTED_VALUE"""),39.0)</f>
        <v>39</v>
      </c>
      <c r="H1268" s="1">
        <f>IFERROR(__xludf.DUMMYFUNCTION("""COMPUTED_VALUE"""),52.0)</f>
        <v>52</v>
      </c>
      <c r="I1268" s="1">
        <f>IFERROR(__xludf.DUMMYFUNCTION("""COMPUTED_VALUE"""),98.0)</f>
        <v>98</v>
      </c>
      <c r="J1268" s="1">
        <f>IFERROR(__xludf.DUMMYFUNCTION("""COMPUTED_VALUE"""),84.0)</f>
        <v>84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 t="str">
        <f>IFERROR(__xludf.DUMMYFUNCTION("""COMPUTED_VALUE"""),"A")</f>
        <v>A</v>
      </c>
      <c r="E1269" s="1">
        <f>IFERROR(__xludf.DUMMYFUNCTION("""COMPUTED_VALUE"""),34.0)</f>
        <v>34</v>
      </c>
      <c r="F1269" s="1">
        <f>IFERROR(__xludf.DUMMYFUNCTION("""COMPUTED_VALUE"""),64.0)</f>
        <v>64</v>
      </c>
      <c r="G1269" s="1">
        <f>IFERROR(__xludf.DUMMYFUNCTION("""COMPUTED_VALUE"""),67.0)</f>
        <v>67</v>
      </c>
      <c r="H1269" s="1">
        <f>IFERROR(__xludf.DUMMYFUNCTION("""COMPUTED_VALUE"""),20.0)</f>
        <v>20</v>
      </c>
      <c r="I1269" s="1">
        <f>IFERROR(__xludf.DUMMYFUNCTION("""COMPUTED_VALUE"""),53.0)</f>
        <v>53</v>
      </c>
      <c r="J1269" s="1">
        <f>IFERROR(__xludf.DUMMYFUNCTION("""COMPUTED_VALUE"""),23.0)</f>
        <v>23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 t="str">
        <f>IFERROR(__xludf.DUMMYFUNCTION("""COMPUTED_VALUE"""),"D")</f>
        <v>D</v>
      </c>
      <c r="E1270" s="1">
        <f>IFERROR(__xludf.DUMMYFUNCTION("""COMPUTED_VALUE"""),18.0)</f>
        <v>18</v>
      </c>
      <c r="F1270" s="1">
        <f>IFERROR(__xludf.DUMMYFUNCTION("""COMPUTED_VALUE"""),43.0)</f>
        <v>43</v>
      </c>
      <c r="G1270" s="1">
        <f>IFERROR(__xludf.DUMMYFUNCTION("""COMPUTED_VALUE"""),42.0)</f>
        <v>42</v>
      </c>
      <c r="H1270" s="1">
        <f>IFERROR(__xludf.DUMMYFUNCTION("""COMPUTED_VALUE"""),59.0)</f>
        <v>59</v>
      </c>
      <c r="I1270" s="1">
        <f>IFERROR(__xludf.DUMMYFUNCTION("""COMPUTED_VALUE"""),89.0)</f>
        <v>89</v>
      </c>
      <c r="J1270" s="1">
        <f>IFERROR(__xludf.DUMMYFUNCTION("""COMPUTED_VALUE"""),40.0)</f>
        <v>40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 t="str">
        <f>IFERROR(__xludf.DUMMYFUNCTION("""COMPUTED_VALUE"""),"C")</f>
        <v>C</v>
      </c>
      <c r="E1271" s="1">
        <f>IFERROR(__xludf.DUMMYFUNCTION("""COMPUTED_VALUE"""),25.0)</f>
        <v>25</v>
      </c>
      <c r="F1271" s="1">
        <f>IFERROR(__xludf.DUMMYFUNCTION("""COMPUTED_VALUE"""),71.0)</f>
        <v>71</v>
      </c>
      <c r="G1271" s="1">
        <f>IFERROR(__xludf.DUMMYFUNCTION("""COMPUTED_VALUE"""),24.0)</f>
        <v>24</v>
      </c>
      <c r="H1271" s="1">
        <f>IFERROR(__xludf.DUMMYFUNCTION("""COMPUTED_VALUE"""),33.0)</f>
        <v>33</v>
      </c>
      <c r="I1271" s="1">
        <f>IFERROR(__xludf.DUMMYFUNCTION("""COMPUTED_VALUE"""),26.0)</f>
        <v>26</v>
      </c>
      <c r="J1271" s="1">
        <f>IFERROR(__xludf.DUMMYFUNCTION("""COMPUTED_VALUE"""),42.0)</f>
        <v>42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 t="str">
        <f>IFERROR(__xludf.DUMMYFUNCTION("""COMPUTED_VALUE"""),"C")</f>
        <v>C</v>
      </c>
      <c r="E1272" s="1">
        <f>IFERROR(__xludf.DUMMYFUNCTION("""COMPUTED_VALUE"""),93.0)</f>
        <v>93</v>
      </c>
      <c r="F1272" s="1">
        <f>IFERROR(__xludf.DUMMYFUNCTION("""COMPUTED_VALUE"""),96.0)</f>
        <v>96</v>
      </c>
      <c r="G1272" s="1">
        <f>IFERROR(__xludf.DUMMYFUNCTION("""COMPUTED_VALUE"""),75.0)</f>
        <v>75</v>
      </c>
      <c r="H1272" s="1">
        <f>IFERROR(__xludf.DUMMYFUNCTION("""COMPUTED_VALUE"""),32.0)</f>
        <v>32</v>
      </c>
      <c r="I1272" s="1">
        <f>IFERROR(__xludf.DUMMYFUNCTION("""COMPUTED_VALUE"""),54.0)</f>
        <v>54</v>
      </c>
      <c r="J1272" s="1">
        <f>IFERROR(__xludf.DUMMYFUNCTION("""COMPUTED_VALUE"""),21.0)</f>
        <v>21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 t="str">
        <f>IFERROR(__xludf.DUMMYFUNCTION("""COMPUTED_VALUE"""),"B")</f>
        <v>B</v>
      </c>
      <c r="E1273" s="1">
        <f>IFERROR(__xludf.DUMMYFUNCTION("""COMPUTED_VALUE"""),36.0)</f>
        <v>36</v>
      </c>
      <c r="F1273" s="1">
        <f>IFERROR(__xludf.DUMMYFUNCTION("""COMPUTED_VALUE"""),80.0)</f>
        <v>80</v>
      </c>
      <c r="G1273" s="1">
        <f>IFERROR(__xludf.DUMMYFUNCTION("""COMPUTED_VALUE"""),53.0)</f>
        <v>53</v>
      </c>
      <c r="H1273" s="1">
        <f>IFERROR(__xludf.DUMMYFUNCTION("""COMPUTED_VALUE"""),61.0)</f>
        <v>61</v>
      </c>
      <c r="I1273" s="1">
        <f>IFERROR(__xludf.DUMMYFUNCTION("""COMPUTED_VALUE"""),20.0)</f>
        <v>20</v>
      </c>
      <c r="J1273" s="1">
        <f>IFERROR(__xludf.DUMMYFUNCTION("""COMPUTED_VALUE"""),45.0)</f>
        <v>45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 t="str">
        <f>IFERROR(__xludf.DUMMYFUNCTION("""COMPUTED_VALUE"""),"C")</f>
        <v>C</v>
      </c>
      <c r="E1274" s="1">
        <f>IFERROR(__xludf.DUMMYFUNCTION("""COMPUTED_VALUE"""),79.0)</f>
        <v>79</v>
      </c>
      <c r="F1274" s="1">
        <f>IFERROR(__xludf.DUMMYFUNCTION("""COMPUTED_VALUE"""),82.0)</f>
        <v>82</v>
      </c>
      <c r="G1274" s="1">
        <f>IFERROR(__xludf.DUMMYFUNCTION("""COMPUTED_VALUE"""),62.0)</f>
        <v>62</v>
      </c>
      <c r="H1274" s="1">
        <f>IFERROR(__xludf.DUMMYFUNCTION("""COMPUTED_VALUE"""),57.0)</f>
        <v>57</v>
      </c>
      <c r="I1274" s="1">
        <f>IFERROR(__xludf.DUMMYFUNCTION("""COMPUTED_VALUE"""),60.0)</f>
        <v>60</v>
      </c>
      <c r="J1274" s="1">
        <f>IFERROR(__xludf.DUMMYFUNCTION("""COMPUTED_VALUE"""),91.0)</f>
        <v>91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 t="str">
        <f>IFERROR(__xludf.DUMMYFUNCTION("""COMPUTED_VALUE"""),"B")</f>
        <v>B</v>
      </c>
      <c r="E1275" s="1">
        <f>IFERROR(__xludf.DUMMYFUNCTION("""COMPUTED_VALUE"""),70.0)</f>
        <v>70</v>
      </c>
      <c r="F1275" s="1">
        <f>IFERROR(__xludf.DUMMYFUNCTION("""COMPUTED_VALUE"""),24.0)</f>
        <v>24</v>
      </c>
      <c r="G1275" s="1">
        <f>IFERROR(__xludf.DUMMYFUNCTION("""COMPUTED_VALUE"""),69.0)</f>
        <v>69</v>
      </c>
      <c r="H1275" s="1">
        <f>IFERROR(__xludf.DUMMYFUNCTION("""COMPUTED_VALUE"""),36.0)</f>
        <v>36</v>
      </c>
      <c r="I1275" s="1">
        <f>IFERROR(__xludf.DUMMYFUNCTION("""COMPUTED_VALUE"""),70.0)</f>
        <v>70</v>
      </c>
      <c r="J1275" s="1">
        <f>IFERROR(__xludf.DUMMYFUNCTION("""COMPUTED_VALUE"""),82.0)</f>
        <v>82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 t="str">
        <f>IFERROR(__xludf.DUMMYFUNCTION("""COMPUTED_VALUE"""),"D")</f>
        <v>D</v>
      </c>
      <c r="E1276" s="1">
        <f>IFERROR(__xludf.DUMMYFUNCTION("""COMPUTED_VALUE"""),31.0)</f>
        <v>31</v>
      </c>
      <c r="F1276" s="1">
        <f>IFERROR(__xludf.DUMMYFUNCTION("""COMPUTED_VALUE"""),33.0)</f>
        <v>33</v>
      </c>
      <c r="G1276" s="1">
        <f>IFERROR(__xludf.DUMMYFUNCTION("""COMPUTED_VALUE"""),44.0)</f>
        <v>44</v>
      </c>
      <c r="H1276" s="1">
        <f>IFERROR(__xludf.DUMMYFUNCTION("""COMPUTED_VALUE"""),44.0)</f>
        <v>44</v>
      </c>
      <c r="I1276" s="1">
        <f>IFERROR(__xludf.DUMMYFUNCTION("""COMPUTED_VALUE"""),55.0)</f>
        <v>55</v>
      </c>
      <c r="J1276" s="1">
        <f>IFERROR(__xludf.DUMMYFUNCTION("""COMPUTED_VALUE"""),65.0)</f>
        <v>65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 t="str">
        <f>IFERROR(__xludf.DUMMYFUNCTION("""COMPUTED_VALUE"""),"C")</f>
        <v>C</v>
      </c>
      <c r="E1277" s="1">
        <f>IFERROR(__xludf.DUMMYFUNCTION("""COMPUTED_VALUE"""),43.0)</f>
        <v>43</v>
      </c>
      <c r="F1277" s="1">
        <f>IFERROR(__xludf.DUMMYFUNCTION("""COMPUTED_VALUE"""),99.0)</f>
        <v>99</v>
      </c>
      <c r="G1277" s="1">
        <f>IFERROR(__xludf.DUMMYFUNCTION("""COMPUTED_VALUE"""),29.0)</f>
        <v>29</v>
      </c>
      <c r="H1277" s="1">
        <f>IFERROR(__xludf.DUMMYFUNCTION("""COMPUTED_VALUE"""),87.0)</f>
        <v>87</v>
      </c>
      <c r="I1277" s="1">
        <f>IFERROR(__xludf.DUMMYFUNCTION("""COMPUTED_VALUE"""),72.0)</f>
        <v>72</v>
      </c>
      <c r="J1277" s="1">
        <f>IFERROR(__xludf.DUMMYFUNCTION("""COMPUTED_VALUE"""),23.0)</f>
        <v>23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 t="str">
        <f>IFERROR(__xludf.DUMMYFUNCTION("""COMPUTED_VALUE"""),"A")</f>
        <v>A</v>
      </c>
      <c r="E1278" s="1">
        <f>IFERROR(__xludf.DUMMYFUNCTION("""COMPUTED_VALUE"""),73.0)</f>
        <v>73</v>
      </c>
      <c r="F1278" s="1">
        <f>IFERROR(__xludf.DUMMYFUNCTION("""COMPUTED_VALUE"""),46.0)</f>
        <v>46</v>
      </c>
      <c r="G1278" s="1">
        <f>IFERROR(__xludf.DUMMYFUNCTION("""COMPUTED_VALUE"""),78.0)</f>
        <v>78</v>
      </c>
      <c r="H1278" s="1">
        <f>IFERROR(__xludf.DUMMYFUNCTION("""COMPUTED_VALUE"""),44.0)</f>
        <v>44</v>
      </c>
      <c r="I1278" s="1">
        <f>IFERROR(__xludf.DUMMYFUNCTION("""COMPUTED_VALUE"""),77.0)</f>
        <v>77</v>
      </c>
      <c r="J1278" s="1">
        <f>IFERROR(__xludf.DUMMYFUNCTION("""COMPUTED_VALUE"""),82.0)</f>
        <v>82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 t="str">
        <f>IFERROR(__xludf.DUMMYFUNCTION("""COMPUTED_VALUE"""),"C")</f>
        <v>C</v>
      </c>
      <c r="E1279" s="1">
        <f>IFERROR(__xludf.DUMMYFUNCTION("""COMPUTED_VALUE"""),11.0)</f>
        <v>11</v>
      </c>
      <c r="F1279" s="1">
        <f>IFERROR(__xludf.DUMMYFUNCTION("""COMPUTED_VALUE"""),82.0)</f>
        <v>82</v>
      </c>
      <c r="G1279" s="1">
        <f>IFERROR(__xludf.DUMMYFUNCTION("""COMPUTED_VALUE"""),28.0)</f>
        <v>28</v>
      </c>
      <c r="H1279" s="1">
        <f>IFERROR(__xludf.DUMMYFUNCTION("""COMPUTED_VALUE"""),51.0)</f>
        <v>51</v>
      </c>
      <c r="I1279" s="1">
        <f>IFERROR(__xludf.DUMMYFUNCTION("""COMPUTED_VALUE"""),22.0)</f>
        <v>22</v>
      </c>
      <c r="J1279" s="1">
        <f>IFERROR(__xludf.DUMMYFUNCTION("""COMPUTED_VALUE"""),64.0)</f>
        <v>64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 t="str">
        <f>IFERROR(__xludf.DUMMYFUNCTION("""COMPUTED_VALUE"""),"B")</f>
        <v>B</v>
      </c>
      <c r="E1280" s="1">
        <f>IFERROR(__xludf.DUMMYFUNCTION("""COMPUTED_VALUE"""),34.0)</f>
        <v>34</v>
      </c>
      <c r="F1280" s="1">
        <f>IFERROR(__xludf.DUMMYFUNCTION("""COMPUTED_VALUE"""),47.0)</f>
        <v>47</v>
      </c>
      <c r="G1280" s="1">
        <f>IFERROR(__xludf.DUMMYFUNCTION("""COMPUTED_VALUE"""),34.0)</f>
        <v>34</v>
      </c>
      <c r="H1280" s="1">
        <f>IFERROR(__xludf.DUMMYFUNCTION("""COMPUTED_VALUE"""),30.0)</f>
        <v>30</v>
      </c>
      <c r="I1280" s="1">
        <f>IFERROR(__xludf.DUMMYFUNCTION("""COMPUTED_VALUE"""),38.0)</f>
        <v>38</v>
      </c>
      <c r="J1280" s="1">
        <f>IFERROR(__xludf.DUMMYFUNCTION("""COMPUTED_VALUE"""),79.0)</f>
        <v>79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 t="str">
        <f>IFERROR(__xludf.DUMMYFUNCTION("""COMPUTED_VALUE"""),"A")</f>
        <v>A</v>
      </c>
      <c r="E1281" s="1">
        <f>IFERROR(__xludf.DUMMYFUNCTION("""COMPUTED_VALUE"""),91.0)</f>
        <v>91</v>
      </c>
      <c r="F1281" s="1">
        <f>IFERROR(__xludf.DUMMYFUNCTION("""COMPUTED_VALUE"""),63.0)</f>
        <v>63</v>
      </c>
      <c r="G1281" s="1">
        <f>IFERROR(__xludf.DUMMYFUNCTION("""COMPUTED_VALUE"""),72.0)</f>
        <v>72</v>
      </c>
      <c r="H1281" s="1">
        <f>IFERROR(__xludf.DUMMYFUNCTION("""COMPUTED_VALUE"""),66.0)</f>
        <v>66</v>
      </c>
      <c r="I1281" s="1">
        <f>IFERROR(__xludf.DUMMYFUNCTION("""COMPUTED_VALUE"""),51.0)</f>
        <v>51</v>
      </c>
      <c r="J1281" s="1">
        <f>IFERROR(__xludf.DUMMYFUNCTION("""COMPUTED_VALUE"""),32.0)</f>
        <v>32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 t="str">
        <f>IFERROR(__xludf.DUMMYFUNCTION("""COMPUTED_VALUE"""),"A")</f>
        <v>A</v>
      </c>
      <c r="E1282" s="1">
        <f>IFERROR(__xludf.DUMMYFUNCTION("""COMPUTED_VALUE"""),55.0)</f>
        <v>55</v>
      </c>
      <c r="F1282" s="1">
        <f>IFERROR(__xludf.DUMMYFUNCTION("""COMPUTED_VALUE"""),54.0)</f>
        <v>54</v>
      </c>
      <c r="G1282" s="1">
        <f>IFERROR(__xludf.DUMMYFUNCTION("""COMPUTED_VALUE"""),76.0)</f>
        <v>76</v>
      </c>
      <c r="H1282" s="1">
        <f>IFERROR(__xludf.DUMMYFUNCTION("""COMPUTED_VALUE"""),71.0)</f>
        <v>71</v>
      </c>
      <c r="I1282" s="1">
        <f>IFERROR(__xludf.DUMMYFUNCTION("""COMPUTED_VALUE"""),32.0)</f>
        <v>32</v>
      </c>
      <c r="J1282" s="1">
        <f>IFERROR(__xludf.DUMMYFUNCTION("""COMPUTED_VALUE"""),51.0)</f>
        <v>51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 t="str">
        <f>IFERROR(__xludf.DUMMYFUNCTION("""COMPUTED_VALUE"""),"B")</f>
        <v>B</v>
      </c>
      <c r="E1283" s="1">
        <f>IFERROR(__xludf.DUMMYFUNCTION("""COMPUTED_VALUE"""),85.0)</f>
        <v>85</v>
      </c>
      <c r="F1283" s="1">
        <f>IFERROR(__xludf.DUMMYFUNCTION("""COMPUTED_VALUE"""),90.0)</f>
        <v>90</v>
      </c>
      <c r="G1283" s="1">
        <f>IFERROR(__xludf.DUMMYFUNCTION("""COMPUTED_VALUE"""),83.0)</f>
        <v>83</v>
      </c>
      <c r="H1283" s="1">
        <f>IFERROR(__xludf.DUMMYFUNCTION("""COMPUTED_VALUE"""),72.0)</f>
        <v>72</v>
      </c>
      <c r="I1283" s="1">
        <f>IFERROR(__xludf.DUMMYFUNCTION("""COMPUTED_VALUE"""),63.0)</f>
        <v>63</v>
      </c>
      <c r="J1283" s="1">
        <f>IFERROR(__xludf.DUMMYFUNCTION("""COMPUTED_VALUE"""),85.0)</f>
        <v>85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 t="str">
        <f>IFERROR(__xludf.DUMMYFUNCTION("""COMPUTED_VALUE"""),"A")</f>
        <v>A</v>
      </c>
      <c r="E1284" s="1">
        <f>IFERROR(__xludf.DUMMYFUNCTION("""COMPUTED_VALUE"""),73.0)</f>
        <v>73</v>
      </c>
      <c r="F1284" s="1">
        <f>IFERROR(__xludf.DUMMYFUNCTION("""COMPUTED_VALUE"""),43.0)</f>
        <v>43</v>
      </c>
      <c r="G1284" s="1">
        <f>IFERROR(__xludf.DUMMYFUNCTION("""COMPUTED_VALUE"""),86.0)</f>
        <v>86</v>
      </c>
      <c r="H1284" s="1">
        <f>IFERROR(__xludf.DUMMYFUNCTION("""COMPUTED_VALUE"""),81.0)</f>
        <v>81</v>
      </c>
      <c r="I1284" s="1">
        <f>IFERROR(__xludf.DUMMYFUNCTION("""COMPUTED_VALUE"""),60.0)</f>
        <v>60</v>
      </c>
      <c r="J1284" s="1">
        <f>IFERROR(__xludf.DUMMYFUNCTION("""COMPUTED_VALUE"""),75.0)</f>
        <v>75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 t="str">
        <f>IFERROR(__xludf.DUMMYFUNCTION("""COMPUTED_VALUE"""),"A")</f>
        <v>A</v>
      </c>
      <c r="E1285" s="1">
        <f>IFERROR(__xludf.DUMMYFUNCTION("""COMPUTED_VALUE"""),86.0)</f>
        <v>86</v>
      </c>
      <c r="F1285" s="1">
        <f>IFERROR(__xludf.DUMMYFUNCTION("""COMPUTED_VALUE"""),33.0)</f>
        <v>33</v>
      </c>
      <c r="G1285" s="1">
        <f>IFERROR(__xludf.DUMMYFUNCTION("""COMPUTED_VALUE"""),54.0)</f>
        <v>54</v>
      </c>
      <c r="H1285" s="1">
        <f>IFERROR(__xludf.DUMMYFUNCTION("""COMPUTED_VALUE"""),32.0)</f>
        <v>32</v>
      </c>
      <c r="I1285" s="1">
        <f>IFERROR(__xludf.DUMMYFUNCTION("""COMPUTED_VALUE"""),26.0)</f>
        <v>26</v>
      </c>
      <c r="J1285" s="1">
        <f>IFERROR(__xludf.DUMMYFUNCTION("""COMPUTED_VALUE"""),51.0)</f>
        <v>51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 t="str">
        <f>IFERROR(__xludf.DUMMYFUNCTION("""COMPUTED_VALUE"""),"A")</f>
        <v>A</v>
      </c>
      <c r="E1286" s="1">
        <f>IFERROR(__xludf.DUMMYFUNCTION("""COMPUTED_VALUE"""),91.0)</f>
        <v>91</v>
      </c>
      <c r="F1286" s="1">
        <f>IFERROR(__xludf.DUMMYFUNCTION("""COMPUTED_VALUE"""),62.0)</f>
        <v>62</v>
      </c>
      <c r="G1286" s="1">
        <f>IFERROR(__xludf.DUMMYFUNCTION("""COMPUTED_VALUE"""),22.0)</f>
        <v>22</v>
      </c>
      <c r="H1286" s="1">
        <f>IFERROR(__xludf.DUMMYFUNCTION("""COMPUTED_VALUE"""),68.0)</f>
        <v>68</v>
      </c>
      <c r="I1286" s="1">
        <f>IFERROR(__xludf.DUMMYFUNCTION("""COMPUTED_VALUE"""),49.0)</f>
        <v>49</v>
      </c>
      <c r="J1286" s="1">
        <f>IFERROR(__xludf.DUMMYFUNCTION("""COMPUTED_VALUE"""),49.0)</f>
        <v>49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 t="str">
        <f>IFERROR(__xludf.DUMMYFUNCTION("""COMPUTED_VALUE"""),"D")</f>
        <v>D</v>
      </c>
      <c r="E1287" s="1">
        <f>IFERROR(__xludf.DUMMYFUNCTION("""COMPUTED_VALUE"""),91.0)</f>
        <v>91</v>
      </c>
      <c r="F1287" s="1">
        <f>IFERROR(__xludf.DUMMYFUNCTION("""COMPUTED_VALUE"""),84.0)</f>
        <v>84</v>
      </c>
      <c r="G1287" s="1">
        <f>IFERROR(__xludf.DUMMYFUNCTION("""COMPUTED_VALUE"""),64.0)</f>
        <v>64</v>
      </c>
      <c r="H1287" s="1">
        <f>IFERROR(__xludf.DUMMYFUNCTION("""COMPUTED_VALUE"""),76.0)</f>
        <v>76</v>
      </c>
      <c r="I1287" s="1">
        <f>IFERROR(__xludf.DUMMYFUNCTION("""COMPUTED_VALUE"""),94.0)</f>
        <v>94</v>
      </c>
      <c r="J1287" s="1">
        <f>IFERROR(__xludf.DUMMYFUNCTION("""COMPUTED_VALUE"""),81.0)</f>
        <v>81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 t="str">
        <f>IFERROR(__xludf.DUMMYFUNCTION("""COMPUTED_VALUE"""),"B")</f>
        <v>B</v>
      </c>
      <c r="E1288" s="1">
        <f>IFERROR(__xludf.DUMMYFUNCTION("""COMPUTED_VALUE"""),66.0)</f>
        <v>66</v>
      </c>
      <c r="F1288" s="1">
        <f>IFERROR(__xludf.DUMMYFUNCTION("""COMPUTED_VALUE"""),71.0)</f>
        <v>71</v>
      </c>
      <c r="G1288" s="1">
        <f>IFERROR(__xludf.DUMMYFUNCTION("""COMPUTED_VALUE"""),90.0)</f>
        <v>90</v>
      </c>
      <c r="H1288" s="1">
        <f>IFERROR(__xludf.DUMMYFUNCTION("""COMPUTED_VALUE"""),50.0)</f>
        <v>50</v>
      </c>
      <c r="I1288" s="1">
        <f>IFERROR(__xludf.DUMMYFUNCTION("""COMPUTED_VALUE"""),98.0)</f>
        <v>98</v>
      </c>
      <c r="J1288" s="1">
        <f>IFERROR(__xludf.DUMMYFUNCTION("""COMPUTED_VALUE"""),35.0)</f>
        <v>35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 t="str">
        <f>IFERROR(__xludf.DUMMYFUNCTION("""COMPUTED_VALUE"""),"B")</f>
        <v>B</v>
      </c>
      <c r="E1289" s="1">
        <f>IFERROR(__xludf.DUMMYFUNCTION("""COMPUTED_VALUE"""),52.0)</f>
        <v>52</v>
      </c>
      <c r="F1289" s="1">
        <f>IFERROR(__xludf.DUMMYFUNCTION("""COMPUTED_VALUE"""),33.0)</f>
        <v>33</v>
      </c>
      <c r="G1289" s="1">
        <f>IFERROR(__xludf.DUMMYFUNCTION("""COMPUTED_VALUE"""),73.0)</f>
        <v>73</v>
      </c>
      <c r="H1289" s="1">
        <f>IFERROR(__xludf.DUMMYFUNCTION("""COMPUTED_VALUE"""),31.0)</f>
        <v>31</v>
      </c>
      <c r="I1289" s="1">
        <f>IFERROR(__xludf.DUMMYFUNCTION("""COMPUTED_VALUE"""),71.0)</f>
        <v>71</v>
      </c>
      <c r="J1289" s="1">
        <f>IFERROR(__xludf.DUMMYFUNCTION("""COMPUTED_VALUE"""),46.0)</f>
        <v>46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 t="str">
        <f>IFERROR(__xludf.DUMMYFUNCTION("""COMPUTED_VALUE"""),"D")</f>
        <v>D</v>
      </c>
      <c r="E1290" s="1">
        <f>IFERROR(__xludf.DUMMYFUNCTION("""COMPUTED_VALUE"""),24.0)</f>
        <v>24</v>
      </c>
      <c r="F1290" s="1">
        <f>IFERROR(__xludf.DUMMYFUNCTION("""COMPUTED_VALUE"""),83.0)</f>
        <v>83</v>
      </c>
      <c r="G1290" s="1">
        <f>IFERROR(__xludf.DUMMYFUNCTION("""COMPUTED_VALUE"""),50.0)</f>
        <v>50</v>
      </c>
      <c r="H1290" s="1">
        <f>IFERROR(__xludf.DUMMYFUNCTION("""COMPUTED_VALUE"""),28.0)</f>
        <v>28</v>
      </c>
      <c r="I1290" s="1">
        <f>IFERROR(__xludf.DUMMYFUNCTION("""COMPUTED_VALUE"""),85.0)</f>
        <v>85</v>
      </c>
      <c r="J1290" s="1">
        <f>IFERROR(__xludf.DUMMYFUNCTION("""COMPUTED_VALUE"""),23.0)</f>
        <v>23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 t="str">
        <f>IFERROR(__xludf.DUMMYFUNCTION("""COMPUTED_VALUE"""),"A")</f>
        <v>A</v>
      </c>
      <c r="E1291" s="1">
        <f>IFERROR(__xludf.DUMMYFUNCTION("""COMPUTED_VALUE"""),99.0)</f>
        <v>99</v>
      </c>
      <c r="F1291" s="1">
        <f>IFERROR(__xludf.DUMMYFUNCTION("""COMPUTED_VALUE"""),98.0)</f>
        <v>98</v>
      </c>
      <c r="G1291" s="1">
        <f>IFERROR(__xludf.DUMMYFUNCTION("""COMPUTED_VALUE"""),39.0)</f>
        <v>39</v>
      </c>
      <c r="H1291" s="1">
        <f>IFERROR(__xludf.DUMMYFUNCTION("""COMPUTED_VALUE"""),84.0)</f>
        <v>84</v>
      </c>
      <c r="I1291" s="1">
        <f>IFERROR(__xludf.DUMMYFUNCTION("""COMPUTED_VALUE"""),47.0)</f>
        <v>47</v>
      </c>
      <c r="J1291" s="1">
        <f>IFERROR(__xludf.DUMMYFUNCTION("""COMPUTED_VALUE"""),44.0)</f>
        <v>44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 t="str">
        <f>IFERROR(__xludf.DUMMYFUNCTION("""COMPUTED_VALUE"""),"C")</f>
        <v>C</v>
      </c>
      <c r="E1292" s="1">
        <f>IFERROR(__xludf.DUMMYFUNCTION("""COMPUTED_VALUE"""),57.0)</f>
        <v>57</v>
      </c>
      <c r="F1292" s="1">
        <f>IFERROR(__xludf.DUMMYFUNCTION("""COMPUTED_VALUE"""),60.0)</f>
        <v>60</v>
      </c>
      <c r="G1292" s="1">
        <f>IFERROR(__xludf.DUMMYFUNCTION("""COMPUTED_VALUE"""),53.0)</f>
        <v>53</v>
      </c>
      <c r="H1292" s="1">
        <f>IFERROR(__xludf.DUMMYFUNCTION("""COMPUTED_VALUE"""),83.0)</f>
        <v>83</v>
      </c>
      <c r="I1292" s="1">
        <f>IFERROR(__xludf.DUMMYFUNCTION("""COMPUTED_VALUE"""),92.0)</f>
        <v>92</v>
      </c>
      <c r="J1292" s="1">
        <f>IFERROR(__xludf.DUMMYFUNCTION("""COMPUTED_VALUE"""),63.0)</f>
        <v>63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 t="str">
        <f>IFERROR(__xludf.DUMMYFUNCTION("""COMPUTED_VALUE"""),"A")</f>
        <v>A</v>
      </c>
      <c r="E1293" s="1">
        <f>IFERROR(__xludf.DUMMYFUNCTION("""COMPUTED_VALUE"""),21.0)</f>
        <v>21</v>
      </c>
      <c r="F1293" s="1">
        <f>IFERROR(__xludf.DUMMYFUNCTION("""COMPUTED_VALUE"""),70.0)</f>
        <v>70</v>
      </c>
      <c r="G1293" s="1">
        <f>IFERROR(__xludf.DUMMYFUNCTION("""COMPUTED_VALUE"""),43.0)</f>
        <v>43</v>
      </c>
      <c r="H1293" s="1">
        <f>IFERROR(__xludf.DUMMYFUNCTION("""COMPUTED_VALUE"""),86.0)</f>
        <v>86</v>
      </c>
      <c r="I1293" s="1">
        <f>IFERROR(__xludf.DUMMYFUNCTION("""COMPUTED_VALUE"""),78.0)</f>
        <v>78</v>
      </c>
      <c r="J1293" s="1">
        <f>IFERROR(__xludf.DUMMYFUNCTION("""COMPUTED_VALUE"""),61.0)</f>
        <v>61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 t="str">
        <f>IFERROR(__xludf.DUMMYFUNCTION("""COMPUTED_VALUE"""),"D")</f>
        <v>D</v>
      </c>
      <c r="E1294" s="1">
        <f>IFERROR(__xludf.DUMMYFUNCTION("""COMPUTED_VALUE"""),49.0)</f>
        <v>49</v>
      </c>
      <c r="F1294" s="1">
        <f>IFERROR(__xludf.DUMMYFUNCTION("""COMPUTED_VALUE"""),22.0)</f>
        <v>22</v>
      </c>
      <c r="G1294" s="1">
        <f>IFERROR(__xludf.DUMMYFUNCTION("""COMPUTED_VALUE"""),94.0)</f>
        <v>94</v>
      </c>
      <c r="H1294" s="1">
        <f>IFERROR(__xludf.DUMMYFUNCTION("""COMPUTED_VALUE"""),79.0)</f>
        <v>79</v>
      </c>
      <c r="I1294" s="1">
        <f>IFERROR(__xludf.DUMMYFUNCTION("""COMPUTED_VALUE"""),97.0)</f>
        <v>97</v>
      </c>
      <c r="J1294" s="1">
        <f>IFERROR(__xludf.DUMMYFUNCTION("""COMPUTED_VALUE"""),26.0)</f>
        <v>26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 t="str">
        <f>IFERROR(__xludf.DUMMYFUNCTION("""COMPUTED_VALUE"""),"B")</f>
        <v>B</v>
      </c>
      <c r="E1295" s="1">
        <f>IFERROR(__xludf.DUMMYFUNCTION("""COMPUTED_VALUE"""),23.0)</f>
        <v>23</v>
      </c>
      <c r="F1295" s="1">
        <f>IFERROR(__xludf.DUMMYFUNCTION("""COMPUTED_VALUE"""),38.0)</f>
        <v>38</v>
      </c>
      <c r="G1295" s="1">
        <f>IFERROR(__xludf.DUMMYFUNCTION("""COMPUTED_VALUE"""),39.0)</f>
        <v>39</v>
      </c>
      <c r="H1295" s="1">
        <f>IFERROR(__xludf.DUMMYFUNCTION("""COMPUTED_VALUE"""),86.0)</f>
        <v>86</v>
      </c>
      <c r="I1295" s="1">
        <f>IFERROR(__xludf.DUMMYFUNCTION("""COMPUTED_VALUE"""),72.0)</f>
        <v>72</v>
      </c>
      <c r="J1295" s="1">
        <f>IFERROR(__xludf.DUMMYFUNCTION("""COMPUTED_VALUE"""),59.0)</f>
        <v>59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 t="str">
        <f>IFERROR(__xludf.DUMMYFUNCTION("""COMPUTED_VALUE"""),"D")</f>
        <v>D</v>
      </c>
      <c r="E1296" s="1">
        <f>IFERROR(__xludf.DUMMYFUNCTION("""COMPUTED_VALUE"""),62.0)</f>
        <v>62</v>
      </c>
      <c r="F1296" s="1">
        <f>IFERROR(__xludf.DUMMYFUNCTION("""COMPUTED_VALUE"""),49.0)</f>
        <v>49</v>
      </c>
      <c r="G1296" s="1">
        <f>IFERROR(__xludf.DUMMYFUNCTION("""COMPUTED_VALUE"""),54.0)</f>
        <v>54</v>
      </c>
      <c r="H1296" s="1">
        <f>IFERROR(__xludf.DUMMYFUNCTION("""COMPUTED_VALUE"""),30.0)</f>
        <v>30</v>
      </c>
      <c r="I1296" s="1">
        <f>IFERROR(__xludf.DUMMYFUNCTION("""COMPUTED_VALUE"""),23.0)</f>
        <v>23</v>
      </c>
      <c r="J1296" s="1">
        <f>IFERROR(__xludf.DUMMYFUNCTION("""COMPUTED_VALUE"""),99.0)</f>
        <v>99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 t="str">
        <f>IFERROR(__xludf.DUMMYFUNCTION("""COMPUTED_VALUE"""),"A")</f>
        <v>A</v>
      </c>
      <c r="E1297" s="1">
        <f>IFERROR(__xludf.DUMMYFUNCTION("""COMPUTED_VALUE"""),74.0)</f>
        <v>74</v>
      </c>
      <c r="F1297" s="1">
        <f>IFERROR(__xludf.DUMMYFUNCTION("""COMPUTED_VALUE"""),98.0)</f>
        <v>98</v>
      </c>
      <c r="G1297" s="1">
        <f>IFERROR(__xludf.DUMMYFUNCTION("""COMPUTED_VALUE"""),47.0)</f>
        <v>47</v>
      </c>
      <c r="H1297" s="1">
        <f>IFERROR(__xludf.DUMMYFUNCTION("""COMPUTED_VALUE"""),58.0)</f>
        <v>58</v>
      </c>
      <c r="I1297" s="1">
        <f>IFERROR(__xludf.DUMMYFUNCTION("""COMPUTED_VALUE"""),24.0)</f>
        <v>24</v>
      </c>
      <c r="J1297" s="1">
        <f>IFERROR(__xludf.DUMMYFUNCTION("""COMPUTED_VALUE"""),44.0)</f>
        <v>44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 t="str">
        <f>IFERROR(__xludf.DUMMYFUNCTION("""COMPUTED_VALUE"""),"A")</f>
        <v>A</v>
      </c>
      <c r="E1298" s="1">
        <f>IFERROR(__xludf.DUMMYFUNCTION("""COMPUTED_VALUE"""),40.0)</f>
        <v>40</v>
      </c>
      <c r="F1298" s="1">
        <f>IFERROR(__xludf.DUMMYFUNCTION("""COMPUTED_VALUE"""),25.0)</f>
        <v>25</v>
      </c>
      <c r="G1298" s="1">
        <f>IFERROR(__xludf.DUMMYFUNCTION("""COMPUTED_VALUE"""),84.0)</f>
        <v>84</v>
      </c>
      <c r="H1298" s="1">
        <f>IFERROR(__xludf.DUMMYFUNCTION("""COMPUTED_VALUE"""),34.0)</f>
        <v>34</v>
      </c>
      <c r="I1298" s="1">
        <f>IFERROR(__xludf.DUMMYFUNCTION("""COMPUTED_VALUE"""),55.0)</f>
        <v>55</v>
      </c>
      <c r="J1298" s="1">
        <f>IFERROR(__xludf.DUMMYFUNCTION("""COMPUTED_VALUE"""),92.0)</f>
        <v>92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 t="str">
        <f>IFERROR(__xludf.DUMMYFUNCTION("""COMPUTED_VALUE"""),"A")</f>
        <v>A</v>
      </c>
      <c r="E1299" s="1">
        <f>IFERROR(__xludf.DUMMYFUNCTION("""COMPUTED_VALUE"""),74.0)</f>
        <v>74</v>
      </c>
      <c r="F1299" s="1">
        <f>IFERROR(__xludf.DUMMYFUNCTION("""COMPUTED_VALUE"""),57.0)</f>
        <v>57</v>
      </c>
      <c r="G1299" s="1">
        <f>IFERROR(__xludf.DUMMYFUNCTION("""COMPUTED_VALUE"""),98.0)</f>
        <v>98</v>
      </c>
      <c r="H1299" s="1">
        <f>IFERROR(__xludf.DUMMYFUNCTION("""COMPUTED_VALUE"""),97.0)</f>
        <v>97</v>
      </c>
      <c r="I1299" s="1">
        <f>IFERROR(__xludf.DUMMYFUNCTION("""COMPUTED_VALUE"""),85.0)</f>
        <v>85</v>
      </c>
      <c r="J1299" s="1">
        <f>IFERROR(__xludf.DUMMYFUNCTION("""COMPUTED_VALUE"""),70.0)</f>
        <v>70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 t="str">
        <f>IFERROR(__xludf.DUMMYFUNCTION("""COMPUTED_VALUE"""),"C")</f>
        <v>C</v>
      </c>
      <c r="E1300" s="1">
        <f>IFERROR(__xludf.DUMMYFUNCTION("""COMPUTED_VALUE"""),22.0)</f>
        <v>22</v>
      </c>
      <c r="F1300" s="1">
        <f>IFERROR(__xludf.DUMMYFUNCTION("""COMPUTED_VALUE"""),77.0)</f>
        <v>77</v>
      </c>
      <c r="G1300" s="1">
        <f>IFERROR(__xludf.DUMMYFUNCTION("""COMPUTED_VALUE"""),33.0)</f>
        <v>33</v>
      </c>
      <c r="H1300" s="1">
        <f>IFERROR(__xludf.DUMMYFUNCTION("""COMPUTED_VALUE"""),63.0)</f>
        <v>63</v>
      </c>
      <c r="I1300" s="1">
        <f>IFERROR(__xludf.DUMMYFUNCTION("""COMPUTED_VALUE"""),48.0)</f>
        <v>48</v>
      </c>
      <c r="J1300" s="1">
        <f>IFERROR(__xludf.DUMMYFUNCTION("""COMPUTED_VALUE"""),24.0)</f>
        <v>24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 t="str">
        <f>IFERROR(__xludf.DUMMYFUNCTION("""COMPUTED_VALUE"""),"A")</f>
        <v>A</v>
      </c>
      <c r="E1301" s="1">
        <f>IFERROR(__xludf.DUMMYFUNCTION("""COMPUTED_VALUE"""),20.0)</f>
        <v>20</v>
      </c>
      <c r="F1301" s="1">
        <f>IFERROR(__xludf.DUMMYFUNCTION("""COMPUTED_VALUE"""),55.0)</f>
        <v>55</v>
      </c>
      <c r="G1301" s="1">
        <f>IFERROR(__xludf.DUMMYFUNCTION("""COMPUTED_VALUE"""),48.0)</f>
        <v>48</v>
      </c>
      <c r="H1301" s="1">
        <f>IFERROR(__xludf.DUMMYFUNCTION("""COMPUTED_VALUE"""),63.0)</f>
        <v>63</v>
      </c>
      <c r="I1301" s="1">
        <f>IFERROR(__xludf.DUMMYFUNCTION("""COMPUTED_VALUE"""),24.0)</f>
        <v>24</v>
      </c>
      <c r="J1301" s="1">
        <f>IFERROR(__xludf.DUMMYFUNCTION("""COMPUTED_VALUE"""),44.0)</f>
        <v>44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 t="str">
        <f>IFERROR(__xludf.DUMMYFUNCTION("""COMPUTED_VALUE"""),"D")</f>
        <v>D</v>
      </c>
      <c r="E1302" s="1">
        <f>IFERROR(__xludf.DUMMYFUNCTION("""COMPUTED_VALUE"""),71.0)</f>
        <v>71</v>
      </c>
      <c r="F1302" s="1">
        <f>IFERROR(__xludf.DUMMYFUNCTION("""COMPUTED_VALUE"""),23.0)</f>
        <v>23</v>
      </c>
      <c r="G1302" s="1">
        <f>IFERROR(__xludf.DUMMYFUNCTION("""COMPUTED_VALUE"""),78.0)</f>
        <v>78</v>
      </c>
      <c r="H1302" s="1">
        <f>IFERROR(__xludf.DUMMYFUNCTION("""COMPUTED_VALUE"""),29.0)</f>
        <v>29</v>
      </c>
      <c r="I1302" s="1">
        <f>IFERROR(__xludf.DUMMYFUNCTION("""COMPUTED_VALUE"""),88.0)</f>
        <v>88</v>
      </c>
      <c r="J1302" s="1">
        <f>IFERROR(__xludf.DUMMYFUNCTION("""COMPUTED_VALUE"""),62.0)</f>
        <v>62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 t="str">
        <f>IFERROR(__xludf.DUMMYFUNCTION("""COMPUTED_VALUE"""),"C")</f>
        <v>C</v>
      </c>
      <c r="E1303" s="1">
        <f>IFERROR(__xludf.DUMMYFUNCTION("""COMPUTED_VALUE"""),34.0)</f>
        <v>34</v>
      </c>
      <c r="F1303" s="1">
        <f>IFERROR(__xludf.DUMMYFUNCTION("""COMPUTED_VALUE"""),70.0)</f>
        <v>70</v>
      </c>
      <c r="G1303" s="1">
        <f>IFERROR(__xludf.DUMMYFUNCTION("""COMPUTED_VALUE"""),96.0)</f>
        <v>96</v>
      </c>
      <c r="H1303" s="1">
        <f>IFERROR(__xludf.DUMMYFUNCTION("""COMPUTED_VALUE"""),58.0)</f>
        <v>58</v>
      </c>
      <c r="I1303" s="1">
        <f>IFERROR(__xludf.DUMMYFUNCTION("""COMPUTED_VALUE"""),37.0)</f>
        <v>37</v>
      </c>
      <c r="J1303" s="1">
        <f>IFERROR(__xludf.DUMMYFUNCTION("""COMPUTED_VALUE"""),79.0)</f>
        <v>79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 t="str">
        <f>IFERROR(__xludf.DUMMYFUNCTION("""COMPUTED_VALUE"""),"B")</f>
        <v>B</v>
      </c>
      <c r="E1304" s="1">
        <f>IFERROR(__xludf.DUMMYFUNCTION("""COMPUTED_VALUE"""),88.0)</f>
        <v>88</v>
      </c>
      <c r="F1304" s="1">
        <f>IFERROR(__xludf.DUMMYFUNCTION("""COMPUTED_VALUE"""),57.0)</f>
        <v>57</v>
      </c>
      <c r="G1304" s="1">
        <f>IFERROR(__xludf.DUMMYFUNCTION("""COMPUTED_VALUE"""),62.0)</f>
        <v>62</v>
      </c>
      <c r="H1304" s="1">
        <f>IFERROR(__xludf.DUMMYFUNCTION("""COMPUTED_VALUE"""),22.0)</f>
        <v>22</v>
      </c>
      <c r="I1304" s="1">
        <f>IFERROR(__xludf.DUMMYFUNCTION("""COMPUTED_VALUE"""),71.0)</f>
        <v>71</v>
      </c>
      <c r="J1304" s="1">
        <f>IFERROR(__xludf.DUMMYFUNCTION("""COMPUTED_VALUE"""),26.0)</f>
        <v>26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 t="str">
        <f>IFERROR(__xludf.DUMMYFUNCTION("""COMPUTED_VALUE"""),"C")</f>
        <v>C</v>
      </c>
      <c r="E1305" s="1">
        <f>IFERROR(__xludf.DUMMYFUNCTION("""COMPUTED_VALUE"""),93.0)</f>
        <v>93</v>
      </c>
      <c r="F1305" s="1">
        <f>IFERROR(__xludf.DUMMYFUNCTION("""COMPUTED_VALUE"""),20.0)</f>
        <v>20</v>
      </c>
      <c r="G1305" s="1">
        <f>IFERROR(__xludf.DUMMYFUNCTION("""COMPUTED_VALUE"""),43.0)</f>
        <v>43</v>
      </c>
      <c r="H1305" s="1">
        <f>IFERROR(__xludf.DUMMYFUNCTION("""COMPUTED_VALUE"""),78.0)</f>
        <v>78</v>
      </c>
      <c r="I1305" s="1">
        <f>IFERROR(__xludf.DUMMYFUNCTION("""COMPUTED_VALUE"""),87.0)</f>
        <v>87</v>
      </c>
      <c r="J1305" s="1">
        <f>IFERROR(__xludf.DUMMYFUNCTION("""COMPUTED_VALUE"""),55.0)</f>
        <v>55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 t="str">
        <f>IFERROR(__xludf.DUMMYFUNCTION("""COMPUTED_VALUE"""),"D")</f>
        <v>D</v>
      </c>
      <c r="E1306" s="1">
        <f>IFERROR(__xludf.DUMMYFUNCTION("""COMPUTED_VALUE"""),61.0)</f>
        <v>61</v>
      </c>
      <c r="F1306" s="1">
        <f>IFERROR(__xludf.DUMMYFUNCTION("""COMPUTED_VALUE"""),83.0)</f>
        <v>83</v>
      </c>
      <c r="G1306" s="1">
        <f>IFERROR(__xludf.DUMMYFUNCTION("""COMPUTED_VALUE"""),33.0)</f>
        <v>33</v>
      </c>
      <c r="H1306" s="1">
        <f>IFERROR(__xludf.DUMMYFUNCTION("""COMPUTED_VALUE"""),44.0)</f>
        <v>44</v>
      </c>
      <c r="I1306" s="1">
        <f>IFERROR(__xludf.DUMMYFUNCTION("""COMPUTED_VALUE"""),80.0)</f>
        <v>80</v>
      </c>
      <c r="J1306" s="1">
        <f>IFERROR(__xludf.DUMMYFUNCTION("""COMPUTED_VALUE"""),76.0)</f>
        <v>76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 t="str">
        <f>IFERROR(__xludf.DUMMYFUNCTION("""COMPUTED_VALUE"""),"D")</f>
        <v>D</v>
      </c>
      <c r="E1307" s="1">
        <f>IFERROR(__xludf.DUMMYFUNCTION("""COMPUTED_VALUE"""),70.0)</f>
        <v>70</v>
      </c>
      <c r="F1307" s="1">
        <f>IFERROR(__xludf.DUMMYFUNCTION("""COMPUTED_VALUE"""),21.0)</f>
        <v>21</v>
      </c>
      <c r="G1307" s="1">
        <f>IFERROR(__xludf.DUMMYFUNCTION("""COMPUTED_VALUE"""),54.0)</f>
        <v>54</v>
      </c>
      <c r="H1307" s="1">
        <f>IFERROR(__xludf.DUMMYFUNCTION("""COMPUTED_VALUE"""),42.0)</f>
        <v>42</v>
      </c>
      <c r="I1307" s="1">
        <f>IFERROR(__xludf.DUMMYFUNCTION("""COMPUTED_VALUE"""),24.0)</f>
        <v>24</v>
      </c>
      <c r="J1307" s="1">
        <f>IFERROR(__xludf.DUMMYFUNCTION("""COMPUTED_VALUE"""),27.0)</f>
        <v>27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 t="str">
        <f>IFERROR(__xludf.DUMMYFUNCTION("""COMPUTED_VALUE"""),"C")</f>
        <v>C</v>
      </c>
      <c r="E1308" s="1">
        <f>IFERROR(__xludf.DUMMYFUNCTION("""COMPUTED_VALUE"""),64.0)</f>
        <v>64</v>
      </c>
      <c r="F1308" s="1">
        <f>IFERROR(__xludf.DUMMYFUNCTION("""COMPUTED_VALUE"""),51.0)</f>
        <v>51</v>
      </c>
      <c r="G1308" s="1">
        <f>IFERROR(__xludf.DUMMYFUNCTION("""COMPUTED_VALUE"""),57.0)</f>
        <v>57</v>
      </c>
      <c r="H1308" s="1">
        <f>IFERROR(__xludf.DUMMYFUNCTION("""COMPUTED_VALUE"""),86.0)</f>
        <v>86</v>
      </c>
      <c r="I1308" s="1">
        <f>IFERROR(__xludf.DUMMYFUNCTION("""COMPUTED_VALUE"""),73.0)</f>
        <v>73</v>
      </c>
      <c r="J1308" s="1">
        <f>IFERROR(__xludf.DUMMYFUNCTION("""COMPUTED_VALUE"""),61.0)</f>
        <v>61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 t="str">
        <f>IFERROR(__xludf.DUMMYFUNCTION("""COMPUTED_VALUE"""),"D")</f>
        <v>D</v>
      </c>
      <c r="E1309" s="1">
        <f>IFERROR(__xludf.DUMMYFUNCTION("""COMPUTED_VALUE"""),75.0)</f>
        <v>75</v>
      </c>
      <c r="F1309" s="1">
        <f>IFERROR(__xludf.DUMMYFUNCTION("""COMPUTED_VALUE"""),28.0)</f>
        <v>28</v>
      </c>
      <c r="G1309" s="1">
        <f>IFERROR(__xludf.DUMMYFUNCTION("""COMPUTED_VALUE"""),81.0)</f>
        <v>81</v>
      </c>
      <c r="H1309" s="1">
        <f>IFERROR(__xludf.DUMMYFUNCTION("""COMPUTED_VALUE"""),31.0)</f>
        <v>31</v>
      </c>
      <c r="I1309" s="1">
        <f>IFERROR(__xludf.DUMMYFUNCTION("""COMPUTED_VALUE"""),90.0)</f>
        <v>90</v>
      </c>
      <c r="J1309" s="1">
        <f>IFERROR(__xludf.DUMMYFUNCTION("""COMPUTED_VALUE"""),31.0)</f>
        <v>31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 t="str">
        <f>IFERROR(__xludf.DUMMYFUNCTION("""COMPUTED_VALUE"""),"A")</f>
        <v>A</v>
      </c>
      <c r="E1310" s="1">
        <f>IFERROR(__xludf.DUMMYFUNCTION("""COMPUTED_VALUE"""),32.0)</f>
        <v>32</v>
      </c>
      <c r="F1310" s="1">
        <f>IFERROR(__xludf.DUMMYFUNCTION("""COMPUTED_VALUE"""),85.0)</f>
        <v>85</v>
      </c>
      <c r="G1310" s="1">
        <f>IFERROR(__xludf.DUMMYFUNCTION("""COMPUTED_VALUE"""),92.0)</f>
        <v>92</v>
      </c>
      <c r="H1310" s="1">
        <f>IFERROR(__xludf.DUMMYFUNCTION("""COMPUTED_VALUE"""),73.0)</f>
        <v>73</v>
      </c>
      <c r="I1310" s="1">
        <f>IFERROR(__xludf.DUMMYFUNCTION("""COMPUTED_VALUE"""),48.0)</f>
        <v>48</v>
      </c>
      <c r="J1310" s="1">
        <f>IFERROR(__xludf.DUMMYFUNCTION("""COMPUTED_VALUE"""),46.0)</f>
        <v>46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 t="str">
        <f>IFERROR(__xludf.DUMMYFUNCTION("""COMPUTED_VALUE"""),"D")</f>
        <v>D</v>
      </c>
      <c r="E1311" s="1">
        <f>IFERROR(__xludf.DUMMYFUNCTION("""COMPUTED_VALUE"""),66.0)</f>
        <v>66</v>
      </c>
      <c r="F1311" s="1">
        <f>IFERROR(__xludf.DUMMYFUNCTION("""COMPUTED_VALUE"""),83.0)</f>
        <v>83</v>
      </c>
      <c r="G1311" s="1">
        <f>IFERROR(__xludf.DUMMYFUNCTION("""COMPUTED_VALUE"""),24.0)</f>
        <v>24</v>
      </c>
      <c r="H1311" s="1">
        <f>IFERROR(__xludf.DUMMYFUNCTION("""COMPUTED_VALUE"""),47.0)</f>
        <v>47</v>
      </c>
      <c r="I1311" s="1">
        <f>IFERROR(__xludf.DUMMYFUNCTION("""COMPUTED_VALUE"""),85.0)</f>
        <v>85</v>
      </c>
      <c r="J1311" s="1">
        <f>IFERROR(__xludf.DUMMYFUNCTION("""COMPUTED_VALUE"""),55.0)</f>
        <v>55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 t="str">
        <f>IFERROR(__xludf.DUMMYFUNCTION("""COMPUTED_VALUE"""),"A")</f>
        <v>A</v>
      </c>
      <c r="E1312" s="1">
        <f>IFERROR(__xludf.DUMMYFUNCTION("""COMPUTED_VALUE"""),92.0)</f>
        <v>92</v>
      </c>
      <c r="F1312" s="1">
        <f>IFERROR(__xludf.DUMMYFUNCTION("""COMPUTED_VALUE"""),23.0)</f>
        <v>23</v>
      </c>
      <c r="G1312" s="1">
        <f>IFERROR(__xludf.DUMMYFUNCTION("""COMPUTED_VALUE"""),38.0)</f>
        <v>38</v>
      </c>
      <c r="H1312" s="1">
        <f>IFERROR(__xludf.DUMMYFUNCTION("""COMPUTED_VALUE"""),51.0)</f>
        <v>51</v>
      </c>
      <c r="I1312" s="1">
        <f>IFERROR(__xludf.DUMMYFUNCTION("""COMPUTED_VALUE"""),49.0)</f>
        <v>49</v>
      </c>
      <c r="J1312" s="1">
        <f>IFERROR(__xludf.DUMMYFUNCTION("""COMPUTED_VALUE"""),90.0)</f>
        <v>90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 t="str">
        <f>IFERROR(__xludf.DUMMYFUNCTION("""COMPUTED_VALUE"""),"C")</f>
        <v>C</v>
      </c>
      <c r="E1313" s="1">
        <f>IFERROR(__xludf.DUMMYFUNCTION("""COMPUTED_VALUE"""),19.0)</f>
        <v>19</v>
      </c>
      <c r="F1313" s="1">
        <f>IFERROR(__xludf.DUMMYFUNCTION("""COMPUTED_VALUE"""),48.0)</f>
        <v>48</v>
      </c>
      <c r="G1313" s="1">
        <f>IFERROR(__xludf.DUMMYFUNCTION("""COMPUTED_VALUE"""),29.0)</f>
        <v>29</v>
      </c>
      <c r="H1313" s="1">
        <f>IFERROR(__xludf.DUMMYFUNCTION("""COMPUTED_VALUE"""),69.0)</f>
        <v>69</v>
      </c>
      <c r="I1313" s="1">
        <f>IFERROR(__xludf.DUMMYFUNCTION("""COMPUTED_VALUE"""),74.0)</f>
        <v>74</v>
      </c>
      <c r="J1313" s="1">
        <f>IFERROR(__xludf.DUMMYFUNCTION("""COMPUTED_VALUE"""),97.0)</f>
        <v>97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 t="str">
        <f>IFERROR(__xludf.DUMMYFUNCTION("""COMPUTED_VALUE"""),"C")</f>
        <v>C</v>
      </c>
      <c r="E1314" s="1">
        <f>IFERROR(__xludf.DUMMYFUNCTION("""COMPUTED_VALUE"""),34.0)</f>
        <v>34</v>
      </c>
      <c r="F1314" s="1">
        <f>IFERROR(__xludf.DUMMYFUNCTION("""COMPUTED_VALUE"""),38.0)</f>
        <v>38</v>
      </c>
      <c r="G1314" s="1">
        <f>IFERROR(__xludf.DUMMYFUNCTION("""COMPUTED_VALUE"""),93.0)</f>
        <v>93</v>
      </c>
      <c r="H1314" s="1">
        <f>IFERROR(__xludf.DUMMYFUNCTION("""COMPUTED_VALUE"""),21.0)</f>
        <v>21</v>
      </c>
      <c r="I1314" s="1">
        <f>IFERROR(__xludf.DUMMYFUNCTION("""COMPUTED_VALUE"""),48.0)</f>
        <v>48</v>
      </c>
      <c r="J1314" s="1">
        <f>IFERROR(__xludf.DUMMYFUNCTION("""COMPUTED_VALUE"""),97.0)</f>
        <v>97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 t="str">
        <f>IFERROR(__xludf.DUMMYFUNCTION("""COMPUTED_VALUE"""),"C")</f>
        <v>C</v>
      </c>
      <c r="E1315" s="1">
        <f>IFERROR(__xludf.DUMMYFUNCTION("""COMPUTED_VALUE"""),70.0)</f>
        <v>70</v>
      </c>
      <c r="F1315" s="1">
        <f>IFERROR(__xludf.DUMMYFUNCTION("""COMPUTED_VALUE"""),61.0)</f>
        <v>61</v>
      </c>
      <c r="G1315" s="1">
        <f>IFERROR(__xludf.DUMMYFUNCTION("""COMPUTED_VALUE"""),36.0)</f>
        <v>36</v>
      </c>
      <c r="H1315" s="1">
        <f>IFERROR(__xludf.DUMMYFUNCTION("""COMPUTED_VALUE"""),82.0)</f>
        <v>82</v>
      </c>
      <c r="I1315" s="1">
        <f>IFERROR(__xludf.DUMMYFUNCTION("""COMPUTED_VALUE"""),46.0)</f>
        <v>46</v>
      </c>
      <c r="J1315" s="1">
        <f>IFERROR(__xludf.DUMMYFUNCTION("""COMPUTED_VALUE"""),73.0)</f>
        <v>73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 t="str">
        <f>IFERROR(__xludf.DUMMYFUNCTION("""COMPUTED_VALUE"""),"A")</f>
        <v>A</v>
      </c>
      <c r="E1316" s="1">
        <f>IFERROR(__xludf.DUMMYFUNCTION("""COMPUTED_VALUE"""),46.0)</f>
        <v>46</v>
      </c>
      <c r="F1316" s="1">
        <f>IFERROR(__xludf.DUMMYFUNCTION("""COMPUTED_VALUE"""),84.0)</f>
        <v>84</v>
      </c>
      <c r="G1316" s="1">
        <f>IFERROR(__xludf.DUMMYFUNCTION("""COMPUTED_VALUE"""),92.0)</f>
        <v>92</v>
      </c>
      <c r="H1316" s="1">
        <f>IFERROR(__xludf.DUMMYFUNCTION("""COMPUTED_VALUE"""),29.0)</f>
        <v>29</v>
      </c>
      <c r="I1316" s="1">
        <f>IFERROR(__xludf.DUMMYFUNCTION("""COMPUTED_VALUE"""),59.0)</f>
        <v>59</v>
      </c>
      <c r="J1316" s="1">
        <f>IFERROR(__xludf.DUMMYFUNCTION("""COMPUTED_VALUE"""),30.0)</f>
        <v>30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 t="str">
        <f>IFERROR(__xludf.DUMMYFUNCTION("""COMPUTED_VALUE"""),"A")</f>
        <v>A</v>
      </c>
      <c r="E1317" s="1">
        <f>IFERROR(__xludf.DUMMYFUNCTION("""COMPUTED_VALUE"""),50.0)</f>
        <v>50</v>
      </c>
      <c r="F1317" s="1">
        <f>IFERROR(__xludf.DUMMYFUNCTION("""COMPUTED_VALUE"""),54.0)</f>
        <v>54</v>
      </c>
      <c r="G1317" s="1">
        <f>IFERROR(__xludf.DUMMYFUNCTION("""COMPUTED_VALUE"""),78.0)</f>
        <v>78</v>
      </c>
      <c r="H1317" s="1">
        <f>IFERROR(__xludf.DUMMYFUNCTION("""COMPUTED_VALUE"""),65.0)</f>
        <v>65</v>
      </c>
      <c r="I1317" s="1">
        <f>IFERROR(__xludf.DUMMYFUNCTION("""COMPUTED_VALUE"""),47.0)</f>
        <v>47</v>
      </c>
      <c r="J1317" s="1">
        <f>IFERROR(__xludf.DUMMYFUNCTION("""COMPUTED_VALUE"""),51.0)</f>
        <v>51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 t="str">
        <f>IFERROR(__xludf.DUMMYFUNCTION("""COMPUTED_VALUE"""),"C")</f>
        <v>C</v>
      </c>
      <c r="E1318" s="1">
        <f>IFERROR(__xludf.DUMMYFUNCTION("""COMPUTED_VALUE"""),49.0)</f>
        <v>49</v>
      </c>
      <c r="F1318" s="1">
        <f>IFERROR(__xludf.DUMMYFUNCTION("""COMPUTED_VALUE"""),35.0)</f>
        <v>35</v>
      </c>
      <c r="G1318" s="1">
        <f>IFERROR(__xludf.DUMMYFUNCTION("""COMPUTED_VALUE"""),22.0)</f>
        <v>22</v>
      </c>
      <c r="H1318" s="1">
        <f>IFERROR(__xludf.DUMMYFUNCTION("""COMPUTED_VALUE"""),97.0)</f>
        <v>97</v>
      </c>
      <c r="I1318" s="1">
        <f>IFERROR(__xludf.DUMMYFUNCTION("""COMPUTED_VALUE"""),59.0)</f>
        <v>59</v>
      </c>
      <c r="J1318" s="1">
        <f>IFERROR(__xludf.DUMMYFUNCTION("""COMPUTED_VALUE"""),99.0)</f>
        <v>99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 t="str">
        <f>IFERROR(__xludf.DUMMYFUNCTION("""COMPUTED_VALUE"""),"C")</f>
        <v>C</v>
      </c>
      <c r="E1319" s="1">
        <f>IFERROR(__xludf.DUMMYFUNCTION("""COMPUTED_VALUE"""),71.0)</f>
        <v>71</v>
      </c>
      <c r="F1319" s="1">
        <f>IFERROR(__xludf.DUMMYFUNCTION("""COMPUTED_VALUE"""),20.0)</f>
        <v>20</v>
      </c>
      <c r="G1319" s="1">
        <f>IFERROR(__xludf.DUMMYFUNCTION("""COMPUTED_VALUE"""),53.0)</f>
        <v>53</v>
      </c>
      <c r="H1319" s="1">
        <f>IFERROR(__xludf.DUMMYFUNCTION("""COMPUTED_VALUE"""),93.0)</f>
        <v>93</v>
      </c>
      <c r="I1319" s="1">
        <f>IFERROR(__xludf.DUMMYFUNCTION("""COMPUTED_VALUE"""),78.0)</f>
        <v>78</v>
      </c>
      <c r="J1319" s="1">
        <f>IFERROR(__xludf.DUMMYFUNCTION("""COMPUTED_VALUE"""),66.0)</f>
        <v>66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 t="str">
        <f>IFERROR(__xludf.DUMMYFUNCTION("""COMPUTED_VALUE"""),"D")</f>
        <v>D</v>
      </c>
      <c r="E1320" s="1">
        <f>IFERROR(__xludf.DUMMYFUNCTION("""COMPUTED_VALUE"""),75.0)</f>
        <v>75</v>
      </c>
      <c r="F1320" s="1">
        <f>IFERROR(__xludf.DUMMYFUNCTION("""COMPUTED_VALUE"""),61.0)</f>
        <v>61</v>
      </c>
      <c r="G1320" s="1">
        <f>IFERROR(__xludf.DUMMYFUNCTION("""COMPUTED_VALUE"""),33.0)</f>
        <v>33</v>
      </c>
      <c r="H1320" s="1">
        <f>IFERROR(__xludf.DUMMYFUNCTION("""COMPUTED_VALUE"""),49.0)</f>
        <v>49</v>
      </c>
      <c r="I1320" s="1">
        <f>IFERROR(__xludf.DUMMYFUNCTION("""COMPUTED_VALUE"""),76.0)</f>
        <v>76</v>
      </c>
      <c r="J1320" s="1">
        <f>IFERROR(__xludf.DUMMYFUNCTION("""COMPUTED_VALUE"""),34.0)</f>
        <v>34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 t="str">
        <f>IFERROR(__xludf.DUMMYFUNCTION("""COMPUTED_VALUE"""),"C")</f>
        <v>C</v>
      </c>
      <c r="E1321" s="1">
        <f>IFERROR(__xludf.DUMMYFUNCTION("""COMPUTED_VALUE"""),91.0)</f>
        <v>91</v>
      </c>
      <c r="F1321" s="1">
        <f>IFERROR(__xludf.DUMMYFUNCTION("""COMPUTED_VALUE"""),93.0)</f>
        <v>93</v>
      </c>
      <c r="G1321" s="1">
        <f>IFERROR(__xludf.DUMMYFUNCTION("""COMPUTED_VALUE"""),64.0)</f>
        <v>64</v>
      </c>
      <c r="H1321" s="1">
        <f>IFERROR(__xludf.DUMMYFUNCTION("""COMPUTED_VALUE"""),24.0)</f>
        <v>24</v>
      </c>
      <c r="I1321" s="1">
        <f>IFERROR(__xludf.DUMMYFUNCTION("""COMPUTED_VALUE"""),89.0)</f>
        <v>89</v>
      </c>
      <c r="J1321" s="1">
        <f>IFERROR(__xludf.DUMMYFUNCTION("""COMPUTED_VALUE"""),40.0)</f>
        <v>40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 t="str">
        <f>IFERROR(__xludf.DUMMYFUNCTION("""COMPUTED_VALUE"""),"B")</f>
        <v>B</v>
      </c>
      <c r="E1322" s="1">
        <f>IFERROR(__xludf.DUMMYFUNCTION("""COMPUTED_VALUE"""),36.0)</f>
        <v>36</v>
      </c>
      <c r="F1322" s="1">
        <f>IFERROR(__xludf.DUMMYFUNCTION("""COMPUTED_VALUE"""),87.0)</f>
        <v>87</v>
      </c>
      <c r="G1322" s="1">
        <f>IFERROR(__xludf.DUMMYFUNCTION("""COMPUTED_VALUE"""),47.0)</f>
        <v>47</v>
      </c>
      <c r="H1322" s="1">
        <f>IFERROR(__xludf.DUMMYFUNCTION("""COMPUTED_VALUE"""),29.0)</f>
        <v>29</v>
      </c>
      <c r="I1322" s="1">
        <f>IFERROR(__xludf.DUMMYFUNCTION("""COMPUTED_VALUE"""),23.0)</f>
        <v>23</v>
      </c>
      <c r="J1322" s="1">
        <f>IFERROR(__xludf.DUMMYFUNCTION("""COMPUTED_VALUE"""),70.0)</f>
        <v>70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 t="str">
        <f>IFERROR(__xludf.DUMMYFUNCTION("""COMPUTED_VALUE"""),"D")</f>
        <v>D</v>
      </c>
      <c r="E1323" s="1">
        <f>IFERROR(__xludf.DUMMYFUNCTION("""COMPUTED_VALUE"""),60.0)</f>
        <v>60</v>
      </c>
      <c r="F1323" s="1">
        <f>IFERROR(__xludf.DUMMYFUNCTION("""COMPUTED_VALUE"""),88.0)</f>
        <v>88</v>
      </c>
      <c r="G1323" s="1">
        <f>IFERROR(__xludf.DUMMYFUNCTION("""COMPUTED_VALUE"""),47.0)</f>
        <v>47</v>
      </c>
      <c r="H1323" s="1">
        <f>IFERROR(__xludf.DUMMYFUNCTION("""COMPUTED_VALUE"""),87.0)</f>
        <v>87</v>
      </c>
      <c r="I1323" s="1">
        <f>IFERROR(__xludf.DUMMYFUNCTION("""COMPUTED_VALUE"""),46.0)</f>
        <v>46</v>
      </c>
      <c r="J1323" s="1">
        <f>IFERROR(__xludf.DUMMYFUNCTION("""COMPUTED_VALUE"""),76.0)</f>
        <v>76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 t="str">
        <f>IFERROR(__xludf.DUMMYFUNCTION("""COMPUTED_VALUE"""),"C")</f>
        <v>C</v>
      </c>
      <c r="E1324" s="1">
        <f>IFERROR(__xludf.DUMMYFUNCTION("""COMPUTED_VALUE"""),74.0)</f>
        <v>74</v>
      </c>
      <c r="F1324" s="1">
        <f>IFERROR(__xludf.DUMMYFUNCTION("""COMPUTED_VALUE"""),78.0)</f>
        <v>78</v>
      </c>
      <c r="G1324" s="1">
        <f>IFERROR(__xludf.DUMMYFUNCTION("""COMPUTED_VALUE"""),49.0)</f>
        <v>49</v>
      </c>
      <c r="H1324" s="1">
        <f>IFERROR(__xludf.DUMMYFUNCTION("""COMPUTED_VALUE"""),42.0)</f>
        <v>42</v>
      </c>
      <c r="I1324" s="1">
        <f>IFERROR(__xludf.DUMMYFUNCTION("""COMPUTED_VALUE"""),69.0)</f>
        <v>69</v>
      </c>
      <c r="J1324" s="1">
        <f>IFERROR(__xludf.DUMMYFUNCTION("""COMPUTED_VALUE"""),88.0)</f>
        <v>88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 t="str">
        <f>IFERROR(__xludf.DUMMYFUNCTION("""COMPUTED_VALUE"""),"B")</f>
        <v>B</v>
      </c>
      <c r="E1325" s="1">
        <f>IFERROR(__xludf.DUMMYFUNCTION("""COMPUTED_VALUE"""),34.0)</f>
        <v>34</v>
      </c>
      <c r="F1325" s="1">
        <f>IFERROR(__xludf.DUMMYFUNCTION("""COMPUTED_VALUE"""),92.0)</f>
        <v>92</v>
      </c>
      <c r="G1325" s="1">
        <f>IFERROR(__xludf.DUMMYFUNCTION("""COMPUTED_VALUE"""),98.0)</f>
        <v>98</v>
      </c>
      <c r="H1325" s="1">
        <f>IFERROR(__xludf.DUMMYFUNCTION("""COMPUTED_VALUE"""),42.0)</f>
        <v>42</v>
      </c>
      <c r="I1325" s="1">
        <f>IFERROR(__xludf.DUMMYFUNCTION("""COMPUTED_VALUE"""),67.0)</f>
        <v>67</v>
      </c>
      <c r="J1325" s="1">
        <f>IFERROR(__xludf.DUMMYFUNCTION("""COMPUTED_VALUE"""),67.0)</f>
        <v>67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 t="str">
        <f>IFERROR(__xludf.DUMMYFUNCTION("""COMPUTED_VALUE"""),"A")</f>
        <v>A</v>
      </c>
      <c r="E1326" s="1">
        <f>IFERROR(__xludf.DUMMYFUNCTION("""COMPUTED_VALUE"""),43.0)</f>
        <v>43</v>
      </c>
      <c r="F1326" s="1">
        <f>IFERROR(__xludf.DUMMYFUNCTION("""COMPUTED_VALUE"""),45.0)</f>
        <v>45</v>
      </c>
      <c r="G1326" s="1">
        <f>IFERROR(__xludf.DUMMYFUNCTION("""COMPUTED_VALUE"""),73.0)</f>
        <v>73</v>
      </c>
      <c r="H1326" s="1">
        <f>IFERROR(__xludf.DUMMYFUNCTION("""COMPUTED_VALUE"""),84.0)</f>
        <v>84</v>
      </c>
      <c r="I1326" s="1">
        <f>IFERROR(__xludf.DUMMYFUNCTION("""COMPUTED_VALUE"""),23.0)</f>
        <v>23</v>
      </c>
      <c r="J1326" s="1">
        <f>IFERROR(__xludf.DUMMYFUNCTION("""COMPUTED_VALUE"""),36.0)</f>
        <v>36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 t="str">
        <f>IFERROR(__xludf.DUMMYFUNCTION("""COMPUTED_VALUE"""),"B")</f>
        <v>B</v>
      </c>
      <c r="E1327" s="1">
        <f>IFERROR(__xludf.DUMMYFUNCTION("""COMPUTED_VALUE"""),44.0)</f>
        <v>44</v>
      </c>
      <c r="F1327" s="1">
        <f>IFERROR(__xludf.DUMMYFUNCTION("""COMPUTED_VALUE"""),24.0)</f>
        <v>24</v>
      </c>
      <c r="G1327" s="1">
        <f>IFERROR(__xludf.DUMMYFUNCTION("""COMPUTED_VALUE"""),30.0)</f>
        <v>30</v>
      </c>
      <c r="H1327" s="1">
        <f>IFERROR(__xludf.DUMMYFUNCTION("""COMPUTED_VALUE"""),92.0)</f>
        <v>92</v>
      </c>
      <c r="I1327" s="1">
        <f>IFERROR(__xludf.DUMMYFUNCTION("""COMPUTED_VALUE"""),29.0)</f>
        <v>29</v>
      </c>
      <c r="J1327" s="1">
        <f>IFERROR(__xludf.DUMMYFUNCTION("""COMPUTED_VALUE"""),42.0)</f>
        <v>42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 t="str">
        <f>IFERROR(__xludf.DUMMYFUNCTION("""COMPUTED_VALUE"""),"C")</f>
        <v>C</v>
      </c>
      <c r="E1328" s="1">
        <f>IFERROR(__xludf.DUMMYFUNCTION("""COMPUTED_VALUE"""),69.0)</f>
        <v>69</v>
      </c>
      <c r="F1328" s="1">
        <f>IFERROR(__xludf.DUMMYFUNCTION("""COMPUTED_VALUE"""),43.0)</f>
        <v>43</v>
      </c>
      <c r="G1328" s="1">
        <f>IFERROR(__xludf.DUMMYFUNCTION("""COMPUTED_VALUE"""),73.0)</f>
        <v>73</v>
      </c>
      <c r="H1328" s="1">
        <f>IFERROR(__xludf.DUMMYFUNCTION("""COMPUTED_VALUE"""),94.0)</f>
        <v>94</v>
      </c>
      <c r="I1328" s="1">
        <f>IFERROR(__xludf.DUMMYFUNCTION("""COMPUTED_VALUE"""),48.0)</f>
        <v>48</v>
      </c>
      <c r="J1328" s="1">
        <f>IFERROR(__xludf.DUMMYFUNCTION("""COMPUTED_VALUE"""),69.0)</f>
        <v>69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 t="str">
        <f>IFERROR(__xludf.DUMMYFUNCTION("""COMPUTED_VALUE"""),"C")</f>
        <v>C</v>
      </c>
      <c r="E1329" s="1">
        <f>IFERROR(__xludf.DUMMYFUNCTION("""COMPUTED_VALUE"""),18.0)</f>
        <v>18</v>
      </c>
      <c r="F1329" s="1">
        <f>IFERROR(__xludf.DUMMYFUNCTION("""COMPUTED_VALUE"""),21.0)</f>
        <v>21</v>
      </c>
      <c r="G1329" s="1">
        <f>IFERROR(__xludf.DUMMYFUNCTION("""COMPUTED_VALUE"""),29.0)</f>
        <v>29</v>
      </c>
      <c r="H1329" s="1">
        <f>IFERROR(__xludf.DUMMYFUNCTION("""COMPUTED_VALUE"""),26.0)</f>
        <v>26</v>
      </c>
      <c r="I1329" s="1">
        <f>IFERROR(__xludf.DUMMYFUNCTION("""COMPUTED_VALUE"""),95.0)</f>
        <v>95</v>
      </c>
      <c r="J1329" s="1">
        <f>IFERROR(__xludf.DUMMYFUNCTION("""COMPUTED_VALUE"""),23.0)</f>
        <v>23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 t="str">
        <f>IFERROR(__xludf.DUMMYFUNCTION("""COMPUTED_VALUE"""),"D")</f>
        <v>D</v>
      </c>
      <c r="E1330" s="1">
        <f>IFERROR(__xludf.DUMMYFUNCTION("""COMPUTED_VALUE"""),47.0)</f>
        <v>47</v>
      </c>
      <c r="F1330" s="1">
        <f>IFERROR(__xludf.DUMMYFUNCTION("""COMPUTED_VALUE"""),87.0)</f>
        <v>87</v>
      </c>
      <c r="G1330" s="1">
        <f>IFERROR(__xludf.DUMMYFUNCTION("""COMPUTED_VALUE"""),41.0)</f>
        <v>41</v>
      </c>
      <c r="H1330" s="1">
        <f>IFERROR(__xludf.DUMMYFUNCTION("""COMPUTED_VALUE"""),91.0)</f>
        <v>91</v>
      </c>
      <c r="I1330" s="1">
        <f>IFERROR(__xludf.DUMMYFUNCTION("""COMPUTED_VALUE"""),82.0)</f>
        <v>82</v>
      </c>
      <c r="J1330" s="1">
        <f>IFERROR(__xludf.DUMMYFUNCTION("""COMPUTED_VALUE"""),64.0)</f>
        <v>64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 t="str">
        <f>IFERROR(__xludf.DUMMYFUNCTION("""COMPUTED_VALUE"""),"B")</f>
        <v>B</v>
      </c>
      <c r="E1331" s="1">
        <f>IFERROR(__xludf.DUMMYFUNCTION("""COMPUTED_VALUE"""),80.0)</f>
        <v>80</v>
      </c>
      <c r="F1331" s="1">
        <f>IFERROR(__xludf.DUMMYFUNCTION("""COMPUTED_VALUE"""),90.0)</f>
        <v>90</v>
      </c>
      <c r="G1331" s="1">
        <f>IFERROR(__xludf.DUMMYFUNCTION("""COMPUTED_VALUE"""),38.0)</f>
        <v>38</v>
      </c>
      <c r="H1331" s="1">
        <f>IFERROR(__xludf.DUMMYFUNCTION("""COMPUTED_VALUE"""),92.0)</f>
        <v>92</v>
      </c>
      <c r="I1331" s="1">
        <f>IFERROR(__xludf.DUMMYFUNCTION("""COMPUTED_VALUE"""),25.0)</f>
        <v>25</v>
      </c>
      <c r="J1331" s="1">
        <f>IFERROR(__xludf.DUMMYFUNCTION("""COMPUTED_VALUE"""),71.0)</f>
        <v>71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 t="str">
        <f>IFERROR(__xludf.DUMMYFUNCTION("""COMPUTED_VALUE"""),"C")</f>
        <v>C</v>
      </c>
      <c r="E1332" s="1">
        <f>IFERROR(__xludf.DUMMYFUNCTION("""COMPUTED_VALUE"""),94.0)</f>
        <v>94</v>
      </c>
      <c r="F1332" s="1">
        <f>IFERROR(__xludf.DUMMYFUNCTION("""COMPUTED_VALUE"""),84.0)</f>
        <v>84</v>
      </c>
      <c r="G1332" s="1">
        <f>IFERROR(__xludf.DUMMYFUNCTION("""COMPUTED_VALUE"""),74.0)</f>
        <v>74</v>
      </c>
      <c r="H1332" s="1">
        <f>IFERROR(__xludf.DUMMYFUNCTION("""COMPUTED_VALUE"""),58.0)</f>
        <v>58</v>
      </c>
      <c r="I1332" s="1">
        <f>IFERROR(__xludf.DUMMYFUNCTION("""COMPUTED_VALUE"""),73.0)</f>
        <v>73</v>
      </c>
      <c r="J1332" s="1">
        <f>IFERROR(__xludf.DUMMYFUNCTION("""COMPUTED_VALUE"""),91.0)</f>
        <v>91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 t="str">
        <f>IFERROR(__xludf.DUMMYFUNCTION("""COMPUTED_VALUE"""),"B")</f>
        <v>B</v>
      </c>
      <c r="E1333" s="1">
        <f>IFERROR(__xludf.DUMMYFUNCTION("""COMPUTED_VALUE"""),43.0)</f>
        <v>43</v>
      </c>
      <c r="F1333" s="1">
        <f>IFERROR(__xludf.DUMMYFUNCTION("""COMPUTED_VALUE"""),36.0)</f>
        <v>36</v>
      </c>
      <c r="G1333" s="1">
        <f>IFERROR(__xludf.DUMMYFUNCTION("""COMPUTED_VALUE"""),31.0)</f>
        <v>31</v>
      </c>
      <c r="H1333" s="1">
        <f>IFERROR(__xludf.DUMMYFUNCTION("""COMPUTED_VALUE"""),70.0)</f>
        <v>70</v>
      </c>
      <c r="I1333" s="1">
        <f>IFERROR(__xludf.DUMMYFUNCTION("""COMPUTED_VALUE"""),37.0)</f>
        <v>37</v>
      </c>
      <c r="J1333" s="1">
        <f>IFERROR(__xludf.DUMMYFUNCTION("""COMPUTED_VALUE"""),95.0)</f>
        <v>95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 t="str">
        <f>IFERROR(__xludf.DUMMYFUNCTION("""COMPUTED_VALUE"""),"C")</f>
        <v>C</v>
      </c>
      <c r="E1334" s="1">
        <f>IFERROR(__xludf.DUMMYFUNCTION("""COMPUTED_VALUE"""),57.0)</f>
        <v>57</v>
      </c>
      <c r="F1334" s="1">
        <f>IFERROR(__xludf.DUMMYFUNCTION("""COMPUTED_VALUE"""),91.0)</f>
        <v>91</v>
      </c>
      <c r="G1334" s="1">
        <f>IFERROR(__xludf.DUMMYFUNCTION("""COMPUTED_VALUE"""),88.0)</f>
        <v>88</v>
      </c>
      <c r="H1334" s="1">
        <f>IFERROR(__xludf.DUMMYFUNCTION("""COMPUTED_VALUE"""),22.0)</f>
        <v>22</v>
      </c>
      <c r="I1334" s="1">
        <f>IFERROR(__xludf.DUMMYFUNCTION("""COMPUTED_VALUE"""),59.0)</f>
        <v>59</v>
      </c>
      <c r="J1334" s="1">
        <f>IFERROR(__xludf.DUMMYFUNCTION("""COMPUTED_VALUE"""),92.0)</f>
        <v>92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 t="str">
        <f>IFERROR(__xludf.DUMMYFUNCTION("""COMPUTED_VALUE"""),"C")</f>
        <v>C</v>
      </c>
      <c r="E1335" s="1">
        <f>IFERROR(__xludf.DUMMYFUNCTION("""COMPUTED_VALUE"""),44.0)</f>
        <v>44</v>
      </c>
      <c r="F1335" s="1">
        <f>IFERROR(__xludf.DUMMYFUNCTION("""COMPUTED_VALUE"""),38.0)</f>
        <v>38</v>
      </c>
      <c r="G1335" s="1">
        <f>IFERROR(__xludf.DUMMYFUNCTION("""COMPUTED_VALUE"""),57.0)</f>
        <v>57</v>
      </c>
      <c r="H1335" s="1">
        <f>IFERROR(__xludf.DUMMYFUNCTION("""COMPUTED_VALUE"""),56.0)</f>
        <v>56</v>
      </c>
      <c r="I1335" s="1">
        <f>IFERROR(__xludf.DUMMYFUNCTION("""COMPUTED_VALUE"""),26.0)</f>
        <v>26</v>
      </c>
      <c r="J1335" s="1">
        <f>IFERROR(__xludf.DUMMYFUNCTION("""COMPUTED_VALUE"""),79.0)</f>
        <v>79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 t="str">
        <f>IFERROR(__xludf.DUMMYFUNCTION("""COMPUTED_VALUE"""),"C")</f>
        <v>C</v>
      </c>
      <c r="E1336" s="1">
        <f>IFERROR(__xludf.DUMMYFUNCTION("""COMPUTED_VALUE"""),56.0)</f>
        <v>56</v>
      </c>
      <c r="F1336" s="1">
        <f>IFERROR(__xludf.DUMMYFUNCTION("""COMPUTED_VALUE"""),47.0)</f>
        <v>47</v>
      </c>
      <c r="G1336" s="1">
        <f>IFERROR(__xludf.DUMMYFUNCTION("""COMPUTED_VALUE"""),92.0)</f>
        <v>92</v>
      </c>
      <c r="H1336" s="1">
        <f>IFERROR(__xludf.DUMMYFUNCTION("""COMPUTED_VALUE"""),59.0)</f>
        <v>59</v>
      </c>
      <c r="I1336" s="1">
        <f>IFERROR(__xludf.DUMMYFUNCTION("""COMPUTED_VALUE"""),40.0)</f>
        <v>40</v>
      </c>
      <c r="J1336" s="1">
        <f>IFERROR(__xludf.DUMMYFUNCTION("""COMPUTED_VALUE"""),45.0)</f>
        <v>45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 t="str">
        <f>IFERROR(__xludf.DUMMYFUNCTION("""COMPUTED_VALUE"""),"A")</f>
        <v>A</v>
      </c>
      <c r="E1337" s="1">
        <f>IFERROR(__xludf.DUMMYFUNCTION("""COMPUTED_VALUE"""),43.0)</f>
        <v>43</v>
      </c>
      <c r="F1337" s="1">
        <f>IFERROR(__xludf.DUMMYFUNCTION("""COMPUTED_VALUE"""),51.0)</f>
        <v>51</v>
      </c>
      <c r="G1337" s="1">
        <f>IFERROR(__xludf.DUMMYFUNCTION("""COMPUTED_VALUE"""),94.0)</f>
        <v>94</v>
      </c>
      <c r="H1337" s="1">
        <f>IFERROR(__xludf.DUMMYFUNCTION("""COMPUTED_VALUE"""),52.0)</f>
        <v>52</v>
      </c>
      <c r="I1337" s="1">
        <f>IFERROR(__xludf.DUMMYFUNCTION("""COMPUTED_VALUE"""),68.0)</f>
        <v>68</v>
      </c>
      <c r="J1337" s="1">
        <f>IFERROR(__xludf.DUMMYFUNCTION("""COMPUTED_VALUE"""),46.0)</f>
        <v>46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 t="str">
        <f>IFERROR(__xludf.DUMMYFUNCTION("""COMPUTED_VALUE"""),"C")</f>
        <v>C</v>
      </c>
      <c r="E1338" s="1">
        <f>IFERROR(__xludf.DUMMYFUNCTION("""COMPUTED_VALUE"""),50.0)</f>
        <v>50</v>
      </c>
      <c r="F1338" s="1">
        <f>IFERROR(__xludf.DUMMYFUNCTION("""COMPUTED_VALUE"""),92.0)</f>
        <v>92</v>
      </c>
      <c r="G1338" s="1">
        <f>IFERROR(__xludf.DUMMYFUNCTION("""COMPUTED_VALUE"""),37.0)</f>
        <v>37</v>
      </c>
      <c r="H1338" s="1">
        <f>IFERROR(__xludf.DUMMYFUNCTION("""COMPUTED_VALUE"""),91.0)</f>
        <v>91</v>
      </c>
      <c r="I1338" s="1">
        <f>IFERROR(__xludf.DUMMYFUNCTION("""COMPUTED_VALUE"""),36.0)</f>
        <v>36</v>
      </c>
      <c r="J1338" s="1">
        <f>IFERROR(__xludf.DUMMYFUNCTION("""COMPUTED_VALUE"""),99.0)</f>
        <v>99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 t="str">
        <f>IFERROR(__xludf.DUMMYFUNCTION("""COMPUTED_VALUE"""),"C")</f>
        <v>C</v>
      </c>
      <c r="E1339" s="1">
        <f>IFERROR(__xludf.DUMMYFUNCTION("""COMPUTED_VALUE"""),75.0)</f>
        <v>75</v>
      </c>
      <c r="F1339" s="1">
        <f>IFERROR(__xludf.DUMMYFUNCTION("""COMPUTED_VALUE"""),84.0)</f>
        <v>84</v>
      </c>
      <c r="G1339" s="1">
        <f>IFERROR(__xludf.DUMMYFUNCTION("""COMPUTED_VALUE"""),79.0)</f>
        <v>79</v>
      </c>
      <c r="H1339" s="1">
        <f>IFERROR(__xludf.DUMMYFUNCTION("""COMPUTED_VALUE"""),23.0)</f>
        <v>23</v>
      </c>
      <c r="I1339" s="1">
        <f>IFERROR(__xludf.DUMMYFUNCTION("""COMPUTED_VALUE"""),59.0)</f>
        <v>59</v>
      </c>
      <c r="J1339" s="1">
        <f>IFERROR(__xludf.DUMMYFUNCTION("""COMPUTED_VALUE"""),75.0)</f>
        <v>75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 t="str">
        <f>IFERROR(__xludf.DUMMYFUNCTION("""COMPUTED_VALUE"""),"C")</f>
        <v>C</v>
      </c>
      <c r="E1340" s="1">
        <f>IFERROR(__xludf.DUMMYFUNCTION("""COMPUTED_VALUE"""),36.0)</f>
        <v>36</v>
      </c>
      <c r="F1340" s="1">
        <f>IFERROR(__xludf.DUMMYFUNCTION("""COMPUTED_VALUE"""),49.0)</f>
        <v>49</v>
      </c>
      <c r="G1340" s="1">
        <f>IFERROR(__xludf.DUMMYFUNCTION("""COMPUTED_VALUE"""),41.0)</f>
        <v>41</v>
      </c>
      <c r="H1340" s="1">
        <f>IFERROR(__xludf.DUMMYFUNCTION("""COMPUTED_VALUE"""),68.0)</f>
        <v>68</v>
      </c>
      <c r="I1340" s="1">
        <f>IFERROR(__xludf.DUMMYFUNCTION("""COMPUTED_VALUE"""),23.0)</f>
        <v>23</v>
      </c>
      <c r="J1340" s="1">
        <f>IFERROR(__xludf.DUMMYFUNCTION("""COMPUTED_VALUE"""),94.0)</f>
        <v>94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 t="str">
        <f>IFERROR(__xludf.DUMMYFUNCTION("""COMPUTED_VALUE"""),"C")</f>
        <v>C</v>
      </c>
      <c r="E1341" s="1">
        <f>IFERROR(__xludf.DUMMYFUNCTION("""COMPUTED_VALUE"""),46.0)</f>
        <v>46</v>
      </c>
      <c r="F1341" s="1">
        <f>IFERROR(__xludf.DUMMYFUNCTION("""COMPUTED_VALUE"""),22.0)</f>
        <v>22</v>
      </c>
      <c r="G1341" s="1">
        <f>IFERROR(__xludf.DUMMYFUNCTION("""COMPUTED_VALUE"""),48.0)</f>
        <v>48</v>
      </c>
      <c r="H1341" s="1">
        <f>IFERROR(__xludf.DUMMYFUNCTION("""COMPUTED_VALUE"""),23.0)</f>
        <v>23</v>
      </c>
      <c r="I1341" s="1">
        <f>IFERROR(__xludf.DUMMYFUNCTION("""COMPUTED_VALUE"""),73.0)</f>
        <v>73</v>
      </c>
      <c r="J1341" s="1">
        <f>IFERROR(__xludf.DUMMYFUNCTION("""COMPUTED_VALUE"""),42.0)</f>
        <v>42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 t="str">
        <f>IFERROR(__xludf.DUMMYFUNCTION("""COMPUTED_VALUE"""),"C")</f>
        <v>C</v>
      </c>
      <c r="E1342" s="1">
        <f>IFERROR(__xludf.DUMMYFUNCTION("""COMPUTED_VALUE"""),14.0)</f>
        <v>14</v>
      </c>
      <c r="F1342" s="1">
        <f>IFERROR(__xludf.DUMMYFUNCTION("""COMPUTED_VALUE"""),57.0)</f>
        <v>57</v>
      </c>
      <c r="G1342" s="1">
        <f>IFERROR(__xludf.DUMMYFUNCTION("""COMPUTED_VALUE"""),92.0)</f>
        <v>92</v>
      </c>
      <c r="H1342" s="1">
        <f>IFERROR(__xludf.DUMMYFUNCTION("""COMPUTED_VALUE"""),84.0)</f>
        <v>84</v>
      </c>
      <c r="I1342" s="1">
        <f>IFERROR(__xludf.DUMMYFUNCTION("""COMPUTED_VALUE"""),82.0)</f>
        <v>82</v>
      </c>
      <c r="J1342" s="1">
        <f>IFERROR(__xludf.DUMMYFUNCTION("""COMPUTED_VALUE"""),30.0)</f>
        <v>30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 t="str">
        <f>IFERROR(__xludf.DUMMYFUNCTION("""COMPUTED_VALUE"""),"A")</f>
        <v>A</v>
      </c>
      <c r="E1343" s="1">
        <f>IFERROR(__xludf.DUMMYFUNCTION("""COMPUTED_VALUE"""),76.0)</f>
        <v>76</v>
      </c>
      <c r="F1343" s="1">
        <f>IFERROR(__xludf.DUMMYFUNCTION("""COMPUTED_VALUE"""),86.0)</f>
        <v>86</v>
      </c>
      <c r="G1343" s="1">
        <f>IFERROR(__xludf.DUMMYFUNCTION("""COMPUTED_VALUE"""),64.0)</f>
        <v>64</v>
      </c>
      <c r="H1343" s="1">
        <f>IFERROR(__xludf.DUMMYFUNCTION("""COMPUTED_VALUE"""),71.0)</f>
        <v>71</v>
      </c>
      <c r="I1343" s="1">
        <f>IFERROR(__xludf.DUMMYFUNCTION("""COMPUTED_VALUE"""),48.0)</f>
        <v>48</v>
      </c>
      <c r="J1343" s="1">
        <f>IFERROR(__xludf.DUMMYFUNCTION("""COMPUTED_VALUE"""),45.0)</f>
        <v>45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 t="str">
        <f>IFERROR(__xludf.DUMMYFUNCTION("""COMPUTED_VALUE"""),"D")</f>
        <v>D</v>
      </c>
      <c r="E1344" s="1">
        <f>IFERROR(__xludf.DUMMYFUNCTION("""COMPUTED_VALUE"""),98.0)</f>
        <v>98</v>
      </c>
      <c r="F1344" s="1">
        <f>IFERROR(__xludf.DUMMYFUNCTION("""COMPUTED_VALUE"""),66.0)</f>
        <v>66</v>
      </c>
      <c r="G1344" s="1">
        <f>IFERROR(__xludf.DUMMYFUNCTION("""COMPUTED_VALUE"""),45.0)</f>
        <v>45</v>
      </c>
      <c r="H1344" s="1">
        <f>IFERROR(__xludf.DUMMYFUNCTION("""COMPUTED_VALUE"""),45.0)</f>
        <v>45</v>
      </c>
      <c r="I1344" s="1">
        <f>IFERROR(__xludf.DUMMYFUNCTION("""COMPUTED_VALUE"""),41.0)</f>
        <v>41</v>
      </c>
      <c r="J1344" s="1">
        <f>IFERROR(__xludf.DUMMYFUNCTION("""COMPUTED_VALUE"""),45.0)</f>
        <v>45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 t="str">
        <f>IFERROR(__xludf.DUMMYFUNCTION("""COMPUTED_VALUE"""),"B")</f>
        <v>B</v>
      </c>
      <c r="E1345" s="1">
        <f>IFERROR(__xludf.DUMMYFUNCTION("""COMPUTED_VALUE"""),23.0)</f>
        <v>23</v>
      </c>
      <c r="F1345" s="1">
        <f>IFERROR(__xludf.DUMMYFUNCTION("""COMPUTED_VALUE"""),31.0)</f>
        <v>31</v>
      </c>
      <c r="G1345" s="1">
        <f>IFERROR(__xludf.DUMMYFUNCTION("""COMPUTED_VALUE"""),77.0)</f>
        <v>77</v>
      </c>
      <c r="H1345" s="1">
        <f>IFERROR(__xludf.DUMMYFUNCTION("""COMPUTED_VALUE"""),81.0)</f>
        <v>81</v>
      </c>
      <c r="I1345" s="1">
        <f>IFERROR(__xludf.DUMMYFUNCTION("""COMPUTED_VALUE"""),95.0)</f>
        <v>95</v>
      </c>
      <c r="J1345" s="1">
        <f>IFERROR(__xludf.DUMMYFUNCTION("""COMPUTED_VALUE"""),97.0)</f>
        <v>97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 t="str">
        <f>IFERROR(__xludf.DUMMYFUNCTION("""COMPUTED_VALUE"""),"B")</f>
        <v>B</v>
      </c>
      <c r="E1346" s="1">
        <f>IFERROR(__xludf.DUMMYFUNCTION("""COMPUTED_VALUE"""),29.0)</f>
        <v>29</v>
      </c>
      <c r="F1346" s="1">
        <f>IFERROR(__xludf.DUMMYFUNCTION("""COMPUTED_VALUE"""),60.0)</f>
        <v>60</v>
      </c>
      <c r="G1346" s="1">
        <f>IFERROR(__xludf.DUMMYFUNCTION("""COMPUTED_VALUE"""),87.0)</f>
        <v>87</v>
      </c>
      <c r="H1346" s="1">
        <f>IFERROR(__xludf.DUMMYFUNCTION("""COMPUTED_VALUE"""),82.0)</f>
        <v>82</v>
      </c>
      <c r="I1346" s="1">
        <f>IFERROR(__xludf.DUMMYFUNCTION("""COMPUTED_VALUE"""),90.0)</f>
        <v>90</v>
      </c>
      <c r="J1346" s="1">
        <f>IFERROR(__xludf.DUMMYFUNCTION("""COMPUTED_VALUE"""),94.0)</f>
        <v>94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 t="str">
        <f>IFERROR(__xludf.DUMMYFUNCTION("""COMPUTED_VALUE"""),"A")</f>
        <v>A</v>
      </c>
      <c r="E1347" s="1">
        <f>IFERROR(__xludf.DUMMYFUNCTION("""COMPUTED_VALUE"""),93.0)</f>
        <v>93</v>
      </c>
      <c r="F1347" s="1">
        <f>IFERROR(__xludf.DUMMYFUNCTION("""COMPUTED_VALUE"""),65.0)</f>
        <v>65</v>
      </c>
      <c r="G1347" s="1">
        <f>IFERROR(__xludf.DUMMYFUNCTION("""COMPUTED_VALUE"""),81.0)</f>
        <v>81</v>
      </c>
      <c r="H1347" s="1">
        <f>IFERROR(__xludf.DUMMYFUNCTION("""COMPUTED_VALUE"""),91.0)</f>
        <v>91</v>
      </c>
      <c r="I1347" s="1">
        <f>IFERROR(__xludf.DUMMYFUNCTION("""COMPUTED_VALUE"""),28.0)</f>
        <v>28</v>
      </c>
      <c r="J1347" s="1">
        <f>IFERROR(__xludf.DUMMYFUNCTION("""COMPUTED_VALUE"""),62.0)</f>
        <v>62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 t="str">
        <f>IFERROR(__xludf.DUMMYFUNCTION("""COMPUTED_VALUE"""),"A")</f>
        <v>A</v>
      </c>
      <c r="E1348" s="1">
        <f>IFERROR(__xludf.DUMMYFUNCTION("""COMPUTED_VALUE"""),31.0)</f>
        <v>31</v>
      </c>
      <c r="F1348" s="1">
        <f>IFERROR(__xludf.DUMMYFUNCTION("""COMPUTED_VALUE"""),46.0)</f>
        <v>46</v>
      </c>
      <c r="G1348" s="1">
        <f>IFERROR(__xludf.DUMMYFUNCTION("""COMPUTED_VALUE"""),39.0)</f>
        <v>39</v>
      </c>
      <c r="H1348" s="1">
        <f>IFERROR(__xludf.DUMMYFUNCTION("""COMPUTED_VALUE"""),75.0)</f>
        <v>75</v>
      </c>
      <c r="I1348" s="1">
        <f>IFERROR(__xludf.DUMMYFUNCTION("""COMPUTED_VALUE"""),66.0)</f>
        <v>66</v>
      </c>
      <c r="J1348" s="1">
        <f>IFERROR(__xludf.DUMMYFUNCTION("""COMPUTED_VALUE"""),46.0)</f>
        <v>46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 t="str">
        <f>IFERROR(__xludf.DUMMYFUNCTION("""COMPUTED_VALUE"""),"C")</f>
        <v>C</v>
      </c>
      <c r="E1349" s="1">
        <f>IFERROR(__xludf.DUMMYFUNCTION("""COMPUTED_VALUE"""),66.0)</f>
        <v>66</v>
      </c>
      <c r="F1349" s="1">
        <f>IFERROR(__xludf.DUMMYFUNCTION("""COMPUTED_VALUE"""),54.0)</f>
        <v>54</v>
      </c>
      <c r="G1349" s="1">
        <f>IFERROR(__xludf.DUMMYFUNCTION("""COMPUTED_VALUE"""),47.0)</f>
        <v>47</v>
      </c>
      <c r="H1349" s="1">
        <f>IFERROR(__xludf.DUMMYFUNCTION("""COMPUTED_VALUE"""),48.0)</f>
        <v>48</v>
      </c>
      <c r="I1349" s="1">
        <f>IFERROR(__xludf.DUMMYFUNCTION("""COMPUTED_VALUE"""),37.0)</f>
        <v>37</v>
      </c>
      <c r="J1349" s="1">
        <f>IFERROR(__xludf.DUMMYFUNCTION("""COMPUTED_VALUE"""),24.0)</f>
        <v>24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 t="str">
        <f>IFERROR(__xludf.DUMMYFUNCTION("""COMPUTED_VALUE"""),"B")</f>
        <v>B</v>
      </c>
      <c r="E1350" s="1">
        <f>IFERROR(__xludf.DUMMYFUNCTION("""COMPUTED_VALUE"""),68.0)</f>
        <v>68</v>
      </c>
      <c r="F1350" s="1">
        <f>IFERROR(__xludf.DUMMYFUNCTION("""COMPUTED_VALUE"""),25.0)</f>
        <v>25</v>
      </c>
      <c r="G1350" s="1">
        <f>IFERROR(__xludf.DUMMYFUNCTION("""COMPUTED_VALUE"""),76.0)</f>
        <v>76</v>
      </c>
      <c r="H1350" s="1">
        <f>IFERROR(__xludf.DUMMYFUNCTION("""COMPUTED_VALUE"""),62.0)</f>
        <v>62</v>
      </c>
      <c r="I1350" s="1">
        <f>IFERROR(__xludf.DUMMYFUNCTION("""COMPUTED_VALUE"""),45.0)</f>
        <v>45</v>
      </c>
      <c r="J1350" s="1">
        <f>IFERROR(__xludf.DUMMYFUNCTION("""COMPUTED_VALUE"""),94.0)</f>
        <v>94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 t="str">
        <f>IFERROR(__xludf.DUMMYFUNCTION("""COMPUTED_VALUE"""),"C")</f>
        <v>C</v>
      </c>
      <c r="E1351" s="1">
        <f>IFERROR(__xludf.DUMMYFUNCTION("""COMPUTED_VALUE"""),91.0)</f>
        <v>91</v>
      </c>
      <c r="F1351" s="1">
        <f>IFERROR(__xludf.DUMMYFUNCTION("""COMPUTED_VALUE"""),89.0)</f>
        <v>89</v>
      </c>
      <c r="G1351" s="1">
        <f>IFERROR(__xludf.DUMMYFUNCTION("""COMPUTED_VALUE"""),99.0)</f>
        <v>99</v>
      </c>
      <c r="H1351" s="1">
        <f>IFERROR(__xludf.DUMMYFUNCTION("""COMPUTED_VALUE"""),81.0)</f>
        <v>81</v>
      </c>
      <c r="I1351" s="1">
        <f>IFERROR(__xludf.DUMMYFUNCTION("""COMPUTED_VALUE"""),74.0)</f>
        <v>74</v>
      </c>
      <c r="J1351" s="1">
        <f>IFERROR(__xludf.DUMMYFUNCTION("""COMPUTED_VALUE"""),24.0)</f>
        <v>24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 t="str">
        <f>IFERROR(__xludf.DUMMYFUNCTION("""COMPUTED_VALUE"""),"C")</f>
        <v>C</v>
      </c>
      <c r="E1352" s="1">
        <f>IFERROR(__xludf.DUMMYFUNCTION("""COMPUTED_VALUE"""),49.0)</f>
        <v>49</v>
      </c>
      <c r="F1352" s="1">
        <f>IFERROR(__xludf.DUMMYFUNCTION("""COMPUTED_VALUE"""),28.0)</f>
        <v>28</v>
      </c>
      <c r="G1352" s="1">
        <f>IFERROR(__xludf.DUMMYFUNCTION("""COMPUTED_VALUE"""),93.0)</f>
        <v>93</v>
      </c>
      <c r="H1352" s="1">
        <f>IFERROR(__xludf.DUMMYFUNCTION("""COMPUTED_VALUE"""),92.0)</f>
        <v>92</v>
      </c>
      <c r="I1352" s="1">
        <f>IFERROR(__xludf.DUMMYFUNCTION("""COMPUTED_VALUE"""),58.0)</f>
        <v>58</v>
      </c>
      <c r="J1352" s="1">
        <f>IFERROR(__xludf.DUMMYFUNCTION("""COMPUTED_VALUE"""),27.0)</f>
        <v>27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 t="str">
        <f>IFERROR(__xludf.DUMMYFUNCTION("""COMPUTED_VALUE"""),"B")</f>
        <v>B</v>
      </c>
      <c r="E1353" s="1">
        <f>IFERROR(__xludf.DUMMYFUNCTION("""COMPUTED_VALUE"""),70.0)</f>
        <v>70</v>
      </c>
      <c r="F1353" s="1">
        <f>IFERROR(__xludf.DUMMYFUNCTION("""COMPUTED_VALUE"""),66.0)</f>
        <v>66</v>
      </c>
      <c r="G1353" s="1">
        <f>IFERROR(__xludf.DUMMYFUNCTION("""COMPUTED_VALUE"""),44.0)</f>
        <v>44</v>
      </c>
      <c r="H1353" s="1">
        <f>IFERROR(__xludf.DUMMYFUNCTION("""COMPUTED_VALUE"""),62.0)</f>
        <v>62</v>
      </c>
      <c r="I1353" s="1">
        <f>IFERROR(__xludf.DUMMYFUNCTION("""COMPUTED_VALUE"""),75.0)</f>
        <v>75</v>
      </c>
      <c r="J1353" s="1">
        <f>IFERROR(__xludf.DUMMYFUNCTION("""COMPUTED_VALUE"""),74.0)</f>
        <v>74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 t="str">
        <f>IFERROR(__xludf.DUMMYFUNCTION("""COMPUTED_VALUE"""),"A")</f>
        <v>A</v>
      </c>
      <c r="E1354" s="1">
        <f>IFERROR(__xludf.DUMMYFUNCTION("""COMPUTED_VALUE"""),34.0)</f>
        <v>34</v>
      </c>
      <c r="F1354" s="1">
        <f>IFERROR(__xludf.DUMMYFUNCTION("""COMPUTED_VALUE"""),82.0)</f>
        <v>82</v>
      </c>
      <c r="G1354" s="1">
        <f>IFERROR(__xludf.DUMMYFUNCTION("""COMPUTED_VALUE"""),37.0)</f>
        <v>37</v>
      </c>
      <c r="H1354" s="1">
        <f>IFERROR(__xludf.DUMMYFUNCTION("""COMPUTED_VALUE"""),99.0)</f>
        <v>99</v>
      </c>
      <c r="I1354" s="1">
        <f>IFERROR(__xludf.DUMMYFUNCTION("""COMPUTED_VALUE"""),88.0)</f>
        <v>88</v>
      </c>
      <c r="J1354" s="1">
        <f>IFERROR(__xludf.DUMMYFUNCTION("""COMPUTED_VALUE"""),43.0)</f>
        <v>43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 t="str">
        <f>IFERROR(__xludf.DUMMYFUNCTION("""COMPUTED_VALUE"""),"D")</f>
        <v>D</v>
      </c>
      <c r="E1355" s="1">
        <f>IFERROR(__xludf.DUMMYFUNCTION("""COMPUTED_VALUE"""),31.0)</f>
        <v>31</v>
      </c>
      <c r="F1355" s="1">
        <f>IFERROR(__xludf.DUMMYFUNCTION("""COMPUTED_VALUE"""),96.0)</f>
        <v>96</v>
      </c>
      <c r="G1355" s="1">
        <f>IFERROR(__xludf.DUMMYFUNCTION("""COMPUTED_VALUE"""),89.0)</f>
        <v>89</v>
      </c>
      <c r="H1355" s="1">
        <f>IFERROR(__xludf.DUMMYFUNCTION("""COMPUTED_VALUE"""),72.0)</f>
        <v>72</v>
      </c>
      <c r="I1355" s="1">
        <f>IFERROR(__xludf.DUMMYFUNCTION("""COMPUTED_VALUE"""),32.0)</f>
        <v>32</v>
      </c>
      <c r="J1355" s="1">
        <f>IFERROR(__xludf.DUMMYFUNCTION("""COMPUTED_VALUE"""),95.0)</f>
        <v>95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 t="str">
        <f>IFERROR(__xludf.DUMMYFUNCTION("""COMPUTED_VALUE"""),"B")</f>
        <v>B</v>
      </c>
      <c r="E1356" s="1">
        <f>IFERROR(__xludf.DUMMYFUNCTION("""COMPUTED_VALUE"""),94.0)</f>
        <v>94</v>
      </c>
      <c r="F1356" s="1">
        <f>IFERROR(__xludf.DUMMYFUNCTION("""COMPUTED_VALUE"""),60.0)</f>
        <v>60</v>
      </c>
      <c r="G1356" s="1">
        <f>IFERROR(__xludf.DUMMYFUNCTION("""COMPUTED_VALUE"""),33.0)</f>
        <v>33</v>
      </c>
      <c r="H1356" s="1">
        <f>IFERROR(__xludf.DUMMYFUNCTION("""COMPUTED_VALUE"""),24.0)</f>
        <v>24</v>
      </c>
      <c r="I1356" s="1">
        <f>IFERROR(__xludf.DUMMYFUNCTION("""COMPUTED_VALUE"""),92.0)</f>
        <v>92</v>
      </c>
      <c r="J1356" s="1">
        <f>IFERROR(__xludf.DUMMYFUNCTION("""COMPUTED_VALUE"""),31.0)</f>
        <v>31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 t="str">
        <f>IFERROR(__xludf.DUMMYFUNCTION("""COMPUTED_VALUE"""),"B")</f>
        <v>B</v>
      </c>
      <c r="E1357" s="1">
        <f>IFERROR(__xludf.DUMMYFUNCTION("""COMPUTED_VALUE"""),35.0)</f>
        <v>35</v>
      </c>
      <c r="F1357" s="1">
        <f>IFERROR(__xludf.DUMMYFUNCTION("""COMPUTED_VALUE"""),83.0)</f>
        <v>83</v>
      </c>
      <c r="G1357" s="1">
        <f>IFERROR(__xludf.DUMMYFUNCTION("""COMPUTED_VALUE"""),65.0)</f>
        <v>65</v>
      </c>
      <c r="H1357" s="1">
        <f>IFERROR(__xludf.DUMMYFUNCTION("""COMPUTED_VALUE"""),82.0)</f>
        <v>82</v>
      </c>
      <c r="I1357" s="1">
        <f>IFERROR(__xludf.DUMMYFUNCTION("""COMPUTED_VALUE"""),34.0)</f>
        <v>34</v>
      </c>
      <c r="J1357" s="1">
        <f>IFERROR(__xludf.DUMMYFUNCTION("""COMPUTED_VALUE"""),36.0)</f>
        <v>36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 t="str">
        <f>IFERROR(__xludf.DUMMYFUNCTION("""COMPUTED_VALUE"""),"D")</f>
        <v>D</v>
      </c>
      <c r="E1358" s="1">
        <f>IFERROR(__xludf.DUMMYFUNCTION("""COMPUTED_VALUE"""),16.0)</f>
        <v>16</v>
      </c>
      <c r="F1358" s="1">
        <f>IFERROR(__xludf.DUMMYFUNCTION("""COMPUTED_VALUE"""),84.0)</f>
        <v>84</v>
      </c>
      <c r="G1358" s="1">
        <f>IFERROR(__xludf.DUMMYFUNCTION("""COMPUTED_VALUE"""),25.0)</f>
        <v>25</v>
      </c>
      <c r="H1358" s="1">
        <f>IFERROR(__xludf.DUMMYFUNCTION("""COMPUTED_VALUE"""),84.0)</f>
        <v>84</v>
      </c>
      <c r="I1358" s="1">
        <f>IFERROR(__xludf.DUMMYFUNCTION("""COMPUTED_VALUE"""),66.0)</f>
        <v>66</v>
      </c>
      <c r="J1358" s="1">
        <f>IFERROR(__xludf.DUMMYFUNCTION("""COMPUTED_VALUE"""),99.0)</f>
        <v>99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 t="str">
        <f>IFERROR(__xludf.DUMMYFUNCTION("""COMPUTED_VALUE"""),"B")</f>
        <v>B</v>
      </c>
      <c r="E1359" s="1">
        <f>IFERROR(__xludf.DUMMYFUNCTION("""COMPUTED_VALUE"""),51.0)</f>
        <v>51</v>
      </c>
      <c r="F1359" s="1">
        <f>IFERROR(__xludf.DUMMYFUNCTION("""COMPUTED_VALUE"""),35.0)</f>
        <v>35</v>
      </c>
      <c r="G1359" s="1">
        <f>IFERROR(__xludf.DUMMYFUNCTION("""COMPUTED_VALUE"""),99.0)</f>
        <v>99</v>
      </c>
      <c r="H1359" s="1">
        <f>IFERROR(__xludf.DUMMYFUNCTION("""COMPUTED_VALUE"""),71.0)</f>
        <v>71</v>
      </c>
      <c r="I1359" s="1">
        <f>IFERROR(__xludf.DUMMYFUNCTION("""COMPUTED_VALUE"""),35.0)</f>
        <v>35</v>
      </c>
      <c r="J1359" s="1">
        <f>IFERROR(__xludf.DUMMYFUNCTION("""COMPUTED_VALUE"""),23.0)</f>
        <v>23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 t="str">
        <f>IFERROR(__xludf.DUMMYFUNCTION("""COMPUTED_VALUE"""),"D")</f>
        <v>D</v>
      </c>
      <c r="E1360" s="1">
        <f>IFERROR(__xludf.DUMMYFUNCTION("""COMPUTED_VALUE"""),14.0)</f>
        <v>14</v>
      </c>
      <c r="F1360" s="1">
        <f>IFERROR(__xludf.DUMMYFUNCTION("""COMPUTED_VALUE"""),95.0)</f>
        <v>95</v>
      </c>
      <c r="G1360" s="1">
        <f>IFERROR(__xludf.DUMMYFUNCTION("""COMPUTED_VALUE"""),94.0)</f>
        <v>94</v>
      </c>
      <c r="H1360" s="1">
        <f>IFERROR(__xludf.DUMMYFUNCTION("""COMPUTED_VALUE"""),35.0)</f>
        <v>35</v>
      </c>
      <c r="I1360" s="1">
        <f>IFERROR(__xludf.DUMMYFUNCTION("""COMPUTED_VALUE"""),82.0)</f>
        <v>82</v>
      </c>
      <c r="J1360" s="1">
        <f>IFERROR(__xludf.DUMMYFUNCTION("""COMPUTED_VALUE"""),93.0)</f>
        <v>93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 t="str">
        <f>IFERROR(__xludf.DUMMYFUNCTION("""COMPUTED_VALUE"""),"D")</f>
        <v>D</v>
      </c>
      <c r="E1361" s="1">
        <f>IFERROR(__xludf.DUMMYFUNCTION("""COMPUTED_VALUE"""),85.0)</f>
        <v>85</v>
      </c>
      <c r="F1361" s="1">
        <f>IFERROR(__xludf.DUMMYFUNCTION("""COMPUTED_VALUE"""),62.0)</f>
        <v>62</v>
      </c>
      <c r="G1361" s="1">
        <f>IFERROR(__xludf.DUMMYFUNCTION("""COMPUTED_VALUE"""),38.0)</f>
        <v>38</v>
      </c>
      <c r="H1361" s="1">
        <f>IFERROR(__xludf.DUMMYFUNCTION("""COMPUTED_VALUE"""),60.0)</f>
        <v>60</v>
      </c>
      <c r="I1361" s="1">
        <f>IFERROR(__xludf.DUMMYFUNCTION("""COMPUTED_VALUE"""),22.0)</f>
        <v>22</v>
      </c>
      <c r="J1361" s="1">
        <f>IFERROR(__xludf.DUMMYFUNCTION("""COMPUTED_VALUE"""),46.0)</f>
        <v>46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 t="str">
        <f>IFERROR(__xludf.DUMMYFUNCTION("""COMPUTED_VALUE"""),"A")</f>
        <v>A</v>
      </c>
      <c r="E1362" s="1">
        <f>IFERROR(__xludf.DUMMYFUNCTION("""COMPUTED_VALUE"""),55.0)</f>
        <v>55</v>
      </c>
      <c r="F1362" s="1">
        <f>IFERROR(__xludf.DUMMYFUNCTION("""COMPUTED_VALUE"""),21.0)</f>
        <v>21</v>
      </c>
      <c r="G1362" s="1">
        <f>IFERROR(__xludf.DUMMYFUNCTION("""COMPUTED_VALUE"""),64.0)</f>
        <v>64</v>
      </c>
      <c r="H1362" s="1">
        <f>IFERROR(__xludf.DUMMYFUNCTION("""COMPUTED_VALUE"""),40.0)</f>
        <v>40</v>
      </c>
      <c r="I1362" s="1">
        <f>IFERROR(__xludf.DUMMYFUNCTION("""COMPUTED_VALUE"""),83.0)</f>
        <v>83</v>
      </c>
      <c r="J1362" s="1">
        <f>IFERROR(__xludf.DUMMYFUNCTION("""COMPUTED_VALUE"""),79.0)</f>
        <v>79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 t="str">
        <f>IFERROR(__xludf.DUMMYFUNCTION("""COMPUTED_VALUE"""),"B")</f>
        <v>B</v>
      </c>
      <c r="E1363" s="1">
        <f>IFERROR(__xludf.DUMMYFUNCTION("""COMPUTED_VALUE"""),49.0)</f>
        <v>49</v>
      </c>
      <c r="F1363" s="1">
        <f>IFERROR(__xludf.DUMMYFUNCTION("""COMPUTED_VALUE"""),37.0)</f>
        <v>37</v>
      </c>
      <c r="G1363" s="1">
        <f>IFERROR(__xludf.DUMMYFUNCTION("""COMPUTED_VALUE"""),30.0)</f>
        <v>30</v>
      </c>
      <c r="H1363" s="1">
        <f>IFERROR(__xludf.DUMMYFUNCTION("""COMPUTED_VALUE"""),35.0)</f>
        <v>35</v>
      </c>
      <c r="I1363" s="1">
        <f>IFERROR(__xludf.DUMMYFUNCTION("""COMPUTED_VALUE"""),56.0)</f>
        <v>56</v>
      </c>
      <c r="J1363" s="1">
        <f>IFERROR(__xludf.DUMMYFUNCTION("""COMPUTED_VALUE"""),43.0)</f>
        <v>43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 t="str">
        <f>IFERROR(__xludf.DUMMYFUNCTION("""COMPUTED_VALUE"""),"B")</f>
        <v>B</v>
      </c>
      <c r="E1364" s="1">
        <f>IFERROR(__xludf.DUMMYFUNCTION("""COMPUTED_VALUE"""),69.0)</f>
        <v>69</v>
      </c>
      <c r="F1364" s="1">
        <f>IFERROR(__xludf.DUMMYFUNCTION("""COMPUTED_VALUE"""),68.0)</f>
        <v>68</v>
      </c>
      <c r="G1364" s="1">
        <f>IFERROR(__xludf.DUMMYFUNCTION("""COMPUTED_VALUE"""),55.0)</f>
        <v>55</v>
      </c>
      <c r="H1364" s="1">
        <f>IFERROR(__xludf.DUMMYFUNCTION("""COMPUTED_VALUE"""),82.0)</f>
        <v>82</v>
      </c>
      <c r="I1364" s="1">
        <f>IFERROR(__xludf.DUMMYFUNCTION("""COMPUTED_VALUE"""),35.0)</f>
        <v>35</v>
      </c>
      <c r="J1364" s="1">
        <f>IFERROR(__xludf.DUMMYFUNCTION("""COMPUTED_VALUE"""),61.0)</f>
        <v>61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 t="str">
        <f>IFERROR(__xludf.DUMMYFUNCTION("""COMPUTED_VALUE"""),"C")</f>
        <v>C</v>
      </c>
      <c r="E1365" s="1">
        <f>IFERROR(__xludf.DUMMYFUNCTION("""COMPUTED_VALUE"""),85.0)</f>
        <v>85</v>
      </c>
      <c r="F1365" s="1">
        <f>IFERROR(__xludf.DUMMYFUNCTION("""COMPUTED_VALUE"""),85.0)</f>
        <v>85</v>
      </c>
      <c r="G1365" s="1">
        <f>IFERROR(__xludf.DUMMYFUNCTION("""COMPUTED_VALUE"""),78.0)</f>
        <v>78</v>
      </c>
      <c r="H1365" s="1">
        <f>IFERROR(__xludf.DUMMYFUNCTION("""COMPUTED_VALUE"""),43.0)</f>
        <v>43</v>
      </c>
      <c r="I1365" s="1">
        <f>IFERROR(__xludf.DUMMYFUNCTION("""COMPUTED_VALUE"""),79.0)</f>
        <v>79</v>
      </c>
      <c r="J1365" s="1">
        <f>IFERROR(__xludf.DUMMYFUNCTION("""COMPUTED_VALUE"""),40.0)</f>
        <v>40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 t="str">
        <f>IFERROR(__xludf.DUMMYFUNCTION("""COMPUTED_VALUE"""),"A")</f>
        <v>A</v>
      </c>
      <c r="E1366" s="1">
        <f>IFERROR(__xludf.DUMMYFUNCTION("""COMPUTED_VALUE"""),73.0)</f>
        <v>73</v>
      </c>
      <c r="F1366" s="1">
        <f>IFERROR(__xludf.DUMMYFUNCTION("""COMPUTED_VALUE"""),32.0)</f>
        <v>32</v>
      </c>
      <c r="G1366" s="1">
        <f>IFERROR(__xludf.DUMMYFUNCTION("""COMPUTED_VALUE"""),27.0)</f>
        <v>27</v>
      </c>
      <c r="H1366" s="1">
        <f>IFERROR(__xludf.DUMMYFUNCTION("""COMPUTED_VALUE"""),73.0)</f>
        <v>73</v>
      </c>
      <c r="I1366" s="1">
        <f>IFERROR(__xludf.DUMMYFUNCTION("""COMPUTED_VALUE"""),45.0)</f>
        <v>45</v>
      </c>
      <c r="J1366" s="1">
        <f>IFERROR(__xludf.DUMMYFUNCTION("""COMPUTED_VALUE"""),75.0)</f>
        <v>75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 t="str">
        <f>IFERROR(__xludf.DUMMYFUNCTION("""COMPUTED_VALUE"""),"C")</f>
        <v>C</v>
      </c>
      <c r="E1367" s="1">
        <f>IFERROR(__xludf.DUMMYFUNCTION("""COMPUTED_VALUE"""),83.0)</f>
        <v>83</v>
      </c>
      <c r="F1367" s="1">
        <f>IFERROR(__xludf.DUMMYFUNCTION("""COMPUTED_VALUE"""),56.0)</f>
        <v>56</v>
      </c>
      <c r="G1367" s="1">
        <f>IFERROR(__xludf.DUMMYFUNCTION("""COMPUTED_VALUE"""),59.0)</f>
        <v>59</v>
      </c>
      <c r="H1367" s="1">
        <f>IFERROR(__xludf.DUMMYFUNCTION("""COMPUTED_VALUE"""),93.0)</f>
        <v>93</v>
      </c>
      <c r="I1367" s="1">
        <f>IFERROR(__xludf.DUMMYFUNCTION("""COMPUTED_VALUE"""),26.0)</f>
        <v>26</v>
      </c>
      <c r="J1367" s="1">
        <f>IFERROR(__xludf.DUMMYFUNCTION("""COMPUTED_VALUE"""),81.0)</f>
        <v>81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 t="str">
        <f>IFERROR(__xludf.DUMMYFUNCTION("""COMPUTED_VALUE"""),"D")</f>
        <v>D</v>
      </c>
      <c r="E1368" s="1">
        <f>IFERROR(__xludf.DUMMYFUNCTION("""COMPUTED_VALUE"""),22.0)</f>
        <v>22</v>
      </c>
      <c r="F1368" s="1">
        <f>IFERROR(__xludf.DUMMYFUNCTION("""COMPUTED_VALUE"""),40.0)</f>
        <v>40</v>
      </c>
      <c r="G1368" s="1">
        <f>IFERROR(__xludf.DUMMYFUNCTION("""COMPUTED_VALUE"""),62.0)</f>
        <v>62</v>
      </c>
      <c r="H1368" s="1">
        <f>IFERROR(__xludf.DUMMYFUNCTION("""COMPUTED_VALUE"""),22.0)</f>
        <v>22</v>
      </c>
      <c r="I1368" s="1">
        <f>IFERROR(__xludf.DUMMYFUNCTION("""COMPUTED_VALUE"""),36.0)</f>
        <v>36</v>
      </c>
      <c r="J1368" s="1">
        <f>IFERROR(__xludf.DUMMYFUNCTION("""COMPUTED_VALUE"""),22.0)</f>
        <v>22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 t="str">
        <f>IFERROR(__xludf.DUMMYFUNCTION("""COMPUTED_VALUE"""),"B")</f>
        <v>B</v>
      </c>
      <c r="E1369" s="1">
        <f>IFERROR(__xludf.DUMMYFUNCTION("""COMPUTED_VALUE"""),71.0)</f>
        <v>71</v>
      </c>
      <c r="F1369" s="1">
        <f>IFERROR(__xludf.DUMMYFUNCTION("""COMPUTED_VALUE"""),50.0)</f>
        <v>50</v>
      </c>
      <c r="G1369" s="1">
        <f>IFERROR(__xludf.DUMMYFUNCTION("""COMPUTED_VALUE"""),23.0)</f>
        <v>23</v>
      </c>
      <c r="H1369" s="1">
        <f>IFERROR(__xludf.DUMMYFUNCTION("""COMPUTED_VALUE"""),90.0)</f>
        <v>90</v>
      </c>
      <c r="I1369" s="1">
        <f>IFERROR(__xludf.DUMMYFUNCTION("""COMPUTED_VALUE"""),88.0)</f>
        <v>88</v>
      </c>
      <c r="J1369" s="1">
        <f>IFERROR(__xludf.DUMMYFUNCTION("""COMPUTED_VALUE"""),61.0)</f>
        <v>61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 t="str">
        <f>IFERROR(__xludf.DUMMYFUNCTION("""COMPUTED_VALUE"""),"D")</f>
        <v>D</v>
      </c>
      <c r="E1370" s="1">
        <f>IFERROR(__xludf.DUMMYFUNCTION("""COMPUTED_VALUE"""),79.0)</f>
        <v>79</v>
      </c>
      <c r="F1370" s="1">
        <f>IFERROR(__xludf.DUMMYFUNCTION("""COMPUTED_VALUE"""),31.0)</f>
        <v>31</v>
      </c>
      <c r="G1370" s="1">
        <f>IFERROR(__xludf.DUMMYFUNCTION("""COMPUTED_VALUE"""),83.0)</f>
        <v>83</v>
      </c>
      <c r="H1370" s="1">
        <f>IFERROR(__xludf.DUMMYFUNCTION("""COMPUTED_VALUE"""),51.0)</f>
        <v>51</v>
      </c>
      <c r="I1370" s="1">
        <f>IFERROR(__xludf.DUMMYFUNCTION("""COMPUTED_VALUE"""),43.0)</f>
        <v>43</v>
      </c>
      <c r="J1370" s="1">
        <f>IFERROR(__xludf.DUMMYFUNCTION("""COMPUTED_VALUE"""),76.0)</f>
        <v>76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 t="str">
        <f>IFERROR(__xludf.DUMMYFUNCTION("""COMPUTED_VALUE"""),"B")</f>
        <v>B</v>
      </c>
      <c r="E1371" s="1">
        <f>IFERROR(__xludf.DUMMYFUNCTION("""COMPUTED_VALUE"""),67.0)</f>
        <v>67</v>
      </c>
      <c r="F1371" s="1">
        <f>IFERROR(__xludf.DUMMYFUNCTION("""COMPUTED_VALUE"""),35.0)</f>
        <v>35</v>
      </c>
      <c r="G1371" s="1">
        <f>IFERROR(__xludf.DUMMYFUNCTION("""COMPUTED_VALUE"""),95.0)</f>
        <v>95</v>
      </c>
      <c r="H1371" s="1">
        <f>IFERROR(__xludf.DUMMYFUNCTION("""COMPUTED_VALUE"""),63.0)</f>
        <v>63</v>
      </c>
      <c r="I1371" s="1">
        <f>IFERROR(__xludf.DUMMYFUNCTION("""COMPUTED_VALUE"""),91.0)</f>
        <v>91</v>
      </c>
      <c r="J1371" s="1">
        <f>IFERROR(__xludf.DUMMYFUNCTION("""COMPUTED_VALUE"""),26.0)</f>
        <v>26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 t="str">
        <f>IFERROR(__xludf.DUMMYFUNCTION("""COMPUTED_VALUE"""),"D")</f>
        <v>D</v>
      </c>
      <c r="E1372" s="1">
        <f>IFERROR(__xludf.DUMMYFUNCTION("""COMPUTED_VALUE"""),97.0)</f>
        <v>97</v>
      </c>
      <c r="F1372" s="1">
        <f>IFERROR(__xludf.DUMMYFUNCTION("""COMPUTED_VALUE"""),88.0)</f>
        <v>88</v>
      </c>
      <c r="G1372" s="1">
        <f>IFERROR(__xludf.DUMMYFUNCTION("""COMPUTED_VALUE"""),99.0)</f>
        <v>99</v>
      </c>
      <c r="H1372" s="1">
        <f>IFERROR(__xludf.DUMMYFUNCTION("""COMPUTED_VALUE"""),39.0)</f>
        <v>39</v>
      </c>
      <c r="I1372" s="1">
        <f>IFERROR(__xludf.DUMMYFUNCTION("""COMPUTED_VALUE"""),90.0)</f>
        <v>90</v>
      </c>
      <c r="J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 t="str">
        <f>IFERROR(__xludf.DUMMYFUNCTION("""COMPUTED_VALUE"""),"C")</f>
        <v>C</v>
      </c>
      <c r="E1373" s="1">
        <f>IFERROR(__xludf.DUMMYFUNCTION("""COMPUTED_VALUE"""),79.0)</f>
        <v>79</v>
      </c>
      <c r="F1373" s="1">
        <f>IFERROR(__xludf.DUMMYFUNCTION("""COMPUTED_VALUE"""),51.0)</f>
        <v>51</v>
      </c>
      <c r="G1373" s="1">
        <f>IFERROR(__xludf.DUMMYFUNCTION("""COMPUTED_VALUE"""),98.0)</f>
        <v>98</v>
      </c>
      <c r="H1373" s="1">
        <f>IFERROR(__xludf.DUMMYFUNCTION("""COMPUTED_VALUE"""),51.0)</f>
        <v>51</v>
      </c>
      <c r="I1373" s="1">
        <f>IFERROR(__xludf.DUMMYFUNCTION("""COMPUTED_VALUE"""),70.0)</f>
        <v>70</v>
      </c>
      <c r="J1373" s="1">
        <f>IFERROR(__xludf.DUMMYFUNCTION("""COMPUTED_VALUE"""),87.0)</f>
        <v>87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 t="str">
        <f>IFERROR(__xludf.DUMMYFUNCTION("""COMPUTED_VALUE"""),"A")</f>
        <v>A</v>
      </c>
      <c r="E1374" s="1">
        <f>IFERROR(__xludf.DUMMYFUNCTION("""COMPUTED_VALUE"""),23.0)</f>
        <v>23</v>
      </c>
      <c r="F1374" s="1">
        <f>IFERROR(__xludf.DUMMYFUNCTION("""COMPUTED_VALUE"""),83.0)</f>
        <v>83</v>
      </c>
      <c r="G1374" s="1">
        <f>IFERROR(__xludf.DUMMYFUNCTION("""COMPUTED_VALUE"""),66.0)</f>
        <v>66</v>
      </c>
      <c r="H1374" s="1">
        <f>IFERROR(__xludf.DUMMYFUNCTION("""COMPUTED_VALUE"""),29.0)</f>
        <v>29</v>
      </c>
      <c r="I1374" s="1">
        <f>IFERROR(__xludf.DUMMYFUNCTION("""COMPUTED_VALUE"""),92.0)</f>
        <v>92</v>
      </c>
      <c r="J1374" s="1">
        <f>IFERROR(__xludf.DUMMYFUNCTION("""COMPUTED_VALUE"""),29.0)</f>
        <v>29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 t="str">
        <f>IFERROR(__xludf.DUMMYFUNCTION("""COMPUTED_VALUE"""),"C")</f>
        <v>C</v>
      </c>
      <c r="E1375" s="1">
        <f>IFERROR(__xludf.DUMMYFUNCTION("""COMPUTED_VALUE"""),54.0)</f>
        <v>54</v>
      </c>
      <c r="F1375" s="1">
        <f>IFERROR(__xludf.DUMMYFUNCTION("""COMPUTED_VALUE"""),84.0)</f>
        <v>84</v>
      </c>
      <c r="G1375" s="1">
        <f>IFERROR(__xludf.DUMMYFUNCTION("""COMPUTED_VALUE"""),29.0)</f>
        <v>29</v>
      </c>
      <c r="H1375" s="1">
        <f>IFERROR(__xludf.DUMMYFUNCTION("""COMPUTED_VALUE"""),72.0)</f>
        <v>72</v>
      </c>
      <c r="I1375" s="1">
        <f>IFERROR(__xludf.DUMMYFUNCTION("""COMPUTED_VALUE"""),30.0)</f>
        <v>30</v>
      </c>
      <c r="J1375" s="1">
        <f>IFERROR(__xludf.DUMMYFUNCTION("""COMPUTED_VALUE"""),79.0)</f>
        <v>79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 t="str">
        <f>IFERROR(__xludf.DUMMYFUNCTION("""COMPUTED_VALUE"""),"B")</f>
        <v>B</v>
      </c>
      <c r="E1376" s="1">
        <f>IFERROR(__xludf.DUMMYFUNCTION("""COMPUTED_VALUE"""),59.0)</f>
        <v>59</v>
      </c>
      <c r="F1376" s="1">
        <f>IFERROR(__xludf.DUMMYFUNCTION("""COMPUTED_VALUE"""),55.0)</f>
        <v>55</v>
      </c>
      <c r="G1376" s="1">
        <f>IFERROR(__xludf.DUMMYFUNCTION("""COMPUTED_VALUE"""),75.0)</f>
        <v>75</v>
      </c>
      <c r="H1376" s="1">
        <f>IFERROR(__xludf.DUMMYFUNCTION("""COMPUTED_VALUE"""),99.0)</f>
        <v>99</v>
      </c>
      <c r="I1376" s="1">
        <f>IFERROR(__xludf.DUMMYFUNCTION("""COMPUTED_VALUE"""),21.0)</f>
        <v>21</v>
      </c>
      <c r="J1376" s="1">
        <f>IFERROR(__xludf.DUMMYFUNCTION("""COMPUTED_VALUE"""),59.0)</f>
        <v>59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 t="str">
        <f>IFERROR(__xludf.DUMMYFUNCTION("""COMPUTED_VALUE"""),"B")</f>
        <v>B</v>
      </c>
      <c r="E1377" s="1">
        <f>IFERROR(__xludf.DUMMYFUNCTION("""COMPUTED_VALUE"""),79.0)</f>
        <v>79</v>
      </c>
      <c r="F1377" s="1">
        <f>IFERROR(__xludf.DUMMYFUNCTION("""COMPUTED_VALUE"""),46.0)</f>
        <v>46</v>
      </c>
      <c r="G1377" s="1">
        <f>IFERROR(__xludf.DUMMYFUNCTION("""COMPUTED_VALUE"""),32.0)</f>
        <v>32</v>
      </c>
      <c r="H1377" s="1">
        <f>IFERROR(__xludf.DUMMYFUNCTION("""COMPUTED_VALUE"""),39.0)</f>
        <v>39</v>
      </c>
      <c r="I1377" s="1">
        <f>IFERROR(__xludf.DUMMYFUNCTION("""COMPUTED_VALUE"""),22.0)</f>
        <v>22</v>
      </c>
      <c r="J1377" s="1">
        <f>IFERROR(__xludf.DUMMYFUNCTION("""COMPUTED_VALUE"""),59.0)</f>
        <v>59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 t="str">
        <f>IFERROR(__xludf.DUMMYFUNCTION("""COMPUTED_VALUE"""),"C")</f>
        <v>C</v>
      </c>
      <c r="E1378" s="1">
        <f>IFERROR(__xludf.DUMMYFUNCTION("""COMPUTED_VALUE"""),37.0)</f>
        <v>37</v>
      </c>
      <c r="F1378" s="1">
        <f>IFERROR(__xludf.DUMMYFUNCTION("""COMPUTED_VALUE"""),44.0)</f>
        <v>44</v>
      </c>
      <c r="G1378" s="1">
        <f>IFERROR(__xludf.DUMMYFUNCTION("""COMPUTED_VALUE"""),51.0)</f>
        <v>51</v>
      </c>
      <c r="H1378" s="1">
        <f>IFERROR(__xludf.DUMMYFUNCTION("""COMPUTED_VALUE"""),69.0)</f>
        <v>69</v>
      </c>
      <c r="I1378" s="1">
        <f>IFERROR(__xludf.DUMMYFUNCTION("""COMPUTED_VALUE"""),94.0)</f>
        <v>94</v>
      </c>
      <c r="J1378" s="1">
        <f>IFERROR(__xludf.DUMMYFUNCTION("""COMPUTED_VALUE"""),87.0)</f>
        <v>87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 t="str">
        <f>IFERROR(__xludf.DUMMYFUNCTION("""COMPUTED_VALUE"""),"B")</f>
        <v>B</v>
      </c>
      <c r="E1379" s="1">
        <f>IFERROR(__xludf.DUMMYFUNCTION("""COMPUTED_VALUE"""),48.0)</f>
        <v>48</v>
      </c>
      <c r="F1379" s="1">
        <f>IFERROR(__xludf.DUMMYFUNCTION("""COMPUTED_VALUE"""),42.0)</f>
        <v>42</v>
      </c>
      <c r="G1379" s="1">
        <f>IFERROR(__xludf.DUMMYFUNCTION("""COMPUTED_VALUE"""),24.0)</f>
        <v>24</v>
      </c>
      <c r="H1379" s="1">
        <f>IFERROR(__xludf.DUMMYFUNCTION("""COMPUTED_VALUE"""),79.0)</f>
        <v>79</v>
      </c>
      <c r="I1379" s="1">
        <f>IFERROR(__xludf.DUMMYFUNCTION("""COMPUTED_VALUE"""),94.0)</f>
        <v>94</v>
      </c>
      <c r="J1379" s="1">
        <f>IFERROR(__xludf.DUMMYFUNCTION("""COMPUTED_VALUE"""),59.0)</f>
        <v>59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 t="str">
        <f>IFERROR(__xludf.DUMMYFUNCTION("""COMPUTED_VALUE"""),"D")</f>
        <v>D</v>
      </c>
      <c r="E1380" s="1">
        <f>IFERROR(__xludf.DUMMYFUNCTION("""COMPUTED_VALUE"""),15.0)</f>
        <v>15</v>
      </c>
      <c r="F1380" s="1">
        <f>IFERROR(__xludf.DUMMYFUNCTION("""COMPUTED_VALUE"""),49.0)</f>
        <v>49</v>
      </c>
      <c r="G1380" s="1">
        <f>IFERROR(__xludf.DUMMYFUNCTION("""COMPUTED_VALUE"""),73.0)</f>
        <v>73</v>
      </c>
      <c r="H1380" s="1">
        <f>IFERROR(__xludf.DUMMYFUNCTION("""COMPUTED_VALUE"""),83.0)</f>
        <v>83</v>
      </c>
      <c r="I1380" s="1">
        <f>IFERROR(__xludf.DUMMYFUNCTION("""COMPUTED_VALUE"""),57.0)</f>
        <v>57</v>
      </c>
      <c r="J1380" s="1">
        <f>IFERROR(__xludf.DUMMYFUNCTION("""COMPUTED_VALUE"""),32.0)</f>
        <v>32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 t="str">
        <f>IFERROR(__xludf.DUMMYFUNCTION("""COMPUTED_VALUE"""),"A")</f>
        <v>A</v>
      </c>
      <c r="E1381" s="1">
        <f>IFERROR(__xludf.DUMMYFUNCTION("""COMPUTED_VALUE"""),25.0)</f>
        <v>25</v>
      </c>
      <c r="F1381" s="1">
        <f>IFERROR(__xludf.DUMMYFUNCTION("""COMPUTED_VALUE"""),24.0)</f>
        <v>24</v>
      </c>
      <c r="G1381" s="1">
        <f>IFERROR(__xludf.DUMMYFUNCTION("""COMPUTED_VALUE"""),35.0)</f>
        <v>35</v>
      </c>
      <c r="H1381" s="1">
        <f>IFERROR(__xludf.DUMMYFUNCTION("""COMPUTED_VALUE"""),95.0)</f>
        <v>95</v>
      </c>
      <c r="I1381" s="1">
        <f>IFERROR(__xludf.DUMMYFUNCTION("""COMPUTED_VALUE"""),71.0)</f>
        <v>71</v>
      </c>
      <c r="J1381" s="1">
        <f>IFERROR(__xludf.DUMMYFUNCTION("""COMPUTED_VALUE"""),36.0)</f>
        <v>36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 t="str">
        <f>IFERROR(__xludf.DUMMYFUNCTION("""COMPUTED_VALUE"""),"A")</f>
        <v>A</v>
      </c>
      <c r="E1382" s="1">
        <f>IFERROR(__xludf.DUMMYFUNCTION("""COMPUTED_VALUE"""),39.0)</f>
        <v>39</v>
      </c>
      <c r="F1382" s="1">
        <f>IFERROR(__xludf.DUMMYFUNCTION("""COMPUTED_VALUE"""),76.0)</f>
        <v>76</v>
      </c>
      <c r="G1382" s="1">
        <f>IFERROR(__xludf.DUMMYFUNCTION("""COMPUTED_VALUE"""),98.0)</f>
        <v>98</v>
      </c>
      <c r="H1382" s="1">
        <f>IFERROR(__xludf.DUMMYFUNCTION("""COMPUTED_VALUE"""),52.0)</f>
        <v>52</v>
      </c>
      <c r="I1382" s="1">
        <f>IFERROR(__xludf.DUMMYFUNCTION("""COMPUTED_VALUE"""),86.0)</f>
        <v>86</v>
      </c>
      <c r="J1382" s="1">
        <f>IFERROR(__xludf.DUMMYFUNCTION("""COMPUTED_VALUE"""),98.0)</f>
        <v>98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 t="str">
        <f>IFERROR(__xludf.DUMMYFUNCTION("""COMPUTED_VALUE"""),"D")</f>
        <v>D</v>
      </c>
      <c r="E1383" s="1">
        <f>IFERROR(__xludf.DUMMYFUNCTION("""COMPUTED_VALUE"""),14.0)</f>
        <v>14</v>
      </c>
      <c r="F1383" s="1">
        <f>IFERROR(__xludf.DUMMYFUNCTION("""COMPUTED_VALUE"""),34.0)</f>
        <v>34</v>
      </c>
      <c r="G1383" s="1">
        <f>IFERROR(__xludf.DUMMYFUNCTION("""COMPUTED_VALUE"""),62.0)</f>
        <v>62</v>
      </c>
      <c r="H1383" s="1">
        <f>IFERROR(__xludf.DUMMYFUNCTION("""COMPUTED_VALUE"""),93.0)</f>
        <v>93</v>
      </c>
      <c r="I1383" s="1">
        <f>IFERROR(__xludf.DUMMYFUNCTION("""COMPUTED_VALUE"""),42.0)</f>
        <v>42</v>
      </c>
      <c r="J1383" s="1">
        <f>IFERROR(__xludf.DUMMYFUNCTION("""COMPUTED_VALUE"""),25.0)</f>
        <v>25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 t="str">
        <f>IFERROR(__xludf.DUMMYFUNCTION("""COMPUTED_VALUE"""),"D")</f>
        <v>D</v>
      </c>
      <c r="E1384" s="1">
        <f>IFERROR(__xludf.DUMMYFUNCTION("""COMPUTED_VALUE"""),57.0)</f>
        <v>57</v>
      </c>
      <c r="F1384" s="1">
        <f>IFERROR(__xludf.DUMMYFUNCTION("""COMPUTED_VALUE"""),32.0)</f>
        <v>32</v>
      </c>
      <c r="G1384" s="1">
        <f>IFERROR(__xludf.DUMMYFUNCTION("""COMPUTED_VALUE"""),82.0)</f>
        <v>82</v>
      </c>
      <c r="H1384" s="1">
        <f>IFERROR(__xludf.DUMMYFUNCTION("""COMPUTED_VALUE"""),31.0)</f>
        <v>31</v>
      </c>
      <c r="I1384" s="1">
        <f>IFERROR(__xludf.DUMMYFUNCTION("""COMPUTED_VALUE"""),36.0)</f>
        <v>36</v>
      </c>
      <c r="J1384" s="1">
        <f>IFERROR(__xludf.DUMMYFUNCTION("""COMPUTED_VALUE"""),85.0)</f>
        <v>85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 t="str">
        <f>IFERROR(__xludf.DUMMYFUNCTION("""COMPUTED_VALUE"""),"B")</f>
        <v>B</v>
      </c>
      <c r="E1385" s="1">
        <f>IFERROR(__xludf.DUMMYFUNCTION("""COMPUTED_VALUE"""),59.0)</f>
        <v>59</v>
      </c>
      <c r="F1385" s="1">
        <f>IFERROR(__xludf.DUMMYFUNCTION("""COMPUTED_VALUE"""),81.0)</f>
        <v>81</v>
      </c>
      <c r="G1385" s="1">
        <f>IFERROR(__xludf.DUMMYFUNCTION("""COMPUTED_VALUE"""),49.0)</f>
        <v>49</v>
      </c>
      <c r="H1385" s="1">
        <f>IFERROR(__xludf.DUMMYFUNCTION("""COMPUTED_VALUE"""),57.0)</f>
        <v>57</v>
      </c>
      <c r="I1385" s="1">
        <f>IFERROR(__xludf.DUMMYFUNCTION("""COMPUTED_VALUE"""),61.0)</f>
        <v>61</v>
      </c>
      <c r="J1385" s="1">
        <f>IFERROR(__xludf.DUMMYFUNCTION("""COMPUTED_VALUE"""),34.0)</f>
        <v>34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 t="str">
        <f>IFERROR(__xludf.DUMMYFUNCTION("""COMPUTED_VALUE"""),"A")</f>
        <v>A</v>
      </c>
      <c r="E1386" s="1">
        <f>IFERROR(__xludf.DUMMYFUNCTION("""COMPUTED_VALUE"""),45.0)</f>
        <v>45</v>
      </c>
      <c r="F1386" s="1">
        <f>IFERROR(__xludf.DUMMYFUNCTION("""COMPUTED_VALUE"""),77.0)</f>
        <v>77</v>
      </c>
      <c r="G1386" s="1">
        <f>IFERROR(__xludf.DUMMYFUNCTION("""COMPUTED_VALUE"""),67.0)</f>
        <v>67</v>
      </c>
      <c r="H1386" s="1">
        <f>IFERROR(__xludf.DUMMYFUNCTION("""COMPUTED_VALUE"""),73.0)</f>
        <v>73</v>
      </c>
      <c r="I1386" s="1">
        <f>IFERROR(__xludf.DUMMYFUNCTION("""COMPUTED_VALUE"""),63.0)</f>
        <v>63</v>
      </c>
      <c r="J1386" s="1">
        <f>IFERROR(__xludf.DUMMYFUNCTION("""COMPUTED_VALUE"""),39.0)</f>
        <v>39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 t="str">
        <f>IFERROR(__xludf.DUMMYFUNCTION("""COMPUTED_VALUE"""),"C")</f>
        <v>C</v>
      </c>
      <c r="E1387" s="1">
        <f>IFERROR(__xludf.DUMMYFUNCTION("""COMPUTED_VALUE"""),58.0)</f>
        <v>58</v>
      </c>
      <c r="F1387" s="1">
        <f>IFERROR(__xludf.DUMMYFUNCTION("""COMPUTED_VALUE"""),66.0)</f>
        <v>66</v>
      </c>
      <c r="G1387" s="1">
        <f>IFERROR(__xludf.DUMMYFUNCTION("""COMPUTED_VALUE"""),38.0)</f>
        <v>38</v>
      </c>
      <c r="H1387" s="1">
        <f>IFERROR(__xludf.DUMMYFUNCTION("""COMPUTED_VALUE"""),65.0)</f>
        <v>65</v>
      </c>
      <c r="I1387" s="1">
        <f>IFERROR(__xludf.DUMMYFUNCTION("""COMPUTED_VALUE"""),42.0)</f>
        <v>42</v>
      </c>
      <c r="J1387" s="1">
        <f>IFERROR(__xludf.DUMMYFUNCTION("""COMPUTED_VALUE"""),46.0)</f>
        <v>46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 t="str">
        <f>IFERROR(__xludf.DUMMYFUNCTION("""COMPUTED_VALUE"""),"A")</f>
        <v>A</v>
      </c>
      <c r="E1388" s="1">
        <f>IFERROR(__xludf.DUMMYFUNCTION("""COMPUTED_VALUE"""),61.0)</f>
        <v>61</v>
      </c>
      <c r="F1388" s="1">
        <f>IFERROR(__xludf.DUMMYFUNCTION("""COMPUTED_VALUE"""),99.0)</f>
        <v>99</v>
      </c>
      <c r="G1388" s="1">
        <f>IFERROR(__xludf.DUMMYFUNCTION("""COMPUTED_VALUE"""),84.0)</f>
        <v>84</v>
      </c>
      <c r="H1388" s="1">
        <f>IFERROR(__xludf.DUMMYFUNCTION("""COMPUTED_VALUE"""),24.0)</f>
        <v>24</v>
      </c>
      <c r="I1388" s="1">
        <f>IFERROR(__xludf.DUMMYFUNCTION("""COMPUTED_VALUE"""),52.0)</f>
        <v>52</v>
      </c>
      <c r="J1388" s="1">
        <f>IFERROR(__xludf.DUMMYFUNCTION("""COMPUTED_VALUE"""),89.0)</f>
        <v>89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 t="str">
        <f>IFERROR(__xludf.DUMMYFUNCTION("""COMPUTED_VALUE"""),"C")</f>
        <v>C</v>
      </c>
      <c r="E1389" s="1">
        <f>IFERROR(__xludf.DUMMYFUNCTION("""COMPUTED_VALUE"""),83.0)</f>
        <v>83</v>
      </c>
      <c r="F1389" s="1">
        <f>IFERROR(__xludf.DUMMYFUNCTION("""COMPUTED_VALUE"""),68.0)</f>
        <v>68</v>
      </c>
      <c r="G1389" s="1">
        <f>IFERROR(__xludf.DUMMYFUNCTION("""COMPUTED_VALUE"""),70.0)</f>
        <v>70</v>
      </c>
      <c r="H1389" s="1">
        <f>IFERROR(__xludf.DUMMYFUNCTION("""COMPUTED_VALUE"""),87.0)</f>
        <v>87</v>
      </c>
      <c r="I1389" s="1">
        <f>IFERROR(__xludf.DUMMYFUNCTION("""COMPUTED_VALUE"""),40.0)</f>
        <v>40</v>
      </c>
      <c r="J1389" s="1">
        <f>IFERROR(__xludf.DUMMYFUNCTION("""COMPUTED_VALUE"""),62.0)</f>
        <v>62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 t="str">
        <f>IFERROR(__xludf.DUMMYFUNCTION("""COMPUTED_VALUE"""),"C")</f>
        <v>C</v>
      </c>
      <c r="E1390" s="1">
        <f>IFERROR(__xludf.DUMMYFUNCTION("""COMPUTED_VALUE"""),18.0)</f>
        <v>18</v>
      </c>
      <c r="F1390" s="1">
        <f>IFERROR(__xludf.DUMMYFUNCTION("""COMPUTED_VALUE"""),41.0)</f>
        <v>41</v>
      </c>
      <c r="G1390" s="1">
        <f>IFERROR(__xludf.DUMMYFUNCTION("""COMPUTED_VALUE"""),81.0)</f>
        <v>81</v>
      </c>
      <c r="H1390" s="1">
        <f>IFERROR(__xludf.DUMMYFUNCTION("""COMPUTED_VALUE"""),24.0)</f>
        <v>24</v>
      </c>
      <c r="I1390" s="1">
        <f>IFERROR(__xludf.DUMMYFUNCTION("""COMPUTED_VALUE"""),94.0)</f>
        <v>94</v>
      </c>
      <c r="J1390" s="1">
        <f>IFERROR(__xludf.DUMMYFUNCTION("""COMPUTED_VALUE"""),47.0)</f>
        <v>47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 t="str">
        <f>IFERROR(__xludf.DUMMYFUNCTION("""COMPUTED_VALUE"""),"A")</f>
        <v>A</v>
      </c>
      <c r="E1391" s="1">
        <f>IFERROR(__xludf.DUMMYFUNCTION("""COMPUTED_VALUE"""),80.0)</f>
        <v>80</v>
      </c>
      <c r="F1391" s="1">
        <f>IFERROR(__xludf.DUMMYFUNCTION("""COMPUTED_VALUE"""),82.0)</f>
        <v>82</v>
      </c>
      <c r="G1391" s="1">
        <f>IFERROR(__xludf.DUMMYFUNCTION("""COMPUTED_VALUE"""),21.0)</f>
        <v>21</v>
      </c>
      <c r="H1391" s="1">
        <f>IFERROR(__xludf.DUMMYFUNCTION("""COMPUTED_VALUE"""),55.0)</f>
        <v>55</v>
      </c>
      <c r="I1391" s="1">
        <f>IFERROR(__xludf.DUMMYFUNCTION("""COMPUTED_VALUE"""),76.0)</f>
        <v>76</v>
      </c>
      <c r="J1391" s="1">
        <f>IFERROR(__xludf.DUMMYFUNCTION("""COMPUTED_VALUE"""),44.0)</f>
        <v>44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 t="str">
        <f>IFERROR(__xludf.DUMMYFUNCTION("""COMPUTED_VALUE"""),"B")</f>
        <v>B</v>
      </c>
      <c r="E1392" s="1">
        <f>IFERROR(__xludf.DUMMYFUNCTION("""COMPUTED_VALUE"""),30.0)</f>
        <v>30</v>
      </c>
      <c r="F1392" s="1">
        <f>IFERROR(__xludf.DUMMYFUNCTION("""COMPUTED_VALUE"""),66.0)</f>
        <v>66</v>
      </c>
      <c r="G1392" s="1">
        <f>IFERROR(__xludf.DUMMYFUNCTION("""COMPUTED_VALUE"""),26.0)</f>
        <v>26</v>
      </c>
      <c r="H1392" s="1">
        <f>IFERROR(__xludf.DUMMYFUNCTION("""COMPUTED_VALUE"""),77.0)</f>
        <v>77</v>
      </c>
      <c r="I1392" s="1">
        <f>IFERROR(__xludf.DUMMYFUNCTION("""COMPUTED_VALUE"""),49.0)</f>
        <v>49</v>
      </c>
      <c r="J1392" s="1">
        <f>IFERROR(__xludf.DUMMYFUNCTION("""COMPUTED_VALUE"""),62.0)</f>
        <v>62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 t="str">
        <f>IFERROR(__xludf.DUMMYFUNCTION("""COMPUTED_VALUE"""),"D")</f>
        <v>D</v>
      </c>
      <c r="E1393" s="1">
        <f>IFERROR(__xludf.DUMMYFUNCTION("""COMPUTED_VALUE"""),86.0)</f>
        <v>86</v>
      </c>
      <c r="F1393" s="1">
        <f>IFERROR(__xludf.DUMMYFUNCTION("""COMPUTED_VALUE"""),88.0)</f>
        <v>88</v>
      </c>
      <c r="G1393" s="1">
        <f>IFERROR(__xludf.DUMMYFUNCTION("""COMPUTED_VALUE"""),55.0)</f>
        <v>55</v>
      </c>
      <c r="H1393" s="1">
        <f>IFERROR(__xludf.DUMMYFUNCTION("""COMPUTED_VALUE"""),70.0)</f>
        <v>70</v>
      </c>
      <c r="I1393" s="1">
        <f>IFERROR(__xludf.DUMMYFUNCTION("""COMPUTED_VALUE"""),45.0)</f>
        <v>45</v>
      </c>
      <c r="J1393" s="1">
        <f>IFERROR(__xludf.DUMMYFUNCTION("""COMPUTED_VALUE"""),49.0)</f>
        <v>49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 t="str">
        <f>IFERROR(__xludf.DUMMYFUNCTION("""COMPUTED_VALUE"""),"A")</f>
        <v>A</v>
      </c>
      <c r="E1394" s="1">
        <f>IFERROR(__xludf.DUMMYFUNCTION("""COMPUTED_VALUE"""),15.0)</f>
        <v>15</v>
      </c>
      <c r="F1394" s="1">
        <f>IFERROR(__xludf.DUMMYFUNCTION("""COMPUTED_VALUE"""),60.0)</f>
        <v>60</v>
      </c>
      <c r="G1394" s="1">
        <f>IFERROR(__xludf.DUMMYFUNCTION("""COMPUTED_VALUE"""),25.0)</f>
        <v>25</v>
      </c>
      <c r="H1394" s="1">
        <f>IFERROR(__xludf.DUMMYFUNCTION("""COMPUTED_VALUE"""),93.0)</f>
        <v>93</v>
      </c>
      <c r="I1394" s="1">
        <f>IFERROR(__xludf.DUMMYFUNCTION("""COMPUTED_VALUE"""),40.0)</f>
        <v>40</v>
      </c>
      <c r="J1394" s="1">
        <f>IFERROR(__xludf.DUMMYFUNCTION("""COMPUTED_VALUE"""),92.0)</f>
        <v>92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 t="str">
        <f>IFERROR(__xludf.DUMMYFUNCTION("""COMPUTED_VALUE"""),"C")</f>
        <v>C</v>
      </c>
      <c r="E1395" s="1">
        <f>IFERROR(__xludf.DUMMYFUNCTION("""COMPUTED_VALUE"""),61.0)</f>
        <v>61</v>
      </c>
      <c r="F1395" s="1">
        <f>IFERROR(__xludf.DUMMYFUNCTION("""COMPUTED_VALUE"""),31.0)</f>
        <v>31</v>
      </c>
      <c r="G1395" s="1">
        <f>IFERROR(__xludf.DUMMYFUNCTION("""COMPUTED_VALUE"""),74.0)</f>
        <v>74</v>
      </c>
      <c r="H1395" s="1">
        <f>IFERROR(__xludf.DUMMYFUNCTION("""COMPUTED_VALUE"""),50.0)</f>
        <v>50</v>
      </c>
      <c r="I1395" s="1">
        <f>IFERROR(__xludf.DUMMYFUNCTION("""COMPUTED_VALUE"""),64.0)</f>
        <v>64</v>
      </c>
      <c r="J1395" s="1">
        <f>IFERROR(__xludf.DUMMYFUNCTION("""COMPUTED_VALUE"""),93.0)</f>
        <v>93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 t="str">
        <f>IFERROR(__xludf.DUMMYFUNCTION("""COMPUTED_VALUE"""),"D")</f>
        <v>D</v>
      </c>
      <c r="E1396" s="1">
        <f>IFERROR(__xludf.DUMMYFUNCTION("""COMPUTED_VALUE"""),23.0)</f>
        <v>23</v>
      </c>
      <c r="F1396" s="1">
        <f>IFERROR(__xludf.DUMMYFUNCTION("""COMPUTED_VALUE"""),40.0)</f>
        <v>40</v>
      </c>
      <c r="G1396" s="1">
        <f>IFERROR(__xludf.DUMMYFUNCTION("""COMPUTED_VALUE"""),74.0)</f>
        <v>74</v>
      </c>
      <c r="H1396" s="1">
        <f>IFERROR(__xludf.DUMMYFUNCTION("""COMPUTED_VALUE"""),75.0)</f>
        <v>75</v>
      </c>
      <c r="I1396" s="1">
        <f>IFERROR(__xludf.DUMMYFUNCTION("""COMPUTED_VALUE"""),76.0)</f>
        <v>76</v>
      </c>
      <c r="J1396" s="1">
        <f>IFERROR(__xludf.DUMMYFUNCTION("""COMPUTED_VALUE"""),33.0)</f>
        <v>33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 t="str">
        <f>IFERROR(__xludf.DUMMYFUNCTION("""COMPUTED_VALUE"""),"B")</f>
        <v>B</v>
      </c>
      <c r="E1397" s="1">
        <f>IFERROR(__xludf.DUMMYFUNCTION("""COMPUTED_VALUE"""),54.0)</f>
        <v>54</v>
      </c>
      <c r="F1397" s="1">
        <f>IFERROR(__xludf.DUMMYFUNCTION("""COMPUTED_VALUE"""),66.0)</f>
        <v>66</v>
      </c>
      <c r="G1397" s="1">
        <f>IFERROR(__xludf.DUMMYFUNCTION("""COMPUTED_VALUE"""),20.0)</f>
        <v>20</v>
      </c>
      <c r="H1397" s="1">
        <f>IFERROR(__xludf.DUMMYFUNCTION("""COMPUTED_VALUE"""),92.0)</f>
        <v>92</v>
      </c>
      <c r="I1397" s="1">
        <f>IFERROR(__xludf.DUMMYFUNCTION("""COMPUTED_VALUE"""),34.0)</f>
        <v>34</v>
      </c>
      <c r="J1397" s="1">
        <f>IFERROR(__xludf.DUMMYFUNCTION("""COMPUTED_VALUE"""),31.0)</f>
        <v>31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 t="str">
        <f>IFERROR(__xludf.DUMMYFUNCTION("""COMPUTED_VALUE"""),"D")</f>
        <v>D</v>
      </c>
      <c r="E1398" s="1">
        <f>IFERROR(__xludf.DUMMYFUNCTION("""COMPUTED_VALUE"""),21.0)</f>
        <v>21</v>
      </c>
      <c r="F1398" s="1">
        <f>IFERROR(__xludf.DUMMYFUNCTION("""COMPUTED_VALUE"""),57.0)</f>
        <v>57</v>
      </c>
      <c r="G1398" s="1">
        <f>IFERROR(__xludf.DUMMYFUNCTION("""COMPUTED_VALUE"""),47.0)</f>
        <v>47</v>
      </c>
      <c r="H1398" s="1">
        <f>IFERROR(__xludf.DUMMYFUNCTION("""COMPUTED_VALUE"""),49.0)</f>
        <v>49</v>
      </c>
      <c r="I1398" s="1">
        <f>IFERROR(__xludf.DUMMYFUNCTION("""COMPUTED_VALUE"""),96.0)</f>
        <v>96</v>
      </c>
      <c r="J1398" s="1">
        <f>IFERROR(__xludf.DUMMYFUNCTION("""COMPUTED_VALUE"""),69.0)</f>
        <v>69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 t="str">
        <f>IFERROR(__xludf.DUMMYFUNCTION("""COMPUTED_VALUE"""),"B")</f>
        <v>B</v>
      </c>
      <c r="E1399" s="1">
        <f>IFERROR(__xludf.DUMMYFUNCTION("""COMPUTED_VALUE"""),12.0)</f>
        <v>12</v>
      </c>
      <c r="F1399" s="1">
        <f>IFERROR(__xludf.DUMMYFUNCTION("""COMPUTED_VALUE"""),28.0)</f>
        <v>28</v>
      </c>
      <c r="G1399" s="1">
        <f>IFERROR(__xludf.DUMMYFUNCTION("""COMPUTED_VALUE"""),83.0)</f>
        <v>83</v>
      </c>
      <c r="H1399" s="1">
        <f>IFERROR(__xludf.DUMMYFUNCTION("""COMPUTED_VALUE"""),24.0)</f>
        <v>24</v>
      </c>
      <c r="I1399" s="1">
        <f>IFERROR(__xludf.DUMMYFUNCTION("""COMPUTED_VALUE"""),81.0)</f>
        <v>81</v>
      </c>
      <c r="J1399" s="1">
        <f>IFERROR(__xludf.DUMMYFUNCTION("""COMPUTED_VALUE"""),31.0)</f>
        <v>31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 t="str">
        <f>IFERROR(__xludf.DUMMYFUNCTION("""COMPUTED_VALUE"""),"B")</f>
        <v>B</v>
      </c>
      <c r="E1400" s="1">
        <f>IFERROR(__xludf.DUMMYFUNCTION("""COMPUTED_VALUE"""),99.0)</f>
        <v>99</v>
      </c>
      <c r="F1400" s="1">
        <f>IFERROR(__xludf.DUMMYFUNCTION("""COMPUTED_VALUE"""),51.0)</f>
        <v>51</v>
      </c>
      <c r="G1400" s="1">
        <f>IFERROR(__xludf.DUMMYFUNCTION("""COMPUTED_VALUE"""),54.0)</f>
        <v>54</v>
      </c>
      <c r="H1400" s="1">
        <f>IFERROR(__xludf.DUMMYFUNCTION("""COMPUTED_VALUE"""),61.0)</f>
        <v>61</v>
      </c>
      <c r="I1400" s="1">
        <f>IFERROR(__xludf.DUMMYFUNCTION("""COMPUTED_VALUE"""),30.0)</f>
        <v>30</v>
      </c>
      <c r="J1400" s="1">
        <f>IFERROR(__xludf.DUMMYFUNCTION("""COMPUTED_VALUE"""),81.0)</f>
        <v>81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 t="str">
        <f>IFERROR(__xludf.DUMMYFUNCTION("""COMPUTED_VALUE"""),"B")</f>
        <v>B</v>
      </c>
      <c r="E1401" s="1">
        <f>IFERROR(__xludf.DUMMYFUNCTION("""COMPUTED_VALUE"""),22.0)</f>
        <v>22</v>
      </c>
      <c r="F1401" s="1">
        <f>IFERROR(__xludf.DUMMYFUNCTION("""COMPUTED_VALUE"""),88.0)</f>
        <v>88</v>
      </c>
      <c r="G1401" s="1">
        <f>IFERROR(__xludf.DUMMYFUNCTION("""COMPUTED_VALUE"""),25.0)</f>
        <v>25</v>
      </c>
      <c r="H1401" s="1">
        <f>IFERROR(__xludf.DUMMYFUNCTION("""COMPUTED_VALUE"""),45.0)</f>
        <v>45</v>
      </c>
      <c r="I1401" s="1">
        <f>IFERROR(__xludf.DUMMYFUNCTION("""COMPUTED_VALUE"""),26.0)</f>
        <v>26</v>
      </c>
      <c r="J1401" s="1">
        <f>IFERROR(__xludf.DUMMYFUNCTION("""COMPUTED_VALUE"""),31.0)</f>
        <v>31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 t="str">
        <f>IFERROR(__xludf.DUMMYFUNCTION("""COMPUTED_VALUE"""),"A")</f>
        <v>A</v>
      </c>
      <c r="E1402" s="1">
        <f>IFERROR(__xludf.DUMMYFUNCTION("""COMPUTED_VALUE"""),17.0)</f>
        <v>17</v>
      </c>
      <c r="F1402" s="1">
        <f>IFERROR(__xludf.DUMMYFUNCTION("""COMPUTED_VALUE"""),85.0)</f>
        <v>85</v>
      </c>
      <c r="G1402" s="1">
        <f>IFERROR(__xludf.DUMMYFUNCTION("""COMPUTED_VALUE"""),45.0)</f>
        <v>45</v>
      </c>
      <c r="H1402" s="1">
        <f>IFERROR(__xludf.DUMMYFUNCTION("""COMPUTED_VALUE"""),65.0)</f>
        <v>65</v>
      </c>
      <c r="I1402" s="1">
        <f>IFERROR(__xludf.DUMMYFUNCTION("""COMPUTED_VALUE"""),97.0)</f>
        <v>97</v>
      </c>
      <c r="J1402" s="1">
        <f>IFERROR(__xludf.DUMMYFUNCTION("""COMPUTED_VALUE"""),55.0)</f>
        <v>55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 t="str">
        <f>IFERROR(__xludf.DUMMYFUNCTION("""COMPUTED_VALUE"""),"B")</f>
        <v>B</v>
      </c>
      <c r="E1403" s="1">
        <f>IFERROR(__xludf.DUMMYFUNCTION("""COMPUTED_VALUE"""),82.0)</f>
        <v>82</v>
      </c>
      <c r="F1403" s="1">
        <f>IFERROR(__xludf.DUMMYFUNCTION("""COMPUTED_VALUE"""),72.0)</f>
        <v>72</v>
      </c>
      <c r="G1403" s="1">
        <f>IFERROR(__xludf.DUMMYFUNCTION("""COMPUTED_VALUE"""),68.0)</f>
        <v>68</v>
      </c>
      <c r="H1403" s="1">
        <f>IFERROR(__xludf.DUMMYFUNCTION("""COMPUTED_VALUE"""),52.0)</f>
        <v>52</v>
      </c>
      <c r="I1403" s="1">
        <f>IFERROR(__xludf.DUMMYFUNCTION("""COMPUTED_VALUE"""),58.0)</f>
        <v>58</v>
      </c>
      <c r="J1403" s="1">
        <f>IFERROR(__xludf.DUMMYFUNCTION("""COMPUTED_VALUE"""),79.0)</f>
        <v>79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 t="str">
        <f>IFERROR(__xludf.DUMMYFUNCTION("""COMPUTED_VALUE"""),"D")</f>
        <v>D</v>
      </c>
      <c r="E1404" s="1">
        <f>IFERROR(__xludf.DUMMYFUNCTION("""COMPUTED_VALUE"""),70.0)</f>
        <v>70</v>
      </c>
      <c r="F1404" s="1">
        <f>IFERROR(__xludf.DUMMYFUNCTION("""COMPUTED_VALUE"""),95.0)</f>
        <v>95</v>
      </c>
      <c r="G1404" s="1">
        <f>IFERROR(__xludf.DUMMYFUNCTION("""COMPUTED_VALUE"""),30.0)</f>
        <v>30</v>
      </c>
      <c r="H1404" s="1">
        <f>IFERROR(__xludf.DUMMYFUNCTION("""COMPUTED_VALUE"""),32.0)</f>
        <v>32</v>
      </c>
      <c r="I1404" s="1">
        <f>IFERROR(__xludf.DUMMYFUNCTION("""COMPUTED_VALUE"""),46.0)</f>
        <v>46</v>
      </c>
      <c r="J1404" s="1">
        <f>IFERROR(__xludf.DUMMYFUNCTION("""COMPUTED_VALUE"""),68.0)</f>
        <v>68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 t="str">
        <f>IFERROR(__xludf.DUMMYFUNCTION("""COMPUTED_VALUE"""),"B")</f>
        <v>B</v>
      </c>
      <c r="E1405" s="1">
        <f>IFERROR(__xludf.DUMMYFUNCTION("""COMPUTED_VALUE"""),44.0)</f>
        <v>44</v>
      </c>
      <c r="F1405" s="1">
        <f>IFERROR(__xludf.DUMMYFUNCTION("""COMPUTED_VALUE"""),99.0)</f>
        <v>99</v>
      </c>
      <c r="G1405" s="1">
        <f>IFERROR(__xludf.DUMMYFUNCTION("""COMPUTED_VALUE"""),92.0)</f>
        <v>92</v>
      </c>
      <c r="H1405" s="1">
        <f>IFERROR(__xludf.DUMMYFUNCTION("""COMPUTED_VALUE"""),78.0)</f>
        <v>78</v>
      </c>
      <c r="I1405" s="1">
        <f>IFERROR(__xludf.DUMMYFUNCTION("""COMPUTED_VALUE"""),79.0)</f>
        <v>79</v>
      </c>
      <c r="J1405" s="1">
        <f>IFERROR(__xludf.DUMMYFUNCTION("""COMPUTED_VALUE"""),57.0)</f>
        <v>57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 t="str">
        <f>IFERROR(__xludf.DUMMYFUNCTION("""COMPUTED_VALUE"""),"A")</f>
        <v>A</v>
      </c>
      <c r="E1406" s="1">
        <f>IFERROR(__xludf.DUMMYFUNCTION("""COMPUTED_VALUE"""),17.0)</f>
        <v>17</v>
      </c>
      <c r="F1406" s="1">
        <f>IFERROR(__xludf.DUMMYFUNCTION("""COMPUTED_VALUE"""),74.0)</f>
        <v>74</v>
      </c>
      <c r="G1406" s="1">
        <f>IFERROR(__xludf.DUMMYFUNCTION("""COMPUTED_VALUE"""),95.0)</f>
        <v>95</v>
      </c>
      <c r="H1406" s="1">
        <f>IFERROR(__xludf.DUMMYFUNCTION("""COMPUTED_VALUE"""),99.0)</f>
        <v>99</v>
      </c>
      <c r="I1406" s="1">
        <f>IFERROR(__xludf.DUMMYFUNCTION("""COMPUTED_VALUE"""),23.0)</f>
        <v>23</v>
      </c>
      <c r="J1406" s="1">
        <f>IFERROR(__xludf.DUMMYFUNCTION("""COMPUTED_VALUE"""),59.0)</f>
        <v>59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 t="str">
        <f>IFERROR(__xludf.DUMMYFUNCTION("""COMPUTED_VALUE"""),"B")</f>
        <v>B</v>
      </c>
      <c r="E1407" s="1">
        <f>IFERROR(__xludf.DUMMYFUNCTION("""COMPUTED_VALUE"""),78.0)</f>
        <v>78</v>
      </c>
      <c r="F1407" s="1">
        <f>IFERROR(__xludf.DUMMYFUNCTION("""COMPUTED_VALUE"""),47.0)</f>
        <v>47</v>
      </c>
      <c r="G1407" s="1">
        <f>IFERROR(__xludf.DUMMYFUNCTION("""COMPUTED_VALUE"""),89.0)</f>
        <v>89</v>
      </c>
      <c r="H1407" s="1">
        <f>IFERROR(__xludf.DUMMYFUNCTION("""COMPUTED_VALUE"""),49.0)</f>
        <v>49</v>
      </c>
      <c r="I1407" s="1">
        <f>IFERROR(__xludf.DUMMYFUNCTION("""COMPUTED_VALUE"""),74.0)</f>
        <v>74</v>
      </c>
      <c r="J1407" s="1">
        <f>IFERROR(__xludf.DUMMYFUNCTION("""COMPUTED_VALUE"""),31.0)</f>
        <v>31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 t="str">
        <f>IFERROR(__xludf.DUMMYFUNCTION("""COMPUTED_VALUE"""),"B")</f>
        <v>B</v>
      </c>
      <c r="E1408" s="1">
        <f>IFERROR(__xludf.DUMMYFUNCTION("""COMPUTED_VALUE"""),70.0)</f>
        <v>70</v>
      </c>
      <c r="F1408" s="1">
        <f>IFERROR(__xludf.DUMMYFUNCTION("""COMPUTED_VALUE"""),84.0)</f>
        <v>84</v>
      </c>
      <c r="G1408" s="1">
        <f>IFERROR(__xludf.DUMMYFUNCTION("""COMPUTED_VALUE"""),20.0)</f>
        <v>20</v>
      </c>
      <c r="H1408" s="1">
        <f>IFERROR(__xludf.DUMMYFUNCTION("""COMPUTED_VALUE"""),66.0)</f>
        <v>66</v>
      </c>
      <c r="I1408" s="1">
        <f>IFERROR(__xludf.DUMMYFUNCTION("""COMPUTED_VALUE"""),80.0)</f>
        <v>80</v>
      </c>
      <c r="J1408" s="1">
        <f>IFERROR(__xludf.DUMMYFUNCTION("""COMPUTED_VALUE"""),36.0)</f>
        <v>36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 t="str">
        <f>IFERROR(__xludf.DUMMYFUNCTION("""COMPUTED_VALUE"""),"C")</f>
        <v>C</v>
      </c>
      <c r="E1409" s="1">
        <f>IFERROR(__xludf.DUMMYFUNCTION("""COMPUTED_VALUE"""),10.0)</f>
        <v>10</v>
      </c>
      <c r="F1409" s="1">
        <f>IFERROR(__xludf.DUMMYFUNCTION("""COMPUTED_VALUE"""),61.0)</f>
        <v>61</v>
      </c>
      <c r="G1409" s="1">
        <f>IFERROR(__xludf.DUMMYFUNCTION("""COMPUTED_VALUE"""),95.0)</f>
        <v>95</v>
      </c>
      <c r="H1409" s="1">
        <f>IFERROR(__xludf.DUMMYFUNCTION("""COMPUTED_VALUE"""),67.0)</f>
        <v>67</v>
      </c>
      <c r="I1409" s="1">
        <f>IFERROR(__xludf.DUMMYFUNCTION("""COMPUTED_VALUE"""),44.0)</f>
        <v>44</v>
      </c>
      <c r="J1409" s="1">
        <f>IFERROR(__xludf.DUMMYFUNCTION("""COMPUTED_VALUE"""),48.0)</f>
        <v>48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 t="str">
        <f>IFERROR(__xludf.DUMMYFUNCTION("""COMPUTED_VALUE"""),"A")</f>
        <v>A</v>
      </c>
      <c r="E1410" s="1">
        <f>IFERROR(__xludf.DUMMYFUNCTION("""COMPUTED_VALUE"""),63.0)</f>
        <v>63</v>
      </c>
      <c r="F1410" s="1">
        <f>IFERROR(__xludf.DUMMYFUNCTION("""COMPUTED_VALUE"""),75.0)</f>
        <v>75</v>
      </c>
      <c r="G1410" s="1">
        <f>IFERROR(__xludf.DUMMYFUNCTION("""COMPUTED_VALUE"""),84.0)</f>
        <v>84</v>
      </c>
      <c r="H1410" s="1">
        <f>IFERROR(__xludf.DUMMYFUNCTION("""COMPUTED_VALUE"""),81.0)</f>
        <v>81</v>
      </c>
      <c r="I1410" s="1">
        <f>IFERROR(__xludf.DUMMYFUNCTION("""COMPUTED_VALUE"""),73.0)</f>
        <v>73</v>
      </c>
      <c r="J1410" s="1">
        <f>IFERROR(__xludf.DUMMYFUNCTION("""COMPUTED_VALUE"""),56.0)</f>
        <v>56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 t="str">
        <f>IFERROR(__xludf.DUMMYFUNCTION("""COMPUTED_VALUE"""),"C")</f>
        <v>C</v>
      </c>
      <c r="E1411" s="1">
        <f>IFERROR(__xludf.DUMMYFUNCTION("""COMPUTED_VALUE"""),66.0)</f>
        <v>66</v>
      </c>
      <c r="F1411" s="1">
        <f>IFERROR(__xludf.DUMMYFUNCTION("""COMPUTED_VALUE"""),76.0)</f>
        <v>76</v>
      </c>
      <c r="G1411" s="1">
        <f>IFERROR(__xludf.DUMMYFUNCTION("""COMPUTED_VALUE"""),97.0)</f>
        <v>97</v>
      </c>
      <c r="H1411" s="1">
        <f>IFERROR(__xludf.DUMMYFUNCTION("""COMPUTED_VALUE"""),37.0)</f>
        <v>37</v>
      </c>
      <c r="I1411" s="1">
        <f>IFERROR(__xludf.DUMMYFUNCTION("""COMPUTED_VALUE"""),50.0)</f>
        <v>50</v>
      </c>
      <c r="J1411" s="1">
        <f>IFERROR(__xludf.DUMMYFUNCTION("""COMPUTED_VALUE"""),35.0)</f>
        <v>35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 t="str">
        <f>IFERROR(__xludf.DUMMYFUNCTION("""COMPUTED_VALUE"""),"A")</f>
        <v>A</v>
      </c>
      <c r="E1412" s="1">
        <f>IFERROR(__xludf.DUMMYFUNCTION("""COMPUTED_VALUE"""),52.0)</f>
        <v>52</v>
      </c>
      <c r="F1412" s="1">
        <f>IFERROR(__xludf.DUMMYFUNCTION("""COMPUTED_VALUE"""),24.0)</f>
        <v>24</v>
      </c>
      <c r="G1412" s="1">
        <f>IFERROR(__xludf.DUMMYFUNCTION("""COMPUTED_VALUE"""),57.0)</f>
        <v>57</v>
      </c>
      <c r="H1412" s="1">
        <f>IFERROR(__xludf.DUMMYFUNCTION("""COMPUTED_VALUE"""),48.0)</f>
        <v>48</v>
      </c>
      <c r="I1412" s="1">
        <f>IFERROR(__xludf.DUMMYFUNCTION("""COMPUTED_VALUE"""),32.0)</f>
        <v>32</v>
      </c>
      <c r="J1412" s="1">
        <f>IFERROR(__xludf.DUMMYFUNCTION("""COMPUTED_VALUE"""),77.0)</f>
        <v>77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 t="str">
        <f>IFERROR(__xludf.DUMMYFUNCTION("""COMPUTED_VALUE"""),"A")</f>
        <v>A</v>
      </c>
      <c r="E1413" s="1">
        <f>IFERROR(__xludf.DUMMYFUNCTION("""COMPUTED_VALUE"""),61.0)</f>
        <v>61</v>
      </c>
      <c r="F1413" s="1">
        <f>IFERROR(__xludf.DUMMYFUNCTION("""COMPUTED_VALUE"""),96.0)</f>
        <v>96</v>
      </c>
      <c r="G1413" s="1">
        <f>IFERROR(__xludf.DUMMYFUNCTION("""COMPUTED_VALUE"""),98.0)</f>
        <v>98</v>
      </c>
      <c r="H1413" s="1">
        <f>IFERROR(__xludf.DUMMYFUNCTION("""COMPUTED_VALUE"""),86.0)</f>
        <v>86</v>
      </c>
      <c r="I1413" s="1">
        <f>IFERROR(__xludf.DUMMYFUNCTION("""COMPUTED_VALUE"""),36.0)</f>
        <v>36</v>
      </c>
      <c r="J1413" s="1">
        <f>IFERROR(__xludf.DUMMYFUNCTION("""COMPUTED_VALUE"""),97.0)</f>
        <v>97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 t="str">
        <f>IFERROR(__xludf.DUMMYFUNCTION("""COMPUTED_VALUE"""),"A")</f>
        <v>A</v>
      </c>
      <c r="E1414" s="1">
        <f>IFERROR(__xludf.DUMMYFUNCTION("""COMPUTED_VALUE"""),72.0)</f>
        <v>72</v>
      </c>
      <c r="F1414" s="1">
        <f>IFERROR(__xludf.DUMMYFUNCTION("""COMPUTED_VALUE"""),53.0)</f>
        <v>53</v>
      </c>
      <c r="G1414" s="1">
        <f>IFERROR(__xludf.DUMMYFUNCTION("""COMPUTED_VALUE"""),60.0)</f>
        <v>60</v>
      </c>
      <c r="H1414" s="1">
        <f>IFERROR(__xludf.DUMMYFUNCTION("""COMPUTED_VALUE"""),77.0)</f>
        <v>77</v>
      </c>
      <c r="I1414" s="1">
        <f>IFERROR(__xludf.DUMMYFUNCTION("""COMPUTED_VALUE"""),23.0)</f>
        <v>23</v>
      </c>
      <c r="J1414" s="1">
        <f>IFERROR(__xludf.DUMMYFUNCTION("""COMPUTED_VALUE"""),38.0)</f>
        <v>38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 t="str">
        <f>IFERROR(__xludf.DUMMYFUNCTION("""COMPUTED_VALUE"""),"D")</f>
        <v>D</v>
      </c>
      <c r="E1415" s="1">
        <f>IFERROR(__xludf.DUMMYFUNCTION("""COMPUTED_VALUE"""),81.0)</f>
        <v>81</v>
      </c>
      <c r="F1415" s="1">
        <f>IFERROR(__xludf.DUMMYFUNCTION("""COMPUTED_VALUE"""),68.0)</f>
        <v>68</v>
      </c>
      <c r="G1415" s="1">
        <f>IFERROR(__xludf.DUMMYFUNCTION("""COMPUTED_VALUE"""),64.0)</f>
        <v>64</v>
      </c>
      <c r="H1415" s="1">
        <f>IFERROR(__xludf.DUMMYFUNCTION("""COMPUTED_VALUE"""),76.0)</f>
        <v>76</v>
      </c>
      <c r="I1415" s="1">
        <f>IFERROR(__xludf.DUMMYFUNCTION("""COMPUTED_VALUE"""),34.0)</f>
        <v>34</v>
      </c>
      <c r="J1415" s="1">
        <f>IFERROR(__xludf.DUMMYFUNCTION("""COMPUTED_VALUE"""),46.0)</f>
        <v>46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 t="str">
        <f>IFERROR(__xludf.DUMMYFUNCTION("""COMPUTED_VALUE"""),"B")</f>
        <v>B</v>
      </c>
      <c r="E1416" s="1">
        <f>IFERROR(__xludf.DUMMYFUNCTION("""COMPUTED_VALUE"""),52.0)</f>
        <v>52</v>
      </c>
      <c r="F1416" s="1">
        <f>IFERROR(__xludf.DUMMYFUNCTION("""COMPUTED_VALUE"""),23.0)</f>
        <v>23</v>
      </c>
      <c r="G1416" s="1">
        <f>IFERROR(__xludf.DUMMYFUNCTION("""COMPUTED_VALUE"""),61.0)</f>
        <v>61</v>
      </c>
      <c r="H1416" s="1">
        <f>IFERROR(__xludf.DUMMYFUNCTION("""COMPUTED_VALUE"""),54.0)</f>
        <v>54</v>
      </c>
      <c r="I1416" s="1">
        <f>IFERROR(__xludf.DUMMYFUNCTION("""COMPUTED_VALUE"""),67.0)</f>
        <v>67</v>
      </c>
      <c r="J1416" s="1">
        <f>IFERROR(__xludf.DUMMYFUNCTION("""COMPUTED_VALUE"""),91.0)</f>
        <v>91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 t="str">
        <f>IFERROR(__xludf.DUMMYFUNCTION("""COMPUTED_VALUE"""),"C")</f>
        <v>C</v>
      </c>
      <c r="E1417" s="1">
        <f>IFERROR(__xludf.DUMMYFUNCTION("""COMPUTED_VALUE"""),51.0)</f>
        <v>51</v>
      </c>
      <c r="F1417" s="1">
        <f>IFERROR(__xludf.DUMMYFUNCTION("""COMPUTED_VALUE"""),27.0)</f>
        <v>27</v>
      </c>
      <c r="G1417" s="1">
        <f>IFERROR(__xludf.DUMMYFUNCTION("""COMPUTED_VALUE"""),79.0)</f>
        <v>79</v>
      </c>
      <c r="H1417" s="1">
        <f>IFERROR(__xludf.DUMMYFUNCTION("""COMPUTED_VALUE"""),65.0)</f>
        <v>65</v>
      </c>
      <c r="I1417" s="1">
        <f>IFERROR(__xludf.DUMMYFUNCTION("""COMPUTED_VALUE"""),21.0)</f>
        <v>21</v>
      </c>
      <c r="J1417" s="1">
        <f>IFERROR(__xludf.DUMMYFUNCTION("""COMPUTED_VALUE"""),82.0)</f>
        <v>82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 t="str">
        <f>IFERROR(__xludf.DUMMYFUNCTION("""COMPUTED_VALUE"""),"C")</f>
        <v>C</v>
      </c>
      <c r="E1418" s="1">
        <f>IFERROR(__xludf.DUMMYFUNCTION("""COMPUTED_VALUE"""),34.0)</f>
        <v>34</v>
      </c>
      <c r="F1418" s="1">
        <f>IFERROR(__xludf.DUMMYFUNCTION("""COMPUTED_VALUE"""),33.0)</f>
        <v>33</v>
      </c>
      <c r="G1418" s="1">
        <f>IFERROR(__xludf.DUMMYFUNCTION("""COMPUTED_VALUE"""),54.0)</f>
        <v>54</v>
      </c>
      <c r="H1418" s="1">
        <f>IFERROR(__xludf.DUMMYFUNCTION("""COMPUTED_VALUE"""),33.0)</f>
        <v>33</v>
      </c>
      <c r="I1418" s="1">
        <f>IFERROR(__xludf.DUMMYFUNCTION("""COMPUTED_VALUE"""),47.0)</f>
        <v>47</v>
      </c>
      <c r="J1418" s="1">
        <f>IFERROR(__xludf.DUMMYFUNCTION("""COMPUTED_VALUE"""),63.0)</f>
        <v>63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 t="str">
        <f>IFERROR(__xludf.DUMMYFUNCTION("""COMPUTED_VALUE"""),"D")</f>
        <v>D</v>
      </c>
      <c r="E1419" s="1">
        <f>IFERROR(__xludf.DUMMYFUNCTION("""COMPUTED_VALUE"""),84.0)</f>
        <v>84</v>
      </c>
      <c r="F1419" s="1">
        <f>IFERROR(__xludf.DUMMYFUNCTION("""COMPUTED_VALUE"""),40.0)</f>
        <v>40</v>
      </c>
      <c r="G1419" s="1">
        <f>IFERROR(__xludf.DUMMYFUNCTION("""COMPUTED_VALUE"""),62.0)</f>
        <v>62</v>
      </c>
      <c r="H1419" s="1">
        <f>IFERROR(__xludf.DUMMYFUNCTION("""COMPUTED_VALUE"""),45.0)</f>
        <v>45</v>
      </c>
      <c r="I1419" s="1">
        <f>IFERROR(__xludf.DUMMYFUNCTION("""COMPUTED_VALUE"""),55.0)</f>
        <v>55</v>
      </c>
      <c r="J1419" s="1">
        <f>IFERROR(__xludf.DUMMYFUNCTION("""COMPUTED_VALUE"""),64.0)</f>
        <v>64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 t="str">
        <f>IFERROR(__xludf.DUMMYFUNCTION("""COMPUTED_VALUE"""),"A")</f>
        <v>A</v>
      </c>
      <c r="E1420" s="1">
        <f>IFERROR(__xludf.DUMMYFUNCTION("""COMPUTED_VALUE"""),35.0)</f>
        <v>35</v>
      </c>
      <c r="F1420" s="1">
        <f>IFERROR(__xludf.DUMMYFUNCTION("""COMPUTED_VALUE"""),28.0)</f>
        <v>28</v>
      </c>
      <c r="G1420" s="1">
        <f>IFERROR(__xludf.DUMMYFUNCTION("""COMPUTED_VALUE"""),74.0)</f>
        <v>74</v>
      </c>
      <c r="H1420" s="1">
        <f>IFERROR(__xludf.DUMMYFUNCTION("""COMPUTED_VALUE"""),59.0)</f>
        <v>59</v>
      </c>
      <c r="I1420" s="1">
        <f>IFERROR(__xludf.DUMMYFUNCTION("""COMPUTED_VALUE"""),88.0)</f>
        <v>88</v>
      </c>
      <c r="J1420" s="1">
        <f>IFERROR(__xludf.DUMMYFUNCTION("""COMPUTED_VALUE"""),31.0)</f>
        <v>31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 t="str">
        <f>IFERROR(__xludf.DUMMYFUNCTION("""COMPUTED_VALUE"""),"C")</f>
        <v>C</v>
      </c>
      <c r="E1421" s="1">
        <f>IFERROR(__xludf.DUMMYFUNCTION("""COMPUTED_VALUE"""),67.0)</f>
        <v>67</v>
      </c>
      <c r="F1421" s="1">
        <f>IFERROR(__xludf.DUMMYFUNCTION("""COMPUTED_VALUE"""),73.0)</f>
        <v>73</v>
      </c>
      <c r="G1421" s="1">
        <f>IFERROR(__xludf.DUMMYFUNCTION("""COMPUTED_VALUE"""),32.0)</f>
        <v>32</v>
      </c>
      <c r="H1421" s="1">
        <f>IFERROR(__xludf.DUMMYFUNCTION("""COMPUTED_VALUE"""),44.0)</f>
        <v>44</v>
      </c>
      <c r="I1421" s="1">
        <f>IFERROR(__xludf.DUMMYFUNCTION("""COMPUTED_VALUE"""),25.0)</f>
        <v>25</v>
      </c>
      <c r="J1421" s="1">
        <f>IFERROR(__xludf.DUMMYFUNCTION("""COMPUTED_VALUE"""),94.0)</f>
        <v>94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 t="str">
        <f>IFERROR(__xludf.DUMMYFUNCTION("""COMPUTED_VALUE"""),"B")</f>
        <v>B</v>
      </c>
      <c r="E1422" s="1">
        <f>IFERROR(__xludf.DUMMYFUNCTION("""COMPUTED_VALUE"""),53.0)</f>
        <v>53</v>
      </c>
      <c r="F1422" s="1">
        <f>IFERROR(__xludf.DUMMYFUNCTION("""COMPUTED_VALUE"""),94.0)</f>
        <v>94</v>
      </c>
      <c r="G1422" s="1">
        <f>IFERROR(__xludf.DUMMYFUNCTION("""COMPUTED_VALUE"""),83.0)</f>
        <v>83</v>
      </c>
      <c r="H1422" s="1">
        <f>IFERROR(__xludf.DUMMYFUNCTION("""COMPUTED_VALUE"""),87.0)</f>
        <v>87</v>
      </c>
      <c r="I1422" s="1">
        <f>IFERROR(__xludf.DUMMYFUNCTION("""COMPUTED_VALUE"""),76.0)</f>
        <v>76</v>
      </c>
      <c r="J1422" s="1">
        <f>IFERROR(__xludf.DUMMYFUNCTION("""COMPUTED_VALUE"""),73.0)</f>
        <v>73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 t="str">
        <f>IFERROR(__xludf.DUMMYFUNCTION("""COMPUTED_VALUE"""),"B")</f>
        <v>B</v>
      </c>
      <c r="E1423" s="1">
        <f>IFERROR(__xludf.DUMMYFUNCTION("""COMPUTED_VALUE"""),22.0)</f>
        <v>22</v>
      </c>
      <c r="F1423" s="1">
        <f>IFERROR(__xludf.DUMMYFUNCTION("""COMPUTED_VALUE"""),52.0)</f>
        <v>52</v>
      </c>
      <c r="G1423" s="1">
        <f>IFERROR(__xludf.DUMMYFUNCTION("""COMPUTED_VALUE"""),88.0)</f>
        <v>88</v>
      </c>
      <c r="H1423" s="1">
        <f>IFERROR(__xludf.DUMMYFUNCTION("""COMPUTED_VALUE"""),63.0)</f>
        <v>63</v>
      </c>
      <c r="I1423" s="1">
        <f>IFERROR(__xludf.DUMMYFUNCTION("""COMPUTED_VALUE"""),68.0)</f>
        <v>68</v>
      </c>
      <c r="J1423" s="1">
        <f>IFERROR(__xludf.DUMMYFUNCTION("""COMPUTED_VALUE"""),80.0)</f>
        <v>80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 t="str">
        <f>IFERROR(__xludf.DUMMYFUNCTION("""COMPUTED_VALUE"""),"A")</f>
        <v>A</v>
      </c>
      <c r="E1424" s="1">
        <f>IFERROR(__xludf.DUMMYFUNCTION("""COMPUTED_VALUE"""),84.0)</f>
        <v>84</v>
      </c>
      <c r="F1424" s="1">
        <f>IFERROR(__xludf.DUMMYFUNCTION("""COMPUTED_VALUE"""),78.0)</f>
        <v>78</v>
      </c>
      <c r="G1424" s="1">
        <f>IFERROR(__xludf.DUMMYFUNCTION("""COMPUTED_VALUE"""),62.0)</f>
        <v>62</v>
      </c>
      <c r="H1424" s="1">
        <f>IFERROR(__xludf.DUMMYFUNCTION("""COMPUTED_VALUE"""),50.0)</f>
        <v>50</v>
      </c>
      <c r="I1424" s="1">
        <f>IFERROR(__xludf.DUMMYFUNCTION("""COMPUTED_VALUE"""),38.0)</f>
        <v>38</v>
      </c>
      <c r="J1424" s="1">
        <f>IFERROR(__xludf.DUMMYFUNCTION("""COMPUTED_VALUE"""),97.0)</f>
        <v>97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 t="str">
        <f>IFERROR(__xludf.DUMMYFUNCTION("""COMPUTED_VALUE"""),"D")</f>
        <v>D</v>
      </c>
      <c r="E1425" s="1">
        <f>IFERROR(__xludf.DUMMYFUNCTION("""COMPUTED_VALUE"""),35.0)</f>
        <v>35</v>
      </c>
      <c r="F1425" s="1">
        <f>IFERROR(__xludf.DUMMYFUNCTION("""COMPUTED_VALUE"""),35.0)</f>
        <v>35</v>
      </c>
      <c r="G1425" s="1">
        <f>IFERROR(__xludf.DUMMYFUNCTION("""COMPUTED_VALUE"""),78.0)</f>
        <v>78</v>
      </c>
      <c r="H1425" s="1">
        <f>IFERROR(__xludf.DUMMYFUNCTION("""COMPUTED_VALUE"""),66.0)</f>
        <v>66</v>
      </c>
      <c r="I1425" s="1">
        <f>IFERROR(__xludf.DUMMYFUNCTION("""COMPUTED_VALUE"""),79.0)</f>
        <v>79</v>
      </c>
      <c r="J1425" s="1">
        <f>IFERROR(__xludf.DUMMYFUNCTION("""COMPUTED_VALUE"""),28.0)</f>
        <v>28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 t="str">
        <f>IFERROR(__xludf.DUMMYFUNCTION("""COMPUTED_VALUE"""),"D")</f>
        <v>D</v>
      </c>
      <c r="E1426" s="1">
        <f>IFERROR(__xludf.DUMMYFUNCTION("""COMPUTED_VALUE"""),29.0)</f>
        <v>29</v>
      </c>
      <c r="F1426" s="1">
        <f>IFERROR(__xludf.DUMMYFUNCTION("""COMPUTED_VALUE"""),98.0)</f>
        <v>98</v>
      </c>
      <c r="G1426" s="1">
        <f>IFERROR(__xludf.DUMMYFUNCTION("""COMPUTED_VALUE"""),66.0)</f>
        <v>66</v>
      </c>
      <c r="H1426" s="1">
        <f>IFERROR(__xludf.DUMMYFUNCTION("""COMPUTED_VALUE"""),68.0)</f>
        <v>68</v>
      </c>
      <c r="I1426" s="1">
        <f>IFERROR(__xludf.DUMMYFUNCTION("""COMPUTED_VALUE"""),80.0)</f>
        <v>80</v>
      </c>
      <c r="J1426" s="1">
        <f>IFERROR(__xludf.DUMMYFUNCTION("""COMPUTED_VALUE"""),65.0)</f>
        <v>65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 t="str">
        <f>IFERROR(__xludf.DUMMYFUNCTION("""COMPUTED_VALUE"""),"C")</f>
        <v>C</v>
      </c>
      <c r="E1427" s="1">
        <f>IFERROR(__xludf.DUMMYFUNCTION("""COMPUTED_VALUE"""),60.0)</f>
        <v>60</v>
      </c>
      <c r="F1427" s="1">
        <f>IFERROR(__xludf.DUMMYFUNCTION("""COMPUTED_VALUE"""),68.0)</f>
        <v>68</v>
      </c>
      <c r="G1427" s="1">
        <f>IFERROR(__xludf.DUMMYFUNCTION("""COMPUTED_VALUE"""),85.0)</f>
        <v>85</v>
      </c>
      <c r="H1427" s="1">
        <f>IFERROR(__xludf.DUMMYFUNCTION("""COMPUTED_VALUE"""),37.0)</f>
        <v>37</v>
      </c>
      <c r="I1427" s="1">
        <f>IFERROR(__xludf.DUMMYFUNCTION("""COMPUTED_VALUE"""),31.0)</f>
        <v>31</v>
      </c>
      <c r="J1427" s="1">
        <f>IFERROR(__xludf.DUMMYFUNCTION("""COMPUTED_VALUE"""),46.0)</f>
        <v>46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 t="str">
        <f>IFERROR(__xludf.DUMMYFUNCTION("""COMPUTED_VALUE"""),"B")</f>
        <v>B</v>
      </c>
      <c r="E1428" s="1">
        <f>IFERROR(__xludf.DUMMYFUNCTION("""COMPUTED_VALUE"""),46.0)</f>
        <v>46</v>
      </c>
      <c r="F1428" s="1">
        <f>IFERROR(__xludf.DUMMYFUNCTION("""COMPUTED_VALUE"""),75.0)</f>
        <v>75</v>
      </c>
      <c r="G1428" s="1">
        <f>IFERROR(__xludf.DUMMYFUNCTION("""COMPUTED_VALUE"""),45.0)</f>
        <v>45</v>
      </c>
      <c r="H1428" s="1">
        <f>IFERROR(__xludf.DUMMYFUNCTION("""COMPUTED_VALUE"""),63.0)</f>
        <v>63</v>
      </c>
      <c r="I1428" s="1">
        <f>IFERROR(__xludf.DUMMYFUNCTION("""COMPUTED_VALUE"""),88.0)</f>
        <v>88</v>
      </c>
      <c r="J1428" s="1">
        <f>IFERROR(__xludf.DUMMYFUNCTION("""COMPUTED_VALUE"""),31.0)</f>
        <v>31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 t="str">
        <f>IFERROR(__xludf.DUMMYFUNCTION("""COMPUTED_VALUE"""),"C")</f>
        <v>C</v>
      </c>
      <c r="E1429" s="1">
        <f>IFERROR(__xludf.DUMMYFUNCTION("""COMPUTED_VALUE"""),72.0)</f>
        <v>72</v>
      </c>
      <c r="F1429" s="1">
        <f>IFERROR(__xludf.DUMMYFUNCTION("""COMPUTED_VALUE"""),24.0)</f>
        <v>24</v>
      </c>
      <c r="G1429" s="1">
        <f>IFERROR(__xludf.DUMMYFUNCTION("""COMPUTED_VALUE"""),95.0)</f>
        <v>95</v>
      </c>
      <c r="H1429" s="1">
        <f>IFERROR(__xludf.DUMMYFUNCTION("""COMPUTED_VALUE"""),82.0)</f>
        <v>82</v>
      </c>
      <c r="I1429" s="1">
        <f>IFERROR(__xludf.DUMMYFUNCTION("""COMPUTED_VALUE"""),38.0)</f>
        <v>38</v>
      </c>
      <c r="J1429" s="1">
        <f>IFERROR(__xludf.DUMMYFUNCTION("""COMPUTED_VALUE"""),47.0)</f>
        <v>47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 t="str">
        <f>IFERROR(__xludf.DUMMYFUNCTION("""COMPUTED_VALUE"""),"A")</f>
        <v>A</v>
      </c>
      <c r="E1430" s="1">
        <f>IFERROR(__xludf.DUMMYFUNCTION("""COMPUTED_VALUE"""),16.0)</f>
        <v>16</v>
      </c>
      <c r="F1430" s="1">
        <f>IFERROR(__xludf.DUMMYFUNCTION("""COMPUTED_VALUE"""),31.0)</f>
        <v>31</v>
      </c>
      <c r="G1430" s="1">
        <f>IFERROR(__xludf.DUMMYFUNCTION("""COMPUTED_VALUE"""),86.0)</f>
        <v>86</v>
      </c>
      <c r="H1430" s="1">
        <f>IFERROR(__xludf.DUMMYFUNCTION("""COMPUTED_VALUE"""),80.0)</f>
        <v>80</v>
      </c>
      <c r="I1430" s="1">
        <f>IFERROR(__xludf.DUMMYFUNCTION("""COMPUTED_VALUE"""),39.0)</f>
        <v>39</v>
      </c>
      <c r="J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 t="str">
        <f>IFERROR(__xludf.DUMMYFUNCTION("""COMPUTED_VALUE"""),"D")</f>
        <v>D</v>
      </c>
      <c r="E1431" s="1">
        <f>IFERROR(__xludf.DUMMYFUNCTION("""COMPUTED_VALUE"""),48.0)</f>
        <v>48</v>
      </c>
      <c r="F1431" s="1">
        <f>IFERROR(__xludf.DUMMYFUNCTION("""COMPUTED_VALUE"""),35.0)</f>
        <v>35</v>
      </c>
      <c r="G1431" s="1">
        <f>IFERROR(__xludf.DUMMYFUNCTION("""COMPUTED_VALUE"""),24.0)</f>
        <v>24</v>
      </c>
      <c r="H1431" s="1">
        <f>IFERROR(__xludf.DUMMYFUNCTION("""COMPUTED_VALUE"""),30.0)</f>
        <v>30</v>
      </c>
      <c r="I1431" s="1">
        <f>IFERROR(__xludf.DUMMYFUNCTION("""COMPUTED_VALUE"""),92.0)</f>
        <v>92</v>
      </c>
      <c r="J1431" s="1">
        <f>IFERROR(__xludf.DUMMYFUNCTION("""COMPUTED_VALUE"""),95.0)</f>
        <v>95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 t="str">
        <f>IFERROR(__xludf.DUMMYFUNCTION("""COMPUTED_VALUE"""),"B")</f>
        <v>B</v>
      </c>
      <c r="E1432" s="1">
        <f>IFERROR(__xludf.DUMMYFUNCTION("""COMPUTED_VALUE"""),87.0)</f>
        <v>87</v>
      </c>
      <c r="F1432" s="1">
        <f>IFERROR(__xludf.DUMMYFUNCTION("""COMPUTED_VALUE"""),68.0)</f>
        <v>68</v>
      </c>
      <c r="G1432" s="1">
        <f>IFERROR(__xludf.DUMMYFUNCTION("""COMPUTED_VALUE"""),38.0)</f>
        <v>38</v>
      </c>
      <c r="H1432" s="1">
        <f>IFERROR(__xludf.DUMMYFUNCTION("""COMPUTED_VALUE"""),70.0)</f>
        <v>70</v>
      </c>
      <c r="I1432" s="1">
        <f>IFERROR(__xludf.DUMMYFUNCTION("""COMPUTED_VALUE"""),76.0)</f>
        <v>76</v>
      </c>
      <c r="J1432" s="1">
        <f>IFERROR(__xludf.DUMMYFUNCTION("""COMPUTED_VALUE"""),62.0)</f>
        <v>62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 t="str">
        <f>IFERROR(__xludf.DUMMYFUNCTION("""COMPUTED_VALUE"""),"C")</f>
        <v>C</v>
      </c>
      <c r="E1433" s="1">
        <f>IFERROR(__xludf.DUMMYFUNCTION("""COMPUTED_VALUE"""),59.0)</f>
        <v>59</v>
      </c>
      <c r="F1433" s="1">
        <f>IFERROR(__xludf.DUMMYFUNCTION("""COMPUTED_VALUE"""),38.0)</f>
        <v>38</v>
      </c>
      <c r="G1433" s="1">
        <f>IFERROR(__xludf.DUMMYFUNCTION("""COMPUTED_VALUE"""),30.0)</f>
        <v>30</v>
      </c>
      <c r="H1433" s="1">
        <f>IFERROR(__xludf.DUMMYFUNCTION("""COMPUTED_VALUE"""),92.0)</f>
        <v>92</v>
      </c>
      <c r="I1433" s="1">
        <f>IFERROR(__xludf.DUMMYFUNCTION("""COMPUTED_VALUE"""),31.0)</f>
        <v>31</v>
      </c>
      <c r="J1433" s="1">
        <f>IFERROR(__xludf.DUMMYFUNCTION("""COMPUTED_VALUE"""),84.0)</f>
        <v>84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 t="str">
        <f>IFERROR(__xludf.DUMMYFUNCTION("""COMPUTED_VALUE"""),"A")</f>
        <v>A</v>
      </c>
      <c r="E1434" s="1">
        <f>IFERROR(__xludf.DUMMYFUNCTION("""COMPUTED_VALUE"""),57.0)</f>
        <v>57</v>
      </c>
      <c r="F1434" s="1">
        <f>IFERROR(__xludf.DUMMYFUNCTION("""COMPUTED_VALUE"""),69.0)</f>
        <v>69</v>
      </c>
      <c r="G1434" s="1">
        <f>IFERROR(__xludf.DUMMYFUNCTION("""COMPUTED_VALUE"""),97.0)</f>
        <v>97</v>
      </c>
      <c r="H1434" s="1">
        <f>IFERROR(__xludf.DUMMYFUNCTION("""COMPUTED_VALUE"""),68.0)</f>
        <v>68</v>
      </c>
      <c r="I1434" s="1">
        <f>IFERROR(__xludf.DUMMYFUNCTION("""COMPUTED_VALUE"""),68.0)</f>
        <v>68</v>
      </c>
      <c r="J1434" s="1">
        <f>IFERROR(__xludf.DUMMYFUNCTION("""COMPUTED_VALUE"""),53.0)</f>
        <v>53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 t="str">
        <f>IFERROR(__xludf.DUMMYFUNCTION("""COMPUTED_VALUE"""),"B")</f>
        <v>B</v>
      </c>
      <c r="E1435" s="1">
        <f>IFERROR(__xludf.DUMMYFUNCTION("""COMPUTED_VALUE"""),45.0)</f>
        <v>45</v>
      </c>
      <c r="F1435" s="1">
        <f>IFERROR(__xludf.DUMMYFUNCTION("""COMPUTED_VALUE"""),77.0)</f>
        <v>77</v>
      </c>
      <c r="G1435" s="1">
        <f>IFERROR(__xludf.DUMMYFUNCTION("""COMPUTED_VALUE"""),22.0)</f>
        <v>22</v>
      </c>
      <c r="H1435" s="1">
        <f>IFERROR(__xludf.DUMMYFUNCTION("""COMPUTED_VALUE"""),96.0)</f>
        <v>96</v>
      </c>
      <c r="I1435" s="1">
        <f>IFERROR(__xludf.DUMMYFUNCTION("""COMPUTED_VALUE"""),95.0)</f>
        <v>95</v>
      </c>
      <c r="J1435" s="1">
        <f>IFERROR(__xludf.DUMMYFUNCTION("""COMPUTED_VALUE"""),39.0)</f>
        <v>39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 t="str">
        <f>IFERROR(__xludf.DUMMYFUNCTION("""COMPUTED_VALUE"""),"B")</f>
        <v>B</v>
      </c>
      <c r="E1436" s="1">
        <f>IFERROR(__xludf.DUMMYFUNCTION("""COMPUTED_VALUE"""),16.0)</f>
        <v>16</v>
      </c>
      <c r="F1436" s="1">
        <f>IFERROR(__xludf.DUMMYFUNCTION("""COMPUTED_VALUE"""),96.0)</f>
        <v>96</v>
      </c>
      <c r="G1436" s="1">
        <f>IFERROR(__xludf.DUMMYFUNCTION("""COMPUTED_VALUE"""),35.0)</f>
        <v>35</v>
      </c>
      <c r="H1436" s="1">
        <f>IFERROR(__xludf.DUMMYFUNCTION("""COMPUTED_VALUE"""),52.0)</f>
        <v>52</v>
      </c>
      <c r="I1436" s="1">
        <f>IFERROR(__xludf.DUMMYFUNCTION("""COMPUTED_VALUE"""),79.0)</f>
        <v>79</v>
      </c>
      <c r="J1436" s="1">
        <f>IFERROR(__xludf.DUMMYFUNCTION("""COMPUTED_VALUE"""),22.0)</f>
        <v>22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 t="str">
        <f>IFERROR(__xludf.DUMMYFUNCTION("""COMPUTED_VALUE"""),"A")</f>
        <v>A</v>
      </c>
      <c r="E1437" s="1">
        <f>IFERROR(__xludf.DUMMYFUNCTION("""COMPUTED_VALUE"""),62.0)</f>
        <v>62</v>
      </c>
      <c r="F1437" s="1">
        <f>IFERROR(__xludf.DUMMYFUNCTION("""COMPUTED_VALUE"""),83.0)</f>
        <v>83</v>
      </c>
      <c r="G1437" s="1">
        <f>IFERROR(__xludf.DUMMYFUNCTION("""COMPUTED_VALUE"""),89.0)</f>
        <v>89</v>
      </c>
      <c r="H1437" s="1">
        <f>IFERROR(__xludf.DUMMYFUNCTION("""COMPUTED_VALUE"""),85.0)</f>
        <v>85</v>
      </c>
      <c r="I1437" s="1">
        <f>IFERROR(__xludf.DUMMYFUNCTION("""COMPUTED_VALUE"""),81.0)</f>
        <v>81</v>
      </c>
      <c r="J1437" s="1">
        <f>IFERROR(__xludf.DUMMYFUNCTION("""COMPUTED_VALUE"""),48.0)</f>
        <v>48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 t="str">
        <f>IFERROR(__xludf.DUMMYFUNCTION("""COMPUTED_VALUE"""),"A")</f>
        <v>A</v>
      </c>
      <c r="E1438" s="1">
        <f>IFERROR(__xludf.DUMMYFUNCTION("""COMPUTED_VALUE"""),14.0)</f>
        <v>14</v>
      </c>
      <c r="F1438" s="1">
        <f>IFERROR(__xludf.DUMMYFUNCTION("""COMPUTED_VALUE"""),51.0)</f>
        <v>51</v>
      </c>
      <c r="G1438" s="1">
        <f>IFERROR(__xludf.DUMMYFUNCTION("""COMPUTED_VALUE"""),21.0)</f>
        <v>21</v>
      </c>
      <c r="H1438" s="1">
        <f>IFERROR(__xludf.DUMMYFUNCTION("""COMPUTED_VALUE"""),52.0)</f>
        <v>52</v>
      </c>
      <c r="I1438" s="1">
        <f>IFERROR(__xludf.DUMMYFUNCTION("""COMPUTED_VALUE"""),88.0)</f>
        <v>88</v>
      </c>
      <c r="J1438" s="1">
        <f>IFERROR(__xludf.DUMMYFUNCTION("""COMPUTED_VALUE"""),62.0)</f>
        <v>62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 t="str">
        <f>IFERROR(__xludf.DUMMYFUNCTION("""COMPUTED_VALUE"""),"B")</f>
        <v>B</v>
      </c>
      <c r="E1439" s="1">
        <f>IFERROR(__xludf.DUMMYFUNCTION("""COMPUTED_VALUE"""),40.0)</f>
        <v>40</v>
      </c>
      <c r="F1439" s="1">
        <f>IFERROR(__xludf.DUMMYFUNCTION("""COMPUTED_VALUE"""),31.0)</f>
        <v>31</v>
      </c>
      <c r="G1439" s="1">
        <f>IFERROR(__xludf.DUMMYFUNCTION("""COMPUTED_VALUE"""),20.0)</f>
        <v>20</v>
      </c>
      <c r="H1439" s="1">
        <f>IFERROR(__xludf.DUMMYFUNCTION("""COMPUTED_VALUE"""),76.0)</f>
        <v>76</v>
      </c>
      <c r="I1439" s="1">
        <f>IFERROR(__xludf.DUMMYFUNCTION("""COMPUTED_VALUE"""),94.0)</f>
        <v>94</v>
      </c>
      <c r="J1439" s="1">
        <f>IFERROR(__xludf.DUMMYFUNCTION("""COMPUTED_VALUE"""),63.0)</f>
        <v>63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 t="str">
        <f>IFERROR(__xludf.DUMMYFUNCTION("""COMPUTED_VALUE"""),"D")</f>
        <v>D</v>
      </c>
      <c r="E1440" s="1">
        <f>IFERROR(__xludf.DUMMYFUNCTION("""COMPUTED_VALUE"""),19.0)</f>
        <v>19</v>
      </c>
      <c r="F1440" s="1">
        <f>IFERROR(__xludf.DUMMYFUNCTION("""COMPUTED_VALUE"""),87.0)</f>
        <v>87</v>
      </c>
      <c r="G1440" s="1">
        <f>IFERROR(__xludf.DUMMYFUNCTION("""COMPUTED_VALUE"""),37.0)</f>
        <v>37</v>
      </c>
      <c r="H1440" s="1">
        <f>IFERROR(__xludf.DUMMYFUNCTION("""COMPUTED_VALUE"""),34.0)</f>
        <v>34</v>
      </c>
      <c r="I1440" s="1">
        <f>IFERROR(__xludf.DUMMYFUNCTION("""COMPUTED_VALUE"""),61.0)</f>
        <v>61</v>
      </c>
      <c r="J1440" s="1">
        <f>IFERROR(__xludf.DUMMYFUNCTION("""COMPUTED_VALUE"""),55.0)</f>
        <v>55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 t="str">
        <f>IFERROR(__xludf.DUMMYFUNCTION("""COMPUTED_VALUE"""),"D")</f>
        <v>D</v>
      </c>
      <c r="E1441" s="1">
        <f>IFERROR(__xludf.DUMMYFUNCTION("""COMPUTED_VALUE"""),95.0)</f>
        <v>95</v>
      </c>
      <c r="F1441" s="1">
        <f>IFERROR(__xludf.DUMMYFUNCTION("""COMPUTED_VALUE"""),20.0)</f>
        <v>20</v>
      </c>
      <c r="G1441" s="1">
        <f>IFERROR(__xludf.DUMMYFUNCTION("""COMPUTED_VALUE"""),26.0)</f>
        <v>26</v>
      </c>
      <c r="H1441" s="1">
        <f>IFERROR(__xludf.DUMMYFUNCTION("""COMPUTED_VALUE"""),61.0)</f>
        <v>61</v>
      </c>
      <c r="I1441" s="1">
        <f>IFERROR(__xludf.DUMMYFUNCTION("""COMPUTED_VALUE"""),51.0)</f>
        <v>51</v>
      </c>
      <c r="J1441" s="1">
        <f>IFERROR(__xludf.DUMMYFUNCTION("""COMPUTED_VALUE"""),44.0)</f>
        <v>44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 t="str">
        <f>IFERROR(__xludf.DUMMYFUNCTION("""COMPUTED_VALUE"""),"C")</f>
        <v>C</v>
      </c>
      <c r="E1442" s="1">
        <f>IFERROR(__xludf.DUMMYFUNCTION("""COMPUTED_VALUE"""),61.0)</f>
        <v>61</v>
      </c>
      <c r="F1442" s="1">
        <f>IFERROR(__xludf.DUMMYFUNCTION("""COMPUTED_VALUE"""),94.0)</f>
        <v>94</v>
      </c>
      <c r="G1442" s="1">
        <f>IFERROR(__xludf.DUMMYFUNCTION("""COMPUTED_VALUE"""),55.0)</f>
        <v>55</v>
      </c>
      <c r="H1442" s="1">
        <f>IFERROR(__xludf.DUMMYFUNCTION("""COMPUTED_VALUE"""),87.0)</f>
        <v>87</v>
      </c>
      <c r="I1442" s="1">
        <f>IFERROR(__xludf.DUMMYFUNCTION("""COMPUTED_VALUE"""),90.0)</f>
        <v>90</v>
      </c>
      <c r="J1442" s="1">
        <f>IFERROR(__xludf.DUMMYFUNCTION("""COMPUTED_VALUE"""),92.0)</f>
        <v>92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 t="str">
        <f>IFERROR(__xludf.DUMMYFUNCTION("""COMPUTED_VALUE"""),"B")</f>
        <v>B</v>
      </c>
      <c r="E1443" s="1">
        <f>IFERROR(__xludf.DUMMYFUNCTION("""COMPUTED_VALUE"""),55.0)</f>
        <v>55</v>
      </c>
      <c r="F1443" s="1">
        <f>IFERROR(__xludf.DUMMYFUNCTION("""COMPUTED_VALUE"""),26.0)</f>
        <v>26</v>
      </c>
      <c r="G1443" s="1">
        <f>IFERROR(__xludf.DUMMYFUNCTION("""COMPUTED_VALUE"""),90.0)</f>
        <v>90</v>
      </c>
      <c r="H1443" s="1">
        <f>IFERROR(__xludf.DUMMYFUNCTION("""COMPUTED_VALUE"""),26.0)</f>
        <v>26</v>
      </c>
      <c r="I1443" s="1">
        <f>IFERROR(__xludf.DUMMYFUNCTION("""COMPUTED_VALUE"""),90.0)</f>
        <v>90</v>
      </c>
      <c r="J1443" s="1">
        <f>IFERROR(__xludf.DUMMYFUNCTION("""COMPUTED_VALUE"""),63.0)</f>
        <v>63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 t="str">
        <f>IFERROR(__xludf.DUMMYFUNCTION("""COMPUTED_VALUE"""),"B")</f>
        <v>B</v>
      </c>
      <c r="E1444" s="1">
        <f>IFERROR(__xludf.DUMMYFUNCTION("""COMPUTED_VALUE"""),60.0)</f>
        <v>60</v>
      </c>
      <c r="F1444" s="1">
        <f>IFERROR(__xludf.DUMMYFUNCTION("""COMPUTED_VALUE"""),57.0)</f>
        <v>57</v>
      </c>
      <c r="G1444" s="1">
        <f>IFERROR(__xludf.DUMMYFUNCTION("""COMPUTED_VALUE"""),96.0)</f>
        <v>96</v>
      </c>
      <c r="H1444" s="1">
        <f>IFERROR(__xludf.DUMMYFUNCTION("""COMPUTED_VALUE"""),80.0)</f>
        <v>80</v>
      </c>
      <c r="I1444" s="1">
        <f>IFERROR(__xludf.DUMMYFUNCTION("""COMPUTED_VALUE"""),49.0)</f>
        <v>49</v>
      </c>
      <c r="J1444" s="1">
        <f>IFERROR(__xludf.DUMMYFUNCTION("""COMPUTED_VALUE"""),36.0)</f>
        <v>36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 t="str">
        <f>IFERROR(__xludf.DUMMYFUNCTION("""COMPUTED_VALUE"""),"A")</f>
        <v>A</v>
      </c>
      <c r="E1445" s="1">
        <f>IFERROR(__xludf.DUMMYFUNCTION("""COMPUTED_VALUE"""),54.0)</f>
        <v>54</v>
      </c>
      <c r="F1445" s="1">
        <f>IFERROR(__xludf.DUMMYFUNCTION("""COMPUTED_VALUE"""),90.0)</f>
        <v>90</v>
      </c>
      <c r="G1445" s="1">
        <f>IFERROR(__xludf.DUMMYFUNCTION("""COMPUTED_VALUE"""),26.0)</f>
        <v>26</v>
      </c>
      <c r="H1445" s="1">
        <f>IFERROR(__xludf.DUMMYFUNCTION("""COMPUTED_VALUE"""),40.0)</f>
        <v>40</v>
      </c>
      <c r="I1445" s="1">
        <f>IFERROR(__xludf.DUMMYFUNCTION("""COMPUTED_VALUE"""),22.0)</f>
        <v>22</v>
      </c>
      <c r="J1445" s="1">
        <f>IFERROR(__xludf.DUMMYFUNCTION("""COMPUTED_VALUE"""),95.0)</f>
        <v>95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 t="str">
        <f>IFERROR(__xludf.DUMMYFUNCTION("""COMPUTED_VALUE"""),"C")</f>
        <v>C</v>
      </c>
      <c r="E1446" s="1">
        <f>IFERROR(__xludf.DUMMYFUNCTION("""COMPUTED_VALUE"""),91.0)</f>
        <v>91</v>
      </c>
      <c r="F1446" s="1">
        <f>IFERROR(__xludf.DUMMYFUNCTION("""COMPUTED_VALUE"""),59.0)</f>
        <v>59</v>
      </c>
      <c r="G1446" s="1">
        <f>IFERROR(__xludf.DUMMYFUNCTION("""COMPUTED_VALUE"""),36.0)</f>
        <v>36</v>
      </c>
      <c r="H1446" s="1">
        <f>IFERROR(__xludf.DUMMYFUNCTION("""COMPUTED_VALUE"""),93.0)</f>
        <v>93</v>
      </c>
      <c r="I1446" s="1">
        <f>IFERROR(__xludf.DUMMYFUNCTION("""COMPUTED_VALUE"""),64.0)</f>
        <v>64</v>
      </c>
      <c r="J1446" s="1">
        <f>IFERROR(__xludf.DUMMYFUNCTION("""COMPUTED_VALUE"""),73.0)</f>
        <v>73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 t="str">
        <f>IFERROR(__xludf.DUMMYFUNCTION("""COMPUTED_VALUE"""),"A")</f>
        <v>A</v>
      </c>
      <c r="E1447" s="1">
        <f>IFERROR(__xludf.DUMMYFUNCTION("""COMPUTED_VALUE"""),41.0)</f>
        <v>41</v>
      </c>
      <c r="F1447" s="1">
        <f>IFERROR(__xludf.DUMMYFUNCTION("""COMPUTED_VALUE"""),35.0)</f>
        <v>35</v>
      </c>
      <c r="G1447" s="1">
        <f>IFERROR(__xludf.DUMMYFUNCTION("""COMPUTED_VALUE"""),68.0)</f>
        <v>68</v>
      </c>
      <c r="H1447" s="1">
        <f>IFERROR(__xludf.DUMMYFUNCTION("""COMPUTED_VALUE"""),61.0)</f>
        <v>61</v>
      </c>
      <c r="I1447" s="1">
        <f>IFERROR(__xludf.DUMMYFUNCTION("""COMPUTED_VALUE"""),79.0)</f>
        <v>79</v>
      </c>
      <c r="J1447" s="1">
        <f>IFERROR(__xludf.DUMMYFUNCTION("""COMPUTED_VALUE"""),22.0)</f>
        <v>22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 t="str">
        <f>IFERROR(__xludf.DUMMYFUNCTION("""COMPUTED_VALUE"""),"D")</f>
        <v>D</v>
      </c>
      <c r="E1448" s="1">
        <f>IFERROR(__xludf.DUMMYFUNCTION("""COMPUTED_VALUE"""),74.0)</f>
        <v>74</v>
      </c>
      <c r="F1448" s="1">
        <f>IFERROR(__xludf.DUMMYFUNCTION("""COMPUTED_VALUE"""),28.0)</f>
        <v>28</v>
      </c>
      <c r="G1448" s="1">
        <f>IFERROR(__xludf.DUMMYFUNCTION("""COMPUTED_VALUE"""),25.0)</f>
        <v>25</v>
      </c>
      <c r="H1448" s="1">
        <f>IFERROR(__xludf.DUMMYFUNCTION("""COMPUTED_VALUE"""),81.0)</f>
        <v>81</v>
      </c>
      <c r="I1448" s="1">
        <f>IFERROR(__xludf.DUMMYFUNCTION("""COMPUTED_VALUE"""),54.0)</f>
        <v>54</v>
      </c>
      <c r="J1448" s="1">
        <f>IFERROR(__xludf.DUMMYFUNCTION("""COMPUTED_VALUE"""),87.0)</f>
        <v>87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 t="str">
        <f>IFERROR(__xludf.DUMMYFUNCTION("""COMPUTED_VALUE"""),"C")</f>
        <v>C</v>
      </c>
      <c r="E1449" s="1">
        <f>IFERROR(__xludf.DUMMYFUNCTION("""COMPUTED_VALUE"""),30.0)</f>
        <v>30</v>
      </c>
      <c r="F1449" s="1">
        <f>IFERROR(__xludf.DUMMYFUNCTION("""COMPUTED_VALUE"""),92.0)</f>
        <v>92</v>
      </c>
      <c r="G1449" s="1">
        <f>IFERROR(__xludf.DUMMYFUNCTION("""COMPUTED_VALUE"""),99.0)</f>
        <v>99</v>
      </c>
      <c r="H1449" s="1">
        <f>IFERROR(__xludf.DUMMYFUNCTION("""COMPUTED_VALUE"""),83.0)</f>
        <v>83</v>
      </c>
      <c r="I1449" s="1">
        <f>IFERROR(__xludf.DUMMYFUNCTION("""COMPUTED_VALUE"""),66.0)</f>
        <v>66</v>
      </c>
      <c r="J1449" s="1">
        <f>IFERROR(__xludf.DUMMYFUNCTION("""COMPUTED_VALUE"""),83.0)</f>
        <v>83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 t="str">
        <f>IFERROR(__xludf.DUMMYFUNCTION("""COMPUTED_VALUE"""),"B")</f>
        <v>B</v>
      </c>
      <c r="E1450" s="1">
        <f>IFERROR(__xludf.DUMMYFUNCTION("""COMPUTED_VALUE"""),97.0)</f>
        <v>97</v>
      </c>
      <c r="F1450" s="1">
        <f>IFERROR(__xludf.DUMMYFUNCTION("""COMPUTED_VALUE"""),35.0)</f>
        <v>35</v>
      </c>
      <c r="G1450" s="1">
        <f>IFERROR(__xludf.DUMMYFUNCTION("""COMPUTED_VALUE"""),78.0)</f>
        <v>78</v>
      </c>
      <c r="H1450" s="1">
        <f>IFERROR(__xludf.DUMMYFUNCTION("""COMPUTED_VALUE"""),99.0)</f>
        <v>99</v>
      </c>
      <c r="I1450" s="1">
        <f>IFERROR(__xludf.DUMMYFUNCTION("""COMPUTED_VALUE"""),38.0)</f>
        <v>38</v>
      </c>
      <c r="J1450" s="1">
        <f>IFERROR(__xludf.DUMMYFUNCTION("""COMPUTED_VALUE"""),26.0)</f>
        <v>26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 t="str">
        <f>IFERROR(__xludf.DUMMYFUNCTION("""COMPUTED_VALUE"""),"D")</f>
        <v>D</v>
      </c>
      <c r="E1451" s="1">
        <f>IFERROR(__xludf.DUMMYFUNCTION("""COMPUTED_VALUE"""),80.0)</f>
        <v>80</v>
      </c>
      <c r="F1451" s="1">
        <f>IFERROR(__xludf.DUMMYFUNCTION("""COMPUTED_VALUE"""),48.0)</f>
        <v>48</v>
      </c>
      <c r="G1451" s="1">
        <f>IFERROR(__xludf.DUMMYFUNCTION("""COMPUTED_VALUE"""),28.0)</f>
        <v>28</v>
      </c>
      <c r="H1451" s="1">
        <f>IFERROR(__xludf.DUMMYFUNCTION("""COMPUTED_VALUE"""),77.0)</f>
        <v>77</v>
      </c>
      <c r="I1451" s="1">
        <f>IFERROR(__xludf.DUMMYFUNCTION("""COMPUTED_VALUE"""),60.0)</f>
        <v>60</v>
      </c>
      <c r="J1451" s="1">
        <f>IFERROR(__xludf.DUMMYFUNCTION("""COMPUTED_VALUE"""),83.0)</f>
        <v>83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 t="str">
        <f>IFERROR(__xludf.DUMMYFUNCTION("""COMPUTED_VALUE"""),"A")</f>
        <v>A</v>
      </c>
      <c r="E1452" s="1">
        <f>IFERROR(__xludf.DUMMYFUNCTION("""COMPUTED_VALUE"""),28.0)</f>
        <v>28</v>
      </c>
      <c r="F1452" s="1">
        <f>IFERROR(__xludf.DUMMYFUNCTION("""COMPUTED_VALUE"""),21.0)</f>
        <v>21</v>
      </c>
      <c r="G1452" s="1">
        <f>IFERROR(__xludf.DUMMYFUNCTION("""COMPUTED_VALUE"""),54.0)</f>
        <v>54</v>
      </c>
      <c r="H1452" s="1">
        <f>IFERROR(__xludf.DUMMYFUNCTION("""COMPUTED_VALUE"""),61.0)</f>
        <v>61</v>
      </c>
      <c r="I1452" s="1">
        <f>IFERROR(__xludf.DUMMYFUNCTION("""COMPUTED_VALUE"""),34.0)</f>
        <v>34</v>
      </c>
      <c r="J1452" s="1">
        <f>IFERROR(__xludf.DUMMYFUNCTION("""COMPUTED_VALUE"""),68.0)</f>
        <v>68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 t="str">
        <f>IFERROR(__xludf.DUMMYFUNCTION("""COMPUTED_VALUE"""),"C")</f>
        <v>C</v>
      </c>
      <c r="E1453" s="1">
        <f>IFERROR(__xludf.DUMMYFUNCTION("""COMPUTED_VALUE"""),68.0)</f>
        <v>68</v>
      </c>
      <c r="F1453" s="1">
        <f>IFERROR(__xludf.DUMMYFUNCTION("""COMPUTED_VALUE"""),29.0)</f>
        <v>29</v>
      </c>
      <c r="G1453" s="1">
        <f>IFERROR(__xludf.DUMMYFUNCTION("""COMPUTED_VALUE"""),36.0)</f>
        <v>36</v>
      </c>
      <c r="H1453" s="1">
        <f>IFERROR(__xludf.DUMMYFUNCTION("""COMPUTED_VALUE"""),30.0)</f>
        <v>30</v>
      </c>
      <c r="I1453" s="1">
        <f>IFERROR(__xludf.DUMMYFUNCTION("""COMPUTED_VALUE"""),34.0)</f>
        <v>34</v>
      </c>
      <c r="J1453" s="1">
        <f>IFERROR(__xludf.DUMMYFUNCTION("""COMPUTED_VALUE"""),91.0)</f>
        <v>91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 t="str">
        <f>IFERROR(__xludf.DUMMYFUNCTION("""COMPUTED_VALUE"""),"A")</f>
        <v>A</v>
      </c>
      <c r="E1454" s="1">
        <f>IFERROR(__xludf.DUMMYFUNCTION("""COMPUTED_VALUE"""),40.0)</f>
        <v>40</v>
      </c>
      <c r="F1454" s="1">
        <f>IFERROR(__xludf.DUMMYFUNCTION("""COMPUTED_VALUE"""),96.0)</f>
        <v>96</v>
      </c>
      <c r="G1454" s="1">
        <f>IFERROR(__xludf.DUMMYFUNCTION("""COMPUTED_VALUE"""),80.0)</f>
        <v>80</v>
      </c>
      <c r="H1454" s="1">
        <f>IFERROR(__xludf.DUMMYFUNCTION("""COMPUTED_VALUE"""),20.0)</f>
        <v>20</v>
      </c>
      <c r="I1454" s="1">
        <f>IFERROR(__xludf.DUMMYFUNCTION("""COMPUTED_VALUE"""),91.0)</f>
        <v>91</v>
      </c>
      <c r="J1454" s="1">
        <f>IFERROR(__xludf.DUMMYFUNCTION("""COMPUTED_VALUE"""),50.0)</f>
        <v>50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 t="str">
        <f>IFERROR(__xludf.DUMMYFUNCTION("""COMPUTED_VALUE"""),"D")</f>
        <v>D</v>
      </c>
      <c r="E1455" s="1">
        <f>IFERROR(__xludf.DUMMYFUNCTION("""COMPUTED_VALUE"""),94.0)</f>
        <v>94</v>
      </c>
      <c r="F1455" s="1">
        <f>IFERROR(__xludf.DUMMYFUNCTION("""COMPUTED_VALUE"""),67.0)</f>
        <v>67</v>
      </c>
      <c r="G1455" s="1">
        <f>IFERROR(__xludf.DUMMYFUNCTION("""COMPUTED_VALUE"""),87.0)</f>
        <v>87</v>
      </c>
      <c r="H1455" s="1">
        <f>IFERROR(__xludf.DUMMYFUNCTION("""COMPUTED_VALUE"""),85.0)</f>
        <v>85</v>
      </c>
      <c r="I1455" s="1">
        <f>IFERROR(__xludf.DUMMYFUNCTION("""COMPUTED_VALUE"""),71.0)</f>
        <v>71</v>
      </c>
      <c r="J1455" s="1">
        <f>IFERROR(__xludf.DUMMYFUNCTION("""COMPUTED_VALUE"""),40.0)</f>
        <v>40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 t="str">
        <f>IFERROR(__xludf.DUMMYFUNCTION("""COMPUTED_VALUE"""),"A")</f>
        <v>A</v>
      </c>
      <c r="E1456" s="1">
        <f>IFERROR(__xludf.DUMMYFUNCTION("""COMPUTED_VALUE"""),69.0)</f>
        <v>69</v>
      </c>
      <c r="F1456" s="1">
        <f>IFERROR(__xludf.DUMMYFUNCTION("""COMPUTED_VALUE"""),51.0)</f>
        <v>51</v>
      </c>
      <c r="G1456" s="1">
        <f>IFERROR(__xludf.DUMMYFUNCTION("""COMPUTED_VALUE"""),76.0)</f>
        <v>76</v>
      </c>
      <c r="H1456" s="1">
        <f>IFERROR(__xludf.DUMMYFUNCTION("""COMPUTED_VALUE"""),35.0)</f>
        <v>35</v>
      </c>
      <c r="I1456" s="1">
        <f>IFERROR(__xludf.DUMMYFUNCTION("""COMPUTED_VALUE"""),37.0)</f>
        <v>37</v>
      </c>
      <c r="J1456" s="1">
        <f>IFERROR(__xludf.DUMMYFUNCTION("""COMPUTED_VALUE"""),45.0)</f>
        <v>45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 t="str">
        <f>IFERROR(__xludf.DUMMYFUNCTION("""COMPUTED_VALUE"""),"A")</f>
        <v>A</v>
      </c>
      <c r="E1457" s="1">
        <f>IFERROR(__xludf.DUMMYFUNCTION("""COMPUTED_VALUE"""),32.0)</f>
        <v>32</v>
      </c>
      <c r="F1457" s="1">
        <f>IFERROR(__xludf.DUMMYFUNCTION("""COMPUTED_VALUE"""),75.0)</f>
        <v>75</v>
      </c>
      <c r="G1457" s="1">
        <f>IFERROR(__xludf.DUMMYFUNCTION("""COMPUTED_VALUE"""),93.0)</f>
        <v>93</v>
      </c>
      <c r="H1457" s="1">
        <f>IFERROR(__xludf.DUMMYFUNCTION("""COMPUTED_VALUE"""),24.0)</f>
        <v>24</v>
      </c>
      <c r="I1457" s="1">
        <f>IFERROR(__xludf.DUMMYFUNCTION("""COMPUTED_VALUE"""),76.0)</f>
        <v>76</v>
      </c>
      <c r="J1457" s="1">
        <f>IFERROR(__xludf.DUMMYFUNCTION("""COMPUTED_VALUE"""),72.0)</f>
        <v>72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 t="str">
        <f>IFERROR(__xludf.DUMMYFUNCTION("""COMPUTED_VALUE"""),"C")</f>
        <v>C</v>
      </c>
      <c r="E1458" s="1">
        <f>IFERROR(__xludf.DUMMYFUNCTION("""COMPUTED_VALUE"""),76.0)</f>
        <v>76</v>
      </c>
      <c r="F1458" s="1">
        <f>IFERROR(__xludf.DUMMYFUNCTION("""COMPUTED_VALUE"""),60.0)</f>
        <v>60</v>
      </c>
      <c r="G1458" s="1">
        <f>IFERROR(__xludf.DUMMYFUNCTION("""COMPUTED_VALUE"""),25.0)</f>
        <v>25</v>
      </c>
      <c r="H1458" s="1">
        <f>IFERROR(__xludf.DUMMYFUNCTION("""COMPUTED_VALUE"""),22.0)</f>
        <v>22</v>
      </c>
      <c r="I1458" s="1">
        <f>IFERROR(__xludf.DUMMYFUNCTION("""COMPUTED_VALUE"""),51.0)</f>
        <v>51</v>
      </c>
      <c r="J1458" s="1">
        <f>IFERROR(__xludf.DUMMYFUNCTION("""COMPUTED_VALUE"""),37.0)</f>
        <v>37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 t="str">
        <f>IFERROR(__xludf.DUMMYFUNCTION("""COMPUTED_VALUE"""),"A")</f>
        <v>A</v>
      </c>
      <c r="E1459" s="1">
        <f>IFERROR(__xludf.DUMMYFUNCTION("""COMPUTED_VALUE"""),52.0)</f>
        <v>52</v>
      </c>
      <c r="F1459" s="1">
        <f>IFERROR(__xludf.DUMMYFUNCTION("""COMPUTED_VALUE"""),70.0)</f>
        <v>70</v>
      </c>
      <c r="G1459" s="1">
        <f>IFERROR(__xludf.DUMMYFUNCTION("""COMPUTED_VALUE"""),84.0)</f>
        <v>84</v>
      </c>
      <c r="H1459" s="1">
        <f>IFERROR(__xludf.DUMMYFUNCTION("""COMPUTED_VALUE"""),90.0)</f>
        <v>90</v>
      </c>
      <c r="I1459" s="1">
        <f>IFERROR(__xludf.DUMMYFUNCTION("""COMPUTED_VALUE"""),35.0)</f>
        <v>35</v>
      </c>
      <c r="J1459" s="1">
        <f>IFERROR(__xludf.DUMMYFUNCTION("""COMPUTED_VALUE"""),80.0)</f>
        <v>80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 t="str">
        <f>IFERROR(__xludf.DUMMYFUNCTION("""COMPUTED_VALUE"""),"B")</f>
        <v>B</v>
      </c>
      <c r="E1460" s="1">
        <f>IFERROR(__xludf.DUMMYFUNCTION("""COMPUTED_VALUE"""),87.0)</f>
        <v>87</v>
      </c>
      <c r="F1460" s="1">
        <f>IFERROR(__xludf.DUMMYFUNCTION("""COMPUTED_VALUE"""),74.0)</f>
        <v>74</v>
      </c>
      <c r="G1460" s="1">
        <f>IFERROR(__xludf.DUMMYFUNCTION("""COMPUTED_VALUE"""),76.0)</f>
        <v>76</v>
      </c>
      <c r="H1460" s="1">
        <f>IFERROR(__xludf.DUMMYFUNCTION("""COMPUTED_VALUE"""),52.0)</f>
        <v>52</v>
      </c>
      <c r="I1460" s="1">
        <f>IFERROR(__xludf.DUMMYFUNCTION("""COMPUTED_VALUE"""),25.0)</f>
        <v>25</v>
      </c>
      <c r="J1460" s="1">
        <f>IFERROR(__xludf.DUMMYFUNCTION("""COMPUTED_VALUE"""),92.0)</f>
        <v>92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 t="str">
        <f>IFERROR(__xludf.DUMMYFUNCTION("""COMPUTED_VALUE"""),"D")</f>
        <v>D</v>
      </c>
      <c r="E1461" s="1">
        <f>IFERROR(__xludf.DUMMYFUNCTION("""COMPUTED_VALUE"""),99.0)</f>
        <v>99</v>
      </c>
      <c r="F1461" s="1">
        <f>IFERROR(__xludf.DUMMYFUNCTION("""COMPUTED_VALUE"""),63.0)</f>
        <v>63</v>
      </c>
      <c r="G1461" s="1">
        <f>IFERROR(__xludf.DUMMYFUNCTION("""COMPUTED_VALUE"""),57.0)</f>
        <v>57</v>
      </c>
      <c r="H1461" s="1">
        <f>IFERROR(__xludf.DUMMYFUNCTION("""COMPUTED_VALUE"""),61.0)</f>
        <v>61</v>
      </c>
      <c r="I1461" s="1">
        <f>IFERROR(__xludf.DUMMYFUNCTION("""COMPUTED_VALUE"""),93.0)</f>
        <v>93</v>
      </c>
      <c r="J1461" s="1">
        <f>IFERROR(__xludf.DUMMYFUNCTION("""COMPUTED_VALUE"""),53.0)</f>
        <v>53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 t="str">
        <f>IFERROR(__xludf.DUMMYFUNCTION("""COMPUTED_VALUE"""),"A")</f>
        <v>A</v>
      </c>
      <c r="E1462" s="1">
        <f>IFERROR(__xludf.DUMMYFUNCTION("""COMPUTED_VALUE"""),22.0)</f>
        <v>22</v>
      </c>
      <c r="F1462" s="1">
        <f>IFERROR(__xludf.DUMMYFUNCTION("""COMPUTED_VALUE"""),50.0)</f>
        <v>50</v>
      </c>
      <c r="G1462" s="1">
        <f>IFERROR(__xludf.DUMMYFUNCTION("""COMPUTED_VALUE"""),39.0)</f>
        <v>39</v>
      </c>
      <c r="H1462" s="1">
        <f>IFERROR(__xludf.DUMMYFUNCTION("""COMPUTED_VALUE"""),65.0)</f>
        <v>65</v>
      </c>
      <c r="I1462" s="1">
        <f>IFERROR(__xludf.DUMMYFUNCTION("""COMPUTED_VALUE"""),36.0)</f>
        <v>36</v>
      </c>
      <c r="J1462" s="1">
        <f>IFERROR(__xludf.DUMMYFUNCTION("""COMPUTED_VALUE"""),86.0)</f>
        <v>86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 t="str">
        <f>IFERROR(__xludf.DUMMYFUNCTION("""COMPUTED_VALUE"""),"B")</f>
        <v>B</v>
      </c>
      <c r="E1463" s="1">
        <f>IFERROR(__xludf.DUMMYFUNCTION("""COMPUTED_VALUE"""),55.0)</f>
        <v>55</v>
      </c>
      <c r="F1463" s="1">
        <f>IFERROR(__xludf.DUMMYFUNCTION("""COMPUTED_VALUE"""),24.0)</f>
        <v>24</v>
      </c>
      <c r="G1463" s="1">
        <f>IFERROR(__xludf.DUMMYFUNCTION("""COMPUTED_VALUE"""),62.0)</f>
        <v>62</v>
      </c>
      <c r="H1463" s="1">
        <f>IFERROR(__xludf.DUMMYFUNCTION("""COMPUTED_VALUE"""),25.0)</f>
        <v>25</v>
      </c>
      <c r="I1463" s="1">
        <f>IFERROR(__xludf.DUMMYFUNCTION("""COMPUTED_VALUE"""),79.0)</f>
        <v>79</v>
      </c>
      <c r="J1463" s="1">
        <f>IFERROR(__xludf.DUMMYFUNCTION("""COMPUTED_VALUE"""),74.0)</f>
        <v>74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 t="str">
        <f>IFERROR(__xludf.DUMMYFUNCTION("""COMPUTED_VALUE"""),"B")</f>
        <v>B</v>
      </c>
      <c r="E1464" s="1">
        <f>IFERROR(__xludf.DUMMYFUNCTION("""COMPUTED_VALUE"""),72.0)</f>
        <v>72</v>
      </c>
      <c r="F1464" s="1">
        <f>IFERROR(__xludf.DUMMYFUNCTION("""COMPUTED_VALUE"""),21.0)</f>
        <v>21</v>
      </c>
      <c r="G1464" s="1">
        <f>IFERROR(__xludf.DUMMYFUNCTION("""COMPUTED_VALUE"""),45.0)</f>
        <v>45</v>
      </c>
      <c r="H1464" s="1">
        <f>IFERROR(__xludf.DUMMYFUNCTION("""COMPUTED_VALUE"""),80.0)</f>
        <v>80</v>
      </c>
      <c r="I1464" s="1">
        <f>IFERROR(__xludf.DUMMYFUNCTION("""COMPUTED_VALUE"""),64.0)</f>
        <v>64</v>
      </c>
      <c r="J1464" s="1">
        <f>IFERROR(__xludf.DUMMYFUNCTION("""COMPUTED_VALUE"""),89.0)</f>
        <v>89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 t="str">
        <f>IFERROR(__xludf.DUMMYFUNCTION("""COMPUTED_VALUE"""),"C")</f>
        <v>C</v>
      </c>
      <c r="E1465" s="1">
        <f>IFERROR(__xludf.DUMMYFUNCTION("""COMPUTED_VALUE"""),81.0)</f>
        <v>81</v>
      </c>
      <c r="F1465" s="1">
        <f>IFERROR(__xludf.DUMMYFUNCTION("""COMPUTED_VALUE"""),32.0)</f>
        <v>32</v>
      </c>
      <c r="G1465" s="1">
        <f>IFERROR(__xludf.DUMMYFUNCTION("""COMPUTED_VALUE"""),84.0)</f>
        <v>84</v>
      </c>
      <c r="H1465" s="1">
        <f>IFERROR(__xludf.DUMMYFUNCTION("""COMPUTED_VALUE"""),27.0)</f>
        <v>27</v>
      </c>
      <c r="I1465" s="1">
        <f>IFERROR(__xludf.DUMMYFUNCTION("""COMPUTED_VALUE"""),44.0)</f>
        <v>44</v>
      </c>
      <c r="J1465" s="1">
        <f>IFERROR(__xludf.DUMMYFUNCTION("""COMPUTED_VALUE"""),99.0)</f>
        <v>99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 t="str">
        <f>IFERROR(__xludf.DUMMYFUNCTION("""COMPUTED_VALUE"""),"A")</f>
        <v>A</v>
      </c>
      <c r="E1466" s="1">
        <f>IFERROR(__xludf.DUMMYFUNCTION("""COMPUTED_VALUE"""),48.0)</f>
        <v>48</v>
      </c>
      <c r="F1466" s="1">
        <f>IFERROR(__xludf.DUMMYFUNCTION("""COMPUTED_VALUE"""),46.0)</f>
        <v>46</v>
      </c>
      <c r="G1466" s="1">
        <f>IFERROR(__xludf.DUMMYFUNCTION("""COMPUTED_VALUE"""),30.0)</f>
        <v>30</v>
      </c>
      <c r="H1466" s="1">
        <f>IFERROR(__xludf.DUMMYFUNCTION("""COMPUTED_VALUE"""),96.0)</f>
        <v>96</v>
      </c>
      <c r="I1466" s="1">
        <f>IFERROR(__xludf.DUMMYFUNCTION("""COMPUTED_VALUE"""),55.0)</f>
        <v>55</v>
      </c>
      <c r="J1466" s="1">
        <f>IFERROR(__xludf.DUMMYFUNCTION("""COMPUTED_VALUE"""),84.0)</f>
        <v>84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 t="str">
        <f>IFERROR(__xludf.DUMMYFUNCTION("""COMPUTED_VALUE"""),"B")</f>
        <v>B</v>
      </c>
      <c r="E1467" s="1">
        <f>IFERROR(__xludf.DUMMYFUNCTION("""COMPUTED_VALUE"""),52.0)</f>
        <v>52</v>
      </c>
      <c r="F1467" s="1">
        <f>IFERROR(__xludf.DUMMYFUNCTION("""COMPUTED_VALUE"""),97.0)</f>
        <v>97</v>
      </c>
      <c r="G1467" s="1">
        <f>IFERROR(__xludf.DUMMYFUNCTION("""COMPUTED_VALUE"""),61.0)</f>
        <v>61</v>
      </c>
      <c r="H1467" s="1">
        <f>IFERROR(__xludf.DUMMYFUNCTION("""COMPUTED_VALUE"""),68.0)</f>
        <v>68</v>
      </c>
      <c r="I1467" s="1">
        <f>IFERROR(__xludf.DUMMYFUNCTION("""COMPUTED_VALUE"""),93.0)</f>
        <v>93</v>
      </c>
      <c r="J1467" s="1">
        <f>IFERROR(__xludf.DUMMYFUNCTION("""COMPUTED_VALUE"""),97.0)</f>
        <v>97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 t="str">
        <f>IFERROR(__xludf.DUMMYFUNCTION("""COMPUTED_VALUE"""),"D")</f>
        <v>D</v>
      </c>
      <c r="E1468" s="1">
        <f>IFERROR(__xludf.DUMMYFUNCTION("""COMPUTED_VALUE"""),75.0)</f>
        <v>75</v>
      </c>
      <c r="F1468" s="1">
        <f>IFERROR(__xludf.DUMMYFUNCTION("""COMPUTED_VALUE"""),76.0)</f>
        <v>76</v>
      </c>
      <c r="G1468" s="1">
        <f>IFERROR(__xludf.DUMMYFUNCTION("""COMPUTED_VALUE"""),73.0)</f>
        <v>73</v>
      </c>
      <c r="H1468" s="1">
        <f>IFERROR(__xludf.DUMMYFUNCTION("""COMPUTED_VALUE"""),57.0)</f>
        <v>57</v>
      </c>
      <c r="I1468" s="1">
        <f>IFERROR(__xludf.DUMMYFUNCTION("""COMPUTED_VALUE"""),53.0)</f>
        <v>53</v>
      </c>
      <c r="J1468" s="1">
        <f>IFERROR(__xludf.DUMMYFUNCTION("""COMPUTED_VALUE"""),46.0)</f>
        <v>46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 t="str">
        <f>IFERROR(__xludf.DUMMYFUNCTION("""COMPUTED_VALUE"""),"D")</f>
        <v>D</v>
      </c>
      <c r="E1469" s="1">
        <f>IFERROR(__xludf.DUMMYFUNCTION("""COMPUTED_VALUE"""),85.0)</f>
        <v>85</v>
      </c>
      <c r="F1469" s="1">
        <f>IFERROR(__xludf.DUMMYFUNCTION("""COMPUTED_VALUE"""),29.0)</f>
        <v>29</v>
      </c>
      <c r="G1469" s="1">
        <f>IFERROR(__xludf.DUMMYFUNCTION("""COMPUTED_VALUE"""),57.0)</f>
        <v>57</v>
      </c>
      <c r="H1469" s="1">
        <f>IFERROR(__xludf.DUMMYFUNCTION("""COMPUTED_VALUE"""),38.0)</f>
        <v>38</v>
      </c>
      <c r="I1469" s="1">
        <f>IFERROR(__xludf.DUMMYFUNCTION("""COMPUTED_VALUE"""),53.0)</f>
        <v>53</v>
      </c>
      <c r="J1469" s="1">
        <f>IFERROR(__xludf.DUMMYFUNCTION("""COMPUTED_VALUE"""),75.0)</f>
        <v>75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 t="str">
        <f>IFERROR(__xludf.DUMMYFUNCTION("""COMPUTED_VALUE"""),"A")</f>
        <v>A</v>
      </c>
      <c r="E1470" s="1">
        <f>IFERROR(__xludf.DUMMYFUNCTION("""COMPUTED_VALUE"""),68.0)</f>
        <v>68</v>
      </c>
      <c r="F1470" s="1">
        <f>IFERROR(__xludf.DUMMYFUNCTION("""COMPUTED_VALUE"""),35.0)</f>
        <v>35</v>
      </c>
      <c r="G1470" s="1">
        <f>IFERROR(__xludf.DUMMYFUNCTION("""COMPUTED_VALUE"""),56.0)</f>
        <v>56</v>
      </c>
      <c r="H1470" s="1">
        <f>IFERROR(__xludf.DUMMYFUNCTION("""COMPUTED_VALUE"""),38.0)</f>
        <v>38</v>
      </c>
      <c r="I1470" s="1">
        <f>IFERROR(__xludf.DUMMYFUNCTION("""COMPUTED_VALUE"""),66.0)</f>
        <v>66</v>
      </c>
      <c r="J1470" s="1">
        <f>IFERROR(__xludf.DUMMYFUNCTION("""COMPUTED_VALUE"""),30.0)</f>
        <v>30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 t="str">
        <f>IFERROR(__xludf.DUMMYFUNCTION("""COMPUTED_VALUE"""),"B")</f>
        <v>B</v>
      </c>
      <c r="E1471" s="1">
        <f>IFERROR(__xludf.DUMMYFUNCTION("""COMPUTED_VALUE"""),73.0)</f>
        <v>73</v>
      </c>
      <c r="F1471" s="1">
        <f>IFERROR(__xludf.DUMMYFUNCTION("""COMPUTED_VALUE"""),45.0)</f>
        <v>45</v>
      </c>
      <c r="G1471" s="1">
        <f>IFERROR(__xludf.DUMMYFUNCTION("""COMPUTED_VALUE"""),45.0)</f>
        <v>45</v>
      </c>
      <c r="H1471" s="1">
        <f>IFERROR(__xludf.DUMMYFUNCTION("""COMPUTED_VALUE"""),34.0)</f>
        <v>34</v>
      </c>
      <c r="I1471" s="1">
        <f>IFERROR(__xludf.DUMMYFUNCTION("""COMPUTED_VALUE"""),21.0)</f>
        <v>21</v>
      </c>
      <c r="J1471" s="1">
        <f>IFERROR(__xludf.DUMMYFUNCTION("""COMPUTED_VALUE"""),66.0)</f>
        <v>66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 t="str">
        <f>IFERROR(__xludf.DUMMYFUNCTION("""COMPUTED_VALUE"""),"C")</f>
        <v>C</v>
      </c>
      <c r="E1472" s="1">
        <f>IFERROR(__xludf.DUMMYFUNCTION("""COMPUTED_VALUE"""),23.0)</f>
        <v>23</v>
      </c>
      <c r="F1472" s="1">
        <f>IFERROR(__xludf.DUMMYFUNCTION("""COMPUTED_VALUE"""),56.0)</f>
        <v>56</v>
      </c>
      <c r="G1472" s="1">
        <f>IFERROR(__xludf.DUMMYFUNCTION("""COMPUTED_VALUE"""),22.0)</f>
        <v>22</v>
      </c>
      <c r="H1472" s="1">
        <f>IFERROR(__xludf.DUMMYFUNCTION("""COMPUTED_VALUE"""),83.0)</f>
        <v>83</v>
      </c>
      <c r="I1472" s="1">
        <f>IFERROR(__xludf.DUMMYFUNCTION("""COMPUTED_VALUE"""),73.0)</f>
        <v>73</v>
      </c>
      <c r="J1472" s="1">
        <f>IFERROR(__xludf.DUMMYFUNCTION("""COMPUTED_VALUE"""),95.0)</f>
        <v>95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 t="str">
        <f>IFERROR(__xludf.DUMMYFUNCTION("""COMPUTED_VALUE"""),"A")</f>
        <v>A</v>
      </c>
      <c r="E1473" s="1">
        <f>IFERROR(__xludf.DUMMYFUNCTION("""COMPUTED_VALUE"""),46.0)</f>
        <v>46</v>
      </c>
      <c r="F1473" s="1">
        <f>IFERROR(__xludf.DUMMYFUNCTION("""COMPUTED_VALUE"""),98.0)</f>
        <v>98</v>
      </c>
      <c r="G1473" s="1">
        <f>IFERROR(__xludf.DUMMYFUNCTION("""COMPUTED_VALUE"""),45.0)</f>
        <v>45</v>
      </c>
      <c r="H1473" s="1">
        <f>IFERROR(__xludf.DUMMYFUNCTION("""COMPUTED_VALUE"""),26.0)</f>
        <v>26</v>
      </c>
      <c r="I1473" s="1">
        <f>IFERROR(__xludf.DUMMYFUNCTION("""COMPUTED_VALUE"""),81.0)</f>
        <v>81</v>
      </c>
      <c r="J1473" s="1">
        <f>IFERROR(__xludf.DUMMYFUNCTION("""COMPUTED_VALUE"""),22.0)</f>
        <v>22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 t="str">
        <f>IFERROR(__xludf.DUMMYFUNCTION("""COMPUTED_VALUE"""),"C")</f>
        <v>C</v>
      </c>
      <c r="E1474" s="1">
        <f>IFERROR(__xludf.DUMMYFUNCTION("""COMPUTED_VALUE"""),48.0)</f>
        <v>48</v>
      </c>
      <c r="F1474" s="1">
        <f>IFERROR(__xludf.DUMMYFUNCTION("""COMPUTED_VALUE"""),51.0)</f>
        <v>51</v>
      </c>
      <c r="G1474" s="1">
        <f>IFERROR(__xludf.DUMMYFUNCTION("""COMPUTED_VALUE"""),96.0)</f>
        <v>96</v>
      </c>
      <c r="H1474" s="1">
        <f>IFERROR(__xludf.DUMMYFUNCTION("""COMPUTED_VALUE"""),38.0)</f>
        <v>38</v>
      </c>
      <c r="I1474" s="1">
        <f>IFERROR(__xludf.DUMMYFUNCTION("""COMPUTED_VALUE"""),28.0)</f>
        <v>28</v>
      </c>
      <c r="J1474" s="1">
        <f>IFERROR(__xludf.DUMMYFUNCTION("""COMPUTED_VALUE"""),28.0)</f>
        <v>28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 t="str">
        <f>IFERROR(__xludf.DUMMYFUNCTION("""COMPUTED_VALUE"""),"B")</f>
        <v>B</v>
      </c>
      <c r="E1475" s="1">
        <f>IFERROR(__xludf.DUMMYFUNCTION("""COMPUTED_VALUE"""),95.0)</f>
        <v>95</v>
      </c>
      <c r="F1475" s="1">
        <f>IFERROR(__xludf.DUMMYFUNCTION("""COMPUTED_VALUE"""),65.0)</f>
        <v>65</v>
      </c>
      <c r="G1475" s="1">
        <f>IFERROR(__xludf.DUMMYFUNCTION("""COMPUTED_VALUE"""),53.0)</f>
        <v>53</v>
      </c>
      <c r="H1475" s="1">
        <f>IFERROR(__xludf.DUMMYFUNCTION("""COMPUTED_VALUE"""),31.0)</f>
        <v>31</v>
      </c>
      <c r="I1475" s="1">
        <f>IFERROR(__xludf.DUMMYFUNCTION("""COMPUTED_VALUE"""),90.0)</f>
        <v>90</v>
      </c>
      <c r="J1475" s="1">
        <f>IFERROR(__xludf.DUMMYFUNCTION("""COMPUTED_VALUE"""),44.0)</f>
        <v>44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 t="str">
        <f>IFERROR(__xludf.DUMMYFUNCTION("""COMPUTED_VALUE"""),"A")</f>
        <v>A</v>
      </c>
      <c r="E1476" s="1">
        <f>IFERROR(__xludf.DUMMYFUNCTION("""COMPUTED_VALUE"""),60.0)</f>
        <v>60</v>
      </c>
      <c r="F1476" s="1">
        <f>IFERROR(__xludf.DUMMYFUNCTION("""COMPUTED_VALUE"""),54.0)</f>
        <v>54</v>
      </c>
      <c r="G1476" s="1">
        <f>IFERROR(__xludf.DUMMYFUNCTION("""COMPUTED_VALUE"""),59.0)</f>
        <v>59</v>
      </c>
      <c r="H1476" s="1">
        <f>IFERROR(__xludf.DUMMYFUNCTION("""COMPUTED_VALUE"""),30.0)</f>
        <v>30</v>
      </c>
      <c r="I1476" s="1">
        <f>IFERROR(__xludf.DUMMYFUNCTION("""COMPUTED_VALUE"""),78.0)</f>
        <v>78</v>
      </c>
      <c r="J1476" s="1">
        <f>IFERROR(__xludf.DUMMYFUNCTION("""COMPUTED_VALUE"""),32.0)</f>
        <v>32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 t="str">
        <f>IFERROR(__xludf.DUMMYFUNCTION("""COMPUTED_VALUE"""),"A")</f>
        <v>A</v>
      </c>
      <c r="E1477" s="1">
        <f>IFERROR(__xludf.DUMMYFUNCTION("""COMPUTED_VALUE"""),38.0)</f>
        <v>38</v>
      </c>
      <c r="F1477" s="1">
        <f>IFERROR(__xludf.DUMMYFUNCTION("""COMPUTED_VALUE"""),33.0)</f>
        <v>33</v>
      </c>
      <c r="G1477" s="1">
        <f>IFERROR(__xludf.DUMMYFUNCTION("""COMPUTED_VALUE"""),63.0)</f>
        <v>63</v>
      </c>
      <c r="H1477" s="1">
        <f>IFERROR(__xludf.DUMMYFUNCTION("""COMPUTED_VALUE"""),73.0)</f>
        <v>73</v>
      </c>
      <c r="I1477" s="1">
        <f>IFERROR(__xludf.DUMMYFUNCTION("""COMPUTED_VALUE"""),64.0)</f>
        <v>64</v>
      </c>
      <c r="J1477" s="1">
        <f>IFERROR(__xludf.DUMMYFUNCTION("""COMPUTED_VALUE"""),51.0)</f>
        <v>51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 t="str">
        <f>IFERROR(__xludf.DUMMYFUNCTION("""COMPUTED_VALUE"""),"B")</f>
        <v>B</v>
      </c>
      <c r="E1478" s="1">
        <f>IFERROR(__xludf.DUMMYFUNCTION("""COMPUTED_VALUE"""),20.0)</f>
        <v>20</v>
      </c>
      <c r="F1478" s="1">
        <f>IFERROR(__xludf.DUMMYFUNCTION("""COMPUTED_VALUE"""),20.0)</f>
        <v>20</v>
      </c>
      <c r="G1478" s="1">
        <f>IFERROR(__xludf.DUMMYFUNCTION("""COMPUTED_VALUE"""),86.0)</f>
        <v>86</v>
      </c>
      <c r="H1478" s="1">
        <f>IFERROR(__xludf.DUMMYFUNCTION("""COMPUTED_VALUE"""),48.0)</f>
        <v>48</v>
      </c>
      <c r="I1478" s="1">
        <f>IFERROR(__xludf.DUMMYFUNCTION("""COMPUTED_VALUE"""),98.0)</f>
        <v>98</v>
      </c>
      <c r="J1478" s="1">
        <f>IFERROR(__xludf.DUMMYFUNCTION("""COMPUTED_VALUE"""),48.0)</f>
        <v>48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 t="str">
        <f>IFERROR(__xludf.DUMMYFUNCTION("""COMPUTED_VALUE"""),"C")</f>
        <v>C</v>
      </c>
      <c r="E1479" s="1">
        <f>IFERROR(__xludf.DUMMYFUNCTION("""COMPUTED_VALUE"""),82.0)</f>
        <v>82</v>
      </c>
      <c r="F1479" s="1">
        <f>IFERROR(__xludf.DUMMYFUNCTION("""COMPUTED_VALUE"""),96.0)</f>
        <v>96</v>
      </c>
      <c r="G1479" s="1">
        <f>IFERROR(__xludf.DUMMYFUNCTION("""COMPUTED_VALUE"""),63.0)</f>
        <v>63</v>
      </c>
      <c r="H1479" s="1">
        <f>IFERROR(__xludf.DUMMYFUNCTION("""COMPUTED_VALUE"""),45.0)</f>
        <v>45</v>
      </c>
      <c r="I1479" s="1">
        <f>IFERROR(__xludf.DUMMYFUNCTION("""COMPUTED_VALUE"""),80.0)</f>
        <v>80</v>
      </c>
      <c r="J1479" s="1">
        <f>IFERROR(__xludf.DUMMYFUNCTION("""COMPUTED_VALUE"""),74.0)</f>
        <v>74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 t="str">
        <f>IFERROR(__xludf.DUMMYFUNCTION("""COMPUTED_VALUE"""),"B")</f>
        <v>B</v>
      </c>
      <c r="E1480" s="1">
        <f>IFERROR(__xludf.DUMMYFUNCTION("""COMPUTED_VALUE"""),79.0)</f>
        <v>79</v>
      </c>
      <c r="F1480" s="1">
        <f>IFERROR(__xludf.DUMMYFUNCTION("""COMPUTED_VALUE"""),60.0)</f>
        <v>60</v>
      </c>
      <c r="G1480" s="1">
        <f>IFERROR(__xludf.DUMMYFUNCTION("""COMPUTED_VALUE"""),30.0)</f>
        <v>30</v>
      </c>
      <c r="H1480" s="1">
        <f>IFERROR(__xludf.DUMMYFUNCTION("""COMPUTED_VALUE"""),64.0)</f>
        <v>64</v>
      </c>
      <c r="I1480" s="1">
        <f>IFERROR(__xludf.DUMMYFUNCTION("""COMPUTED_VALUE"""),25.0)</f>
        <v>25</v>
      </c>
      <c r="J1480" s="1">
        <f>IFERROR(__xludf.DUMMYFUNCTION("""COMPUTED_VALUE"""),23.0)</f>
        <v>23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 t="str">
        <f>IFERROR(__xludf.DUMMYFUNCTION("""COMPUTED_VALUE"""),"A")</f>
        <v>A</v>
      </c>
      <c r="E1481" s="1">
        <f>IFERROR(__xludf.DUMMYFUNCTION("""COMPUTED_VALUE"""),54.0)</f>
        <v>54</v>
      </c>
      <c r="F1481" s="1">
        <f>IFERROR(__xludf.DUMMYFUNCTION("""COMPUTED_VALUE"""),90.0)</f>
        <v>90</v>
      </c>
      <c r="G1481" s="1">
        <f>IFERROR(__xludf.DUMMYFUNCTION("""COMPUTED_VALUE"""),35.0)</f>
        <v>35</v>
      </c>
      <c r="H1481" s="1">
        <f>IFERROR(__xludf.DUMMYFUNCTION("""COMPUTED_VALUE"""),75.0)</f>
        <v>75</v>
      </c>
      <c r="I1481" s="1">
        <f>IFERROR(__xludf.DUMMYFUNCTION("""COMPUTED_VALUE"""),21.0)</f>
        <v>21</v>
      </c>
      <c r="J1481" s="1">
        <f>IFERROR(__xludf.DUMMYFUNCTION("""COMPUTED_VALUE"""),71.0)</f>
        <v>71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 t="str">
        <f>IFERROR(__xludf.DUMMYFUNCTION("""COMPUTED_VALUE"""),"A")</f>
        <v>A</v>
      </c>
      <c r="E1482" s="1">
        <f>IFERROR(__xludf.DUMMYFUNCTION("""COMPUTED_VALUE"""),37.0)</f>
        <v>37</v>
      </c>
      <c r="F1482" s="1">
        <f>IFERROR(__xludf.DUMMYFUNCTION("""COMPUTED_VALUE"""),58.0)</f>
        <v>58</v>
      </c>
      <c r="G1482" s="1">
        <f>IFERROR(__xludf.DUMMYFUNCTION("""COMPUTED_VALUE"""),93.0)</f>
        <v>93</v>
      </c>
      <c r="H1482" s="1">
        <f>IFERROR(__xludf.DUMMYFUNCTION("""COMPUTED_VALUE"""),34.0)</f>
        <v>34</v>
      </c>
      <c r="I1482" s="1">
        <f>IFERROR(__xludf.DUMMYFUNCTION("""COMPUTED_VALUE"""),27.0)</f>
        <v>27</v>
      </c>
      <c r="J1482" s="1">
        <f>IFERROR(__xludf.DUMMYFUNCTION("""COMPUTED_VALUE"""),81.0)</f>
        <v>81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 t="str">
        <f>IFERROR(__xludf.DUMMYFUNCTION("""COMPUTED_VALUE"""),"B")</f>
        <v>B</v>
      </c>
      <c r="E1483" s="1">
        <f>IFERROR(__xludf.DUMMYFUNCTION("""COMPUTED_VALUE"""),88.0)</f>
        <v>88</v>
      </c>
      <c r="F1483" s="1">
        <f>IFERROR(__xludf.DUMMYFUNCTION("""COMPUTED_VALUE"""),44.0)</f>
        <v>44</v>
      </c>
      <c r="G1483" s="1">
        <f>IFERROR(__xludf.DUMMYFUNCTION("""COMPUTED_VALUE"""),71.0)</f>
        <v>71</v>
      </c>
      <c r="H1483" s="1">
        <f>IFERROR(__xludf.DUMMYFUNCTION("""COMPUTED_VALUE"""),68.0)</f>
        <v>68</v>
      </c>
      <c r="I1483" s="1">
        <f>IFERROR(__xludf.DUMMYFUNCTION("""COMPUTED_VALUE"""),89.0)</f>
        <v>89</v>
      </c>
      <c r="J1483" s="1">
        <f>IFERROR(__xludf.DUMMYFUNCTION("""COMPUTED_VALUE"""),66.0)</f>
        <v>66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 t="str">
        <f>IFERROR(__xludf.DUMMYFUNCTION("""COMPUTED_VALUE"""),"B")</f>
        <v>B</v>
      </c>
      <c r="E1484" s="1">
        <f>IFERROR(__xludf.DUMMYFUNCTION("""COMPUTED_VALUE"""),43.0)</f>
        <v>43</v>
      </c>
      <c r="F1484" s="1">
        <f>IFERROR(__xludf.DUMMYFUNCTION("""COMPUTED_VALUE"""),78.0)</f>
        <v>78</v>
      </c>
      <c r="G1484" s="1">
        <f>IFERROR(__xludf.DUMMYFUNCTION("""COMPUTED_VALUE"""),86.0)</f>
        <v>86</v>
      </c>
      <c r="H1484" s="1">
        <f>IFERROR(__xludf.DUMMYFUNCTION("""COMPUTED_VALUE"""),51.0)</f>
        <v>51</v>
      </c>
      <c r="I1484" s="1">
        <f>IFERROR(__xludf.DUMMYFUNCTION("""COMPUTED_VALUE"""),32.0)</f>
        <v>32</v>
      </c>
      <c r="J1484" s="1">
        <f>IFERROR(__xludf.DUMMYFUNCTION("""COMPUTED_VALUE"""),79.0)</f>
        <v>79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 t="str">
        <f>IFERROR(__xludf.DUMMYFUNCTION("""COMPUTED_VALUE"""),"A")</f>
        <v>A</v>
      </c>
      <c r="E1485" s="1">
        <f>IFERROR(__xludf.DUMMYFUNCTION("""COMPUTED_VALUE"""),56.0)</f>
        <v>56</v>
      </c>
      <c r="F1485" s="1">
        <f>IFERROR(__xludf.DUMMYFUNCTION("""COMPUTED_VALUE"""),97.0)</f>
        <v>97</v>
      </c>
      <c r="G1485" s="1">
        <f>IFERROR(__xludf.DUMMYFUNCTION("""COMPUTED_VALUE"""),52.0)</f>
        <v>52</v>
      </c>
      <c r="H1485" s="1">
        <f>IFERROR(__xludf.DUMMYFUNCTION("""COMPUTED_VALUE"""),98.0)</f>
        <v>98</v>
      </c>
      <c r="I1485" s="1">
        <f>IFERROR(__xludf.DUMMYFUNCTION("""COMPUTED_VALUE"""),61.0)</f>
        <v>61</v>
      </c>
      <c r="J1485" s="1">
        <f>IFERROR(__xludf.DUMMYFUNCTION("""COMPUTED_VALUE"""),92.0)</f>
        <v>92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 t="str">
        <f>IFERROR(__xludf.DUMMYFUNCTION("""COMPUTED_VALUE"""),"D")</f>
        <v>D</v>
      </c>
      <c r="E1486" s="1">
        <f>IFERROR(__xludf.DUMMYFUNCTION("""COMPUTED_VALUE"""),89.0)</f>
        <v>89</v>
      </c>
      <c r="F1486" s="1">
        <f>IFERROR(__xludf.DUMMYFUNCTION("""COMPUTED_VALUE"""),35.0)</f>
        <v>35</v>
      </c>
      <c r="G1486" s="1">
        <f>IFERROR(__xludf.DUMMYFUNCTION("""COMPUTED_VALUE"""),36.0)</f>
        <v>36</v>
      </c>
      <c r="H1486" s="1">
        <f>IFERROR(__xludf.DUMMYFUNCTION("""COMPUTED_VALUE"""),99.0)</f>
        <v>99</v>
      </c>
      <c r="I1486" s="1">
        <f>IFERROR(__xludf.DUMMYFUNCTION("""COMPUTED_VALUE"""),95.0)</f>
        <v>95</v>
      </c>
      <c r="J1486" s="1">
        <f>IFERROR(__xludf.DUMMYFUNCTION("""COMPUTED_VALUE"""),27.0)</f>
        <v>27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 t="str">
        <f>IFERROR(__xludf.DUMMYFUNCTION("""COMPUTED_VALUE"""),"B")</f>
        <v>B</v>
      </c>
      <c r="E1487" s="1">
        <f>IFERROR(__xludf.DUMMYFUNCTION("""COMPUTED_VALUE"""),59.0)</f>
        <v>59</v>
      </c>
      <c r="F1487" s="1">
        <f>IFERROR(__xludf.DUMMYFUNCTION("""COMPUTED_VALUE"""),34.0)</f>
        <v>34</v>
      </c>
      <c r="G1487" s="1">
        <f>IFERROR(__xludf.DUMMYFUNCTION("""COMPUTED_VALUE"""),59.0)</f>
        <v>59</v>
      </c>
      <c r="H1487" s="1">
        <f>IFERROR(__xludf.DUMMYFUNCTION("""COMPUTED_VALUE"""),76.0)</f>
        <v>76</v>
      </c>
      <c r="I1487" s="1">
        <f>IFERROR(__xludf.DUMMYFUNCTION("""COMPUTED_VALUE"""),55.0)</f>
        <v>55</v>
      </c>
      <c r="J1487" s="1">
        <f>IFERROR(__xludf.DUMMYFUNCTION("""COMPUTED_VALUE"""),93.0)</f>
        <v>93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 t="str">
        <f>IFERROR(__xludf.DUMMYFUNCTION("""COMPUTED_VALUE"""),"B")</f>
        <v>B</v>
      </c>
      <c r="E1488" s="1">
        <f>IFERROR(__xludf.DUMMYFUNCTION("""COMPUTED_VALUE"""),92.0)</f>
        <v>92</v>
      </c>
      <c r="F1488" s="1">
        <f>IFERROR(__xludf.DUMMYFUNCTION("""COMPUTED_VALUE"""),84.0)</f>
        <v>84</v>
      </c>
      <c r="G1488" s="1">
        <f>IFERROR(__xludf.DUMMYFUNCTION("""COMPUTED_VALUE"""),78.0)</f>
        <v>78</v>
      </c>
      <c r="H1488" s="1">
        <f>IFERROR(__xludf.DUMMYFUNCTION("""COMPUTED_VALUE"""),54.0)</f>
        <v>54</v>
      </c>
      <c r="I1488" s="1">
        <f>IFERROR(__xludf.DUMMYFUNCTION("""COMPUTED_VALUE"""),54.0)</f>
        <v>54</v>
      </c>
      <c r="J1488" s="1">
        <f>IFERROR(__xludf.DUMMYFUNCTION("""COMPUTED_VALUE"""),38.0)</f>
        <v>38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 t="str">
        <f>IFERROR(__xludf.DUMMYFUNCTION("""COMPUTED_VALUE"""),"D")</f>
        <v>D</v>
      </c>
      <c r="E1489" s="1">
        <f>IFERROR(__xludf.DUMMYFUNCTION("""COMPUTED_VALUE"""),88.0)</f>
        <v>88</v>
      </c>
      <c r="F1489" s="1">
        <f>IFERROR(__xludf.DUMMYFUNCTION("""COMPUTED_VALUE"""),57.0)</f>
        <v>57</v>
      </c>
      <c r="G1489" s="1">
        <f>IFERROR(__xludf.DUMMYFUNCTION("""COMPUTED_VALUE"""),67.0)</f>
        <v>67</v>
      </c>
      <c r="H1489" s="1">
        <f>IFERROR(__xludf.DUMMYFUNCTION("""COMPUTED_VALUE"""),56.0)</f>
        <v>56</v>
      </c>
      <c r="I1489" s="1">
        <f>IFERROR(__xludf.DUMMYFUNCTION("""COMPUTED_VALUE"""),23.0)</f>
        <v>23</v>
      </c>
      <c r="J1489" s="1">
        <f>IFERROR(__xludf.DUMMYFUNCTION("""COMPUTED_VALUE"""),90.0)</f>
        <v>90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 t="str">
        <f>IFERROR(__xludf.DUMMYFUNCTION("""COMPUTED_VALUE"""),"A")</f>
        <v>A</v>
      </c>
      <c r="E1490" s="1">
        <f>IFERROR(__xludf.DUMMYFUNCTION("""COMPUTED_VALUE"""),70.0)</f>
        <v>70</v>
      </c>
      <c r="F1490" s="1">
        <f>IFERROR(__xludf.DUMMYFUNCTION("""COMPUTED_VALUE"""),22.0)</f>
        <v>22</v>
      </c>
      <c r="G1490" s="1">
        <f>IFERROR(__xludf.DUMMYFUNCTION("""COMPUTED_VALUE"""),97.0)</f>
        <v>97</v>
      </c>
      <c r="H1490" s="1">
        <f>IFERROR(__xludf.DUMMYFUNCTION("""COMPUTED_VALUE"""),26.0)</f>
        <v>26</v>
      </c>
      <c r="I1490" s="1">
        <f>IFERROR(__xludf.DUMMYFUNCTION("""COMPUTED_VALUE"""),22.0)</f>
        <v>22</v>
      </c>
      <c r="J1490" s="1">
        <f>IFERROR(__xludf.DUMMYFUNCTION("""COMPUTED_VALUE"""),36.0)</f>
        <v>36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 t="str">
        <f>IFERROR(__xludf.DUMMYFUNCTION("""COMPUTED_VALUE"""),"D")</f>
        <v>D</v>
      </c>
      <c r="E1491" s="1">
        <f>IFERROR(__xludf.DUMMYFUNCTION("""COMPUTED_VALUE"""),87.0)</f>
        <v>87</v>
      </c>
      <c r="F1491" s="1">
        <f>IFERROR(__xludf.DUMMYFUNCTION("""COMPUTED_VALUE"""),87.0)</f>
        <v>87</v>
      </c>
      <c r="G1491" s="1">
        <f>IFERROR(__xludf.DUMMYFUNCTION("""COMPUTED_VALUE"""),21.0)</f>
        <v>21</v>
      </c>
      <c r="H1491" s="1">
        <f>IFERROR(__xludf.DUMMYFUNCTION("""COMPUTED_VALUE"""),56.0)</f>
        <v>56</v>
      </c>
      <c r="I1491" s="1">
        <f>IFERROR(__xludf.DUMMYFUNCTION("""COMPUTED_VALUE"""),56.0)</f>
        <v>56</v>
      </c>
      <c r="J1491" s="1">
        <f>IFERROR(__xludf.DUMMYFUNCTION("""COMPUTED_VALUE"""),64.0)</f>
        <v>64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 t="str">
        <f>IFERROR(__xludf.DUMMYFUNCTION("""COMPUTED_VALUE"""),"C")</f>
        <v>C</v>
      </c>
      <c r="E1492" s="1">
        <f>IFERROR(__xludf.DUMMYFUNCTION("""COMPUTED_VALUE"""),40.0)</f>
        <v>40</v>
      </c>
      <c r="F1492" s="1">
        <f>IFERROR(__xludf.DUMMYFUNCTION("""COMPUTED_VALUE"""),48.0)</f>
        <v>48</v>
      </c>
      <c r="G1492" s="1">
        <f>IFERROR(__xludf.DUMMYFUNCTION("""COMPUTED_VALUE"""),72.0)</f>
        <v>72</v>
      </c>
      <c r="H1492" s="1">
        <f>IFERROR(__xludf.DUMMYFUNCTION("""COMPUTED_VALUE"""),93.0)</f>
        <v>93</v>
      </c>
      <c r="I1492" s="1">
        <f>IFERROR(__xludf.DUMMYFUNCTION("""COMPUTED_VALUE"""),67.0)</f>
        <v>67</v>
      </c>
      <c r="J1492" s="1">
        <f>IFERROR(__xludf.DUMMYFUNCTION("""COMPUTED_VALUE"""),78.0)</f>
        <v>78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 t="str">
        <f>IFERROR(__xludf.DUMMYFUNCTION("""COMPUTED_VALUE"""),"A")</f>
        <v>A</v>
      </c>
      <c r="E1493" s="1">
        <f>IFERROR(__xludf.DUMMYFUNCTION("""COMPUTED_VALUE"""),26.0)</f>
        <v>26</v>
      </c>
      <c r="F1493" s="1">
        <f>IFERROR(__xludf.DUMMYFUNCTION("""COMPUTED_VALUE"""),28.0)</f>
        <v>28</v>
      </c>
      <c r="G1493" s="1">
        <f>IFERROR(__xludf.DUMMYFUNCTION("""COMPUTED_VALUE"""),53.0)</f>
        <v>53</v>
      </c>
      <c r="H1493" s="1">
        <f>IFERROR(__xludf.DUMMYFUNCTION("""COMPUTED_VALUE"""),35.0)</f>
        <v>35</v>
      </c>
      <c r="I1493" s="1">
        <f>IFERROR(__xludf.DUMMYFUNCTION("""COMPUTED_VALUE"""),97.0)</f>
        <v>97</v>
      </c>
      <c r="J1493" s="1">
        <f>IFERROR(__xludf.DUMMYFUNCTION("""COMPUTED_VALUE"""),80.0)</f>
        <v>80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 t="str">
        <f>IFERROR(__xludf.DUMMYFUNCTION("""COMPUTED_VALUE"""),"A")</f>
        <v>A</v>
      </c>
      <c r="E1494" s="1">
        <f>IFERROR(__xludf.DUMMYFUNCTION("""COMPUTED_VALUE"""),44.0)</f>
        <v>44</v>
      </c>
      <c r="F1494" s="1">
        <f>IFERROR(__xludf.DUMMYFUNCTION("""COMPUTED_VALUE"""),59.0)</f>
        <v>59</v>
      </c>
      <c r="G1494" s="1">
        <f>IFERROR(__xludf.DUMMYFUNCTION("""COMPUTED_VALUE"""),76.0)</f>
        <v>76</v>
      </c>
      <c r="H1494" s="1">
        <f>IFERROR(__xludf.DUMMYFUNCTION("""COMPUTED_VALUE"""),29.0)</f>
        <v>29</v>
      </c>
      <c r="I1494" s="1">
        <f>IFERROR(__xludf.DUMMYFUNCTION("""COMPUTED_VALUE"""),36.0)</f>
        <v>36</v>
      </c>
      <c r="J1494" s="1">
        <f>IFERROR(__xludf.DUMMYFUNCTION("""COMPUTED_VALUE"""),53.0)</f>
        <v>53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 t="str">
        <f>IFERROR(__xludf.DUMMYFUNCTION("""COMPUTED_VALUE"""),"D")</f>
        <v>D</v>
      </c>
      <c r="E1495" s="1">
        <f>IFERROR(__xludf.DUMMYFUNCTION("""COMPUTED_VALUE"""),43.0)</f>
        <v>43</v>
      </c>
      <c r="F1495" s="1">
        <f>IFERROR(__xludf.DUMMYFUNCTION("""COMPUTED_VALUE"""),92.0)</f>
        <v>92</v>
      </c>
      <c r="G1495" s="1">
        <f>IFERROR(__xludf.DUMMYFUNCTION("""COMPUTED_VALUE"""),98.0)</f>
        <v>98</v>
      </c>
      <c r="H1495" s="1">
        <f>IFERROR(__xludf.DUMMYFUNCTION("""COMPUTED_VALUE"""),24.0)</f>
        <v>24</v>
      </c>
      <c r="I1495" s="1">
        <f>IFERROR(__xludf.DUMMYFUNCTION("""COMPUTED_VALUE"""),50.0)</f>
        <v>50</v>
      </c>
      <c r="J1495" s="1">
        <f>IFERROR(__xludf.DUMMYFUNCTION("""COMPUTED_VALUE"""),47.0)</f>
        <v>47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 t="str">
        <f>IFERROR(__xludf.DUMMYFUNCTION("""COMPUTED_VALUE"""),"A")</f>
        <v>A</v>
      </c>
      <c r="E1496" s="1">
        <f>IFERROR(__xludf.DUMMYFUNCTION("""COMPUTED_VALUE"""),28.0)</f>
        <v>28</v>
      </c>
      <c r="F1496" s="1">
        <f>IFERROR(__xludf.DUMMYFUNCTION("""COMPUTED_VALUE"""),96.0)</f>
        <v>96</v>
      </c>
      <c r="G1496" s="1">
        <f>IFERROR(__xludf.DUMMYFUNCTION("""COMPUTED_VALUE"""),68.0)</f>
        <v>68</v>
      </c>
      <c r="H1496" s="1">
        <f>IFERROR(__xludf.DUMMYFUNCTION("""COMPUTED_VALUE"""),72.0)</f>
        <v>72</v>
      </c>
      <c r="I1496" s="1">
        <f>IFERROR(__xludf.DUMMYFUNCTION("""COMPUTED_VALUE"""),77.0)</f>
        <v>77</v>
      </c>
      <c r="J1496" s="1">
        <f>IFERROR(__xludf.DUMMYFUNCTION("""COMPUTED_VALUE"""),20.0)</f>
        <v>20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 t="str">
        <f>IFERROR(__xludf.DUMMYFUNCTION("""COMPUTED_VALUE"""),"A")</f>
        <v>A</v>
      </c>
      <c r="E1497" s="1">
        <f>IFERROR(__xludf.DUMMYFUNCTION("""COMPUTED_VALUE"""),72.0)</f>
        <v>72</v>
      </c>
      <c r="F1497" s="1">
        <f>IFERROR(__xludf.DUMMYFUNCTION("""COMPUTED_VALUE"""),69.0)</f>
        <v>69</v>
      </c>
      <c r="G1497" s="1">
        <f>IFERROR(__xludf.DUMMYFUNCTION("""COMPUTED_VALUE"""),24.0)</f>
        <v>24</v>
      </c>
      <c r="H1497" s="1">
        <f>IFERROR(__xludf.DUMMYFUNCTION("""COMPUTED_VALUE"""),45.0)</f>
        <v>45</v>
      </c>
      <c r="I1497" s="1">
        <f>IFERROR(__xludf.DUMMYFUNCTION("""COMPUTED_VALUE"""),81.0)</f>
        <v>81</v>
      </c>
      <c r="J1497" s="1">
        <f>IFERROR(__xludf.DUMMYFUNCTION("""COMPUTED_VALUE"""),83.0)</f>
        <v>83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 t="str">
        <f>IFERROR(__xludf.DUMMYFUNCTION("""COMPUTED_VALUE"""),"D")</f>
        <v>D</v>
      </c>
      <c r="E1498" s="1">
        <f>IFERROR(__xludf.DUMMYFUNCTION("""COMPUTED_VALUE"""),68.0)</f>
        <v>68</v>
      </c>
      <c r="F1498" s="1">
        <f>IFERROR(__xludf.DUMMYFUNCTION("""COMPUTED_VALUE"""),74.0)</f>
        <v>74</v>
      </c>
      <c r="G1498" s="1">
        <f>IFERROR(__xludf.DUMMYFUNCTION("""COMPUTED_VALUE"""),37.0)</f>
        <v>37</v>
      </c>
      <c r="H1498" s="1">
        <f>IFERROR(__xludf.DUMMYFUNCTION("""COMPUTED_VALUE"""),34.0)</f>
        <v>34</v>
      </c>
      <c r="I1498" s="1">
        <f>IFERROR(__xludf.DUMMYFUNCTION("""COMPUTED_VALUE"""),76.0)</f>
        <v>76</v>
      </c>
      <c r="J1498" s="1">
        <f>IFERROR(__xludf.DUMMYFUNCTION("""COMPUTED_VALUE"""),32.0)</f>
        <v>32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 t="str">
        <f>IFERROR(__xludf.DUMMYFUNCTION("""COMPUTED_VALUE"""),"A")</f>
        <v>A</v>
      </c>
      <c r="E1499" s="1">
        <f>IFERROR(__xludf.DUMMYFUNCTION("""COMPUTED_VALUE"""),30.0)</f>
        <v>30</v>
      </c>
      <c r="F1499" s="1">
        <f>IFERROR(__xludf.DUMMYFUNCTION("""COMPUTED_VALUE"""),75.0)</f>
        <v>75</v>
      </c>
      <c r="G1499" s="1">
        <f>IFERROR(__xludf.DUMMYFUNCTION("""COMPUTED_VALUE"""),39.0)</f>
        <v>39</v>
      </c>
      <c r="H1499" s="1">
        <f>IFERROR(__xludf.DUMMYFUNCTION("""COMPUTED_VALUE"""),84.0)</f>
        <v>84</v>
      </c>
      <c r="I1499" s="1">
        <f>IFERROR(__xludf.DUMMYFUNCTION("""COMPUTED_VALUE"""),56.0)</f>
        <v>56</v>
      </c>
      <c r="J1499" s="1">
        <f>IFERROR(__xludf.DUMMYFUNCTION("""COMPUTED_VALUE"""),29.0)</f>
        <v>29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 t="str">
        <f>IFERROR(__xludf.DUMMYFUNCTION("""COMPUTED_VALUE"""),"A")</f>
        <v>A</v>
      </c>
      <c r="E1500" s="1">
        <f>IFERROR(__xludf.DUMMYFUNCTION("""COMPUTED_VALUE"""),82.0)</f>
        <v>82</v>
      </c>
      <c r="F1500" s="1">
        <f>IFERROR(__xludf.DUMMYFUNCTION("""COMPUTED_VALUE"""),32.0)</f>
        <v>32</v>
      </c>
      <c r="G1500" s="1">
        <f>IFERROR(__xludf.DUMMYFUNCTION("""COMPUTED_VALUE"""),84.0)</f>
        <v>84</v>
      </c>
      <c r="H1500" s="1">
        <f>IFERROR(__xludf.DUMMYFUNCTION("""COMPUTED_VALUE"""),54.0)</f>
        <v>54</v>
      </c>
      <c r="I1500" s="1">
        <f>IFERROR(__xludf.DUMMYFUNCTION("""COMPUTED_VALUE"""),60.0)</f>
        <v>60</v>
      </c>
      <c r="J1500" s="1">
        <f>IFERROR(__xludf.DUMMYFUNCTION("""COMPUTED_VALUE"""),94.0)</f>
        <v>94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 t="str">
        <f>IFERROR(__xludf.DUMMYFUNCTION("""COMPUTED_VALUE"""),"A")</f>
        <v>A</v>
      </c>
      <c r="E1501" s="1">
        <f>IFERROR(__xludf.DUMMYFUNCTION("""COMPUTED_VALUE"""),33.0)</f>
        <v>33</v>
      </c>
      <c r="F1501" s="1">
        <f>IFERROR(__xludf.DUMMYFUNCTION("""COMPUTED_VALUE"""),29.0)</f>
        <v>29</v>
      </c>
      <c r="G1501" s="1">
        <f>IFERROR(__xludf.DUMMYFUNCTION("""COMPUTED_VALUE"""),70.0)</f>
        <v>70</v>
      </c>
      <c r="H1501" s="1">
        <f>IFERROR(__xludf.DUMMYFUNCTION("""COMPUTED_VALUE"""),93.0)</f>
        <v>93</v>
      </c>
      <c r="I1501" s="1">
        <f>IFERROR(__xludf.DUMMYFUNCTION("""COMPUTED_VALUE"""),28.0)</f>
        <v>28</v>
      </c>
      <c r="J1501" s="1">
        <f>IFERROR(__xludf.DUMMYFUNCTION("""COMPUTED_VALUE"""),94.0)</f>
        <v>94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 t="str">
        <f>IFERROR(__xludf.DUMMYFUNCTION("""COMPUTED_VALUE"""),"C")</f>
        <v>C</v>
      </c>
      <c r="E1502" s="1">
        <f>IFERROR(__xludf.DUMMYFUNCTION("""COMPUTED_VALUE"""),34.0)</f>
        <v>34</v>
      </c>
      <c r="F1502" s="1">
        <f>IFERROR(__xludf.DUMMYFUNCTION("""COMPUTED_VALUE"""),81.0)</f>
        <v>81</v>
      </c>
      <c r="G1502" s="1">
        <f>IFERROR(__xludf.DUMMYFUNCTION("""COMPUTED_VALUE"""),93.0)</f>
        <v>93</v>
      </c>
      <c r="H1502" s="1">
        <f>IFERROR(__xludf.DUMMYFUNCTION("""COMPUTED_VALUE"""),32.0)</f>
        <v>32</v>
      </c>
      <c r="I1502" s="1">
        <f>IFERROR(__xludf.DUMMYFUNCTION("""COMPUTED_VALUE"""),82.0)</f>
        <v>82</v>
      </c>
      <c r="J1502" s="1">
        <f>IFERROR(__xludf.DUMMYFUNCTION("""COMPUTED_VALUE"""),90.0)</f>
        <v>90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 t="str">
        <f>IFERROR(__xludf.DUMMYFUNCTION("""COMPUTED_VALUE"""),"A")</f>
        <v>A</v>
      </c>
      <c r="E1503" s="1">
        <f>IFERROR(__xludf.DUMMYFUNCTION("""COMPUTED_VALUE"""),71.0)</f>
        <v>71</v>
      </c>
      <c r="F1503" s="1">
        <f>IFERROR(__xludf.DUMMYFUNCTION("""COMPUTED_VALUE"""),23.0)</f>
        <v>23</v>
      </c>
      <c r="G1503" s="1">
        <f>IFERROR(__xludf.DUMMYFUNCTION("""COMPUTED_VALUE"""),33.0)</f>
        <v>33</v>
      </c>
      <c r="H1503" s="1">
        <f>IFERROR(__xludf.DUMMYFUNCTION("""COMPUTED_VALUE"""),34.0)</f>
        <v>34</v>
      </c>
      <c r="I1503" s="1">
        <f>IFERROR(__xludf.DUMMYFUNCTION("""COMPUTED_VALUE"""),26.0)</f>
        <v>26</v>
      </c>
      <c r="J1503" s="1">
        <f>IFERROR(__xludf.DUMMYFUNCTION("""COMPUTED_VALUE"""),72.0)</f>
        <v>72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 t="str">
        <f>IFERROR(__xludf.DUMMYFUNCTION("""COMPUTED_VALUE"""),"B")</f>
        <v>B</v>
      </c>
      <c r="E1504" s="1">
        <f>IFERROR(__xludf.DUMMYFUNCTION("""COMPUTED_VALUE"""),31.0)</f>
        <v>31</v>
      </c>
      <c r="F1504" s="1">
        <f>IFERROR(__xludf.DUMMYFUNCTION("""COMPUTED_VALUE"""),92.0)</f>
        <v>92</v>
      </c>
      <c r="G1504" s="1">
        <f>IFERROR(__xludf.DUMMYFUNCTION("""COMPUTED_VALUE"""),60.0)</f>
        <v>60</v>
      </c>
      <c r="H1504" s="1">
        <f>IFERROR(__xludf.DUMMYFUNCTION("""COMPUTED_VALUE"""),59.0)</f>
        <v>59</v>
      </c>
      <c r="I1504" s="1">
        <f>IFERROR(__xludf.DUMMYFUNCTION("""COMPUTED_VALUE"""),38.0)</f>
        <v>38</v>
      </c>
      <c r="J1504" s="1">
        <f>IFERROR(__xludf.DUMMYFUNCTION("""COMPUTED_VALUE"""),24.0)</f>
        <v>24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 t="str">
        <f>IFERROR(__xludf.DUMMYFUNCTION("""COMPUTED_VALUE"""),"B")</f>
        <v>B</v>
      </c>
      <c r="E1505" s="1">
        <f>IFERROR(__xludf.DUMMYFUNCTION("""COMPUTED_VALUE"""),71.0)</f>
        <v>71</v>
      </c>
      <c r="F1505" s="1">
        <f>IFERROR(__xludf.DUMMYFUNCTION("""COMPUTED_VALUE"""),65.0)</f>
        <v>65</v>
      </c>
      <c r="G1505" s="1">
        <f>IFERROR(__xludf.DUMMYFUNCTION("""COMPUTED_VALUE"""),64.0)</f>
        <v>64</v>
      </c>
      <c r="H1505" s="1">
        <f>IFERROR(__xludf.DUMMYFUNCTION("""COMPUTED_VALUE"""),35.0)</f>
        <v>35</v>
      </c>
      <c r="I1505" s="1">
        <f>IFERROR(__xludf.DUMMYFUNCTION("""COMPUTED_VALUE"""),20.0)</f>
        <v>20</v>
      </c>
      <c r="J1505" s="1">
        <f>IFERROR(__xludf.DUMMYFUNCTION("""COMPUTED_VALUE"""),64.0)</f>
        <v>64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 t="str">
        <f>IFERROR(__xludf.DUMMYFUNCTION("""COMPUTED_VALUE"""),"B")</f>
        <v>B</v>
      </c>
      <c r="E1506" s="1">
        <f>IFERROR(__xludf.DUMMYFUNCTION("""COMPUTED_VALUE"""),33.0)</f>
        <v>33</v>
      </c>
      <c r="F1506" s="1">
        <f>IFERROR(__xludf.DUMMYFUNCTION("""COMPUTED_VALUE"""),69.0)</f>
        <v>69</v>
      </c>
      <c r="G1506" s="1">
        <f>IFERROR(__xludf.DUMMYFUNCTION("""COMPUTED_VALUE"""),52.0)</f>
        <v>52</v>
      </c>
      <c r="H1506" s="1">
        <f>IFERROR(__xludf.DUMMYFUNCTION("""COMPUTED_VALUE"""),51.0)</f>
        <v>51</v>
      </c>
      <c r="I1506" s="1">
        <f>IFERROR(__xludf.DUMMYFUNCTION("""COMPUTED_VALUE"""),69.0)</f>
        <v>69</v>
      </c>
      <c r="J1506" s="1">
        <f>IFERROR(__xludf.DUMMYFUNCTION("""COMPUTED_VALUE"""),20.0)</f>
        <v>20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 t="str">
        <f>IFERROR(__xludf.DUMMYFUNCTION("""COMPUTED_VALUE"""),"D")</f>
        <v>D</v>
      </c>
      <c r="E1507" s="1">
        <f>IFERROR(__xludf.DUMMYFUNCTION("""COMPUTED_VALUE"""),68.0)</f>
        <v>68</v>
      </c>
      <c r="F1507" s="1">
        <f>IFERROR(__xludf.DUMMYFUNCTION("""COMPUTED_VALUE"""),79.0)</f>
        <v>79</v>
      </c>
      <c r="G1507" s="1">
        <f>IFERROR(__xludf.DUMMYFUNCTION("""COMPUTED_VALUE"""),68.0)</f>
        <v>68</v>
      </c>
      <c r="H1507" s="1">
        <f>IFERROR(__xludf.DUMMYFUNCTION("""COMPUTED_VALUE"""),49.0)</f>
        <v>49</v>
      </c>
      <c r="I1507" s="1">
        <f>IFERROR(__xludf.DUMMYFUNCTION("""COMPUTED_VALUE"""),56.0)</f>
        <v>56</v>
      </c>
      <c r="J1507" s="1">
        <f>IFERROR(__xludf.DUMMYFUNCTION("""COMPUTED_VALUE"""),74.0)</f>
        <v>74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 t="str">
        <f>IFERROR(__xludf.DUMMYFUNCTION("""COMPUTED_VALUE"""),"D")</f>
        <v>D</v>
      </c>
      <c r="E1508" s="1">
        <f>IFERROR(__xludf.DUMMYFUNCTION("""COMPUTED_VALUE"""),91.0)</f>
        <v>91</v>
      </c>
      <c r="F1508" s="1">
        <f>IFERROR(__xludf.DUMMYFUNCTION("""COMPUTED_VALUE"""),67.0)</f>
        <v>67</v>
      </c>
      <c r="G1508" s="1">
        <f>IFERROR(__xludf.DUMMYFUNCTION("""COMPUTED_VALUE"""),97.0)</f>
        <v>97</v>
      </c>
      <c r="H1508" s="1">
        <f>IFERROR(__xludf.DUMMYFUNCTION("""COMPUTED_VALUE"""),64.0)</f>
        <v>64</v>
      </c>
      <c r="I1508" s="1">
        <f>IFERROR(__xludf.DUMMYFUNCTION("""COMPUTED_VALUE"""),25.0)</f>
        <v>25</v>
      </c>
      <c r="J1508" s="1">
        <f>IFERROR(__xludf.DUMMYFUNCTION("""COMPUTED_VALUE"""),21.0)</f>
        <v>21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 t="str">
        <f>IFERROR(__xludf.DUMMYFUNCTION("""COMPUTED_VALUE"""),"B")</f>
        <v>B</v>
      </c>
      <c r="E1509" s="1">
        <f>IFERROR(__xludf.DUMMYFUNCTION("""COMPUTED_VALUE"""),87.0)</f>
        <v>87</v>
      </c>
      <c r="F1509" s="1">
        <f>IFERROR(__xludf.DUMMYFUNCTION("""COMPUTED_VALUE"""),61.0)</f>
        <v>61</v>
      </c>
      <c r="G1509" s="1">
        <f>IFERROR(__xludf.DUMMYFUNCTION("""COMPUTED_VALUE"""),46.0)</f>
        <v>46</v>
      </c>
      <c r="H1509" s="1">
        <f>IFERROR(__xludf.DUMMYFUNCTION("""COMPUTED_VALUE"""),95.0)</f>
        <v>95</v>
      </c>
      <c r="I1509" s="1">
        <f>IFERROR(__xludf.DUMMYFUNCTION("""COMPUTED_VALUE"""),76.0)</f>
        <v>76</v>
      </c>
      <c r="J1509" s="1">
        <f>IFERROR(__xludf.DUMMYFUNCTION("""COMPUTED_VALUE"""),28.0)</f>
        <v>28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 t="str">
        <f>IFERROR(__xludf.DUMMYFUNCTION("""COMPUTED_VALUE"""),"D")</f>
        <v>D</v>
      </c>
      <c r="E1510" s="1">
        <f>IFERROR(__xludf.DUMMYFUNCTION("""COMPUTED_VALUE"""),76.0)</f>
        <v>76</v>
      </c>
      <c r="F1510" s="1">
        <f>IFERROR(__xludf.DUMMYFUNCTION("""COMPUTED_VALUE"""),40.0)</f>
        <v>40</v>
      </c>
      <c r="G1510" s="1">
        <f>IFERROR(__xludf.DUMMYFUNCTION("""COMPUTED_VALUE"""),47.0)</f>
        <v>47</v>
      </c>
      <c r="H1510" s="1">
        <f>IFERROR(__xludf.DUMMYFUNCTION("""COMPUTED_VALUE"""),83.0)</f>
        <v>83</v>
      </c>
      <c r="I1510" s="1">
        <f>IFERROR(__xludf.DUMMYFUNCTION("""COMPUTED_VALUE"""),85.0)</f>
        <v>85</v>
      </c>
      <c r="J1510" s="1">
        <f>IFERROR(__xludf.DUMMYFUNCTION("""COMPUTED_VALUE"""),37.0)</f>
        <v>37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 t="str">
        <f>IFERROR(__xludf.DUMMYFUNCTION("""COMPUTED_VALUE"""),"B")</f>
        <v>B</v>
      </c>
      <c r="E1511" s="1">
        <f>IFERROR(__xludf.DUMMYFUNCTION("""COMPUTED_VALUE"""),95.0)</f>
        <v>95</v>
      </c>
      <c r="F1511" s="1">
        <f>IFERROR(__xludf.DUMMYFUNCTION("""COMPUTED_VALUE"""),82.0)</f>
        <v>82</v>
      </c>
      <c r="G1511" s="1">
        <f>IFERROR(__xludf.DUMMYFUNCTION("""COMPUTED_VALUE"""),31.0)</f>
        <v>31</v>
      </c>
      <c r="H1511" s="1">
        <f>IFERROR(__xludf.DUMMYFUNCTION("""COMPUTED_VALUE"""),92.0)</f>
        <v>92</v>
      </c>
      <c r="I1511" s="1">
        <f>IFERROR(__xludf.DUMMYFUNCTION("""COMPUTED_VALUE"""),22.0)</f>
        <v>22</v>
      </c>
      <c r="J1511" s="1">
        <f>IFERROR(__xludf.DUMMYFUNCTION("""COMPUTED_VALUE"""),47.0)</f>
        <v>47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 t="str">
        <f>IFERROR(__xludf.DUMMYFUNCTION("""COMPUTED_VALUE"""),"B")</f>
        <v>B</v>
      </c>
      <c r="E1512" s="1">
        <f>IFERROR(__xludf.DUMMYFUNCTION("""COMPUTED_VALUE"""),47.0)</f>
        <v>47</v>
      </c>
      <c r="F1512" s="1">
        <f>IFERROR(__xludf.DUMMYFUNCTION("""COMPUTED_VALUE"""),90.0)</f>
        <v>90</v>
      </c>
      <c r="G1512" s="1">
        <f>IFERROR(__xludf.DUMMYFUNCTION("""COMPUTED_VALUE"""),89.0)</f>
        <v>89</v>
      </c>
      <c r="H1512" s="1">
        <f>IFERROR(__xludf.DUMMYFUNCTION("""COMPUTED_VALUE"""),75.0)</f>
        <v>75</v>
      </c>
      <c r="I1512" s="1">
        <f>IFERROR(__xludf.DUMMYFUNCTION("""COMPUTED_VALUE"""),75.0)</f>
        <v>75</v>
      </c>
      <c r="J1512" s="1">
        <f>IFERROR(__xludf.DUMMYFUNCTION("""COMPUTED_VALUE"""),23.0)</f>
        <v>23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 t="str">
        <f>IFERROR(__xludf.DUMMYFUNCTION("""COMPUTED_VALUE"""),"B")</f>
        <v>B</v>
      </c>
      <c r="E1513" s="1">
        <f>IFERROR(__xludf.DUMMYFUNCTION("""COMPUTED_VALUE"""),85.0)</f>
        <v>85</v>
      </c>
      <c r="F1513" s="1">
        <f>IFERROR(__xludf.DUMMYFUNCTION("""COMPUTED_VALUE"""),61.0)</f>
        <v>61</v>
      </c>
      <c r="G1513" s="1">
        <f>IFERROR(__xludf.DUMMYFUNCTION("""COMPUTED_VALUE"""),90.0)</f>
        <v>90</v>
      </c>
      <c r="H1513" s="1">
        <f>IFERROR(__xludf.DUMMYFUNCTION("""COMPUTED_VALUE"""),54.0)</f>
        <v>54</v>
      </c>
      <c r="I1513" s="1">
        <f>IFERROR(__xludf.DUMMYFUNCTION("""COMPUTED_VALUE"""),84.0)</f>
        <v>84</v>
      </c>
      <c r="J1513" s="1">
        <f>IFERROR(__xludf.DUMMYFUNCTION("""COMPUTED_VALUE"""),41.0)</f>
        <v>41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 t="str">
        <f>IFERROR(__xludf.DUMMYFUNCTION("""COMPUTED_VALUE"""),"C")</f>
        <v>C</v>
      </c>
      <c r="E1514" s="1">
        <f>IFERROR(__xludf.DUMMYFUNCTION("""COMPUTED_VALUE"""),17.0)</f>
        <v>17</v>
      </c>
      <c r="F1514" s="1">
        <f>IFERROR(__xludf.DUMMYFUNCTION("""COMPUTED_VALUE"""),44.0)</f>
        <v>44</v>
      </c>
      <c r="G1514" s="1">
        <f>IFERROR(__xludf.DUMMYFUNCTION("""COMPUTED_VALUE"""),46.0)</f>
        <v>46</v>
      </c>
      <c r="H1514" s="1">
        <f>IFERROR(__xludf.DUMMYFUNCTION("""COMPUTED_VALUE"""),27.0)</f>
        <v>27</v>
      </c>
      <c r="I1514" s="1">
        <f>IFERROR(__xludf.DUMMYFUNCTION("""COMPUTED_VALUE"""),92.0)</f>
        <v>92</v>
      </c>
      <c r="J1514" s="1">
        <f>IFERROR(__xludf.DUMMYFUNCTION("""COMPUTED_VALUE"""),80.0)</f>
        <v>80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 t="str">
        <f>IFERROR(__xludf.DUMMYFUNCTION("""COMPUTED_VALUE"""),"D")</f>
        <v>D</v>
      </c>
      <c r="E1515" s="1">
        <f>IFERROR(__xludf.DUMMYFUNCTION("""COMPUTED_VALUE"""),83.0)</f>
        <v>83</v>
      </c>
      <c r="F1515" s="1">
        <f>IFERROR(__xludf.DUMMYFUNCTION("""COMPUTED_VALUE"""),52.0)</f>
        <v>52</v>
      </c>
      <c r="G1515" s="1">
        <f>IFERROR(__xludf.DUMMYFUNCTION("""COMPUTED_VALUE"""),90.0)</f>
        <v>90</v>
      </c>
      <c r="H1515" s="1">
        <f>IFERROR(__xludf.DUMMYFUNCTION("""COMPUTED_VALUE"""),52.0)</f>
        <v>52</v>
      </c>
      <c r="I1515" s="1">
        <f>IFERROR(__xludf.DUMMYFUNCTION("""COMPUTED_VALUE"""),76.0)</f>
        <v>76</v>
      </c>
      <c r="J1515" s="1">
        <f>IFERROR(__xludf.DUMMYFUNCTION("""COMPUTED_VALUE"""),72.0)</f>
        <v>72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 t="str">
        <f>IFERROR(__xludf.DUMMYFUNCTION("""COMPUTED_VALUE"""),"C")</f>
        <v>C</v>
      </c>
      <c r="E1516" s="1">
        <f>IFERROR(__xludf.DUMMYFUNCTION("""COMPUTED_VALUE"""),96.0)</f>
        <v>96</v>
      </c>
      <c r="F1516" s="1">
        <f>IFERROR(__xludf.DUMMYFUNCTION("""COMPUTED_VALUE"""),47.0)</f>
        <v>47</v>
      </c>
      <c r="G1516" s="1">
        <f>IFERROR(__xludf.DUMMYFUNCTION("""COMPUTED_VALUE"""),42.0)</f>
        <v>42</v>
      </c>
      <c r="H1516" s="1">
        <f>IFERROR(__xludf.DUMMYFUNCTION("""COMPUTED_VALUE"""),22.0)</f>
        <v>22</v>
      </c>
      <c r="I1516" s="1">
        <f>IFERROR(__xludf.DUMMYFUNCTION("""COMPUTED_VALUE"""),61.0)</f>
        <v>61</v>
      </c>
      <c r="J1516" s="1">
        <f>IFERROR(__xludf.DUMMYFUNCTION("""COMPUTED_VALUE"""),40.0)</f>
        <v>40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 t="str">
        <f>IFERROR(__xludf.DUMMYFUNCTION("""COMPUTED_VALUE"""),"A")</f>
        <v>A</v>
      </c>
      <c r="E1517" s="1">
        <f>IFERROR(__xludf.DUMMYFUNCTION("""COMPUTED_VALUE"""),26.0)</f>
        <v>26</v>
      </c>
      <c r="F1517" s="1">
        <f>IFERROR(__xludf.DUMMYFUNCTION("""COMPUTED_VALUE"""),66.0)</f>
        <v>66</v>
      </c>
      <c r="G1517" s="1">
        <f>IFERROR(__xludf.DUMMYFUNCTION("""COMPUTED_VALUE"""),90.0)</f>
        <v>90</v>
      </c>
      <c r="H1517" s="1">
        <f>IFERROR(__xludf.DUMMYFUNCTION("""COMPUTED_VALUE"""),89.0)</f>
        <v>89</v>
      </c>
      <c r="I1517" s="1">
        <f>IFERROR(__xludf.DUMMYFUNCTION("""COMPUTED_VALUE"""),48.0)</f>
        <v>48</v>
      </c>
      <c r="J1517" s="1">
        <f>IFERROR(__xludf.DUMMYFUNCTION("""COMPUTED_VALUE"""),46.0)</f>
        <v>46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 t="str">
        <f>IFERROR(__xludf.DUMMYFUNCTION("""COMPUTED_VALUE"""),"C")</f>
        <v>C</v>
      </c>
      <c r="E1518" s="1">
        <f>IFERROR(__xludf.DUMMYFUNCTION("""COMPUTED_VALUE"""),98.0)</f>
        <v>98</v>
      </c>
      <c r="F1518" s="1">
        <f>IFERROR(__xludf.DUMMYFUNCTION("""COMPUTED_VALUE"""),23.0)</f>
        <v>23</v>
      </c>
      <c r="G1518" s="1">
        <f>IFERROR(__xludf.DUMMYFUNCTION("""COMPUTED_VALUE"""),57.0)</f>
        <v>57</v>
      </c>
      <c r="H1518" s="1">
        <f>IFERROR(__xludf.DUMMYFUNCTION("""COMPUTED_VALUE"""),41.0)</f>
        <v>41</v>
      </c>
      <c r="I1518" s="1">
        <f>IFERROR(__xludf.DUMMYFUNCTION("""COMPUTED_VALUE"""),32.0)</f>
        <v>32</v>
      </c>
      <c r="J1518" s="1">
        <f>IFERROR(__xludf.DUMMYFUNCTION("""COMPUTED_VALUE"""),26.0)</f>
        <v>26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 t="str">
        <f>IFERROR(__xludf.DUMMYFUNCTION("""COMPUTED_VALUE"""),"C")</f>
        <v>C</v>
      </c>
      <c r="E1519" s="1">
        <f>IFERROR(__xludf.DUMMYFUNCTION("""COMPUTED_VALUE"""),83.0)</f>
        <v>83</v>
      </c>
      <c r="F1519" s="1">
        <f>IFERROR(__xludf.DUMMYFUNCTION("""COMPUTED_VALUE"""),31.0)</f>
        <v>31</v>
      </c>
      <c r="G1519" s="1">
        <f>IFERROR(__xludf.DUMMYFUNCTION("""COMPUTED_VALUE"""),42.0)</f>
        <v>42</v>
      </c>
      <c r="H1519" s="1">
        <f>IFERROR(__xludf.DUMMYFUNCTION("""COMPUTED_VALUE"""),26.0)</f>
        <v>26</v>
      </c>
      <c r="I1519" s="1">
        <f>IFERROR(__xludf.DUMMYFUNCTION("""COMPUTED_VALUE"""),56.0)</f>
        <v>56</v>
      </c>
      <c r="J1519" s="1">
        <f>IFERROR(__xludf.DUMMYFUNCTION("""COMPUTED_VALUE"""),23.0)</f>
        <v>23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 t="str">
        <f>IFERROR(__xludf.DUMMYFUNCTION("""COMPUTED_VALUE"""),"C")</f>
        <v>C</v>
      </c>
      <c r="E1520" s="1">
        <f>IFERROR(__xludf.DUMMYFUNCTION("""COMPUTED_VALUE"""),66.0)</f>
        <v>66</v>
      </c>
      <c r="F1520" s="1">
        <f>IFERROR(__xludf.DUMMYFUNCTION("""COMPUTED_VALUE"""),57.0)</f>
        <v>57</v>
      </c>
      <c r="G1520" s="1">
        <f>IFERROR(__xludf.DUMMYFUNCTION("""COMPUTED_VALUE"""),75.0)</f>
        <v>75</v>
      </c>
      <c r="H1520" s="1">
        <f>IFERROR(__xludf.DUMMYFUNCTION("""COMPUTED_VALUE"""),89.0)</f>
        <v>89</v>
      </c>
      <c r="I1520" s="1">
        <f>IFERROR(__xludf.DUMMYFUNCTION("""COMPUTED_VALUE"""),39.0)</f>
        <v>39</v>
      </c>
      <c r="J1520" s="1">
        <f>IFERROR(__xludf.DUMMYFUNCTION("""COMPUTED_VALUE"""),24.0)</f>
        <v>24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 t="str">
        <f>IFERROR(__xludf.DUMMYFUNCTION("""COMPUTED_VALUE"""),"B")</f>
        <v>B</v>
      </c>
      <c r="E1521" s="1">
        <f>IFERROR(__xludf.DUMMYFUNCTION("""COMPUTED_VALUE"""),60.0)</f>
        <v>60</v>
      </c>
      <c r="F1521" s="1">
        <f>IFERROR(__xludf.DUMMYFUNCTION("""COMPUTED_VALUE"""),27.0)</f>
        <v>27</v>
      </c>
      <c r="G1521" s="1">
        <f>IFERROR(__xludf.DUMMYFUNCTION("""COMPUTED_VALUE"""),98.0)</f>
        <v>98</v>
      </c>
      <c r="H1521" s="1">
        <f>IFERROR(__xludf.DUMMYFUNCTION("""COMPUTED_VALUE"""),34.0)</f>
        <v>34</v>
      </c>
      <c r="I1521" s="1">
        <f>IFERROR(__xludf.DUMMYFUNCTION("""COMPUTED_VALUE"""),58.0)</f>
        <v>58</v>
      </c>
      <c r="J1521" s="1">
        <f>IFERROR(__xludf.DUMMYFUNCTION("""COMPUTED_VALUE"""),20.0)</f>
        <v>20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 t="str">
        <f>IFERROR(__xludf.DUMMYFUNCTION("""COMPUTED_VALUE"""),"B")</f>
        <v>B</v>
      </c>
      <c r="E1522" s="1">
        <f>IFERROR(__xludf.DUMMYFUNCTION("""COMPUTED_VALUE"""),22.0)</f>
        <v>22</v>
      </c>
      <c r="F1522" s="1">
        <f>IFERROR(__xludf.DUMMYFUNCTION("""COMPUTED_VALUE"""),24.0)</f>
        <v>24</v>
      </c>
      <c r="G1522" s="1">
        <f>IFERROR(__xludf.DUMMYFUNCTION("""COMPUTED_VALUE"""),36.0)</f>
        <v>36</v>
      </c>
      <c r="H1522" s="1">
        <f>IFERROR(__xludf.DUMMYFUNCTION("""COMPUTED_VALUE"""),90.0)</f>
        <v>90</v>
      </c>
      <c r="I1522" s="1">
        <f>IFERROR(__xludf.DUMMYFUNCTION("""COMPUTED_VALUE"""),71.0)</f>
        <v>71</v>
      </c>
      <c r="J1522" s="1">
        <f>IFERROR(__xludf.DUMMYFUNCTION("""COMPUTED_VALUE"""),63.0)</f>
        <v>63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 t="str">
        <f>IFERROR(__xludf.DUMMYFUNCTION("""COMPUTED_VALUE"""),"D")</f>
        <v>D</v>
      </c>
      <c r="E1523" s="1">
        <f>IFERROR(__xludf.DUMMYFUNCTION("""COMPUTED_VALUE"""),15.0)</f>
        <v>15</v>
      </c>
      <c r="F1523" s="1">
        <f>IFERROR(__xludf.DUMMYFUNCTION("""COMPUTED_VALUE"""),94.0)</f>
        <v>94</v>
      </c>
      <c r="G1523" s="1">
        <f>IFERROR(__xludf.DUMMYFUNCTION("""COMPUTED_VALUE"""),25.0)</f>
        <v>25</v>
      </c>
      <c r="H1523" s="1">
        <f>IFERROR(__xludf.DUMMYFUNCTION("""COMPUTED_VALUE"""),42.0)</f>
        <v>42</v>
      </c>
      <c r="I1523" s="1">
        <f>IFERROR(__xludf.DUMMYFUNCTION("""COMPUTED_VALUE"""),26.0)</f>
        <v>26</v>
      </c>
      <c r="J1523" s="1">
        <f>IFERROR(__xludf.DUMMYFUNCTION("""COMPUTED_VALUE"""),89.0)</f>
        <v>89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 t="str">
        <f>IFERROR(__xludf.DUMMYFUNCTION("""COMPUTED_VALUE"""),"A")</f>
        <v>A</v>
      </c>
      <c r="E1524" s="1">
        <f>IFERROR(__xludf.DUMMYFUNCTION("""COMPUTED_VALUE"""),87.0)</f>
        <v>87</v>
      </c>
      <c r="F1524" s="1">
        <f>IFERROR(__xludf.DUMMYFUNCTION("""COMPUTED_VALUE"""),37.0)</f>
        <v>37</v>
      </c>
      <c r="G1524" s="1">
        <f>IFERROR(__xludf.DUMMYFUNCTION("""COMPUTED_VALUE"""),95.0)</f>
        <v>95</v>
      </c>
      <c r="H1524" s="1">
        <f>IFERROR(__xludf.DUMMYFUNCTION("""COMPUTED_VALUE"""),49.0)</f>
        <v>49</v>
      </c>
      <c r="I1524" s="1">
        <f>IFERROR(__xludf.DUMMYFUNCTION("""COMPUTED_VALUE"""),76.0)</f>
        <v>76</v>
      </c>
      <c r="J1524" s="1">
        <f>IFERROR(__xludf.DUMMYFUNCTION("""COMPUTED_VALUE"""),22.0)</f>
        <v>22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 t="str">
        <f>IFERROR(__xludf.DUMMYFUNCTION("""COMPUTED_VALUE"""),"C")</f>
        <v>C</v>
      </c>
      <c r="E1525" s="1">
        <f>IFERROR(__xludf.DUMMYFUNCTION("""COMPUTED_VALUE"""),53.0)</f>
        <v>53</v>
      </c>
      <c r="F1525" s="1">
        <f>IFERROR(__xludf.DUMMYFUNCTION("""COMPUTED_VALUE"""),85.0)</f>
        <v>85</v>
      </c>
      <c r="G1525" s="1">
        <f>IFERROR(__xludf.DUMMYFUNCTION("""COMPUTED_VALUE"""),89.0)</f>
        <v>89</v>
      </c>
      <c r="H1525" s="1">
        <f>IFERROR(__xludf.DUMMYFUNCTION("""COMPUTED_VALUE"""),58.0)</f>
        <v>58</v>
      </c>
      <c r="I1525" s="1">
        <f>IFERROR(__xludf.DUMMYFUNCTION("""COMPUTED_VALUE"""),62.0)</f>
        <v>62</v>
      </c>
      <c r="J1525" s="1">
        <f>IFERROR(__xludf.DUMMYFUNCTION("""COMPUTED_VALUE"""),69.0)</f>
        <v>69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 t="str">
        <f>IFERROR(__xludf.DUMMYFUNCTION("""COMPUTED_VALUE"""),"B")</f>
        <v>B</v>
      </c>
      <c r="E1526" s="1">
        <f>IFERROR(__xludf.DUMMYFUNCTION("""COMPUTED_VALUE"""),29.0)</f>
        <v>29</v>
      </c>
      <c r="F1526" s="1">
        <f>IFERROR(__xludf.DUMMYFUNCTION("""COMPUTED_VALUE"""),90.0)</f>
        <v>90</v>
      </c>
      <c r="G1526" s="1">
        <f>IFERROR(__xludf.DUMMYFUNCTION("""COMPUTED_VALUE"""),31.0)</f>
        <v>31</v>
      </c>
      <c r="H1526" s="1">
        <f>IFERROR(__xludf.DUMMYFUNCTION("""COMPUTED_VALUE"""),69.0)</f>
        <v>69</v>
      </c>
      <c r="I1526" s="1">
        <f>IFERROR(__xludf.DUMMYFUNCTION("""COMPUTED_VALUE"""),60.0)</f>
        <v>60</v>
      </c>
      <c r="J1526" s="1">
        <f>IFERROR(__xludf.DUMMYFUNCTION("""COMPUTED_VALUE"""),25.0)</f>
        <v>25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 t="str">
        <f>IFERROR(__xludf.DUMMYFUNCTION("""COMPUTED_VALUE"""),"B")</f>
        <v>B</v>
      </c>
      <c r="E1527" s="1">
        <f>IFERROR(__xludf.DUMMYFUNCTION("""COMPUTED_VALUE"""),20.0)</f>
        <v>20</v>
      </c>
      <c r="F1527" s="1">
        <f>IFERROR(__xludf.DUMMYFUNCTION("""COMPUTED_VALUE"""),92.0)</f>
        <v>92</v>
      </c>
      <c r="G1527" s="1">
        <f>IFERROR(__xludf.DUMMYFUNCTION("""COMPUTED_VALUE"""),38.0)</f>
        <v>38</v>
      </c>
      <c r="H1527" s="1">
        <f>IFERROR(__xludf.DUMMYFUNCTION("""COMPUTED_VALUE"""),59.0)</f>
        <v>59</v>
      </c>
      <c r="I1527" s="1">
        <f>IFERROR(__xludf.DUMMYFUNCTION("""COMPUTED_VALUE"""),96.0)</f>
        <v>96</v>
      </c>
      <c r="J1527" s="1">
        <f>IFERROR(__xludf.DUMMYFUNCTION("""COMPUTED_VALUE"""),41.0)</f>
        <v>41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 t="str">
        <f>IFERROR(__xludf.DUMMYFUNCTION("""COMPUTED_VALUE"""),"A")</f>
        <v>A</v>
      </c>
      <c r="E1528" s="1">
        <f>IFERROR(__xludf.DUMMYFUNCTION("""COMPUTED_VALUE"""),47.0)</f>
        <v>47</v>
      </c>
      <c r="F1528" s="1">
        <f>IFERROR(__xludf.DUMMYFUNCTION("""COMPUTED_VALUE"""),42.0)</f>
        <v>42</v>
      </c>
      <c r="G1528" s="1">
        <f>IFERROR(__xludf.DUMMYFUNCTION("""COMPUTED_VALUE"""),42.0)</f>
        <v>42</v>
      </c>
      <c r="H1528" s="1">
        <f>IFERROR(__xludf.DUMMYFUNCTION("""COMPUTED_VALUE"""),50.0)</f>
        <v>50</v>
      </c>
      <c r="I1528" s="1">
        <f>IFERROR(__xludf.DUMMYFUNCTION("""COMPUTED_VALUE"""),99.0)</f>
        <v>99</v>
      </c>
      <c r="J1528" s="1">
        <f>IFERROR(__xludf.DUMMYFUNCTION("""COMPUTED_VALUE"""),64.0)</f>
        <v>64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 t="str">
        <f>IFERROR(__xludf.DUMMYFUNCTION("""COMPUTED_VALUE"""),"B")</f>
        <v>B</v>
      </c>
      <c r="E1529" s="1">
        <f>IFERROR(__xludf.DUMMYFUNCTION("""COMPUTED_VALUE"""),37.0)</f>
        <v>37</v>
      </c>
      <c r="F1529" s="1">
        <f>IFERROR(__xludf.DUMMYFUNCTION("""COMPUTED_VALUE"""),89.0)</f>
        <v>89</v>
      </c>
      <c r="G1529" s="1">
        <f>IFERROR(__xludf.DUMMYFUNCTION("""COMPUTED_VALUE"""),72.0)</f>
        <v>72</v>
      </c>
      <c r="H1529" s="1">
        <f>IFERROR(__xludf.DUMMYFUNCTION("""COMPUTED_VALUE"""),88.0)</f>
        <v>88</v>
      </c>
      <c r="I1529" s="1">
        <f>IFERROR(__xludf.DUMMYFUNCTION("""COMPUTED_VALUE"""),64.0)</f>
        <v>64</v>
      </c>
      <c r="J1529" s="1">
        <f>IFERROR(__xludf.DUMMYFUNCTION("""COMPUTED_VALUE"""),50.0)</f>
        <v>50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 t="str">
        <f>IFERROR(__xludf.DUMMYFUNCTION("""COMPUTED_VALUE"""),"D")</f>
        <v>D</v>
      </c>
      <c r="E1530" s="1">
        <f>IFERROR(__xludf.DUMMYFUNCTION("""COMPUTED_VALUE"""),47.0)</f>
        <v>47</v>
      </c>
      <c r="F1530" s="1">
        <f>IFERROR(__xludf.DUMMYFUNCTION("""COMPUTED_VALUE"""),76.0)</f>
        <v>76</v>
      </c>
      <c r="G1530" s="1">
        <f>IFERROR(__xludf.DUMMYFUNCTION("""COMPUTED_VALUE"""),42.0)</f>
        <v>42</v>
      </c>
      <c r="H1530" s="1">
        <f>IFERROR(__xludf.DUMMYFUNCTION("""COMPUTED_VALUE"""),52.0)</f>
        <v>52</v>
      </c>
      <c r="I1530" s="1">
        <f>IFERROR(__xludf.DUMMYFUNCTION("""COMPUTED_VALUE"""),30.0)</f>
        <v>30</v>
      </c>
      <c r="J1530" s="1">
        <f>IFERROR(__xludf.DUMMYFUNCTION("""COMPUTED_VALUE"""),27.0)</f>
        <v>27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 t="str">
        <f>IFERROR(__xludf.DUMMYFUNCTION("""COMPUTED_VALUE"""),"D")</f>
        <v>D</v>
      </c>
      <c r="E1531" s="1">
        <f>IFERROR(__xludf.DUMMYFUNCTION("""COMPUTED_VALUE"""),86.0)</f>
        <v>86</v>
      </c>
      <c r="F1531" s="1">
        <f>IFERROR(__xludf.DUMMYFUNCTION("""COMPUTED_VALUE"""),64.0)</f>
        <v>64</v>
      </c>
      <c r="G1531" s="1">
        <f>IFERROR(__xludf.DUMMYFUNCTION("""COMPUTED_VALUE"""),57.0)</f>
        <v>57</v>
      </c>
      <c r="H1531" s="1">
        <f>IFERROR(__xludf.DUMMYFUNCTION("""COMPUTED_VALUE"""),25.0)</f>
        <v>25</v>
      </c>
      <c r="I1531" s="1">
        <f>IFERROR(__xludf.DUMMYFUNCTION("""COMPUTED_VALUE"""),78.0)</f>
        <v>78</v>
      </c>
      <c r="J1531" s="1">
        <f>IFERROR(__xludf.DUMMYFUNCTION("""COMPUTED_VALUE"""),44.0)</f>
        <v>44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 t="str">
        <f>IFERROR(__xludf.DUMMYFUNCTION("""COMPUTED_VALUE"""),"D")</f>
        <v>D</v>
      </c>
      <c r="E1532" s="1">
        <f>IFERROR(__xludf.DUMMYFUNCTION("""COMPUTED_VALUE"""),96.0)</f>
        <v>96</v>
      </c>
      <c r="F1532" s="1">
        <f>IFERROR(__xludf.DUMMYFUNCTION("""COMPUTED_VALUE"""),40.0)</f>
        <v>40</v>
      </c>
      <c r="G1532" s="1">
        <f>IFERROR(__xludf.DUMMYFUNCTION("""COMPUTED_VALUE"""),20.0)</f>
        <v>20</v>
      </c>
      <c r="H1532" s="1">
        <f>IFERROR(__xludf.DUMMYFUNCTION("""COMPUTED_VALUE"""),87.0)</f>
        <v>87</v>
      </c>
      <c r="I1532" s="1">
        <f>IFERROR(__xludf.DUMMYFUNCTION("""COMPUTED_VALUE"""),87.0)</f>
        <v>87</v>
      </c>
      <c r="J1532" s="1">
        <f>IFERROR(__xludf.DUMMYFUNCTION("""COMPUTED_VALUE"""),78.0)</f>
        <v>78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 t="str">
        <f>IFERROR(__xludf.DUMMYFUNCTION("""COMPUTED_VALUE"""),"A")</f>
        <v>A</v>
      </c>
      <c r="E1533" s="1">
        <f>IFERROR(__xludf.DUMMYFUNCTION("""COMPUTED_VALUE"""),38.0)</f>
        <v>38</v>
      </c>
      <c r="F1533" s="1">
        <f>IFERROR(__xludf.DUMMYFUNCTION("""COMPUTED_VALUE"""),96.0)</f>
        <v>96</v>
      </c>
      <c r="G1533" s="1">
        <f>IFERROR(__xludf.DUMMYFUNCTION("""COMPUTED_VALUE"""),73.0)</f>
        <v>73</v>
      </c>
      <c r="H1533" s="1">
        <f>IFERROR(__xludf.DUMMYFUNCTION("""COMPUTED_VALUE"""),54.0)</f>
        <v>54</v>
      </c>
      <c r="I1533" s="1">
        <f>IFERROR(__xludf.DUMMYFUNCTION("""COMPUTED_VALUE"""),21.0)</f>
        <v>21</v>
      </c>
      <c r="J1533" s="1">
        <f>IFERROR(__xludf.DUMMYFUNCTION("""COMPUTED_VALUE"""),90.0)</f>
        <v>90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 t="str">
        <f>IFERROR(__xludf.DUMMYFUNCTION("""COMPUTED_VALUE"""),"A")</f>
        <v>A</v>
      </c>
      <c r="E1534" s="1">
        <f>IFERROR(__xludf.DUMMYFUNCTION("""COMPUTED_VALUE"""),17.0)</f>
        <v>17</v>
      </c>
      <c r="F1534" s="1">
        <f>IFERROR(__xludf.DUMMYFUNCTION("""COMPUTED_VALUE"""),87.0)</f>
        <v>87</v>
      </c>
      <c r="G1534" s="1">
        <f>IFERROR(__xludf.DUMMYFUNCTION("""COMPUTED_VALUE"""),87.0)</f>
        <v>87</v>
      </c>
      <c r="H1534" s="1">
        <f>IFERROR(__xludf.DUMMYFUNCTION("""COMPUTED_VALUE"""),26.0)</f>
        <v>26</v>
      </c>
      <c r="I1534" s="1">
        <f>IFERROR(__xludf.DUMMYFUNCTION("""COMPUTED_VALUE"""),37.0)</f>
        <v>37</v>
      </c>
      <c r="J1534" s="1">
        <f>IFERROR(__xludf.DUMMYFUNCTION("""COMPUTED_VALUE"""),82.0)</f>
        <v>82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 t="str">
        <f>IFERROR(__xludf.DUMMYFUNCTION("""COMPUTED_VALUE"""),"B")</f>
        <v>B</v>
      </c>
      <c r="E1535" s="1">
        <f>IFERROR(__xludf.DUMMYFUNCTION("""COMPUTED_VALUE"""),36.0)</f>
        <v>36</v>
      </c>
      <c r="F1535" s="1">
        <f>IFERROR(__xludf.DUMMYFUNCTION("""COMPUTED_VALUE"""),36.0)</f>
        <v>36</v>
      </c>
      <c r="G1535" s="1">
        <f>IFERROR(__xludf.DUMMYFUNCTION("""COMPUTED_VALUE"""),58.0)</f>
        <v>58</v>
      </c>
      <c r="H1535" s="1">
        <f>IFERROR(__xludf.DUMMYFUNCTION("""COMPUTED_VALUE"""),59.0)</f>
        <v>59</v>
      </c>
      <c r="I1535" s="1">
        <f>IFERROR(__xludf.DUMMYFUNCTION("""COMPUTED_VALUE"""),66.0)</f>
        <v>66</v>
      </c>
      <c r="J1535" s="1">
        <f>IFERROR(__xludf.DUMMYFUNCTION("""COMPUTED_VALUE"""),83.0)</f>
        <v>83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 t="str">
        <f>IFERROR(__xludf.DUMMYFUNCTION("""COMPUTED_VALUE"""),"C")</f>
        <v>C</v>
      </c>
      <c r="E1536" s="1">
        <f>IFERROR(__xludf.DUMMYFUNCTION("""COMPUTED_VALUE"""),96.0)</f>
        <v>96</v>
      </c>
      <c r="F1536" s="1">
        <f>IFERROR(__xludf.DUMMYFUNCTION("""COMPUTED_VALUE"""),21.0)</f>
        <v>21</v>
      </c>
      <c r="G1536" s="1">
        <f>IFERROR(__xludf.DUMMYFUNCTION("""COMPUTED_VALUE"""),87.0)</f>
        <v>87</v>
      </c>
      <c r="H1536" s="1">
        <f>IFERROR(__xludf.DUMMYFUNCTION("""COMPUTED_VALUE"""),58.0)</f>
        <v>58</v>
      </c>
      <c r="I1536" s="1">
        <f>IFERROR(__xludf.DUMMYFUNCTION("""COMPUTED_VALUE"""),49.0)</f>
        <v>49</v>
      </c>
      <c r="J1536" s="1">
        <f>IFERROR(__xludf.DUMMYFUNCTION("""COMPUTED_VALUE"""),42.0)</f>
        <v>42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 t="str">
        <f>IFERROR(__xludf.DUMMYFUNCTION("""COMPUTED_VALUE"""),"D")</f>
        <v>D</v>
      </c>
      <c r="E1537" s="1">
        <f>IFERROR(__xludf.DUMMYFUNCTION("""COMPUTED_VALUE"""),41.0)</f>
        <v>41</v>
      </c>
      <c r="F1537" s="1">
        <f>IFERROR(__xludf.DUMMYFUNCTION("""COMPUTED_VALUE"""),48.0)</f>
        <v>48</v>
      </c>
      <c r="G1537" s="1">
        <f>IFERROR(__xludf.DUMMYFUNCTION("""COMPUTED_VALUE"""),23.0)</f>
        <v>23</v>
      </c>
      <c r="H1537" s="1">
        <f>IFERROR(__xludf.DUMMYFUNCTION("""COMPUTED_VALUE"""),91.0)</f>
        <v>91</v>
      </c>
      <c r="I1537" s="1">
        <f>IFERROR(__xludf.DUMMYFUNCTION("""COMPUTED_VALUE"""),46.0)</f>
        <v>46</v>
      </c>
      <c r="J1537" s="1">
        <f>IFERROR(__xludf.DUMMYFUNCTION("""COMPUTED_VALUE"""),48.0)</f>
        <v>48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 t="str">
        <f>IFERROR(__xludf.DUMMYFUNCTION("""COMPUTED_VALUE"""),"C")</f>
        <v>C</v>
      </c>
      <c r="E1538" s="1">
        <f>IFERROR(__xludf.DUMMYFUNCTION("""COMPUTED_VALUE"""),16.0)</f>
        <v>16</v>
      </c>
      <c r="F1538" s="1">
        <f>IFERROR(__xludf.DUMMYFUNCTION("""COMPUTED_VALUE"""),29.0)</f>
        <v>29</v>
      </c>
      <c r="G1538" s="1">
        <f>IFERROR(__xludf.DUMMYFUNCTION("""COMPUTED_VALUE"""),24.0)</f>
        <v>24</v>
      </c>
      <c r="H1538" s="1">
        <f>IFERROR(__xludf.DUMMYFUNCTION("""COMPUTED_VALUE"""),95.0)</f>
        <v>95</v>
      </c>
      <c r="I1538" s="1">
        <f>IFERROR(__xludf.DUMMYFUNCTION("""COMPUTED_VALUE"""),38.0)</f>
        <v>38</v>
      </c>
      <c r="J1538" s="1">
        <f>IFERROR(__xludf.DUMMYFUNCTION("""COMPUTED_VALUE"""),54.0)</f>
        <v>54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 t="str">
        <f>IFERROR(__xludf.DUMMYFUNCTION("""COMPUTED_VALUE"""),"A")</f>
        <v>A</v>
      </c>
      <c r="E1539" s="1">
        <f>IFERROR(__xludf.DUMMYFUNCTION("""COMPUTED_VALUE"""),26.0)</f>
        <v>26</v>
      </c>
      <c r="F1539" s="1">
        <f>IFERROR(__xludf.DUMMYFUNCTION("""COMPUTED_VALUE"""),90.0)</f>
        <v>90</v>
      </c>
      <c r="G1539" s="1">
        <f>IFERROR(__xludf.DUMMYFUNCTION("""COMPUTED_VALUE"""),61.0)</f>
        <v>61</v>
      </c>
      <c r="H1539" s="1">
        <f>IFERROR(__xludf.DUMMYFUNCTION("""COMPUTED_VALUE"""),64.0)</f>
        <v>64</v>
      </c>
      <c r="I1539" s="1">
        <f>IFERROR(__xludf.DUMMYFUNCTION("""COMPUTED_VALUE"""),60.0)</f>
        <v>60</v>
      </c>
      <c r="J1539" s="1">
        <f>IFERROR(__xludf.DUMMYFUNCTION("""COMPUTED_VALUE"""),45.0)</f>
        <v>45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 t="str">
        <f>IFERROR(__xludf.DUMMYFUNCTION("""COMPUTED_VALUE"""),"B")</f>
        <v>B</v>
      </c>
      <c r="E1540" s="1">
        <f>IFERROR(__xludf.DUMMYFUNCTION("""COMPUTED_VALUE"""),21.0)</f>
        <v>21</v>
      </c>
      <c r="F1540" s="1">
        <f>IFERROR(__xludf.DUMMYFUNCTION("""COMPUTED_VALUE"""),84.0)</f>
        <v>84</v>
      </c>
      <c r="G1540" s="1">
        <f>IFERROR(__xludf.DUMMYFUNCTION("""COMPUTED_VALUE"""),80.0)</f>
        <v>80</v>
      </c>
      <c r="H1540" s="1">
        <f>IFERROR(__xludf.DUMMYFUNCTION("""COMPUTED_VALUE"""),42.0)</f>
        <v>42</v>
      </c>
      <c r="I1540" s="1">
        <f>IFERROR(__xludf.DUMMYFUNCTION("""COMPUTED_VALUE"""),55.0)</f>
        <v>55</v>
      </c>
      <c r="J1540" s="1">
        <f>IFERROR(__xludf.DUMMYFUNCTION("""COMPUTED_VALUE"""),61.0)</f>
        <v>61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 t="str">
        <f>IFERROR(__xludf.DUMMYFUNCTION("""COMPUTED_VALUE"""),"B")</f>
        <v>B</v>
      </c>
      <c r="E1541" s="1">
        <f>IFERROR(__xludf.DUMMYFUNCTION("""COMPUTED_VALUE"""),52.0)</f>
        <v>52</v>
      </c>
      <c r="F1541" s="1">
        <f>IFERROR(__xludf.DUMMYFUNCTION("""COMPUTED_VALUE"""),70.0)</f>
        <v>70</v>
      </c>
      <c r="G1541" s="1">
        <f>IFERROR(__xludf.DUMMYFUNCTION("""COMPUTED_VALUE"""),64.0)</f>
        <v>64</v>
      </c>
      <c r="H1541" s="1">
        <f>IFERROR(__xludf.DUMMYFUNCTION("""COMPUTED_VALUE"""),51.0)</f>
        <v>51</v>
      </c>
      <c r="I1541" s="1">
        <f>IFERROR(__xludf.DUMMYFUNCTION("""COMPUTED_VALUE"""),98.0)</f>
        <v>98</v>
      </c>
      <c r="J1541" s="1">
        <f>IFERROR(__xludf.DUMMYFUNCTION("""COMPUTED_VALUE"""),67.0)</f>
        <v>67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 t="str">
        <f>IFERROR(__xludf.DUMMYFUNCTION("""COMPUTED_VALUE"""),"B")</f>
        <v>B</v>
      </c>
      <c r="E1542" s="1">
        <f>IFERROR(__xludf.DUMMYFUNCTION("""COMPUTED_VALUE"""),70.0)</f>
        <v>70</v>
      </c>
      <c r="F1542" s="1">
        <f>IFERROR(__xludf.DUMMYFUNCTION("""COMPUTED_VALUE"""),68.0)</f>
        <v>68</v>
      </c>
      <c r="G1542" s="1">
        <f>IFERROR(__xludf.DUMMYFUNCTION("""COMPUTED_VALUE"""),59.0)</f>
        <v>59</v>
      </c>
      <c r="H1542" s="1">
        <f>IFERROR(__xludf.DUMMYFUNCTION("""COMPUTED_VALUE"""),85.0)</f>
        <v>85</v>
      </c>
      <c r="I1542" s="1">
        <f>IFERROR(__xludf.DUMMYFUNCTION("""COMPUTED_VALUE"""),82.0)</f>
        <v>82</v>
      </c>
      <c r="J1542" s="1">
        <f>IFERROR(__xludf.DUMMYFUNCTION("""COMPUTED_VALUE"""),66.0)</f>
        <v>66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 t="str">
        <f>IFERROR(__xludf.DUMMYFUNCTION("""COMPUTED_VALUE"""),"B")</f>
        <v>B</v>
      </c>
      <c r="E1543" s="1">
        <f>IFERROR(__xludf.DUMMYFUNCTION("""COMPUTED_VALUE"""),21.0)</f>
        <v>21</v>
      </c>
      <c r="F1543" s="1">
        <f>IFERROR(__xludf.DUMMYFUNCTION("""COMPUTED_VALUE"""),74.0)</f>
        <v>74</v>
      </c>
      <c r="G1543" s="1">
        <f>IFERROR(__xludf.DUMMYFUNCTION("""COMPUTED_VALUE"""),95.0)</f>
        <v>95</v>
      </c>
      <c r="H1543" s="1">
        <f>IFERROR(__xludf.DUMMYFUNCTION("""COMPUTED_VALUE"""),66.0)</f>
        <v>66</v>
      </c>
      <c r="I1543" s="1">
        <f>IFERROR(__xludf.DUMMYFUNCTION("""COMPUTED_VALUE"""),65.0)</f>
        <v>65</v>
      </c>
      <c r="J1543" s="1">
        <f>IFERROR(__xludf.DUMMYFUNCTION("""COMPUTED_VALUE"""),68.0)</f>
        <v>68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 t="str">
        <f>IFERROR(__xludf.DUMMYFUNCTION("""COMPUTED_VALUE"""),"D")</f>
        <v>D</v>
      </c>
      <c r="E1544" s="1">
        <f>IFERROR(__xludf.DUMMYFUNCTION("""COMPUTED_VALUE"""),45.0)</f>
        <v>45</v>
      </c>
      <c r="F1544" s="1">
        <f>IFERROR(__xludf.DUMMYFUNCTION("""COMPUTED_VALUE"""),65.0)</f>
        <v>65</v>
      </c>
      <c r="G1544" s="1">
        <f>IFERROR(__xludf.DUMMYFUNCTION("""COMPUTED_VALUE"""),87.0)</f>
        <v>87</v>
      </c>
      <c r="H1544" s="1">
        <f>IFERROR(__xludf.DUMMYFUNCTION("""COMPUTED_VALUE"""),54.0)</f>
        <v>54</v>
      </c>
      <c r="I1544" s="1">
        <f>IFERROR(__xludf.DUMMYFUNCTION("""COMPUTED_VALUE"""),40.0)</f>
        <v>40</v>
      </c>
      <c r="J1544" s="1">
        <f>IFERROR(__xludf.DUMMYFUNCTION("""COMPUTED_VALUE"""),89.0)</f>
        <v>89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 t="str">
        <f>IFERROR(__xludf.DUMMYFUNCTION("""COMPUTED_VALUE"""),"C")</f>
        <v>C</v>
      </c>
      <c r="E1545" s="1">
        <f>IFERROR(__xludf.DUMMYFUNCTION("""COMPUTED_VALUE"""),31.0)</f>
        <v>31</v>
      </c>
      <c r="F1545" s="1">
        <f>IFERROR(__xludf.DUMMYFUNCTION("""COMPUTED_VALUE"""),66.0)</f>
        <v>66</v>
      </c>
      <c r="G1545" s="1">
        <f>IFERROR(__xludf.DUMMYFUNCTION("""COMPUTED_VALUE"""),84.0)</f>
        <v>84</v>
      </c>
      <c r="H1545" s="1">
        <f>IFERROR(__xludf.DUMMYFUNCTION("""COMPUTED_VALUE"""),37.0)</f>
        <v>37</v>
      </c>
      <c r="I1545" s="1">
        <f>IFERROR(__xludf.DUMMYFUNCTION("""COMPUTED_VALUE"""),64.0)</f>
        <v>64</v>
      </c>
      <c r="J1545" s="1">
        <f>IFERROR(__xludf.DUMMYFUNCTION("""COMPUTED_VALUE"""),27.0)</f>
        <v>27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 t="str">
        <f>IFERROR(__xludf.DUMMYFUNCTION("""COMPUTED_VALUE"""),"C")</f>
        <v>C</v>
      </c>
      <c r="E1546" s="1">
        <f>IFERROR(__xludf.DUMMYFUNCTION("""COMPUTED_VALUE"""),98.0)</f>
        <v>98</v>
      </c>
      <c r="F1546" s="1">
        <f>IFERROR(__xludf.DUMMYFUNCTION("""COMPUTED_VALUE"""),98.0)</f>
        <v>98</v>
      </c>
      <c r="G1546" s="1">
        <f>IFERROR(__xludf.DUMMYFUNCTION("""COMPUTED_VALUE"""),84.0)</f>
        <v>84</v>
      </c>
      <c r="H1546" s="1">
        <f>IFERROR(__xludf.DUMMYFUNCTION("""COMPUTED_VALUE"""),40.0)</f>
        <v>40</v>
      </c>
      <c r="I1546" s="1">
        <f>IFERROR(__xludf.DUMMYFUNCTION("""COMPUTED_VALUE"""),57.0)</f>
        <v>57</v>
      </c>
      <c r="J1546" s="1">
        <f>IFERROR(__xludf.DUMMYFUNCTION("""COMPUTED_VALUE"""),74.0)</f>
        <v>74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 t="str">
        <f>IFERROR(__xludf.DUMMYFUNCTION("""COMPUTED_VALUE"""),"D")</f>
        <v>D</v>
      </c>
      <c r="E1547" s="1">
        <f>IFERROR(__xludf.DUMMYFUNCTION("""COMPUTED_VALUE"""),60.0)</f>
        <v>60</v>
      </c>
      <c r="F1547" s="1">
        <f>IFERROR(__xludf.DUMMYFUNCTION("""COMPUTED_VALUE"""),81.0)</f>
        <v>81</v>
      </c>
      <c r="G1547" s="1">
        <f>IFERROR(__xludf.DUMMYFUNCTION("""COMPUTED_VALUE"""),35.0)</f>
        <v>35</v>
      </c>
      <c r="H1547" s="1">
        <f>IFERROR(__xludf.DUMMYFUNCTION("""COMPUTED_VALUE"""),27.0)</f>
        <v>27</v>
      </c>
      <c r="I1547" s="1">
        <f>IFERROR(__xludf.DUMMYFUNCTION("""COMPUTED_VALUE"""),44.0)</f>
        <v>44</v>
      </c>
      <c r="J1547" s="1">
        <f>IFERROR(__xludf.DUMMYFUNCTION("""COMPUTED_VALUE"""),84.0)</f>
        <v>84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 t="str">
        <f>IFERROR(__xludf.DUMMYFUNCTION("""COMPUTED_VALUE"""),"B")</f>
        <v>B</v>
      </c>
      <c r="E1548" s="1">
        <f>IFERROR(__xludf.DUMMYFUNCTION("""COMPUTED_VALUE"""),68.0)</f>
        <v>68</v>
      </c>
      <c r="F1548" s="1">
        <f>IFERROR(__xludf.DUMMYFUNCTION("""COMPUTED_VALUE"""),88.0)</f>
        <v>88</v>
      </c>
      <c r="G1548" s="1">
        <f>IFERROR(__xludf.DUMMYFUNCTION("""COMPUTED_VALUE"""),35.0)</f>
        <v>35</v>
      </c>
      <c r="H1548" s="1">
        <f>IFERROR(__xludf.DUMMYFUNCTION("""COMPUTED_VALUE"""),90.0)</f>
        <v>90</v>
      </c>
      <c r="I1548" s="1">
        <f>IFERROR(__xludf.DUMMYFUNCTION("""COMPUTED_VALUE"""),71.0)</f>
        <v>71</v>
      </c>
      <c r="J1548" s="1">
        <f>IFERROR(__xludf.DUMMYFUNCTION("""COMPUTED_VALUE"""),54.0)</f>
        <v>54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 t="str">
        <f>IFERROR(__xludf.DUMMYFUNCTION("""COMPUTED_VALUE"""),"C")</f>
        <v>C</v>
      </c>
      <c r="E1549" s="1">
        <f>IFERROR(__xludf.DUMMYFUNCTION("""COMPUTED_VALUE"""),91.0)</f>
        <v>91</v>
      </c>
      <c r="F1549" s="1">
        <f>IFERROR(__xludf.DUMMYFUNCTION("""COMPUTED_VALUE"""),84.0)</f>
        <v>84</v>
      </c>
      <c r="G1549" s="1">
        <f>IFERROR(__xludf.DUMMYFUNCTION("""COMPUTED_VALUE"""),21.0)</f>
        <v>21</v>
      </c>
      <c r="H1549" s="1">
        <f>IFERROR(__xludf.DUMMYFUNCTION("""COMPUTED_VALUE"""),61.0)</f>
        <v>61</v>
      </c>
      <c r="I1549" s="1">
        <f>IFERROR(__xludf.DUMMYFUNCTION("""COMPUTED_VALUE"""),98.0)</f>
        <v>98</v>
      </c>
      <c r="J1549" s="1">
        <f>IFERROR(__xludf.DUMMYFUNCTION("""COMPUTED_VALUE"""),73.0)</f>
        <v>73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 t="str">
        <f>IFERROR(__xludf.DUMMYFUNCTION("""COMPUTED_VALUE"""),"D")</f>
        <v>D</v>
      </c>
      <c r="E1550" s="1">
        <f>IFERROR(__xludf.DUMMYFUNCTION("""COMPUTED_VALUE"""),98.0)</f>
        <v>98</v>
      </c>
      <c r="F1550" s="1">
        <f>IFERROR(__xludf.DUMMYFUNCTION("""COMPUTED_VALUE"""),46.0)</f>
        <v>46</v>
      </c>
      <c r="G1550" s="1">
        <f>IFERROR(__xludf.DUMMYFUNCTION("""COMPUTED_VALUE"""),31.0)</f>
        <v>31</v>
      </c>
      <c r="H1550" s="1">
        <f>IFERROR(__xludf.DUMMYFUNCTION("""COMPUTED_VALUE"""),79.0)</f>
        <v>79</v>
      </c>
      <c r="I1550" s="1">
        <f>IFERROR(__xludf.DUMMYFUNCTION("""COMPUTED_VALUE"""),84.0)</f>
        <v>84</v>
      </c>
      <c r="J1550" s="1">
        <f>IFERROR(__xludf.DUMMYFUNCTION("""COMPUTED_VALUE"""),71.0)</f>
        <v>71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 t="str">
        <f>IFERROR(__xludf.DUMMYFUNCTION("""COMPUTED_VALUE"""),"A")</f>
        <v>A</v>
      </c>
      <c r="E1551" s="1">
        <f>IFERROR(__xludf.DUMMYFUNCTION("""COMPUTED_VALUE"""),38.0)</f>
        <v>38</v>
      </c>
      <c r="F1551" s="1">
        <f>IFERROR(__xludf.DUMMYFUNCTION("""COMPUTED_VALUE"""),76.0)</f>
        <v>76</v>
      </c>
      <c r="G1551" s="1">
        <f>IFERROR(__xludf.DUMMYFUNCTION("""COMPUTED_VALUE"""),36.0)</f>
        <v>36</v>
      </c>
      <c r="H1551" s="1">
        <f>IFERROR(__xludf.DUMMYFUNCTION("""COMPUTED_VALUE"""),96.0)</f>
        <v>96</v>
      </c>
      <c r="I1551" s="1">
        <f>IFERROR(__xludf.DUMMYFUNCTION("""COMPUTED_VALUE"""),85.0)</f>
        <v>85</v>
      </c>
      <c r="J1551" s="1">
        <f>IFERROR(__xludf.DUMMYFUNCTION("""COMPUTED_VALUE"""),70.0)</f>
        <v>70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 t="str">
        <f>IFERROR(__xludf.DUMMYFUNCTION("""COMPUTED_VALUE"""),"B")</f>
        <v>B</v>
      </c>
      <c r="E1552" s="1">
        <f>IFERROR(__xludf.DUMMYFUNCTION("""COMPUTED_VALUE"""),26.0)</f>
        <v>26</v>
      </c>
      <c r="F1552" s="1">
        <f>IFERROR(__xludf.DUMMYFUNCTION("""COMPUTED_VALUE"""),68.0)</f>
        <v>68</v>
      </c>
      <c r="G1552" s="1">
        <f>IFERROR(__xludf.DUMMYFUNCTION("""COMPUTED_VALUE"""),53.0)</f>
        <v>53</v>
      </c>
      <c r="H1552" s="1">
        <f>IFERROR(__xludf.DUMMYFUNCTION("""COMPUTED_VALUE"""),61.0)</f>
        <v>61</v>
      </c>
      <c r="I1552" s="1">
        <f>IFERROR(__xludf.DUMMYFUNCTION("""COMPUTED_VALUE"""),25.0)</f>
        <v>25</v>
      </c>
      <c r="J1552" s="1">
        <f>IFERROR(__xludf.DUMMYFUNCTION("""COMPUTED_VALUE"""),87.0)</f>
        <v>87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 t="str">
        <f>IFERROR(__xludf.DUMMYFUNCTION("""COMPUTED_VALUE"""),"D")</f>
        <v>D</v>
      </c>
      <c r="E1553" s="1">
        <f>IFERROR(__xludf.DUMMYFUNCTION("""COMPUTED_VALUE"""),39.0)</f>
        <v>39</v>
      </c>
      <c r="F1553" s="1">
        <f>IFERROR(__xludf.DUMMYFUNCTION("""COMPUTED_VALUE"""),90.0)</f>
        <v>90</v>
      </c>
      <c r="G1553" s="1">
        <f>IFERROR(__xludf.DUMMYFUNCTION("""COMPUTED_VALUE"""),66.0)</f>
        <v>66</v>
      </c>
      <c r="H1553" s="1">
        <f>IFERROR(__xludf.DUMMYFUNCTION("""COMPUTED_VALUE"""),22.0)</f>
        <v>22</v>
      </c>
      <c r="I1553" s="1">
        <f>IFERROR(__xludf.DUMMYFUNCTION("""COMPUTED_VALUE"""),61.0)</f>
        <v>61</v>
      </c>
      <c r="J1553" s="1">
        <f>IFERROR(__xludf.DUMMYFUNCTION("""COMPUTED_VALUE"""),37.0)</f>
        <v>37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 t="str">
        <f>IFERROR(__xludf.DUMMYFUNCTION("""COMPUTED_VALUE"""),"D")</f>
        <v>D</v>
      </c>
      <c r="E1554" s="1">
        <f>IFERROR(__xludf.DUMMYFUNCTION("""COMPUTED_VALUE"""),96.0)</f>
        <v>96</v>
      </c>
      <c r="F1554" s="1">
        <f>IFERROR(__xludf.DUMMYFUNCTION("""COMPUTED_VALUE"""),88.0)</f>
        <v>88</v>
      </c>
      <c r="G1554" s="1">
        <f>IFERROR(__xludf.DUMMYFUNCTION("""COMPUTED_VALUE"""),65.0)</f>
        <v>65</v>
      </c>
      <c r="H1554" s="1">
        <f>IFERROR(__xludf.DUMMYFUNCTION("""COMPUTED_VALUE"""),69.0)</f>
        <v>69</v>
      </c>
      <c r="I1554" s="1">
        <f>IFERROR(__xludf.DUMMYFUNCTION("""COMPUTED_VALUE"""),64.0)</f>
        <v>64</v>
      </c>
      <c r="J1554" s="1">
        <f>IFERROR(__xludf.DUMMYFUNCTION("""COMPUTED_VALUE"""),80.0)</f>
        <v>80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 t="str">
        <f>IFERROR(__xludf.DUMMYFUNCTION("""COMPUTED_VALUE"""),"D")</f>
        <v>D</v>
      </c>
      <c r="E1555" s="1">
        <f>IFERROR(__xludf.DUMMYFUNCTION("""COMPUTED_VALUE"""),21.0)</f>
        <v>21</v>
      </c>
      <c r="F1555" s="1">
        <f>IFERROR(__xludf.DUMMYFUNCTION("""COMPUTED_VALUE"""),32.0)</f>
        <v>32</v>
      </c>
      <c r="G1555" s="1">
        <f>IFERROR(__xludf.DUMMYFUNCTION("""COMPUTED_VALUE"""),49.0)</f>
        <v>49</v>
      </c>
      <c r="H1555" s="1">
        <f>IFERROR(__xludf.DUMMYFUNCTION("""COMPUTED_VALUE"""),50.0)</f>
        <v>50</v>
      </c>
      <c r="I1555" s="1">
        <f>IFERROR(__xludf.DUMMYFUNCTION("""COMPUTED_VALUE"""),42.0)</f>
        <v>42</v>
      </c>
      <c r="J1555" s="1">
        <f>IFERROR(__xludf.DUMMYFUNCTION("""COMPUTED_VALUE"""),62.0)</f>
        <v>62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 t="str">
        <f>IFERROR(__xludf.DUMMYFUNCTION("""COMPUTED_VALUE"""),"B")</f>
        <v>B</v>
      </c>
      <c r="E1556" s="1">
        <f>IFERROR(__xludf.DUMMYFUNCTION("""COMPUTED_VALUE"""),11.0)</f>
        <v>11</v>
      </c>
      <c r="F1556" s="1">
        <f>IFERROR(__xludf.DUMMYFUNCTION("""COMPUTED_VALUE"""),83.0)</f>
        <v>83</v>
      </c>
      <c r="G1556" s="1">
        <f>IFERROR(__xludf.DUMMYFUNCTION("""COMPUTED_VALUE"""),24.0)</f>
        <v>24</v>
      </c>
      <c r="H1556" s="1">
        <f>IFERROR(__xludf.DUMMYFUNCTION("""COMPUTED_VALUE"""),69.0)</f>
        <v>69</v>
      </c>
      <c r="I1556" s="1">
        <f>IFERROR(__xludf.DUMMYFUNCTION("""COMPUTED_VALUE"""),60.0)</f>
        <v>60</v>
      </c>
      <c r="J1556" s="1">
        <f>IFERROR(__xludf.DUMMYFUNCTION("""COMPUTED_VALUE"""),28.0)</f>
        <v>28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 t="str">
        <f>IFERROR(__xludf.DUMMYFUNCTION("""COMPUTED_VALUE"""),"D")</f>
        <v>D</v>
      </c>
      <c r="E1557" s="1">
        <f>IFERROR(__xludf.DUMMYFUNCTION("""COMPUTED_VALUE"""),71.0)</f>
        <v>71</v>
      </c>
      <c r="F1557" s="1">
        <f>IFERROR(__xludf.DUMMYFUNCTION("""COMPUTED_VALUE"""),24.0)</f>
        <v>24</v>
      </c>
      <c r="G1557" s="1">
        <f>IFERROR(__xludf.DUMMYFUNCTION("""COMPUTED_VALUE"""),23.0)</f>
        <v>23</v>
      </c>
      <c r="H1557" s="1">
        <f>IFERROR(__xludf.DUMMYFUNCTION("""COMPUTED_VALUE"""),27.0)</f>
        <v>27</v>
      </c>
      <c r="I1557" s="1">
        <f>IFERROR(__xludf.DUMMYFUNCTION("""COMPUTED_VALUE"""),56.0)</f>
        <v>56</v>
      </c>
      <c r="J1557" s="1">
        <f>IFERROR(__xludf.DUMMYFUNCTION("""COMPUTED_VALUE"""),72.0)</f>
        <v>72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 t="str">
        <f>IFERROR(__xludf.DUMMYFUNCTION("""COMPUTED_VALUE"""),"B")</f>
        <v>B</v>
      </c>
      <c r="E1558" s="1">
        <f>IFERROR(__xludf.DUMMYFUNCTION("""COMPUTED_VALUE"""),27.0)</f>
        <v>27</v>
      </c>
      <c r="F1558" s="1">
        <f>IFERROR(__xludf.DUMMYFUNCTION("""COMPUTED_VALUE"""),20.0)</f>
        <v>20</v>
      </c>
      <c r="G1558" s="1">
        <f>IFERROR(__xludf.DUMMYFUNCTION("""COMPUTED_VALUE"""),20.0)</f>
        <v>20</v>
      </c>
      <c r="H1558" s="1">
        <f>IFERROR(__xludf.DUMMYFUNCTION("""COMPUTED_VALUE"""),94.0)</f>
        <v>94</v>
      </c>
      <c r="I1558" s="1">
        <f>IFERROR(__xludf.DUMMYFUNCTION("""COMPUTED_VALUE"""),31.0)</f>
        <v>31</v>
      </c>
      <c r="J1558" s="1">
        <f>IFERROR(__xludf.DUMMYFUNCTION("""COMPUTED_VALUE"""),89.0)</f>
        <v>89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 t="str">
        <f>IFERROR(__xludf.DUMMYFUNCTION("""COMPUTED_VALUE"""),"A")</f>
        <v>A</v>
      </c>
      <c r="E1559" s="1">
        <f>IFERROR(__xludf.DUMMYFUNCTION("""COMPUTED_VALUE"""),80.0)</f>
        <v>80</v>
      </c>
      <c r="F1559" s="1">
        <f>IFERROR(__xludf.DUMMYFUNCTION("""COMPUTED_VALUE"""),77.0)</f>
        <v>77</v>
      </c>
      <c r="G1559" s="1">
        <f>IFERROR(__xludf.DUMMYFUNCTION("""COMPUTED_VALUE"""),59.0)</f>
        <v>59</v>
      </c>
      <c r="H1559" s="1">
        <f>IFERROR(__xludf.DUMMYFUNCTION("""COMPUTED_VALUE"""),40.0)</f>
        <v>40</v>
      </c>
      <c r="I1559" s="1">
        <f>IFERROR(__xludf.DUMMYFUNCTION("""COMPUTED_VALUE"""),39.0)</f>
        <v>39</v>
      </c>
      <c r="J1559" s="1">
        <f>IFERROR(__xludf.DUMMYFUNCTION("""COMPUTED_VALUE"""),44.0)</f>
        <v>44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 t="str">
        <f>IFERROR(__xludf.DUMMYFUNCTION("""COMPUTED_VALUE"""),"D")</f>
        <v>D</v>
      </c>
      <c r="E1560" s="1">
        <f>IFERROR(__xludf.DUMMYFUNCTION("""COMPUTED_VALUE"""),68.0)</f>
        <v>68</v>
      </c>
      <c r="F1560" s="1">
        <f>IFERROR(__xludf.DUMMYFUNCTION("""COMPUTED_VALUE"""),60.0)</f>
        <v>60</v>
      </c>
      <c r="G1560" s="1">
        <f>IFERROR(__xludf.DUMMYFUNCTION("""COMPUTED_VALUE"""),28.0)</f>
        <v>28</v>
      </c>
      <c r="H1560" s="1">
        <f>IFERROR(__xludf.DUMMYFUNCTION("""COMPUTED_VALUE"""),28.0)</f>
        <v>28</v>
      </c>
      <c r="I1560" s="1">
        <f>IFERROR(__xludf.DUMMYFUNCTION("""COMPUTED_VALUE"""),52.0)</f>
        <v>52</v>
      </c>
      <c r="J1560" s="1">
        <f>IFERROR(__xludf.DUMMYFUNCTION("""COMPUTED_VALUE"""),25.0)</f>
        <v>25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 t="str">
        <f>IFERROR(__xludf.DUMMYFUNCTION("""COMPUTED_VALUE"""),"D")</f>
        <v>D</v>
      </c>
      <c r="E1561" s="1">
        <f>IFERROR(__xludf.DUMMYFUNCTION("""COMPUTED_VALUE"""),98.0)</f>
        <v>98</v>
      </c>
      <c r="F1561" s="1">
        <f>IFERROR(__xludf.DUMMYFUNCTION("""COMPUTED_VALUE"""),82.0)</f>
        <v>82</v>
      </c>
      <c r="G1561" s="1">
        <f>IFERROR(__xludf.DUMMYFUNCTION("""COMPUTED_VALUE"""),80.0)</f>
        <v>80</v>
      </c>
      <c r="H1561" s="1">
        <f>IFERROR(__xludf.DUMMYFUNCTION("""COMPUTED_VALUE"""),54.0)</f>
        <v>54</v>
      </c>
      <c r="I1561" s="1">
        <f>IFERROR(__xludf.DUMMYFUNCTION("""COMPUTED_VALUE"""),78.0)</f>
        <v>78</v>
      </c>
      <c r="J1561" s="1">
        <f>IFERROR(__xludf.DUMMYFUNCTION("""COMPUTED_VALUE"""),84.0)</f>
        <v>84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 t="str">
        <f>IFERROR(__xludf.DUMMYFUNCTION("""COMPUTED_VALUE"""),"C")</f>
        <v>C</v>
      </c>
      <c r="E1562" s="1">
        <f>IFERROR(__xludf.DUMMYFUNCTION("""COMPUTED_VALUE"""),35.0)</f>
        <v>35</v>
      </c>
      <c r="F1562" s="1">
        <f>IFERROR(__xludf.DUMMYFUNCTION("""COMPUTED_VALUE"""),57.0)</f>
        <v>57</v>
      </c>
      <c r="G1562" s="1">
        <f>IFERROR(__xludf.DUMMYFUNCTION("""COMPUTED_VALUE"""),24.0)</f>
        <v>24</v>
      </c>
      <c r="H1562" s="1">
        <f>IFERROR(__xludf.DUMMYFUNCTION("""COMPUTED_VALUE"""),65.0)</f>
        <v>65</v>
      </c>
      <c r="I1562" s="1">
        <f>IFERROR(__xludf.DUMMYFUNCTION("""COMPUTED_VALUE"""),24.0)</f>
        <v>24</v>
      </c>
      <c r="J1562" s="1">
        <f>IFERROR(__xludf.DUMMYFUNCTION("""COMPUTED_VALUE"""),47.0)</f>
        <v>47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 t="str">
        <f>IFERROR(__xludf.DUMMYFUNCTION("""COMPUTED_VALUE"""),"A")</f>
        <v>A</v>
      </c>
      <c r="E1563" s="1">
        <f>IFERROR(__xludf.DUMMYFUNCTION("""COMPUTED_VALUE"""),59.0)</f>
        <v>59</v>
      </c>
      <c r="F1563" s="1">
        <f>IFERROR(__xludf.DUMMYFUNCTION("""COMPUTED_VALUE"""),70.0)</f>
        <v>70</v>
      </c>
      <c r="G1563" s="1">
        <f>IFERROR(__xludf.DUMMYFUNCTION("""COMPUTED_VALUE"""),99.0)</f>
        <v>99</v>
      </c>
      <c r="H1563" s="1">
        <f>IFERROR(__xludf.DUMMYFUNCTION("""COMPUTED_VALUE"""),30.0)</f>
        <v>30</v>
      </c>
      <c r="I1563" s="1">
        <f>IFERROR(__xludf.DUMMYFUNCTION("""COMPUTED_VALUE"""),63.0)</f>
        <v>63</v>
      </c>
      <c r="J1563" s="1">
        <f>IFERROR(__xludf.DUMMYFUNCTION("""COMPUTED_VALUE"""),57.0)</f>
        <v>57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 t="str">
        <f>IFERROR(__xludf.DUMMYFUNCTION("""COMPUTED_VALUE"""),"C")</f>
        <v>C</v>
      </c>
      <c r="E1564" s="1">
        <f>IFERROR(__xludf.DUMMYFUNCTION("""COMPUTED_VALUE"""),93.0)</f>
        <v>93</v>
      </c>
      <c r="F1564" s="1">
        <f>IFERROR(__xludf.DUMMYFUNCTION("""COMPUTED_VALUE"""),62.0)</f>
        <v>62</v>
      </c>
      <c r="G1564" s="1">
        <f>IFERROR(__xludf.DUMMYFUNCTION("""COMPUTED_VALUE"""),78.0)</f>
        <v>78</v>
      </c>
      <c r="H1564" s="1">
        <f>IFERROR(__xludf.DUMMYFUNCTION("""COMPUTED_VALUE"""),96.0)</f>
        <v>96</v>
      </c>
      <c r="I1564" s="1">
        <f>IFERROR(__xludf.DUMMYFUNCTION("""COMPUTED_VALUE"""),85.0)</f>
        <v>85</v>
      </c>
      <c r="J1564" s="1">
        <f>IFERROR(__xludf.DUMMYFUNCTION("""COMPUTED_VALUE"""),63.0)</f>
        <v>63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 t="str">
        <f>IFERROR(__xludf.DUMMYFUNCTION("""COMPUTED_VALUE"""),"C")</f>
        <v>C</v>
      </c>
      <c r="E1565" s="1">
        <f>IFERROR(__xludf.DUMMYFUNCTION("""COMPUTED_VALUE"""),22.0)</f>
        <v>22</v>
      </c>
      <c r="F1565" s="1">
        <f>IFERROR(__xludf.DUMMYFUNCTION("""COMPUTED_VALUE"""),70.0)</f>
        <v>70</v>
      </c>
      <c r="G1565" s="1">
        <f>IFERROR(__xludf.DUMMYFUNCTION("""COMPUTED_VALUE"""),85.0)</f>
        <v>85</v>
      </c>
      <c r="H1565" s="1">
        <f>IFERROR(__xludf.DUMMYFUNCTION("""COMPUTED_VALUE"""),40.0)</f>
        <v>40</v>
      </c>
      <c r="I1565" s="1">
        <f>IFERROR(__xludf.DUMMYFUNCTION("""COMPUTED_VALUE"""),56.0)</f>
        <v>56</v>
      </c>
      <c r="J1565" s="1">
        <f>IFERROR(__xludf.DUMMYFUNCTION("""COMPUTED_VALUE"""),34.0)</f>
        <v>34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 t="str">
        <f>IFERROR(__xludf.DUMMYFUNCTION("""COMPUTED_VALUE"""),"A")</f>
        <v>A</v>
      </c>
      <c r="E1566" s="1">
        <f>IFERROR(__xludf.DUMMYFUNCTION("""COMPUTED_VALUE"""),96.0)</f>
        <v>96</v>
      </c>
      <c r="F1566" s="1">
        <f>IFERROR(__xludf.DUMMYFUNCTION("""COMPUTED_VALUE"""),70.0)</f>
        <v>70</v>
      </c>
      <c r="G1566" s="1">
        <f>IFERROR(__xludf.DUMMYFUNCTION("""COMPUTED_VALUE"""),52.0)</f>
        <v>52</v>
      </c>
      <c r="H1566" s="1">
        <f>IFERROR(__xludf.DUMMYFUNCTION("""COMPUTED_VALUE"""),54.0)</f>
        <v>54</v>
      </c>
      <c r="I1566" s="1">
        <f>IFERROR(__xludf.DUMMYFUNCTION("""COMPUTED_VALUE"""),50.0)</f>
        <v>50</v>
      </c>
      <c r="J1566" s="1">
        <f>IFERROR(__xludf.DUMMYFUNCTION("""COMPUTED_VALUE"""),68.0)</f>
        <v>68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 t="str">
        <f>IFERROR(__xludf.DUMMYFUNCTION("""COMPUTED_VALUE"""),"A")</f>
        <v>A</v>
      </c>
      <c r="E1567" s="1">
        <f>IFERROR(__xludf.DUMMYFUNCTION("""COMPUTED_VALUE"""),94.0)</f>
        <v>94</v>
      </c>
      <c r="F1567" s="1">
        <f>IFERROR(__xludf.DUMMYFUNCTION("""COMPUTED_VALUE"""),71.0)</f>
        <v>71</v>
      </c>
      <c r="G1567" s="1">
        <f>IFERROR(__xludf.DUMMYFUNCTION("""COMPUTED_VALUE"""),67.0)</f>
        <v>67</v>
      </c>
      <c r="H1567" s="1">
        <f>IFERROR(__xludf.DUMMYFUNCTION("""COMPUTED_VALUE"""),65.0)</f>
        <v>65</v>
      </c>
      <c r="I1567" s="1">
        <f>IFERROR(__xludf.DUMMYFUNCTION("""COMPUTED_VALUE"""),54.0)</f>
        <v>54</v>
      </c>
      <c r="J1567" s="1">
        <f>IFERROR(__xludf.DUMMYFUNCTION("""COMPUTED_VALUE"""),25.0)</f>
        <v>25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 t="str">
        <f>IFERROR(__xludf.DUMMYFUNCTION("""COMPUTED_VALUE"""),"B")</f>
        <v>B</v>
      </c>
      <c r="E1568" s="1">
        <f>IFERROR(__xludf.DUMMYFUNCTION("""COMPUTED_VALUE"""),44.0)</f>
        <v>44</v>
      </c>
      <c r="F1568" s="1">
        <f>IFERROR(__xludf.DUMMYFUNCTION("""COMPUTED_VALUE"""),87.0)</f>
        <v>87</v>
      </c>
      <c r="G1568" s="1">
        <f>IFERROR(__xludf.DUMMYFUNCTION("""COMPUTED_VALUE"""),99.0)</f>
        <v>99</v>
      </c>
      <c r="H1568" s="1">
        <f>IFERROR(__xludf.DUMMYFUNCTION("""COMPUTED_VALUE"""),62.0)</f>
        <v>62</v>
      </c>
      <c r="I1568" s="1">
        <f>IFERROR(__xludf.DUMMYFUNCTION("""COMPUTED_VALUE"""),36.0)</f>
        <v>36</v>
      </c>
      <c r="J1568" s="1">
        <f>IFERROR(__xludf.DUMMYFUNCTION("""COMPUTED_VALUE"""),93.0)</f>
        <v>93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 t="str">
        <f>IFERROR(__xludf.DUMMYFUNCTION("""COMPUTED_VALUE"""),"A")</f>
        <v>A</v>
      </c>
      <c r="E1569" s="1">
        <f>IFERROR(__xludf.DUMMYFUNCTION("""COMPUTED_VALUE"""),65.0)</f>
        <v>65</v>
      </c>
      <c r="F1569" s="1">
        <f>IFERROR(__xludf.DUMMYFUNCTION("""COMPUTED_VALUE"""),57.0)</f>
        <v>57</v>
      </c>
      <c r="G1569" s="1">
        <f>IFERROR(__xludf.DUMMYFUNCTION("""COMPUTED_VALUE"""),70.0)</f>
        <v>70</v>
      </c>
      <c r="H1569" s="1">
        <f>IFERROR(__xludf.DUMMYFUNCTION("""COMPUTED_VALUE"""),76.0)</f>
        <v>76</v>
      </c>
      <c r="I1569" s="1">
        <f>IFERROR(__xludf.DUMMYFUNCTION("""COMPUTED_VALUE"""),69.0)</f>
        <v>69</v>
      </c>
      <c r="J1569" s="1">
        <f>IFERROR(__xludf.DUMMYFUNCTION("""COMPUTED_VALUE"""),51.0)</f>
        <v>51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 t="str">
        <f>IFERROR(__xludf.DUMMYFUNCTION("""COMPUTED_VALUE"""),"B")</f>
        <v>B</v>
      </c>
      <c r="E1570" s="1">
        <f>IFERROR(__xludf.DUMMYFUNCTION("""COMPUTED_VALUE"""),34.0)</f>
        <v>34</v>
      </c>
      <c r="F1570" s="1">
        <f>IFERROR(__xludf.DUMMYFUNCTION("""COMPUTED_VALUE"""),81.0)</f>
        <v>81</v>
      </c>
      <c r="G1570" s="1">
        <f>IFERROR(__xludf.DUMMYFUNCTION("""COMPUTED_VALUE"""),56.0)</f>
        <v>56</v>
      </c>
      <c r="H1570" s="1">
        <f>IFERROR(__xludf.DUMMYFUNCTION("""COMPUTED_VALUE"""),66.0)</f>
        <v>66</v>
      </c>
      <c r="I1570" s="1">
        <f>IFERROR(__xludf.DUMMYFUNCTION("""COMPUTED_VALUE"""),52.0)</f>
        <v>52</v>
      </c>
      <c r="J1570" s="1">
        <f>IFERROR(__xludf.DUMMYFUNCTION("""COMPUTED_VALUE"""),78.0)</f>
        <v>78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 t="str">
        <f>IFERROR(__xludf.DUMMYFUNCTION("""COMPUTED_VALUE"""),"D")</f>
        <v>D</v>
      </c>
      <c r="E1571" s="1">
        <f>IFERROR(__xludf.DUMMYFUNCTION("""COMPUTED_VALUE"""),72.0)</f>
        <v>72</v>
      </c>
      <c r="F1571" s="1">
        <f>IFERROR(__xludf.DUMMYFUNCTION("""COMPUTED_VALUE"""),30.0)</f>
        <v>30</v>
      </c>
      <c r="G1571" s="1">
        <f>IFERROR(__xludf.DUMMYFUNCTION("""COMPUTED_VALUE"""),36.0)</f>
        <v>36</v>
      </c>
      <c r="H1571" s="1">
        <f>IFERROR(__xludf.DUMMYFUNCTION("""COMPUTED_VALUE"""),35.0)</f>
        <v>35</v>
      </c>
      <c r="I1571" s="1">
        <f>IFERROR(__xludf.DUMMYFUNCTION("""COMPUTED_VALUE"""),75.0)</f>
        <v>75</v>
      </c>
      <c r="J1571" s="1">
        <f>IFERROR(__xludf.DUMMYFUNCTION("""COMPUTED_VALUE"""),34.0)</f>
        <v>34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 t="str">
        <f>IFERROR(__xludf.DUMMYFUNCTION("""COMPUTED_VALUE"""),"A")</f>
        <v>A</v>
      </c>
      <c r="E1572" s="1">
        <f>IFERROR(__xludf.DUMMYFUNCTION("""COMPUTED_VALUE"""),40.0)</f>
        <v>40</v>
      </c>
      <c r="F1572" s="1">
        <f>IFERROR(__xludf.DUMMYFUNCTION("""COMPUTED_VALUE"""),50.0)</f>
        <v>50</v>
      </c>
      <c r="G1572" s="1">
        <f>IFERROR(__xludf.DUMMYFUNCTION("""COMPUTED_VALUE"""),58.0)</f>
        <v>58</v>
      </c>
      <c r="H1572" s="1">
        <f>IFERROR(__xludf.DUMMYFUNCTION("""COMPUTED_VALUE"""),22.0)</f>
        <v>22</v>
      </c>
      <c r="I1572" s="1">
        <f>IFERROR(__xludf.DUMMYFUNCTION("""COMPUTED_VALUE"""),40.0)</f>
        <v>40</v>
      </c>
      <c r="J1572" s="1">
        <f>IFERROR(__xludf.DUMMYFUNCTION("""COMPUTED_VALUE"""),22.0)</f>
        <v>22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 t="str">
        <f>IFERROR(__xludf.DUMMYFUNCTION("""COMPUTED_VALUE"""),"C")</f>
        <v>C</v>
      </c>
      <c r="E1573" s="1">
        <f>IFERROR(__xludf.DUMMYFUNCTION("""COMPUTED_VALUE"""),54.0)</f>
        <v>54</v>
      </c>
      <c r="F1573" s="1">
        <f>IFERROR(__xludf.DUMMYFUNCTION("""COMPUTED_VALUE"""),24.0)</f>
        <v>24</v>
      </c>
      <c r="G1573" s="1">
        <f>IFERROR(__xludf.DUMMYFUNCTION("""COMPUTED_VALUE"""),90.0)</f>
        <v>90</v>
      </c>
      <c r="H1573" s="1">
        <f>IFERROR(__xludf.DUMMYFUNCTION("""COMPUTED_VALUE"""),92.0)</f>
        <v>92</v>
      </c>
      <c r="I1573" s="1">
        <f>IFERROR(__xludf.DUMMYFUNCTION("""COMPUTED_VALUE"""),69.0)</f>
        <v>69</v>
      </c>
      <c r="J1573" s="1">
        <f>IFERROR(__xludf.DUMMYFUNCTION("""COMPUTED_VALUE"""),68.0)</f>
        <v>68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 t="str">
        <f>IFERROR(__xludf.DUMMYFUNCTION("""COMPUTED_VALUE"""),"C")</f>
        <v>C</v>
      </c>
      <c r="E1574" s="1">
        <f>IFERROR(__xludf.DUMMYFUNCTION("""COMPUTED_VALUE"""),84.0)</f>
        <v>84</v>
      </c>
      <c r="F1574" s="1">
        <f>IFERROR(__xludf.DUMMYFUNCTION("""COMPUTED_VALUE"""),79.0)</f>
        <v>79</v>
      </c>
      <c r="G1574" s="1">
        <f>IFERROR(__xludf.DUMMYFUNCTION("""COMPUTED_VALUE"""),64.0)</f>
        <v>64</v>
      </c>
      <c r="H1574" s="1">
        <f>IFERROR(__xludf.DUMMYFUNCTION("""COMPUTED_VALUE"""),49.0)</f>
        <v>49</v>
      </c>
      <c r="I1574" s="1">
        <f>IFERROR(__xludf.DUMMYFUNCTION("""COMPUTED_VALUE"""),53.0)</f>
        <v>53</v>
      </c>
      <c r="J1574" s="1">
        <f>IFERROR(__xludf.DUMMYFUNCTION("""COMPUTED_VALUE"""),59.0)</f>
        <v>59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 t="str">
        <f>IFERROR(__xludf.DUMMYFUNCTION("""COMPUTED_VALUE"""),"D")</f>
        <v>D</v>
      </c>
      <c r="E1575" s="1">
        <f>IFERROR(__xludf.DUMMYFUNCTION("""COMPUTED_VALUE"""),11.0)</f>
        <v>11</v>
      </c>
      <c r="F1575" s="1">
        <f>IFERROR(__xludf.DUMMYFUNCTION("""COMPUTED_VALUE"""),69.0)</f>
        <v>69</v>
      </c>
      <c r="G1575" s="1">
        <f>IFERROR(__xludf.DUMMYFUNCTION("""COMPUTED_VALUE"""),49.0)</f>
        <v>49</v>
      </c>
      <c r="H1575" s="1">
        <f>IFERROR(__xludf.DUMMYFUNCTION("""COMPUTED_VALUE"""),61.0)</f>
        <v>61</v>
      </c>
      <c r="I1575" s="1">
        <f>IFERROR(__xludf.DUMMYFUNCTION("""COMPUTED_VALUE"""),80.0)</f>
        <v>80</v>
      </c>
      <c r="J1575" s="1">
        <f>IFERROR(__xludf.DUMMYFUNCTION("""COMPUTED_VALUE"""),95.0)</f>
        <v>95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 t="str">
        <f>IFERROR(__xludf.DUMMYFUNCTION("""COMPUTED_VALUE"""),"B")</f>
        <v>B</v>
      </c>
      <c r="E1576" s="1">
        <f>IFERROR(__xludf.DUMMYFUNCTION("""COMPUTED_VALUE"""),71.0)</f>
        <v>71</v>
      </c>
      <c r="F1576" s="1">
        <f>IFERROR(__xludf.DUMMYFUNCTION("""COMPUTED_VALUE"""),54.0)</f>
        <v>54</v>
      </c>
      <c r="G1576" s="1">
        <f>IFERROR(__xludf.DUMMYFUNCTION("""COMPUTED_VALUE"""),98.0)</f>
        <v>98</v>
      </c>
      <c r="H1576" s="1">
        <f>IFERROR(__xludf.DUMMYFUNCTION("""COMPUTED_VALUE"""),75.0)</f>
        <v>75</v>
      </c>
      <c r="I1576" s="1">
        <f>IFERROR(__xludf.DUMMYFUNCTION("""COMPUTED_VALUE"""),72.0)</f>
        <v>72</v>
      </c>
      <c r="J1576" s="1">
        <f>IFERROR(__xludf.DUMMYFUNCTION("""COMPUTED_VALUE"""),92.0)</f>
        <v>92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 t="str">
        <f>IFERROR(__xludf.DUMMYFUNCTION("""COMPUTED_VALUE"""),"A")</f>
        <v>A</v>
      </c>
      <c r="E1577" s="1">
        <f>IFERROR(__xludf.DUMMYFUNCTION("""COMPUTED_VALUE"""),60.0)</f>
        <v>60</v>
      </c>
      <c r="F1577" s="1">
        <f>IFERROR(__xludf.DUMMYFUNCTION("""COMPUTED_VALUE"""),31.0)</f>
        <v>31</v>
      </c>
      <c r="G1577" s="1">
        <f>IFERROR(__xludf.DUMMYFUNCTION("""COMPUTED_VALUE"""),70.0)</f>
        <v>70</v>
      </c>
      <c r="H1577" s="1">
        <f>IFERROR(__xludf.DUMMYFUNCTION("""COMPUTED_VALUE"""),29.0)</f>
        <v>29</v>
      </c>
      <c r="I1577" s="1">
        <f>IFERROR(__xludf.DUMMYFUNCTION("""COMPUTED_VALUE"""),74.0)</f>
        <v>74</v>
      </c>
      <c r="J1577" s="1">
        <f>IFERROR(__xludf.DUMMYFUNCTION("""COMPUTED_VALUE"""),85.0)</f>
        <v>85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 t="str">
        <f>IFERROR(__xludf.DUMMYFUNCTION("""COMPUTED_VALUE"""),"C")</f>
        <v>C</v>
      </c>
      <c r="E1578" s="1">
        <f>IFERROR(__xludf.DUMMYFUNCTION("""COMPUTED_VALUE"""),82.0)</f>
        <v>82</v>
      </c>
      <c r="F1578" s="1">
        <f>IFERROR(__xludf.DUMMYFUNCTION("""COMPUTED_VALUE"""),61.0)</f>
        <v>61</v>
      </c>
      <c r="G1578" s="1">
        <f>IFERROR(__xludf.DUMMYFUNCTION("""COMPUTED_VALUE"""),63.0)</f>
        <v>63</v>
      </c>
      <c r="H1578" s="1">
        <f>IFERROR(__xludf.DUMMYFUNCTION("""COMPUTED_VALUE"""),79.0)</f>
        <v>79</v>
      </c>
      <c r="I1578" s="1">
        <f>IFERROR(__xludf.DUMMYFUNCTION("""COMPUTED_VALUE"""),42.0)</f>
        <v>42</v>
      </c>
      <c r="J1578" s="1">
        <f>IFERROR(__xludf.DUMMYFUNCTION("""COMPUTED_VALUE"""),94.0)</f>
        <v>94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 t="str">
        <f>IFERROR(__xludf.DUMMYFUNCTION("""COMPUTED_VALUE"""),"C")</f>
        <v>C</v>
      </c>
      <c r="E1579" s="1">
        <f>IFERROR(__xludf.DUMMYFUNCTION("""COMPUTED_VALUE"""),87.0)</f>
        <v>87</v>
      </c>
      <c r="F1579" s="1">
        <f>IFERROR(__xludf.DUMMYFUNCTION("""COMPUTED_VALUE"""),38.0)</f>
        <v>38</v>
      </c>
      <c r="G1579" s="1">
        <f>IFERROR(__xludf.DUMMYFUNCTION("""COMPUTED_VALUE"""),89.0)</f>
        <v>89</v>
      </c>
      <c r="H1579" s="1">
        <f>IFERROR(__xludf.DUMMYFUNCTION("""COMPUTED_VALUE"""),50.0)</f>
        <v>50</v>
      </c>
      <c r="I1579" s="1">
        <f>IFERROR(__xludf.DUMMYFUNCTION("""COMPUTED_VALUE"""),94.0)</f>
        <v>94</v>
      </c>
      <c r="J1579" s="1">
        <f>IFERROR(__xludf.DUMMYFUNCTION("""COMPUTED_VALUE"""),25.0)</f>
        <v>25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 t="str">
        <f>IFERROR(__xludf.DUMMYFUNCTION("""COMPUTED_VALUE"""),"C")</f>
        <v>C</v>
      </c>
      <c r="E1580" s="1">
        <f>IFERROR(__xludf.DUMMYFUNCTION("""COMPUTED_VALUE"""),11.0)</f>
        <v>11</v>
      </c>
      <c r="F1580" s="1">
        <f>IFERROR(__xludf.DUMMYFUNCTION("""COMPUTED_VALUE"""),72.0)</f>
        <v>72</v>
      </c>
      <c r="G1580" s="1">
        <f>IFERROR(__xludf.DUMMYFUNCTION("""COMPUTED_VALUE"""),82.0)</f>
        <v>82</v>
      </c>
      <c r="H1580" s="1">
        <f>IFERROR(__xludf.DUMMYFUNCTION("""COMPUTED_VALUE"""),27.0)</f>
        <v>27</v>
      </c>
      <c r="I1580" s="1">
        <f>IFERROR(__xludf.DUMMYFUNCTION("""COMPUTED_VALUE"""),28.0)</f>
        <v>28</v>
      </c>
      <c r="J1580" s="1">
        <f>IFERROR(__xludf.DUMMYFUNCTION("""COMPUTED_VALUE"""),22.0)</f>
        <v>22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 t="str">
        <f>IFERROR(__xludf.DUMMYFUNCTION("""COMPUTED_VALUE"""),"B")</f>
        <v>B</v>
      </c>
      <c r="E1581" s="1">
        <f>IFERROR(__xludf.DUMMYFUNCTION("""COMPUTED_VALUE"""),67.0)</f>
        <v>67</v>
      </c>
      <c r="F1581" s="1">
        <f>IFERROR(__xludf.DUMMYFUNCTION("""COMPUTED_VALUE"""),71.0)</f>
        <v>71</v>
      </c>
      <c r="G1581" s="1">
        <f>IFERROR(__xludf.DUMMYFUNCTION("""COMPUTED_VALUE"""),73.0)</f>
        <v>73</v>
      </c>
      <c r="H1581" s="1">
        <f>IFERROR(__xludf.DUMMYFUNCTION("""COMPUTED_VALUE"""),20.0)</f>
        <v>20</v>
      </c>
      <c r="I1581" s="1">
        <f>IFERROR(__xludf.DUMMYFUNCTION("""COMPUTED_VALUE"""),75.0)</f>
        <v>75</v>
      </c>
      <c r="J1581" s="1">
        <f>IFERROR(__xludf.DUMMYFUNCTION("""COMPUTED_VALUE"""),83.0)</f>
        <v>83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 t="str">
        <f>IFERROR(__xludf.DUMMYFUNCTION("""COMPUTED_VALUE"""),"B")</f>
        <v>B</v>
      </c>
      <c r="E1582" s="1">
        <f>IFERROR(__xludf.DUMMYFUNCTION("""COMPUTED_VALUE"""),51.0)</f>
        <v>51</v>
      </c>
      <c r="F1582" s="1">
        <f>IFERROR(__xludf.DUMMYFUNCTION("""COMPUTED_VALUE"""),81.0)</f>
        <v>81</v>
      </c>
      <c r="G1582" s="1">
        <f>IFERROR(__xludf.DUMMYFUNCTION("""COMPUTED_VALUE"""),90.0)</f>
        <v>90</v>
      </c>
      <c r="H1582" s="1">
        <f>IFERROR(__xludf.DUMMYFUNCTION("""COMPUTED_VALUE"""),89.0)</f>
        <v>89</v>
      </c>
      <c r="I1582" s="1">
        <f>IFERROR(__xludf.DUMMYFUNCTION("""COMPUTED_VALUE"""),92.0)</f>
        <v>92</v>
      </c>
      <c r="J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 t="str">
        <f>IFERROR(__xludf.DUMMYFUNCTION("""COMPUTED_VALUE"""),"A")</f>
        <v>A</v>
      </c>
      <c r="E1583" s="1">
        <f>IFERROR(__xludf.DUMMYFUNCTION("""COMPUTED_VALUE"""),80.0)</f>
        <v>80</v>
      </c>
      <c r="F1583" s="1">
        <f>IFERROR(__xludf.DUMMYFUNCTION("""COMPUTED_VALUE"""),96.0)</f>
        <v>96</v>
      </c>
      <c r="G1583" s="1">
        <f>IFERROR(__xludf.DUMMYFUNCTION("""COMPUTED_VALUE"""),42.0)</f>
        <v>42</v>
      </c>
      <c r="H1583" s="1">
        <f>IFERROR(__xludf.DUMMYFUNCTION("""COMPUTED_VALUE"""),74.0)</f>
        <v>74</v>
      </c>
      <c r="I1583" s="1">
        <f>IFERROR(__xludf.DUMMYFUNCTION("""COMPUTED_VALUE"""),76.0)</f>
        <v>76</v>
      </c>
      <c r="J1583" s="1">
        <f>IFERROR(__xludf.DUMMYFUNCTION("""COMPUTED_VALUE"""),22.0)</f>
        <v>22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 t="str">
        <f>IFERROR(__xludf.DUMMYFUNCTION("""COMPUTED_VALUE"""),"B")</f>
        <v>B</v>
      </c>
      <c r="E1584" s="1">
        <f>IFERROR(__xludf.DUMMYFUNCTION("""COMPUTED_VALUE"""),69.0)</f>
        <v>69</v>
      </c>
      <c r="F1584" s="1">
        <f>IFERROR(__xludf.DUMMYFUNCTION("""COMPUTED_VALUE"""),22.0)</f>
        <v>22</v>
      </c>
      <c r="G1584" s="1">
        <f>IFERROR(__xludf.DUMMYFUNCTION("""COMPUTED_VALUE"""),84.0)</f>
        <v>84</v>
      </c>
      <c r="H1584" s="1">
        <f>IFERROR(__xludf.DUMMYFUNCTION("""COMPUTED_VALUE"""),94.0)</f>
        <v>94</v>
      </c>
      <c r="I1584" s="1">
        <f>IFERROR(__xludf.DUMMYFUNCTION("""COMPUTED_VALUE"""),49.0)</f>
        <v>49</v>
      </c>
      <c r="J1584" s="1">
        <f>IFERROR(__xludf.DUMMYFUNCTION("""COMPUTED_VALUE"""),97.0)</f>
        <v>97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 t="str">
        <f>IFERROR(__xludf.DUMMYFUNCTION("""COMPUTED_VALUE"""),"C")</f>
        <v>C</v>
      </c>
      <c r="E1585" s="1">
        <f>IFERROR(__xludf.DUMMYFUNCTION("""COMPUTED_VALUE"""),16.0)</f>
        <v>16</v>
      </c>
      <c r="F1585" s="1">
        <f>IFERROR(__xludf.DUMMYFUNCTION("""COMPUTED_VALUE"""),53.0)</f>
        <v>53</v>
      </c>
      <c r="G1585" s="1">
        <f>IFERROR(__xludf.DUMMYFUNCTION("""COMPUTED_VALUE"""),58.0)</f>
        <v>58</v>
      </c>
      <c r="H1585" s="1">
        <f>IFERROR(__xludf.DUMMYFUNCTION("""COMPUTED_VALUE"""),84.0)</f>
        <v>84</v>
      </c>
      <c r="I1585" s="1">
        <f>IFERROR(__xludf.DUMMYFUNCTION("""COMPUTED_VALUE"""),73.0)</f>
        <v>73</v>
      </c>
      <c r="J1585" s="1">
        <f>IFERROR(__xludf.DUMMYFUNCTION("""COMPUTED_VALUE"""),33.0)</f>
        <v>33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 t="str">
        <f>IFERROR(__xludf.DUMMYFUNCTION("""COMPUTED_VALUE"""),"C")</f>
        <v>C</v>
      </c>
      <c r="E1586" s="1">
        <f>IFERROR(__xludf.DUMMYFUNCTION("""COMPUTED_VALUE"""),94.0)</f>
        <v>94</v>
      </c>
      <c r="F1586" s="1">
        <f>IFERROR(__xludf.DUMMYFUNCTION("""COMPUTED_VALUE"""),48.0)</f>
        <v>48</v>
      </c>
      <c r="G1586" s="1">
        <f>IFERROR(__xludf.DUMMYFUNCTION("""COMPUTED_VALUE"""),87.0)</f>
        <v>87</v>
      </c>
      <c r="H1586" s="1">
        <f>IFERROR(__xludf.DUMMYFUNCTION("""COMPUTED_VALUE"""),57.0)</f>
        <v>57</v>
      </c>
      <c r="I1586" s="1">
        <f>IFERROR(__xludf.DUMMYFUNCTION("""COMPUTED_VALUE"""),26.0)</f>
        <v>26</v>
      </c>
      <c r="J1586" s="1">
        <f>IFERROR(__xludf.DUMMYFUNCTION("""COMPUTED_VALUE"""),60.0)</f>
        <v>60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 t="str">
        <f>IFERROR(__xludf.DUMMYFUNCTION("""COMPUTED_VALUE"""),"B")</f>
        <v>B</v>
      </c>
      <c r="E1587" s="1">
        <f>IFERROR(__xludf.DUMMYFUNCTION("""COMPUTED_VALUE"""),85.0)</f>
        <v>85</v>
      </c>
      <c r="F1587" s="1">
        <f>IFERROR(__xludf.DUMMYFUNCTION("""COMPUTED_VALUE"""),74.0)</f>
        <v>74</v>
      </c>
      <c r="G1587" s="1">
        <f>IFERROR(__xludf.DUMMYFUNCTION("""COMPUTED_VALUE"""),30.0)</f>
        <v>30</v>
      </c>
      <c r="H1587" s="1">
        <f>IFERROR(__xludf.DUMMYFUNCTION("""COMPUTED_VALUE"""),76.0)</f>
        <v>76</v>
      </c>
      <c r="I1587" s="1">
        <f>IFERROR(__xludf.DUMMYFUNCTION("""COMPUTED_VALUE"""),78.0)</f>
        <v>78</v>
      </c>
      <c r="J1587" s="1">
        <f>IFERROR(__xludf.DUMMYFUNCTION("""COMPUTED_VALUE"""),92.0)</f>
        <v>92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 t="str">
        <f>IFERROR(__xludf.DUMMYFUNCTION("""COMPUTED_VALUE"""),"A")</f>
        <v>A</v>
      </c>
      <c r="E1588" s="1">
        <f>IFERROR(__xludf.DUMMYFUNCTION("""COMPUTED_VALUE"""),79.0)</f>
        <v>79</v>
      </c>
      <c r="F1588" s="1">
        <f>IFERROR(__xludf.DUMMYFUNCTION("""COMPUTED_VALUE"""),64.0)</f>
        <v>64</v>
      </c>
      <c r="G1588" s="1">
        <f>IFERROR(__xludf.DUMMYFUNCTION("""COMPUTED_VALUE"""),26.0)</f>
        <v>26</v>
      </c>
      <c r="H1588" s="1">
        <f>IFERROR(__xludf.DUMMYFUNCTION("""COMPUTED_VALUE"""),28.0)</f>
        <v>28</v>
      </c>
      <c r="I1588" s="1">
        <f>IFERROR(__xludf.DUMMYFUNCTION("""COMPUTED_VALUE"""),89.0)</f>
        <v>89</v>
      </c>
      <c r="J1588" s="1">
        <f>IFERROR(__xludf.DUMMYFUNCTION("""COMPUTED_VALUE"""),66.0)</f>
        <v>66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 t="str">
        <f>IFERROR(__xludf.DUMMYFUNCTION("""COMPUTED_VALUE"""),"C")</f>
        <v>C</v>
      </c>
      <c r="E1589" s="1">
        <f>IFERROR(__xludf.DUMMYFUNCTION("""COMPUTED_VALUE"""),80.0)</f>
        <v>80</v>
      </c>
      <c r="F1589" s="1">
        <f>IFERROR(__xludf.DUMMYFUNCTION("""COMPUTED_VALUE"""),33.0)</f>
        <v>33</v>
      </c>
      <c r="G1589" s="1">
        <f>IFERROR(__xludf.DUMMYFUNCTION("""COMPUTED_VALUE"""),93.0)</f>
        <v>93</v>
      </c>
      <c r="H1589" s="1">
        <f>IFERROR(__xludf.DUMMYFUNCTION("""COMPUTED_VALUE"""),37.0)</f>
        <v>37</v>
      </c>
      <c r="I1589" s="1">
        <f>IFERROR(__xludf.DUMMYFUNCTION("""COMPUTED_VALUE"""),85.0)</f>
        <v>85</v>
      </c>
      <c r="J1589" s="1">
        <f>IFERROR(__xludf.DUMMYFUNCTION("""COMPUTED_VALUE"""),38.0)</f>
        <v>38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 t="str">
        <f>IFERROR(__xludf.DUMMYFUNCTION("""COMPUTED_VALUE"""),"A")</f>
        <v>A</v>
      </c>
      <c r="E1590" s="1">
        <f>IFERROR(__xludf.DUMMYFUNCTION("""COMPUTED_VALUE"""),85.0)</f>
        <v>85</v>
      </c>
      <c r="F1590" s="1">
        <f>IFERROR(__xludf.DUMMYFUNCTION("""COMPUTED_VALUE"""),33.0)</f>
        <v>33</v>
      </c>
      <c r="G1590" s="1">
        <f>IFERROR(__xludf.DUMMYFUNCTION("""COMPUTED_VALUE"""),62.0)</f>
        <v>62</v>
      </c>
      <c r="H1590" s="1">
        <f>IFERROR(__xludf.DUMMYFUNCTION("""COMPUTED_VALUE"""),37.0)</f>
        <v>37</v>
      </c>
      <c r="I1590" s="1">
        <f>IFERROR(__xludf.DUMMYFUNCTION("""COMPUTED_VALUE"""),38.0)</f>
        <v>38</v>
      </c>
      <c r="J1590" s="1">
        <f>IFERROR(__xludf.DUMMYFUNCTION("""COMPUTED_VALUE"""),56.0)</f>
        <v>56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 t="str">
        <f>IFERROR(__xludf.DUMMYFUNCTION("""COMPUTED_VALUE"""),"C")</f>
        <v>C</v>
      </c>
      <c r="E1591" s="1">
        <f>IFERROR(__xludf.DUMMYFUNCTION("""COMPUTED_VALUE"""),52.0)</f>
        <v>52</v>
      </c>
      <c r="F1591" s="1">
        <f>IFERROR(__xludf.DUMMYFUNCTION("""COMPUTED_VALUE"""),20.0)</f>
        <v>20</v>
      </c>
      <c r="G1591" s="1">
        <f>IFERROR(__xludf.DUMMYFUNCTION("""COMPUTED_VALUE"""),28.0)</f>
        <v>28</v>
      </c>
      <c r="H1591" s="1">
        <f>IFERROR(__xludf.DUMMYFUNCTION("""COMPUTED_VALUE"""),24.0)</f>
        <v>24</v>
      </c>
      <c r="I1591" s="1">
        <f>IFERROR(__xludf.DUMMYFUNCTION("""COMPUTED_VALUE"""),33.0)</f>
        <v>33</v>
      </c>
      <c r="J1591" s="1">
        <f>IFERROR(__xludf.DUMMYFUNCTION("""COMPUTED_VALUE"""),73.0)</f>
        <v>73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 t="str">
        <f>IFERROR(__xludf.DUMMYFUNCTION("""COMPUTED_VALUE"""),"A")</f>
        <v>A</v>
      </c>
      <c r="E1592" s="1">
        <f>IFERROR(__xludf.DUMMYFUNCTION("""COMPUTED_VALUE"""),87.0)</f>
        <v>87</v>
      </c>
      <c r="F1592" s="1">
        <f>IFERROR(__xludf.DUMMYFUNCTION("""COMPUTED_VALUE"""),69.0)</f>
        <v>69</v>
      </c>
      <c r="G1592" s="1">
        <f>IFERROR(__xludf.DUMMYFUNCTION("""COMPUTED_VALUE"""),78.0)</f>
        <v>78</v>
      </c>
      <c r="H1592" s="1">
        <f>IFERROR(__xludf.DUMMYFUNCTION("""COMPUTED_VALUE"""),25.0)</f>
        <v>25</v>
      </c>
      <c r="I1592" s="1">
        <f>IFERROR(__xludf.DUMMYFUNCTION("""COMPUTED_VALUE"""),44.0)</f>
        <v>44</v>
      </c>
      <c r="J1592" s="1">
        <f>IFERROR(__xludf.DUMMYFUNCTION("""COMPUTED_VALUE"""),79.0)</f>
        <v>79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 t="str">
        <f>IFERROR(__xludf.DUMMYFUNCTION("""COMPUTED_VALUE"""),"C")</f>
        <v>C</v>
      </c>
      <c r="E1593" s="1">
        <f>IFERROR(__xludf.DUMMYFUNCTION("""COMPUTED_VALUE"""),68.0)</f>
        <v>68</v>
      </c>
      <c r="F1593" s="1">
        <f>IFERROR(__xludf.DUMMYFUNCTION("""COMPUTED_VALUE"""),73.0)</f>
        <v>73</v>
      </c>
      <c r="G1593" s="1">
        <f>IFERROR(__xludf.DUMMYFUNCTION("""COMPUTED_VALUE"""),72.0)</f>
        <v>72</v>
      </c>
      <c r="H1593" s="1">
        <f>IFERROR(__xludf.DUMMYFUNCTION("""COMPUTED_VALUE"""),52.0)</f>
        <v>52</v>
      </c>
      <c r="I1593" s="1">
        <f>IFERROR(__xludf.DUMMYFUNCTION("""COMPUTED_VALUE"""),73.0)</f>
        <v>73</v>
      </c>
      <c r="J1593" s="1">
        <f>IFERROR(__xludf.DUMMYFUNCTION("""COMPUTED_VALUE"""),73.0)</f>
        <v>73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 t="str">
        <f>IFERROR(__xludf.DUMMYFUNCTION("""COMPUTED_VALUE"""),"B")</f>
        <v>B</v>
      </c>
      <c r="E1594" s="1">
        <f>IFERROR(__xludf.DUMMYFUNCTION("""COMPUTED_VALUE"""),72.0)</f>
        <v>72</v>
      </c>
      <c r="F1594" s="1">
        <f>IFERROR(__xludf.DUMMYFUNCTION("""COMPUTED_VALUE"""),85.0)</f>
        <v>85</v>
      </c>
      <c r="G1594" s="1">
        <f>IFERROR(__xludf.DUMMYFUNCTION("""COMPUTED_VALUE"""),75.0)</f>
        <v>75</v>
      </c>
      <c r="H1594" s="1">
        <f>IFERROR(__xludf.DUMMYFUNCTION("""COMPUTED_VALUE"""),87.0)</f>
        <v>87</v>
      </c>
      <c r="I1594" s="1">
        <f>IFERROR(__xludf.DUMMYFUNCTION("""COMPUTED_VALUE"""),78.0)</f>
        <v>78</v>
      </c>
      <c r="J1594" s="1">
        <f>IFERROR(__xludf.DUMMYFUNCTION("""COMPUTED_VALUE"""),43.0)</f>
        <v>43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 t="str">
        <f>IFERROR(__xludf.DUMMYFUNCTION("""COMPUTED_VALUE"""),"C")</f>
        <v>C</v>
      </c>
      <c r="E1595" s="1">
        <f>IFERROR(__xludf.DUMMYFUNCTION("""COMPUTED_VALUE"""),51.0)</f>
        <v>51</v>
      </c>
      <c r="F1595" s="1">
        <f>IFERROR(__xludf.DUMMYFUNCTION("""COMPUTED_VALUE"""),28.0)</f>
        <v>28</v>
      </c>
      <c r="G1595" s="1">
        <f>IFERROR(__xludf.DUMMYFUNCTION("""COMPUTED_VALUE"""),22.0)</f>
        <v>22</v>
      </c>
      <c r="H1595" s="1">
        <f>IFERROR(__xludf.DUMMYFUNCTION("""COMPUTED_VALUE"""),40.0)</f>
        <v>40</v>
      </c>
      <c r="I1595" s="1">
        <f>IFERROR(__xludf.DUMMYFUNCTION("""COMPUTED_VALUE"""),51.0)</f>
        <v>51</v>
      </c>
      <c r="J1595" s="1">
        <f>IFERROR(__xludf.DUMMYFUNCTION("""COMPUTED_VALUE"""),91.0)</f>
        <v>91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 t="str">
        <f>IFERROR(__xludf.DUMMYFUNCTION("""COMPUTED_VALUE"""),"B")</f>
        <v>B</v>
      </c>
      <c r="E1596" s="1">
        <f>IFERROR(__xludf.DUMMYFUNCTION("""COMPUTED_VALUE"""),11.0)</f>
        <v>11</v>
      </c>
      <c r="F1596" s="1">
        <f>IFERROR(__xludf.DUMMYFUNCTION("""COMPUTED_VALUE"""),27.0)</f>
        <v>27</v>
      </c>
      <c r="G1596" s="1">
        <f>IFERROR(__xludf.DUMMYFUNCTION("""COMPUTED_VALUE"""),76.0)</f>
        <v>76</v>
      </c>
      <c r="H1596" s="1">
        <f>IFERROR(__xludf.DUMMYFUNCTION("""COMPUTED_VALUE"""),80.0)</f>
        <v>80</v>
      </c>
      <c r="I1596" s="1">
        <f>IFERROR(__xludf.DUMMYFUNCTION("""COMPUTED_VALUE"""),74.0)</f>
        <v>74</v>
      </c>
      <c r="J1596" s="1">
        <f>IFERROR(__xludf.DUMMYFUNCTION("""COMPUTED_VALUE"""),97.0)</f>
        <v>97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 t="str">
        <f>IFERROR(__xludf.DUMMYFUNCTION("""COMPUTED_VALUE"""),"C")</f>
        <v>C</v>
      </c>
      <c r="E1597" s="1">
        <f>IFERROR(__xludf.DUMMYFUNCTION("""COMPUTED_VALUE"""),99.0)</f>
        <v>99</v>
      </c>
      <c r="F1597" s="1">
        <f>IFERROR(__xludf.DUMMYFUNCTION("""COMPUTED_VALUE"""),84.0)</f>
        <v>84</v>
      </c>
      <c r="G1597" s="1">
        <f>IFERROR(__xludf.DUMMYFUNCTION("""COMPUTED_VALUE"""),45.0)</f>
        <v>45</v>
      </c>
      <c r="H1597" s="1">
        <f>IFERROR(__xludf.DUMMYFUNCTION("""COMPUTED_VALUE"""),51.0)</f>
        <v>51</v>
      </c>
      <c r="I1597" s="1">
        <f>IFERROR(__xludf.DUMMYFUNCTION("""COMPUTED_VALUE"""),86.0)</f>
        <v>86</v>
      </c>
      <c r="J1597" s="1">
        <f>IFERROR(__xludf.DUMMYFUNCTION("""COMPUTED_VALUE"""),68.0)</f>
        <v>68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 t="str">
        <f>IFERROR(__xludf.DUMMYFUNCTION("""COMPUTED_VALUE"""),"A")</f>
        <v>A</v>
      </c>
      <c r="E1598" s="1">
        <f>IFERROR(__xludf.DUMMYFUNCTION("""COMPUTED_VALUE"""),90.0)</f>
        <v>90</v>
      </c>
      <c r="F1598" s="1">
        <f>IFERROR(__xludf.DUMMYFUNCTION("""COMPUTED_VALUE"""),46.0)</f>
        <v>46</v>
      </c>
      <c r="G1598" s="1">
        <f>IFERROR(__xludf.DUMMYFUNCTION("""COMPUTED_VALUE"""),65.0)</f>
        <v>65</v>
      </c>
      <c r="H1598" s="1">
        <f>IFERROR(__xludf.DUMMYFUNCTION("""COMPUTED_VALUE"""),28.0)</f>
        <v>28</v>
      </c>
      <c r="I1598" s="1">
        <f>IFERROR(__xludf.DUMMYFUNCTION("""COMPUTED_VALUE"""),80.0)</f>
        <v>80</v>
      </c>
      <c r="J1598" s="1">
        <f>IFERROR(__xludf.DUMMYFUNCTION("""COMPUTED_VALUE"""),75.0)</f>
        <v>75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 t="str">
        <f>IFERROR(__xludf.DUMMYFUNCTION("""COMPUTED_VALUE"""),"D")</f>
        <v>D</v>
      </c>
      <c r="E1599" s="1">
        <f>IFERROR(__xludf.DUMMYFUNCTION("""COMPUTED_VALUE"""),87.0)</f>
        <v>87</v>
      </c>
      <c r="F1599" s="1">
        <f>IFERROR(__xludf.DUMMYFUNCTION("""COMPUTED_VALUE"""),52.0)</f>
        <v>52</v>
      </c>
      <c r="G1599" s="1">
        <f>IFERROR(__xludf.DUMMYFUNCTION("""COMPUTED_VALUE"""),53.0)</f>
        <v>53</v>
      </c>
      <c r="H1599" s="1">
        <f>IFERROR(__xludf.DUMMYFUNCTION("""COMPUTED_VALUE"""),73.0)</f>
        <v>73</v>
      </c>
      <c r="I1599" s="1">
        <f>IFERROR(__xludf.DUMMYFUNCTION("""COMPUTED_VALUE"""),43.0)</f>
        <v>43</v>
      </c>
      <c r="J1599" s="1">
        <f>IFERROR(__xludf.DUMMYFUNCTION("""COMPUTED_VALUE"""),29.0)</f>
        <v>29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 t="str">
        <f>IFERROR(__xludf.DUMMYFUNCTION("""COMPUTED_VALUE"""),"C")</f>
        <v>C</v>
      </c>
      <c r="E1600" s="1">
        <f>IFERROR(__xludf.DUMMYFUNCTION("""COMPUTED_VALUE"""),95.0)</f>
        <v>95</v>
      </c>
      <c r="F1600" s="1">
        <f>IFERROR(__xludf.DUMMYFUNCTION("""COMPUTED_VALUE"""),36.0)</f>
        <v>36</v>
      </c>
      <c r="G1600" s="1">
        <f>IFERROR(__xludf.DUMMYFUNCTION("""COMPUTED_VALUE"""),44.0)</f>
        <v>44</v>
      </c>
      <c r="H1600" s="1">
        <f>IFERROR(__xludf.DUMMYFUNCTION("""COMPUTED_VALUE"""),56.0)</f>
        <v>56</v>
      </c>
      <c r="I1600" s="1">
        <f>IFERROR(__xludf.DUMMYFUNCTION("""COMPUTED_VALUE"""),96.0)</f>
        <v>96</v>
      </c>
      <c r="J1600" s="1">
        <f>IFERROR(__xludf.DUMMYFUNCTION("""COMPUTED_VALUE"""),49.0)</f>
        <v>49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 t="str">
        <f>IFERROR(__xludf.DUMMYFUNCTION("""COMPUTED_VALUE"""),"B")</f>
        <v>B</v>
      </c>
      <c r="E1601" s="1">
        <f>IFERROR(__xludf.DUMMYFUNCTION("""COMPUTED_VALUE"""),11.0)</f>
        <v>11</v>
      </c>
      <c r="F1601" s="1">
        <f>IFERROR(__xludf.DUMMYFUNCTION("""COMPUTED_VALUE"""),30.0)</f>
        <v>30</v>
      </c>
      <c r="G1601" s="1">
        <f>IFERROR(__xludf.DUMMYFUNCTION("""COMPUTED_VALUE"""),85.0)</f>
        <v>85</v>
      </c>
      <c r="H1601" s="1">
        <f>IFERROR(__xludf.DUMMYFUNCTION("""COMPUTED_VALUE"""),35.0)</f>
        <v>35</v>
      </c>
      <c r="I1601" s="1">
        <f>IFERROR(__xludf.DUMMYFUNCTION("""COMPUTED_VALUE"""),91.0)</f>
        <v>91</v>
      </c>
      <c r="J1601" s="1">
        <f>IFERROR(__xludf.DUMMYFUNCTION("""COMPUTED_VALUE"""),53.0)</f>
        <v>53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 t="str">
        <f>IFERROR(__xludf.DUMMYFUNCTION("""COMPUTED_VALUE"""),"D")</f>
        <v>D</v>
      </c>
      <c r="E1602" s="1">
        <f>IFERROR(__xludf.DUMMYFUNCTION("""COMPUTED_VALUE"""),99.0)</f>
        <v>99</v>
      </c>
      <c r="F1602" s="1">
        <f>IFERROR(__xludf.DUMMYFUNCTION("""COMPUTED_VALUE"""),44.0)</f>
        <v>44</v>
      </c>
      <c r="G1602" s="1">
        <f>IFERROR(__xludf.DUMMYFUNCTION("""COMPUTED_VALUE"""),24.0)</f>
        <v>24</v>
      </c>
      <c r="H1602" s="1">
        <f>IFERROR(__xludf.DUMMYFUNCTION("""COMPUTED_VALUE"""),90.0)</f>
        <v>90</v>
      </c>
      <c r="I1602" s="1">
        <f>IFERROR(__xludf.DUMMYFUNCTION("""COMPUTED_VALUE"""),34.0)</f>
        <v>34</v>
      </c>
      <c r="J1602" s="1">
        <f>IFERROR(__xludf.DUMMYFUNCTION("""COMPUTED_VALUE"""),49.0)</f>
        <v>49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 t="str">
        <f>IFERROR(__xludf.DUMMYFUNCTION("""COMPUTED_VALUE"""),"B")</f>
        <v>B</v>
      </c>
      <c r="E1603" s="1">
        <f>IFERROR(__xludf.DUMMYFUNCTION("""COMPUTED_VALUE"""),12.0)</f>
        <v>12</v>
      </c>
      <c r="F1603" s="1">
        <f>IFERROR(__xludf.DUMMYFUNCTION("""COMPUTED_VALUE"""),51.0)</f>
        <v>51</v>
      </c>
      <c r="G1603" s="1">
        <f>IFERROR(__xludf.DUMMYFUNCTION("""COMPUTED_VALUE"""),39.0)</f>
        <v>39</v>
      </c>
      <c r="H1603" s="1">
        <f>IFERROR(__xludf.DUMMYFUNCTION("""COMPUTED_VALUE"""),76.0)</f>
        <v>76</v>
      </c>
      <c r="I1603" s="1">
        <f>IFERROR(__xludf.DUMMYFUNCTION("""COMPUTED_VALUE"""),45.0)</f>
        <v>45</v>
      </c>
      <c r="J1603" s="1">
        <f>IFERROR(__xludf.DUMMYFUNCTION("""COMPUTED_VALUE"""),78.0)</f>
        <v>78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 t="str">
        <f>IFERROR(__xludf.DUMMYFUNCTION("""COMPUTED_VALUE"""),"A")</f>
        <v>A</v>
      </c>
      <c r="E1604" s="1">
        <f>IFERROR(__xludf.DUMMYFUNCTION("""COMPUTED_VALUE"""),64.0)</f>
        <v>64</v>
      </c>
      <c r="F1604" s="1">
        <f>IFERROR(__xludf.DUMMYFUNCTION("""COMPUTED_VALUE"""),68.0)</f>
        <v>68</v>
      </c>
      <c r="G1604" s="1">
        <f>IFERROR(__xludf.DUMMYFUNCTION("""COMPUTED_VALUE"""),38.0)</f>
        <v>38</v>
      </c>
      <c r="H1604" s="1">
        <f>IFERROR(__xludf.DUMMYFUNCTION("""COMPUTED_VALUE"""),90.0)</f>
        <v>90</v>
      </c>
      <c r="I1604" s="1">
        <f>IFERROR(__xludf.DUMMYFUNCTION("""COMPUTED_VALUE"""),99.0)</f>
        <v>99</v>
      </c>
      <c r="J1604" s="1">
        <f>IFERROR(__xludf.DUMMYFUNCTION("""COMPUTED_VALUE"""),43.0)</f>
        <v>43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 t="str">
        <f>IFERROR(__xludf.DUMMYFUNCTION("""COMPUTED_VALUE"""),"D")</f>
        <v>D</v>
      </c>
      <c r="E1605" s="1">
        <f>IFERROR(__xludf.DUMMYFUNCTION("""COMPUTED_VALUE"""),35.0)</f>
        <v>35</v>
      </c>
      <c r="F1605" s="1">
        <f>IFERROR(__xludf.DUMMYFUNCTION("""COMPUTED_VALUE"""),32.0)</f>
        <v>32</v>
      </c>
      <c r="G1605" s="1">
        <f>IFERROR(__xludf.DUMMYFUNCTION("""COMPUTED_VALUE"""),70.0)</f>
        <v>70</v>
      </c>
      <c r="H1605" s="1">
        <f>IFERROR(__xludf.DUMMYFUNCTION("""COMPUTED_VALUE"""),46.0)</f>
        <v>46</v>
      </c>
      <c r="I1605" s="1">
        <f>IFERROR(__xludf.DUMMYFUNCTION("""COMPUTED_VALUE"""),96.0)</f>
        <v>96</v>
      </c>
      <c r="J1605" s="1">
        <f>IFERROR(__xludf.DUMMYFUNCTION("""COMPUTED_VALUE"""),81.0)</f>
        <v>81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 t="str">
        <f>IFERROR(__xludf.DUMMYFUNCTION("""COMPUTED_VALUE"""),"B")</f>
        <v>B</v>
      </c>
      <c r="E1606" s="1">
        <f>IFERROR(__xludf.DUMMYFUNCTION("""COMPUTED_VALUE"""),58.0)</f>
        <v>58</v>
      </c>
      <c r="F1606" s="1">
        <f>IFERROR(__xludf.DUMMYFUNCTION("""COMPUTED_VALUE"""),25.0)</f>
        <v>25</v>
      </c>
      <c r="G1606" s="1">
        <f>IFERROR(__xludf.DUMMYFUNCTION("""COMPUTED_VALUE"""),50.0)</f>
        <v>50</v>
      </c>
      <c r="H1606" s="1">
        <f>IFERROR(__xludf.DUMMYFUNCTION("""COMPUTED_VALUE"""),87.0)</f>
        <v>87</v>
      </c>
      <c r="I1606" s="1">
        <f>IFERROR(__xludf.DUMMYFUNCTION("""COMPUTED_VALUE"""),78.0)</f>
        <v>78</v>
      </c>
      <c r="J1606" s="1">
        <f>IFERROR(__xludf.DUMMYFUNCTION("""COMPUTED_VALUE"""),23.0)</f>
        <v>23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 t="str">
        <f>IFERROR(__xludf.DUMMYFUNCTION("""COMPUTED_VALUE"""),"B")</f>
        <v>B</v>
      </c>
      <c r="E1607" s="1">
        <f>IFERROR(__xludf.DUMMYFUNCTION("""COMPUTED_VALUE"""),21.0)</f>
        <v>21</v>
      </c>
      <c r="F1607" s="1">
        <f>IFERROR(__xludf.DUMMYFUNCTION("""COMPUTED_VALUE"""),77.0)</f>
        <v>77</v>
      </c>
      <c r="G1607" s="1">
        <f>IFERROR(__xludf.DUMMYFUNCTION("""COMPUTED_VALUE"""),83.0)</f>
        <v>83</v>
      </c>
      <c r="H1607" s="1">
        <f>IFERROR(__xludf.DUMMYFUNCTION("""COMPUTED_VALUE"""),20.0)</f>
        <v>20</v>
      </c>
      <c r="I1607" s="1">
        <f>IFERROR(__xludf.DUMMYFUNCTION("""COMPUTED_VALUE"""),91.0)</f>
        <v>91</v>
      </c>
      <c r="J1607" s="1">
        <f>IFERROR(__xludf.DUMMYFUNCTION("""COMPUTED_VALUE"""),41.0)</f>
        <v>41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 t="str">
        <f>IFERROR(__xludf.DUMMYFUNCTION("""COMPUTED_VALUE"""),"A")</f>
        <v>A</v>
      </c>
      <c r="E1608" s="1">
        <f>IFERROR(__xludf.DUMMYFUNCTION("""COMPUTED_VALUE"""),36.0)</f>
        <v>36</v>
      </c>
      <c r="F1608" s="1">
        <f>IFERROR(__xludf.DUMMYFUNCTION("""COMPUTED_VALUE"""),26.0)</f>
        <v>26</v>
      </c>
      <c r="G1608" s="1">
        <f>IFERROR(__xludf.DUMMYFUNCTION("""COMPUTED_VALUE"""),70.0)</f>
        <v>70</v>
      </c>
      <c r="H1608" s="1">
        <f>IFERROR(__xludf.DUMMYFUNCTION("""COMPUTED_VALUE"""),57.0)</f>
        <v>57</v>
      </c>
      <c r="I1608" s="1">
        <f>IFERROR(__xludf.DUMMYFUNCTION("""COMPUTED_VALUE"""),57.0)</f>
        <v>57</v>
      </c>
      <c r="J1608" s="1">
        <f>IFERROR(__xludf.DUMMYFUNCTION("""COMPUTED_VALUE"""),22.0)</f>
        <v>22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 t="str">
        <f>IFERROR(__xludf.DUMMYFUNCTION("""COMPUTED_VALUE"""),"A")</f>
        <v>A</v>
      </c>
      <c r="E1609" s="1">
        <f>IFERROR(__xludf.DUMMYFUNCTION("""COMPUTED_VALUE"""),92.0)</f>
        <v>92</v>
      </c>
      <c r="F1609" s="1">
        <f>IFERROR(__xludf.DUMMYFUNCTION("""COMPUTED_VALUE"""),69.0)</f>
        <v>69</v>
      </c>
      <c r="G1609" s="1">
        <f>IFERROR(__xludf.DUMMYFUNCTION("""COMPUTED_VALUE"""),51.0)</f>
        <v>51</v>
      </c>
      <c r="H1609" s="1">
        <f>IFERROR(__xludf.DUMMYFUNCTION("""COMPUTED_VALUE"""),36.0)</f>
        <v>36</v>
      </c>
      <c r="I1609" s="1">
        <f>IFERROR(__xludf.DUMMYFUNCTION("""COMPUTED_VALUE"""),73.0)</f>
        <v>73</v>
      </c>
      <c r="J1609" s="1">
        <f>IFERROR(__xludf.DUMMYFUNCTION("""COMPUTED_VALUE"""),30.0)</f>
        <v>30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 t="str">
        <f>IFERROR(__xludf.DUMMYFUNCTION("""COMPUTED_VALUE"""),"B")</f>
        <v>B</v>
      </c>
      <c r="E1610" s="1">
        <f>IFERROR(__xludf.DUMMYFUNCTION("""COMPUTED_VALUE"""),26.0)</f>
        <v>26</v>
      </c>
      <c r="F1610" s="1">
        <f>IFERROR(__xludf.DUMMYFUNCTION("""COMPUTED_VALUE"""),31.0)</f>
        <v>31</v>
      </c>
      <c r="G1610" s="1">
        <f>IFERROR(__xludf.DUMMYFUNCTION("""COMPUTED_VALUE"""),40.0)</f>
        <v>40</v>
      </c>
      <c r="H1610" s="1">
        <f>IFERROR(__xludf.DUMMYFUNCTION("""COMPUTED_VALUE"""),70.0)</f>
        <v>70</v>
      </c>
      <c r="I1610" s="1">
        <f>IFERROR(__xludf.DUMMYFUNCTION("""COMPUTED_VALUE"""),40.0)</f>
        <v>40</v>
      </c>
      <c r="J1610" s="1">
        <f>IFERROR(__xludf.DUMMYFUNCTION("""COMPUTED_VALUE"""),95.0)</f>
        <v>95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 t="str">
        <f>IFERROR(__xludf.DUMMYFUNCTION("""COMPUTED_VALUE"""),"A")</f>
        <v>A</v>
      </c>
      <c r="E1611" s="1">
        <f>IFERROR(__xludf.DUMMYFUNCTION("""COMPUTED_VALUE"""),93.0)</f>
        <v>93</v>
      </c>
      <c r="F1611" s="1">
        <f>IFERROR(__xludf.DUMMYFUNCTION("""COMPUTED_VALUE"""),79.0)</f>
        <v>79</v>
      </c>
      <c r="G1611" s="1">
        <f>IFERROR(__xludf.DUMMYFUNCTION("""COMPUTED_VALUE"""),57.0)</f>
        <v>57</v>
      </c>
      <c r="H1611" s="1">
        <f>IFERROR(__xludf.DUMMYFUNCTION("""COMPUTED_VALUE"""),35.0)</f>
        <v>35</v>
      </c>
      <c r="I1611" s="1">
        <f>IFERROR(__xludf.DUMMYFUNCTION("""COMPUTED_VALUE"""),90.0)</f>
        <v>90</v>
      </c>
      <c r="J1611" s="1">
        <f>IFERROR(__xludf.DUMMYFUNCTION("""COMPUTED_VALUE"""),23.0)</f>
        <v>23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 t="str">
        <f>IFERROR(__xludf.DUMMYFUNCTION("""COMPUTED_VALUE"""),"B")</f>
        <v>B</v>
      </c>
      <c r="E1612" s="1">
        <f>IFERROR(__xludf.DUMMYFUNCTION("""COMPUTED_VALUE"""),23.0)</f>
        <v>23</v>
      </c>
      <c r="F1612" s="1">
        <f>IFERROR(__xludf.DUMMYFUNCTION("""COMPUTED_VALUE"""),51.0)</f>
        <v>51</v>
      </c>
      <c r="G1612" s="1">
        <f>IFERROR(__xludf.DUMMYFUNCTION("""COMPUTED_VALUE"""),40.0)</f>
        <v>40</v>
      </c>
      <c r="H1612" s="1">
        <f>IFERROR(__xludf.DUMMYFUNCTION("""COMPUTED_VALUE"""),32.0)</f>
        <v>32</v>
      </c>
      <c r="I1612" s="1">
        <f>IFERROR(__xludf.DUMMYFUNCTION("""COMPUTED_VALUE"""),28.0)</f>
        <v>28</v>
      </c>
      <c r="J1612" s="1">
        <f>IFERROR(__xludf.DUMMYFUNCTION("""COMPUTED_VALUE"""),87.0)</f>
        <v>87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 t="str">
        <f>IFERROR(__xludf.DUMMYFUNCTION("""COMPUTED_VALUE"""),"B")</f>
        <v>B</v>
      </c>
      <c r="E1613" s="1">
        <f>IFERROR(__xludf.DUMMYFUNCTION("""COMPUTED_VALUE"""),27.0)</f>
        <v>27</v>
      </c>
      <c r="F1613" s="1">
        <f>IFERROR(__xludf.DUMMYFUNCTION("""COMPUTED_VALUE"""),38.0)</f>
        <v>38</v>
      </c>
      <c r="G1613" s="1">
        <f>IFERROR(__xludf.DUMMYFUNCTION("""COMPUTED_VALUE"""),99.0)</f>
        <v>99</v>
      </c>
      <c r="H1613" s="1">
        <f>IFERROR(__xludf.DUMMYFUNCTION("""COMPUTED_VALUE"""),69.0)</f>
        <v>69</v>
      </c>
      <c r="I1613" s="1">
        <f>IFERROR(__xludf.DUMMYFUNCTION("""COMPUTED_VALUE"""),64.0)</f>
        <v>64</v>
      </c>
      <c r="J1613" s="1">
        <f>IFERROR(__xludf.DUMMYFUNCTION("""COMPUTED_VALUE"""),49.0)</f>
        <v>49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 t="str">
        <f>IFERROR(__xludf.DUMMYFUNCTION("""COMPUTED_VALUE"""),"C")</f>
        <v>C</v>
      </c>
      <c r="E1614" s="1">
        <f>IFERROR(__xludf.DUMMYFUNCTION("""COMPUTED_VALUE"""),42.0)</f>
        <v>42</v>
      </c>
      <c r="F1614" s="1">
        <f>IFERROR(__xludf.DUMMYFUNCTION("""COMPUTED_VALUE"""),99.0)</f>
        <v>99</v>
      </c>
      <c r="G1614" s="1">
        <f>IFERROR(__xludf.DUMMYFUNCTION("""COMPUTED_VALUE"""),42.0)</f>
        <v>42</v>
      </c>
      <c r="H1614" s="1">
        <f>IFERROR(__xludf.DUMMYFUNCTION("""COMPUTED_VALUE"""),23.0)</f>
        <v>23</v>
      </c>
      <c r="I1614" s="1">
        <f>IFERROR(__xludf.DUMMYFUNCTION("""COMPUTED_VALUE"""),99.0)</f>
        <v>99</v>
      </c>
      <c r="J1614" s="1">
        <f>IFERROR(__xludf.DUMMYFUNCTION("""COMPUTED_VALUE"""),83.0)</f>
        <v>83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 t="str">
        <f>IFERROR(__xludf.DUMMYFUNCTION("""COMPUTED_VALUE"""),"D")</f>
        <v>D</v>
      </c>
      <c r="E1615" s="1">
        <f>IFERROR(__xludf.DUMMYFUNCTION("""COMPUTED_VALUE"""),58.0)</f>
        <v>58</v>
      </c>
      <c r="F1615" s="1">
        <f>IFERROR(__xludf.DUMMYFUNCTION("""COMPUTED_VALUE"""),60.0)</f>
        <v>60</v>
      </c>
      <c r="G1615" s="1">
        <f>IFERROR(__xludf.DUMMYFUNCTION("""COMPUTED_VALUE"""),84.0)</f>
        <v>84</v>
      </c>
      <c r="H1615" s="1">
        <f>IFERROR(__xludf.DUMMYFUNCTION("""COMPUTED_VALUE"""),84.0)</f>
        <v>84</v>
      </c>
      <c r="I1615" s="1">
        <f>IFERROR(__xludf.DUMMYFUNCTION("""COMPUTED_VALUE"""),93.0)</f>
        <v>93</v>
      </c>
      <c r="J1615" s="1">
        <f>IFERROR(__xludf.DUMMYFUNCTION("""COMPUTED_VALUE"""),95.0)</f>
        <v>95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 t="str">
        <f>IFERROR(__xludf.DUMMYFUNCTION("""COMPUTED_VALUE"""),"A")</f>
        <v>A</v>
      </c>
      <c r="E1616" s="1">
        <f>IFERROR(__xludf.DUMMYFUNCTION("""COMPUTED_VALUE"""),50.0)</f>
        <v>50</v>
      </c>
      <c r="F1616" s="1">
        <f>IFERROR(__xludf.DUMMYFUNCTION("""COMPUTED_VALUE"""),41.0)</f>
        <v>41</v>
      </c>
      <c r="G1616" s="1">
        <f>IFERROR(__xludf.DUMMYFUNCTION("""COMPUTED_VALUE"""),49.0)</f>
        <v>49</v>
      </c>
      <c r="H1616" s="1">
        <f>IFERROR(__xludf.DUMMYFUNCTION("""COMPUTED_VALUE"""),78.0)</f>
        <v>78</v>
      </c>
      <c r="I1616" s="1">
        <f>IFERROR(__xludf.DUMMYFUNCTION("""COMPUTED_VALUE"""),44.0)</f>
        <v>44</v>
      </c>
      <c r="J1616" s="1">
        <f>IFERROR(__xludf.DUMMYFUNCTION("""COMPUTED_VALUE"""),36.0)</f>
        <v>36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 t="str">
        <f>IFERROR(__xludf.DUMMYFUNCTION("""COMPUTED_VALUE"""),"B")</f>
        <v>B</v>
      </c>
      <c r="E1617" s="1">
        <f>IFERROR(__xludf.DUMMYFUNCTION("""COMPUTED_VALUE"""),85.0)</f>
        <v>85</v>
      </c>
      <c r="F1617" s="1">
        <f>IFERROR(__xludf.DUMMYFUNCTION("""COMPUTED_VALUE"""),37.0)</f>
        <v>37</v>
      </c>
      <c r="G1617" s="1">
        <f>IFERROR(__xludf.DUMMYFUNCTION("""COMPUTED_VALUE"""),37.0)</f>
        <v>37</v>
      </c>
      <c r="H1617" s="1">
        <f>IFERROR(__xludf.DUMMYFUNCTION("""COMPUTED_VALUE"""),71.0)</f>
        <v>71</v>
      </c>
      <c r="I1617" s="1">
        <f>IFERROR(__xludf.DUMMYFUNCTION("""COMPUTED_VALUE"""),52.0)</f>
        <v>52</v>
      </c>
      <c r="J1617" s="1">
        <f>IFERROR(__xludf.DUMMYFUNCTION("""COMPUTED_VALUE"""),89.0)</f>
        <v>89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 t="str">
        <f>IFERROR(__xludf.DUMMYFUNCTION("""COMPUTED_VALUE"""),"A")</f>
        <v>A</v>
      </c>
      <c r="E1618" s="1">
        <f>IFERROR(__xludf.DUMMYFUNCTION("""COMPUTED_VALUE"""),35.0)</f>
        <v>35</v>
      </c>
      <c r="F1618" s="1">
        <f>IFERROR(__xludf.DUMMYFUNCTION("""COMPUTED_VALUE"""),58.0)</f>
        <v>58</v>
      </c>
      <c r="G1618" s="1">
        <f>IFERROR(__xludf.DUMMYFUNCTION("""COMPUTED_VALUE"""),92.0)</f>
        <v>92</v>
      </c>
      <c r="H1618" s="1">
        <f>IFERROR(__xludf.DUMMYFUNCTION("""COMPUTED_VALUE"""),73.0)</f>
        <v>73</v>
      </c>
      <c r="I1618" s="1">
        <f>IFERROR(__xludf.DUMMYFUNCTION("""COMPUTED_VALUE"""),34.0)</f>
        <v>34</v>
      </c>
      <c r="J1618" s="1">
        <f>IFERROR(__xludf.DUMMYFUNCTION("""COMPUTED_VALUE"""),64.0)</f>
        <v>64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 t="str">
        <f>IFERROR(__xludf.DUMMYFUNCTION("""COMPUTED_VALUE"""),"A")</f>
        <v>A</v>
      </c>
      <c r="E1619" s="1">
        <f>IFERROR(__xludf.DUMMYFUNCTION("""COMPUTED_VALUE"""),20.0)</f>
        <v>20</v>
      </c>
      <c r="F1619" s="1">
        <f>IFERROR(__xludf.DUMMYFUNCTION("""COMPUTED_VALUE"""),78.0)</f>
        <v>78</v>
      </c>
      <c r="G1619" s="1">
        <f>IFERROR(__xludf.DUMMYFUNCTION("""COMPUTED_VALUE"""),32.0)</f>
        <v>32</v>
      </c>
      <c r="H1619" s="1">
        <f>IFERROR(__xludf.DUMMYFUNCTION("""COMPUTED_VALUE"""),85.0)</f>
        <v>85</v>
      </c>
      <c r="I1619" s="1">
        <f>IFERROR(__xludf.DUMMYFUNCTION("""COMPUTED_VALUE"""),54.0)</f>
        <v>54</v>
      </c>
      <c r="J1619" s="1">
        <f>IFERROR(__xludf.DUMMYFUNCTION("""COMPUTED_VALUE"""),74.0)</f>
        <v>74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 t="str">
        <f>IFERROR(__xludf.DUMMYFUNCTION("""COMPUTED_VALUE"""),"D")</f>
        <v>D</v>
      </c>
      <c r="E1620" s="1">
        <f>IFERROR(__xludf.DUMMYFUNCTION("""COMPUTED_VALUE"""),19.0)</f>
        <v>19</v>
      </c>
      <c r="F1620" s="1">
        <f>IFERROR(__xludf.DUMMYFUNCTION("""COMPUTED_VALUE"""),76.0)</f>
        <v>76</v>
      </c>
      <c r="G1620" s="1">
        <f>IFERROR(__xludf.DUMMYFUNCTION("""COMPUTED_VALUE"""),88.0)</f>
        <v>88</v>
      </c>
      <c r="H1620" s="1">
        <f>IFERROR(__xludf.DUMMYFUNCTION("""COMPUTED_VALUE"""),88.0)</f>
        <v>88</v>
      </c>
      <c r="I1620" s="1">
        <f>IFERROR(__xludf.DUMMYFUNCTION("""COMPUTED_VALUE"""),77.0)</f>
        <v>77</v>
      </c>
      <c r="J1620" s="1">
        <f>IFERROR(__xludf.DUMMYFUNCTION("""COMPUTED_VALUE"""),24.0)</f>
        <v>24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 t="str">
        <f>IFERROR(__xludf.DUMMYFUNCTION("""COMPUTED_VALUE"""),"D")</f>
        <v>D</v>
      </c>
      <c r="E1621" s="1">
        <f>IFERROR(__xludf.DUMMYFUNCTION("""COMPUTED_VALUE"""),13.0)</f>
        <v>13</v>
      </c>
      <c r="F1621" s="1">
        <f>IFERROR(__xludf.DUMMYFUNCTION("""COMPUTED_VALUE"""),37.0)</f>
        <v>37</v>
      </c>
      <c r="G1621" s="1">
        <f>IFERROR(__xludf.DUMMYFUNCTION("""COMPUTED_VALUE"""),35.0)</f>
        <v>35</v>
      </c>
      <c r="H1621" s="1">
        <f>IFERROR(__xludf.DUMMYFUNCTION("""COMPUTED_VALUE"""),31.0)</f>
        <v>31</v>
      </c>
      <c r="I1621" s="1">
        <f>IFERROR(__xludf.DUMMYFUNCTION("""COMPUTED_VALUE"""),53.0)</f>
        <v>53</v>
      </c>
      <c r="J1621" s="1">
        <f>IFERROR(__xludf.DUMMYFUNCTION("""COMPUTED_VALUE"""),80.0)</f>
        <v>80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 t="str">
        <f>IFERROR(__xludf.DUMMYFUNCTION("""COMPUTED_VALUE"""),"D")</f>
        <v>D</v>
      </c>
      <c r="E1622" s="1">
        <f>IFERROR(__xludf.DUMMYFUNCTION("""COMPUTED_VALUE"""),20.0)</f>
        <v>20</v>
      </c>
      <c r="F1622" s="1">
        <f>IFERROR(__xludf.DUMMYFUNCTION("""COMPUTED_VALUE"""),23.0)</f>
        <v>23</v>
      </c>
      <c r="G1622" s="1">
        <f>IFERROR(__xludf.DUMMYFUNCTION("""COMPUTED_VALUE"""),94.0)</f>
        <v>94</v>
      </c>
      <c r="H1622" s="1">
        <f>IFERROR(__xludf.DUMMYFUNCTION("""COMPUTED_VALUE"""),76.0)</f>
        <v>76</v>
      </c>
      <c r="I1622" s="1">
        <f>IFERROR(__xludf.DUMMYFUNCTION("""COMPUTED_VALUE"""),45.0)</f>
        <v>45</v>
      </c>
      <c r="J1622" s="1">
        <f>IFERROR(__xludf.DUMMYFUNCTION("""COMPUTED_VALUE"""),33.0)</f>
        <v>33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 t="str">
        <f>IFERROR(__xludf.DUMMYFUNCTION("""COMPUTED_VALUE"""),"B")</f>
        <v>B</v>
      </c>
      <c r="E1623" s="1">
        <f>IFERROR(__xludf.DUMMYFUNCTION("""COMPUTED_VALUE"""),81.0)</f>
        <v>81</v>
      </c>
      <c r="F1623" s="1">
        <f>IFERROR(__xludf.DUMMYFUNCTION("""COMPUTED_VALUE"""),40.0)</f>
        <v>40</v>
      </c>
      <c r="G1623" s="1">
        <f>IFERROR(__xludf.DUMMYFUNCTION("""COMPUTED_VALUE"""),84.0)</f>
        <v>84</v>
      </c>
      <c r="H1623" s="1">
        <f>IFERROR(__xludf.DUMMYFUNCTION("""COMPUTED_VALUE"""),50.0)</f>
        <v>50</v>
      </c>
      <c r="I1623" s="1">
        <f>IFERROR(__xludf.DUMMYFUNCTION("""COMPUTED_VALUE"""),71.0)</f>
        <v>71</v>
      </c>
      <c r="J1623" s="1">
        <f>IFERROR(__xludf.DUMMYFUNCTION("""COMPUTED_VALUE"""),49.0)</f>
        <v>49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 t="str">
        <f>IFERROR(__xludf.DUMMYFUNCTION("""COMPUTED_VALUE"""),"B")</f>
        <v>B</v>
      </c>
      <c r="E1624" s="1">
        <f>IFERROR(__xludf.DUMMYFUNCTION("""COMPUTED_VALUE"""),100.0)</f>
        <v>100</v>
      </c>
      <c r="F1624" s="1">
        <f>IFERROR(__xludf.DUMMYFUNCTION("""COMPUTED_VALUE"""),34.0)</f>
        <v>34</v>
      </c>
      <c r="G1624" s="1">
        <f>IFERROR(__xludf.DUMMYFUNCTION("""COMPUTED_VALUE"""),93.0)</f>
        <v>93</v>
      </c>
      <c r="H1624" s="1">
        <f>IFERROR(__xludf.DUMMYFUNCTION("""COMPUTED_VALUE"""),57.0)</f>
        <v>57</v>
      </c>
      <c r="I1624" s="1">
        <f>IFERROR(__xludf.DUMMYFUNCTION("""COMPUTED_VALUE"""),76.0)</f>
        <v>76</v>
      </c>
      <c r="J1624" s="1">
        <f>IFERROR(__xludf.DUMMYFUNCTION("""COMPUTED_VALUE"""),79.0)</f>
        <v>79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 t="str">
        <f>IFERROR(__xludf.DUMMYFUNCTION("""COMPUTED_VALUE"""),"D")</f>
        <v>D</v>
      </c>
      <c r="E1625" s="1">
        <f>IFERROR(__xludf.DUMMYFUNCTION("""COMPUTED_VALUE"""),93.0)</f>
        <v>93</v>
      </c>
      <c r="F1625" s="1">
        <f>IFERROR(__xludf.DUMMYFUNCTION("""COMPUTED_VALUE"""),73.0)</f>
        <v>73</v>
      </c>
      <c r="G1625" s="1">
        <f>IFERROR(__xludf.DUMMYFUNCTION("""COMPUTED_VALUE"""),98.0)</f>
        <v>98</v>
      </c>
      <c r="H1625" s="1">
        <f>IFERROR(__xludf.DUMMYFUNCTION("""COMPUTED_VALUE"""),58.0)</f>
        <v>58</v>
      </c>
      <c r="I1625" s="1">
        <f>IFERROR(__xludf.DUMMYFUNCTION("""COMPUTED_VALUE"""),43.0)</f>
        <v>43</v>
      </c>
      <c r="J1625" s="1">
        <f>IFERROR(__xludf.DUMMYFUNCTION("""COMPUTED_VALUE"""),78.0)</f>
        <v>78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 t="str">
        <f>IFERROR(__xludf.DUMMYFUNCTION("""COMPUTED_VALUE"""),"D")</f>
        <v>D</v>
      </c>
      <c r="E1626" s="1">
        <f>IFERROR(__xludf.DUMMYFUNCTION("""COMPUTED_VALUE"""),39.0)</f>
        <v>39</v>
      </c>
      <c r="F1626" s="1">
        <f>IFERROR(__xludf.DUMMYFUNCTION("""COMPUTED_VALUE"""),51.0)</f>
        <v>51</v>
      </c>
      <c r="G1626" s="1">
        <f>IFERROR(__xludf.DUMMYFUNCTION("""COMPUTED_VALUE"""),30.0)</f>
        <v>30</v>
      </c>
      <c r="H1626" s="1">
        <f>IFERROR(__xludf.DUMMYFUNCTION("""COMPUTED_VALUE"""),73.0)</f>
        <v>73</v>
      </c>
      <c r="I1626" s="1">
        <f>IFERROR(__xludf.DUMMYFUNCTION("""COMPUTED_VALUE"""),64.0)</f>
        <v>64</v>
      </c>
      <c r="J1626" s="1">
        <f>IFERROR(__xludf.DUMMYFUNCTION("""COMPUTED_VALUE"""),69.0)</f>
        <v>69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 t="str">
        <f>IFERROR(__xludf.DUMMYFUNCTION("""COMPUTED_VALUE"""),"C")</f>
        <v>C</v>
      </c>
      <c r="E1627" s="1">
        <f>IFERROR(__xludf.DUMMYFUNCTION("""COMPUTED_VALUE"""),65.0)</f>
        <v>65</v>
      </c>
      <c r="F1627" s="1">
        <f>IFERROR(__xludf.DUMMYFUNCTION("""COMPUTED_VALUE"""),87.0)</f>
        <v>87</v>
      </c>
      <c r="G1627" s="1">
        <f>IFERROR(__xludf.DUMMYFUNCTION("""COMPUTED_VALUE"""),32.0)</f>
        <v>32</v>
      </c>
      <c r="H1627" s="1">
        <f>IFERROR(__xludf.DUMMYFUNCTION("""COMPUTED_VALUE"""),69.0)</f>
        <v>69</v>
      </c>
      <c r="I1627" s="1">
        <f>IFERROR(__xludf.DUMMYFUNCTION("""COMPUTED_VALUE"""),74.0)</f>
        <v>74</v>
      </c>
      <c r="J1627" s="1">
        <f>IFERROR(__xludf.DUMMYFUNCTION("""COMPUTED_VALUE"""),60.0)</f>
        <v>60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 t="str">
        <f>IFERROR(__xludf.DUMMYFUNCTION("""COMPUTED_VALUE"""),"B")</f>
        <v>B</v>
      </c>
      <c r="E1628" s="1">
        <f>IFERROR(__xludf.DUMMYFUNCTION("""COMPUTED_VALUE"""),93.0)</f>
        <v>93</v>
      </c>
      <c r="F1628" s="1">
        <f>IFERROR(__xludf.DUMMYFUNCTION("""COMPUTED_VALUE"""),48.0)</f>
        <v>48</v>
      </c>
      <c r="G1628" s="1">
        <f>IFERROR(__xludf.DUMMYFUNCTION("""COMPUTED_VALUE"""),36.0)</f>
        <v>36</v>
      </c>
      <c r="H1628" s="1">
        <f>IFERROR(__xludf.DUMMYFUNCTION("""COMPUTED_VALUE"""),64.0)</f>
        <v>64</v>
      </c>
      <c r="I1628" s="1">
        <f>IFERROR(__xludf.DUMMYFUNCTION("""COMPUTED_VALUE"""),29.0)</f>
        <v>29</v>
      </c>
      <c r="J1628" s="1">
        <f>IFERROR(__xludf.DUMMYFUNCTION("""COMPUTED_VALUE"""),95.0)</f>
        <v>95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 t="str">
        <f>IFERROR(__xludf.DUMMYFUNCTION("""COMPUTED_VALUE"""),"D")</f>
        <v>D</v>
      </c>
      <c r="E1629" s="1">
        <f>IFERROR(__xludf.DUMMYFUNCTION("""COMPUTED_VALUE"""),61.0)</f>
        <v>61</v>
      </c>
      <c r="F1629" s="1">
        <f>IFERROR(__xludf.DUMMYFUNCTION("""COMPUTED_VALUE"""),68.0)</f>
        <v>68</v>
      </c>
      <c r="G1629" s="1">
        <f>IFERROR(__xludf.DUMMYFUNCTION("""COMPUTED_VALUE"""),72.0)</f>
        <v>72</v>
      </c>
      <c r="H1629" s="1">
        <f>IFERROR(__xludf.DUMMYFUNCTION("""COMPUTED_VALUE"""),20.0)</f>
        <v>20</v>
      </c>
      <c r="I1629" s="1">
        <f>IFERROR(__xludf.DUMMYFUNCTION("""COMPUTED_VALUE"""),91.0)</f>
        <v>91</v>
      </c>
      <c r="J1629" s="1">
        <f>IFERROR(__xludf.DUMMYFUNCTION("""COMPUTED_VALUE"""),42.0)</f>
        <v>42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 t="str">
        <f>IFERROR(__xludf.DUMMYFUNCTION("""COMPUTED_VALUE"""),"A")</f>
        <v>A</v>
      </c>
      <c r="E1630" s="1">
        <f>IFERROR(__xludf.DUMMYFUNCTION("""COMPUTED_VALUE"""),36.0)</f>
        <v>36</v>
      </c>
      <c r="F1630" s="1">
        <f>IFERROR(__xludf.DUMMYFUNCTION("""COMPUTED_VALUE"""),98.0)</f>
        <v>98</v>
      </c>
      <c r="G1630" s="1">
        <f>IFERROR(__xludf.DUMMYFUNCTION("""COMPUTED_VALUE"""),48.0)</f>
        <v>48</v>
      </c>
      <c r="H1630" s="1">
        <f>IFERROR(__xludf.DUMMYFUNCTION("""COMPUTED_VALUE"""),91.0)</f>
        <v>91</v>
      </c>
      <c r="I1630" s="1">
        <f>IFERROR(__xludf.DUMMYFUNCTION("""COMPUTED_VALUE"""),32.0)</f>
        <v>32</v>
      </c>
      <c r="J1630" s="1">
        <f>IFERROR(__xludf.DUMMYFUNCTION("""COMPUTED_VALUE"""),74.0)</f>
        <v>74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 t="str">
        <f>IFERROR(__xludf.DUMMYFUNCTION("""COMPUTED_VALUE"""),"A")</f>
        <v>A</v>
      </c>
      <c r="E1631" s="1">
        <f>IFERROR(__xludf.DUMMYFUNCTION("""COMPUTED_VALUE"""),64.0)</f>
        <v>64</v>
      </c>
      <c r="F1631" s="1">
        <f>IFERROR(__xludf.DUMMYFUNCTION("""COMPUTED_VALUE"""),21.0)</f>
        <v>21</v>
      </c>
      <c r="G1631" s="1">
        <f>IFERROR(__xludf.DUMMYFUNCTION("""COMPUTED_VALUE"""),24.0)</f>
        <v>24</v>
      </c>
      <c r="H1631" s="1">
        <f>IFERROR(__xludf.DUMMYFUNCTION("""COMPUTED_VALUE"""),72.0)</f>
        <v>72</v>
      </c>
      <c r="I1631" s="1">
        <f>IFERROR(__xludf.DUMMYFUNCTION("""COMPUTED_VALUE"""),76.0)</f>
        <v>76</v>
      </c>
      <c r="J1631" s="1">
        <f>IFERROR(__xludf.DUMMYFUNCTION("""COMPUTED_VALUE"""),45.0)</f>
        <v>45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 t="str">
        <f>IFERROR(__xludf.DUMMYFUNCTION("""COMPUTED_VALUE"""),"C")</f>
        <v>C</v>
      </c>
      <c r="E1632" s="1">
        <f>IFERROR(__xludf.DUMMYFUNCTION("""COMPUTED_VALUE"""),61.0)</f>
        <v>61</v>
      </c>
      <c r="F1632" s="1">
        <f>IFERROR(__xludf.DUMMYFUNCTION("""COMPUTED_VALUE"""),68.0)</f>
        <v>68</v>
      </c>
      <c r="G1632" s="1">
        <f>IFERROR(__xludf.DUMMYFUNCTION("""COMPUTED_VALUE"""),87.0)</f>
        <v>87</v>
      </c>
      <c r="H1632" s="1">
        <f>IFERROR(__xludf.DUMMYFUNCTION("""COMPUTED_VALUE"""),94.0)</f>
        <v>94</v>
      </c>
      <c r="I1632" s="1">
        <f>IFERROR(__xludf.DUMMYFUNCTION("""COMPUTED_VALUE"""),66.0)</f>
        <v>66</v>
      </c>
      <c r="J1632" s="1">
        <f>IFERROR(__xludf.DUMMYFUNCTION("""COMPUTED_VALUE"""),80.0)</f>
        <v>80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 t="str">
        <f>IFERROR(__xludf.DUMMYFUNCTION("""COMPUTED_VALUE"""),"A")</f>
        <v>A</v>
      </c>
      <c r="E1633" s="1">
        <f>IFERROR(__xludf.DUMMYFUNCTION("""COMPUTED_VALUE"""),30.0)</f>
        <v>30</v>
      </c>
      <c r="F1633" s="1">
        <f>IFERROR(__xludf.DUMMYFUNCTION("""COMPUTED_VALUE"""),33.0)</f>
        <v>33</v>
      </c>
      <c r="G1633" s="1">
        <f>IFERROR(__xludf.DUMMYFUNCTION("""COMPUTED_VALUE"""),97.0)</f>
        <v>97</v>
      </c>
      <c r="H1633" s="1">
        <f>IFERROR(__xludf.DUMMYFUNCTION("""COMPUTED_VALUE"""),51.0)</f>
        <v>51</v>
      </c>
      <c r="I1633" s="1">
        <f>IFERROR(__xludf.DUMMYFUNCTION("""COMPUTED_VALUE"""),74.0)</f>
        <v>74</v>
      </c>
      <c r="J1633" s="1">
        <f>IFERROR(__xludf.DUMMYFUNCTION("""COMPUTED_VALUE"""),41.0)</f>
        <v>41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 t="str">
        <f>IFERROR(__xludf.DUMMYFUNCTION("""COMPUTED_VALUE"""),"D")</f>
        <v>D</v>
      </c>
      <c r="E1634" s="1">
        <f>IFERROR(__xludf.DUMMYFUNCTION("""COMPUTED_VALUE"""),67.0)</f>
        <v>67</v>
      </c>
      <c r="F1634" s="1">
        <f>IFERROR(__xludf.DUMMYFUNCTION("""COMPUTED_VALUE"""),38.0)</f>
        <v>38</v>
      </c>
      <c r="G1634" s="1">
        <f>IFERROR(__xludf.DUMMYFUNCTION("""COMPUTED_VALUE"""),93.0)</f>
        <v>93</v>
      </c>
      <c r="H1634" s="1">
        <f>IFERROR(__xludf.DUMMYFUNCTION("""COMPUTED_VALUE"""),46.0)</f>
        <v>46</v>
      </c>
      <c r="I1634" s="1">
        <f>IFERROR(__xludf.DUMMYFUNCTION("""COMPUTED_VALUE"""),48.0)</f>
        <v>48</v>
      </c>
      <c r="J1634" s="1">
        <f>IFERROR(__xludf.DUMMYFUNCTION("""COMPUTED_VALUE"""),67.0)</f>
        <v>67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 t="str">
        <f>IFERROR(__xludf.DUMMYFUNCTION("""COMPUTED_VALUE"""),"B")</f>
        <v>B</v>
      </c>
      <c r="E1635" s="1">
        <f>IFERROR(__xludf.DUMMYFUNCTION("""COMPUTED_VALUE"""),15.0)</f>
        <v>15</v>
      </c>
      <c r="F1635" s="1">
        <f>IFERROR(__xludf.DUMMYFUNCTION("""COMPUTED_VALUE"""),89.0)</f>
        <v>89</v>
      </c>
      <c r="G1635" s="1">
        <f>IFERROR(__xludf.DUMMYFUNCTION("""COMPUTED_VALUE"""),98.0)</f>
        <v>98</v>
      </c>
      <c r="H1635" s="1">
        <f>IFERROR(__xludf.DUMMYFUNCTION("""COMPUTED_VALUE"""),79.0)</f>
        <v>79</v>
      </c>
      <c r="I1635" s="1">
        <f>IFERROR(__xludf.DUMMYFUNCTION("""COMPUTED_VALUE"""),32.0)</f>
        <v>32</v>
      </c>
      <c r="J1635" s="1">
        <f>IFERROR(__xludf.DUMMYFUNCTION("""COMPUTED_VALUE"""),51.0)</f>
        <v>51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 t="str">
        <f>IFERROR(__xludf.DUMMYFUNCTION("""COMPUTED_VALUE"""),"C")</f>
        <v>C</v>
      </c>
      <c r="E1636" s="1">
        <f>IFERROR(__xludf.DUMMYFUNCTION("""COMPUTED_VALUE"""),61.0)</f>
        <v>61</v>
      </c>
      <c r="F1636" s="1">
        <f>IFERROR(__xludf.DUMMYFUNCTION("""COMPUTED_VALUE"""),65.0)</f>
        <v>65</v>
      </c>
      <c r="G1636" s="1">
        <f>IFERROR(__xludf.DUMMYFUNCTION("""COMPUTED_VALUE"""),90.0)</f>
        <v>90</v>
      </c>
      <c r="H1636" s="1">
        <f>IFERROR(__xludf.DUMMYFUNCTION("""COMPUTED_VALUE"""),54.0)</f>
        <v>54</v>
      </c>
      <c r="I1636" s="1">
        <f>IFERROR(__xludf.DUMMYFUNCTION("""COMPUTED_VALUE"""),54.0)</f>
        <v>54</v>
      </c>
      <c r="J1636" s="1">
        <f>IFERROR(__xludf.DUMMYFUNCTION("""COMPUTED_VALUE"""),34.0)</f>
        <v>34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 t="str">
        <f>IFERROR(__xludf.DUMMYFUNCTION("""COMPUTED_VALUE"""),"C")</f>
        <v>C</v>
      </c>
      <c r="E1637" s="1">
        <f>IFERROR(__xludf.DUMMYFUNCTION("""COMPUTED_VALUE"""),57.0)</f>
        <v>57</v>
      </c>
      <c r="F1637" s="1">
        <f>IFERROR(__xludf.DUMMYFUNCTION("""COMPUTED_VALUE"""),95.0)</f>
        <v>95</v>
      </c>
      <c r="G1637" s="1">
        <f>IFERROR(__xludf.DUMMYFUNCTION("""COMPUTED_VALUE"""),51.0)</f>
        <v>51</v>
      </c>
      <c r="H1637" s="1">
        <f>IFERROR(__xludf.DUMMYFUNCTION("""COMPUTED_VALUE"""),21.0)</f>
        <v>21</v>
      </c>
      <c r="I1637" s="1">
        <f>IFERROR(__xludf.DUMMYFUNCTION("""COMPUTED_VALUE"""),22.0)</f>
        <v>22</v>
      </c>
      <c r="J1637" s="1">
        <f>IFERROR(__xludf.DUMMYFUNCTION("""COMPUTED_VALUE"""),42.0)</f>
        <v>42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 t="str">
        <f>IFERROR(__xludf.DUMMYFUNCTION("""COMPUTED_VALUE"""),"D")</f>
        <v>D</v>
      </c>
      <c r="E1638" s="1">
        <f>IFERROR(__xludf.DUMMYFUNCTION("""COMPUTED_VALUE"""),72.0)</f>
        <v>72</v>
      </c>
      <c r="F1638" s="1">
        <f>IFERROR(__xludf.DUMMYFUNCTION("""COMPUTED_VALUE"""),20.0)</f>
        <v>20</v>
      </c>
      <c r="G1638" s="1">
        <f>IFERROR(__xludf.DUMMYFUNCTION("""COMPUTED_VALUE"""),48.0)</f>
        <v>48</v>
      </c>
      <c r="H1638" s="1">
        <f>IFERROR(__xludf.DUMMYFUNCTION("""COMPUTED_VALUE"""),76.0)</f>
        <v>76</v>
      </c>
      <c r="I1638" s="1">
        <f>IFERROR(__xludf.DUMMYFUNCTION("""COMPUTED_VALUE"""),44.0)</f>
        <v>44</v>
      </c>
      <c r="J1638" s="1">
        <f>IFERROR(__xludf.DUMMYFUNCTION("""COMPUTED_VALUE"""),60.0)</f>
        <v>60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 t="str">
        <f>IFERROR(__xludf.DUMMYFUNCTION("""COMPUTED_VALUE"""),"B")</f>
        <v>B</v>
      </c>
      <c r="E1639" s="1">
        <f>IFERROR(__xludf.DUMMYFUNCTION("""COMPUTED_VALUE"""),29.0)</f>
        <v>29</v>
      </c>
      <c r="F1639" s="1">
        <f>IFERROR(__xludf.DUMMYFUNCTION("""COMPUTED_VALUE"""),59.0)</f>
        <v>59</v>
      </c>
      <c r="G1639" s="1">
        <f>IFERROR(__xludf.DUMMYFUNCTION("""COMPUTED_VALUE"""),90.0)</f>
        <v>90</v>
      </c>
      <c r="H1639" s="1">
        <f>IFERROR(__xludf.DUMMYFUNCTION("""COMPUTED_VALUE"""),75.0)</f>
        <v>75</v>
      </c>
      <c r="I1639" s="1">
        <f>IFERROR(__xludf.DUMMYFUNCTION("""COMPUTED_VALUE"""),41.0)</f>
        <v>41</v>
      </c>
      <c r="J1639" s="1">
        <f>IFERROR(__xludf.DUMMYFUNCTION("""COMPUTED_VALUE"""),71.0)</f>
        <v>71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 t="str">
        <f>IFERROR(__xludf.DUMMYFUNCTION("""COMPUTED_VALUE"""),"A")</f>
        <v>A</v>
      </c>
      <c r="E1640" s="1">
        <f>IFERROR(__xludf.DUMMYFUNCTION("""COMPUTED_VALUE"""),33.0)</f>
        <v>33</v>
      </c>
      <c r="F1640" s="1">
        <f>IFERROR(__xludf.DUMMYFUNCTION("""COMPUTED_VALUE"""),77.0)</f>
        <v>77</v>
      </c>
      <c r="G1640" s="1">
        <f>IFERROR(__xludf.DUMMYFUNCTION("""COMPUTED_VALUE"""),93.0)</f>
        <v>93</v>
      </c>
      <c r="H1640" s="1">
        <f>IFERROR(__xludf.DUMMYFUNCTION("""COMPUTED_VALUE"""),23.0)</f>
        <v>23</v>
      </c>
      <c r="I1640" s="1">
        <f>IFERROR(__xludf.DUMMYFUNCTION("""COMPUTED_VALUE"""),89.0)</f>
        <v>89</v>
      </c>
      <c r="J1640" s="1">
        <f>IFERROR(__xludf.DUMMYFUNCTION("""COMPUTED_VALUE"""),22.0)</f>
        <v>22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 t="str">
        <f>IFERROR(__xludf.DUMMYFUNCTION("""COMPUTED_VALUE"""),"B")</f>
        <v>B</v>
      </c>
      <c r="E1641" s="1">
        <f>IFERROR(__xludf.DUMMYFUNCTION("""COMPUTED_VALUE"""),89.0)</f>
        <v>89</v>
      </c>
      <c r="F1641" s="1">
        <f>IFERROR(__xludf.DUMMYFUNCTION("""COMPUTED_VALUE"""),40.0)</f>
        <v>40</v>
      </c>
      <c r="G1641" s="1">
        <f>IFERROR(__xludf.DUMMYFUNCTION("""COMPUTED_VALUE"""),71.0)</f>
        <v>71</v>
      </c>
      <c r="H1641" s="1">
        <f>IFERROR(__xludf.DUMMYFUNCTION("""COMPUTED_VALUE"""),56.0)</f>
        <v>56</v>
      </c>
      <c r="I1641" s="1">
        <f>IFERROR(__xludf.DUMMYFUNCTION("""COMPUTED_VALUE"""),75.0)</f>
        <v>75</v>
      </c>
      <c r="J1641" s="1">
        <f>IFERROR(__xludf.DUMMYFUNCTION("""COMPUTED_VALUE"""),74.0)</f>
        <v>74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 t="str">
        <f>IFERROR(__xludf.DUMMYFUNCTION("""COMPUTED_VALUE"""),"A")</f>
        <v>A</v>
      </c>
      <c r="E1642" s="1">
        <f>IFERROR(__xludf.DUMMYFUNCTION("""COMPUTED_VALUE"""),65.0)</f>
        <v>65</v>
      </c>
      <c r="F1642" s="1">
        <f>IFERROR(__xludf.DUMMYFUNCTION("""COMPUTED_VALUE"""),37.0)</f>
        <v>37</v>
      </c>
      <c r="G1642" s="1">
        <f>IFERROR(__xludf.DUMMYFUNCTION("""COMPUTED_VALUE"""),69.0)</f>
        <v>69</v>
      </c>
      <c r="H1642" s="1">
        <f>IFERROR(__xludf.DUMMYFUNCTION("""COMPUTED_VALUE"""),85.0)</f>
        <v>85</v>
      </c>
      <c r="I1642" s="1">
        <f>IFERROR(__xludf.DUMMYFUNCTION("""COMPUTED_VALUE"""),31.0)</f>
        <v>31</v>
      </c>
      <c r="J1642" s="1">
        <f>IFERROR(__xludf.DUMMYFUNCTION("""COMPUTED_VALUE"""),46.0)</f>
        <v>46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 t="str">
        <f>IFERROR(__xludf.DUMMYFUNCTION("""COMPUTED_VALUE"""),"D")</f>
        <v>D</v>
      </c>
      <c r="E1643" s="1">
        <f>IFERROR(__xludf.DUMMYFUNCTION("""COMPUTED_VALUE"""),35.0)</f>
        <v>35</v>
      </c>
      <c r="F1643" s="1">
        <f>IFERROR(__xludf.DUMMYFUNCTION("""COMPUTED_VALUE"""),73.0)</f>
        <v>73</v>
      </c>
      <c r="G1643" s="1">
        <f>IFERROR(__xludf.DUMMYFUNCTION("""COMPUTED_VALUE"""),40.0)</f>
        <v>40</v>
      </c>
      <c r="H1643" s="1">
        <f>IFERROR(__xludf.DUMMYFUNCTION("""COMPUTED_VALUE"""),75.0)</f>
        <v>75</v>
      </c>
      <c r="I1643" s="1">
        <f>IFERROR(__xludf.DUMMYFUNCTION("""COMPUTED_VALUE"""),83.0)</f>
        <v>83</v>
      </c>
      <c r="J1643" s="1">
        <f>IFERROR(__xludf.DUMMYFUNCTION("""COMPUTED_VALUE"""),35.0)</f>
        <v>35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 t="str">
        <f>IFERROR(__xludf.DUMMYFUNCTION("""COMPUTED_VALUE"""),"C")</f>
        <v>C</v>
      </c>
      <c r="E1644" s="1">
        <f>IFERROR(__xludf.DUMMYFUNCTION("""COMPUTED_VALUE"""),45.0)</f>
        <v>45</v>
      </c>
      <c r="F1644" s="1">
        <f>IFERROR(__xludf.DUMMYFUNCTION("""COMPUTED_VALUE"""),68.0)</f>
        <v>68</v>
      </c>
      <c r="G1644" s="1">
        <f>IFERROR(__xludf.DUMMYFUNCTION("""COMPUTED_VALUE"""),27.0)</f>
        <v>27</v>
      </c>
      <c r="H1644" s="1">
        <f>IFERROR(__xludf.DUMMYFUNCTION("""COMPUTED_VALUE"""),52.0)</f>
        <v>52</v>
      </c>
      <c r="I1644" s="1">
        <f>IFERROR(__xludf.DUMMYFUNCTION("""COMPUTED_VALUE"""),99.0)</f>
        <v>99</v>
      </c>
      <c r="J1644" s="1">
        <f>IFERROR(__xludf.DUMMYFUNCTION("""COMPUTED_VALUE"""),99.0)</f>
        <v>99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 t="str">
        <f>IFERROR(__xludf.DUMMYFUNCTION("""COMPUTED_VALUE"""),"A")</f>
        <v>A</v>
      </c>
      <c r="E1645" s="1">
        <f>IFERROR(__xludf.DUMMYFUNCTION("""COMPUTED_VALUE"""),57.0)</f>
        <v>57</v>
      </c>
      <c r="F1645" s="1">
        <f>IFERROR(__xludf.DUMMYFUNCTION("""COMPUTED_VALUE"""),61.0)</f>
        <v>61</v>
      </c>
      <c r="G1645" s="1">
        <f>IFERROR(__xludf.DUMMYFUNCTION("""COMPUTED_VALUE"""),24.0)</f>
        <v>24</v>
      </c>
      <c r="H1645" s="1">
        <f>IFERROR(__xludf.DUMMYFUNCTION("""COMPUTED_VALUE"""),48.0)</f>
        <v>48</v>
      </c>
      <c r="I1645" s="1">
        <f>IFERROR(__xludf.DUMMYFUNCTION("""COMPUTED_VALUE"""),78.0)</f>
        <v>78</v>
      </c>
      <c r="J1645" s="1">
        <f>IFERROR(__xludf.DUMMYFUNCTION("""COMPUTED_VALUE"""),41.0)</f>
        <v>41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 t="str">
        <f>IFERROR(__xludf.DUMMYFUNCTION("""COMPUTED_VALUE"""),"A")</f>
        <v>A</v>
      </c>
      <c r="E1646" s="1">
        <f>IFERROR(__xludf.DUMMYFUNCTION("""COMPUTED_VALUE"""),59.0)</f>
        <v>59</v>
      </c>
      <c r="F1646" s="1">
        <f>IFERROR(__xludf.DUMMYFUNCTION("""COMPUTED_VALUE"""),26.0)</f>
        <v>26</v>
      </c>
      <c r="G1646" s="1">
        <f>IFERROR(__xludf.DUMMYFUNCTION("""COMPUTED_VALUE"""),24.0)</f>
        <v>24</v>
      </c>
      <c r="H1646" s="1">
        <f>IFERROR(__xludf.DUMMYFUNCTION("""COMPUTED_VALUE"""),34.0)</f>
        <v>34</v>
      </c>
      <c r="I1646" s="1">
        <f>IFERROR(__xludf.DUMMYFUNCTION("""COMPUTED_VALUE"""),67.0)</f>
        <v>67</v>
      </c>
      <c r="J1646" s="1">
        <f>IFERROR(__xludf.DUMMYFUNCTION("""COMPUTED_VALUE"""),39.0)</f>
        <v>39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 t="str">
        <f>IFERROR(__xludf.DUMMYFUNCTION("""COMPUTED_VALUE"""),"D")</f>
        <v>D</v>
      </c>
      <c r="E1647" s="1">
        <f>IFERROR(__xludf.DUMMYFUNCTION("""COMPUTED_VALUE"""),68.0)</f>
        <v>68</v>
      </c>
      <c r="F1647" s="1">
        <f>IFERROR(__xludf.DUMMYFUNCTION("""COMPUTED_VALUE"""),33.0)</f>
        <v>33</v>
      </c>
      <c r="G1647" s="1">
        <f>IFERROR(__xludf.DUMMYFUNCTION("""COMPUTED_VALUE"""),78.0)</f>
        <v>78</v>
      </c>
      <c r="H1647" s="1">
        <f>IFERROR(__xludf.DUMMYFUNCTION("""COMPUTED_VALUE"""),79.0)</f>
        <v>79</v>
      </c>
      <c r="I1647" s="1">
        <f>IFERROR(__xludf.DUMMYFUNCTION("""COMPUTED_VALUE"""),22.0)</f>
        <v>22</v>
      </c>
      <c r="J1647" s="1">
        <f>IFERROR(__xludf.DUMMYFUNCTION("""COMPUTED_VALUE"""),22.0)</f>
        <v>22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 t="str">
        <f>IFERROR(__xludf.DUMMYFUNCTION("""COMPUTED_VALUE"""),"B")</f>
        <v>B</v>
      </c>
      <c r="E1648" s="1">
        <f>IFERROR(__xludf.DUMMYFUNCTION("""COMPUTED_VALUE"""),81.0)</f>
        <v>81</v>
      </c>
      <c r="F1648" s="1">
        <f>IFERROR(__xludf.DUMMYFUNCTION("""COMPUTED_VALUE"""),83.0)</f>
        <v>83</v>
      </c>
      <c r="G1648" s="1">
        <f>IFERROR(__xludf.DUMMYFUNCTION("""COMPUTED_VALUE"""),46.0)</f>
        <v>46</v>
      </c>
      <c r="H1648" s="1">
        <f>IFERROR(__xludf.DUMMYFUNCTION("""COMPUTED_VALUE"""),54.0)</f>
        <v>54</v>
      </c>
      <c r="I1648" s="1">
        <f>IFERROR(__xludf.DUMMYFUNCTION("""COMPUTED_VALUE"""),69.0)</f>
        <v>69</v>
      </c>
      <c r="J1648" s="1">
        <f>IFERROR(__xludf.DUMMYFUNCTION("""COMPUTED_VALUE"""),92.0)</f>
        <v>92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 t="str">
        <f>IFERROR(__xludf.DUMMYFUNCTION("""COMPUTED_VALUE"""),"A")</f>
        <v>A</v>
      </c>
      <c r="E1649" s="1">
        <f>IFERROR(__xludf.DUMMYFUNCTION("""COMPUTED_VALUE"""),33.0)</f>
        <v>33</v>
      </c>
      <c r="F1649" s="1">
        <f>IFERROR(__xludf.DUMMYFUNCTION("""COMPUTED_VALUE"""),42.0)</f>
        <v>42</v>
      </c>
      <c r="G1649" s="1">
        <f>IFERROR(__xludf.DUMMYFUNCTION("""COMPUTED_VALUE"""),61.0)</f>
        <v>61</v>
      </c>
      <c r="H1649" s="1">
        <f>IFERROR(__xludf.DUMMYFUNCTION("""COMPUTED_VALUE"""),99.0)</f>
        <v>99</v>
      </c>
      <c r="I1649" s="1">
        <f>IFERROR(__xludf.DUMMYFUNCTION("""COMPUTED_VALUE"""),20.0)</f>
        <v>20</v>
      </c>
      <c r="J1649" s="1">
        <f>IFERROR(__xludf.DUMMYFUNCTION("""COMPUTED_VALUE"""),54.0)</f>
        <v>54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 t="str">
        <f>IFERROR(__xludf.DUMMYFUNCTION("""COMPUTED_VALUE"""),"A")</f>
        <v>A</v>
      </c>
      <c r="E1650" s="1">
        <f>IFERROR(__xludf.DUMMYFUNCTION("""COMPUTED_VALUE"""),79.0)</f>
        <v>79</v>
      </c>
      <c r="F1650" s="1">
        <f>IFERROR(__xludf.DUMMYFUNCTION("""COMPUTED_VALUE"""),52.0)</f>
        <v>52</v>
      </c>
      <c r="G1650" s="1">
        <f>IFERROR(__xludf.DUMMYFUNCTION("""COMPUTED_VALUE"""),88.0)</f>
        <v>88</v>
      </c>
      <c r="H1650" s="1">
        <f>IFERROR(__xludf.DUMMYFUNCTION("""COMPUTED_VALUE"""),80.0)</f>
        <v>80</v>
      </c>
      <c r="I1650" s="1">
        <f>IFERROR(__xludf.DUMMYFUNCTION("""COMPUTED_VALUE"""),70.0)</f>
        <v>70</v>
      </c>
      <c r="J1650" s="1">
        <f>IFERROR(__xludf.DUMMYFUNCTION("""COMPUTED_VALUE"""),78.0)</f>
        <v>78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 t="str">
        <f>IFERROR(__xludf.DUMMYFUNCTION("""COMPUTED_VALUE"""),"A")</f>
        <v>A</v>
      </c>
      <c r="E1651" s="1">
        <f>IFERROR(__xludf.DUMMYFUNCTION("""COMPUTED_VALUE"""),17.0)</f>
        <v>17</v>
      </c>
      <c r="F1651" s="1">
        <f>IFERROR(__xludf.DUMMYFUNCTION("""COMPUTED_VALUE"""),61.0)</f>
        <v>61</v>
      </c>
      <c r="G1651" s="1">
        <f>IFERROR(__xludf.DUMMYFUNCTION("""COMPUTED_VALUE"""),42.0)</f>
        <v>42</v>
      </c>
      <c r="H1651" s="1">
        <f>IFERROR(__xludf.DUMMYFUNCTION("""COMPUTED_VALUE"""),99.0)</f>
        <v>99</v>
      </c>
      <c r="I1651" s="1">
        <f>IFERROR(__xludf.DUMMYFUNCTION("""COMPUTED_VALUE"""),49.0)</f>
        <v>49</v>
      </c>
      <c r="J1651" s="1">
        <f>IFERROR(__xludf.DUMMYFUNCTION("""COMPUTED_VALUE"""),76.0)</f>
        <v>76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 t="str">
        <f>IFERROR(__xludf.DUMMYFUNCTION("""COMPUTED_VALUE"""),"B")</f>
        <v>B</v>
      </c>
      <c r="E1652" s="1">
        <f>IFERROR(__xludf.DUMMYFUNCTION("""COMPUTED_VALUE"""),69.0)</f>
        <v>69</v>
      </c>
      <c r="F1652" s="1">
        <f>IFERROR(__xludf.DUMMYFUNCTION("""COMPUTED_VALUE"""),91.0)</f>
        <v>91</v>
      </c>
      <c r="G1652" s="1">
        <f>IFERROR(__xludf.DUMMYFUNCTION("""COMPUTED_VALUE"""),63.0)</f>
        <v>63</v>
      </c>
      <c r="H1652" s="1">
        <f>IFERROR(__xludf.DUMMYFUNCTION("""COMPUTED_VALUE"""),56.0)</f>
        <v>56</v>
      </c>
      <c r="I1652" s="1">
        <f>IFERROR(__xludf.DUMMYFUNCTION("""COMPUTED_VALUE"""),59.0)</f>
        <v>59</v>
      </c>
      <c r="J1652" s="1">
        <f>IFERROR(__xludf.DUMMYFUNCTION("""COMPUTED_VALUE"""),39.0)</f>
        <v>39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 t="str">
        <f>IFERROR(__xludf.DUMMYFUNCTION("""COMPUTED_VALUE"""),"D")</f>
        <v>D</v>
      </c>
      <c r="E1653" s="1">
        <f>IFERROR(__xludf.DUMMYFUNCTION("""COMPUTED_VALUE"""),93.0)</f>
        <v>93</v>
      </c>
      <c r="F1653" s="1">
        <f>IFERROR(__xludf.DUMMYFUNCTION("""COMPUTED_VALUE"""),61.0)</f>
        <v>61</v>
      </c>
      <c r="G1653" s="1">
        <f>IFERROR(__xludf.DUMMYFUNCTION("""COMPUTED_VALUE"""),57.0)</f>
        <v>57</v>
      </c>
      <c r="H1653" s="1">
        <f>IFERROR(__xludf.DUMMYFUNCTION("""COMPUTED_VALUE"""),49.0)</f>
        <v>49</v>
      </c>
      <c r="I1653" s="1">
        <f>IFERROR(__xludf.DUMMYFUNCTION("""COMPUTED_VALUE"""),51.0)</f>
        <v>51</v>
      </c>
      <c r="J1653" s="1">
        <f>IFERROR(__xludf.DUMMYFUNCTION("""COMPUTED_VALUE"""),53.0)</f>
        <v>53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 t="str">
        <f>IFERROR(__xludf.DUMMYFUNCTION("""COMPUTED_VALUE"""),"A")</f>
        <v>A</v>
      </c>
      <c r="E1654" s="1">
        <f>IFERROR(__xludf.DUMMYFUNCTION("""COMPUTED_VALUE"""),35.0)</f>
        <v>35</v>
      </c>
      <c r="F1654" s="1">
        <f>IFERROR(__xludf.DUMMYFUNCTION("""COMPUTED_VALUE"""),63.0)</f>
        <v>63</v>
      </c>
      <c r="G1654" s="1">
        <f>IFERROR(__xludf.DUMMYFUNCTION("""COMPUTED_VALUE"""),23.0)</f>
        <v>23</v>
      </c>
      <c r="H1654" s="1">
        <f>IFERROR(__xludf.DUMMYFUNCTION("""COMPUTED_VALUE"""),24.0)</f>
        <v>24</v>
      </c>
      <c r="I1654" s="1">
        <f>IFERROR(__xludf.DUMMYFUNCTION("""COMPUTED_VALUE"""),94.0)</f>
        <v>94</v>
      </c>
      <c r="J1654" s="1">
        <f>IFERROR(__xludf.DUMMYFUNCTION("""COMPUTED_VALUE"""),68.0)</f>
        <v>68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 t="str">
        <f>IFERROR(__xludf.DUMMYFUNCTION("""COMPUTED_VALUE"""),"D")</f>
        <v>D</v>
      </c>
      <c r="E1655" s="1">
        <f>IFERROR(__xludf.DUMMYFUNCTION("""COMPUTED_VALUE"""),35.0)</f>
        <v>35</v>
      </c>
      <c r="F1655" s="1">
        <f>IFERROR(__xludf.DUMMYFUNCTION("""COMPUTED_VALUE"""),43.0)</f>
        <v>43</v>
      </c>
      <c r="G1655" s="1">
        <f>IFERROR(__xludf.DUMMYFUNCTION("""COMPUTED_VALUE"""),91.0)</f>
        <v>91</v>
      </c>
      <c r="H1655" s="1">
        <f>IFERROR(__xludf.DUMMYFUNCTION("""COMPUTED_VALUE"""),89.0)</f>
        <v>89</v>
      </c>
      <c r="I1655" s="1">
        <f>IFERROR(__xludf.DUMMYFUNCTION("""COMPUTED_VALUE"""),92.0)</f>
        <v>92</v>
      </c>
      <c r="J1655" s="1">
        <f>IFERROR(__xludf.DUMMYFUNCTION("""COMPUTED_VALUE"""),34.0)</f>
        <v>34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 t="str">
        <f>IFERROR(__xludf.DUMMYFUNCTION("""COMPUTED_VALUE"""),"B")</f>
        <v>B</v>
      </c>
      <c r="E1656" s="1">
        <f>IFERROR(__xludf.DUMMYFUNCTION("""COMPUTED_VALUE"""),50.0)</f>
        <v>50</v>
      </c>
      <c r="F1656" s="1">
        <f>IFERROR(__xludf.DUMMYFUNCTION("""COMPUTED_VALUE"""),84.0)</f>
        <v>84</v>
      </c>
      <c r="G1656" s="1">
        <f>IFERROR(__xludf.DUMMYFUNCTION("""COMPUTED_VALUE"""),44.0)</f>
        <v>44</v>
      </c>
      <c r="H1656" s="1">
        <f>IFERROR(__xludf.DUMMYFUNCTION("""COMPUTED_VALUE"""),91.0)</f>
        <v>91</v>
      </c>
      <c r="I1656" s="1">
        <f>IFERROR(__xludf.DUMMYFUNCTION("""COMPUTED_VALUE"""),20.0)</f>
        <v>20</v>
      </c>
      <c r="J1656" s="1">
        <f>IFERROR(__xludf.DUMMYFUNCTION("""COMPUTED_VALUE"""),27.0)</f>
        <v>27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 t="str">
        <f>IFERROR(__xludf.DUMMYFUNCTION("""COMPUTED_VALUE"""),"A")</f>
        <v>A</v>
      </c>
      <c r="E1657" s="1">
        <f>IFERROR(__xludf.DUMMYFUNCTION("""COMPUTED_VALUE"""),56.0)</f>
        <v>56</v>
      </c>
      <c r="F1657" s="1">
        <f>IFERROR(__xludf.DUMMYFUNCTION("""COMPUTED_VALUE"""),62.0)</f>
        <v>62</v>
      </c>
      <c r="G1657" s="1">
        <f>IFERROR(__xludf.DUMMYFUNCTION("""COMPUTED_VALUE"""),38.0)</f>
        <v>38</v>
      </c>
      <c r="H1657" s="1">
        <f>IFERROR(__xludf.DUMMYFUNCTION("""COMPUTED_VALUE"""),25.0)</f>
        <v>25</v>
      </c>
      <c r="I1657" s="1">
        <f>IFERROR(__xludf.DUMMYFUNCTION("""COMPUTED_VALUE"""),26.0)</f>
        <v>26</v>
      </c>
      <c r="J1657" s="1">
        <f>IFERROR(__xludf.DUMMYFUNCTION("""COMPUTED_VALUE"""),64.0)</f>
        <v>64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 t="str">
        <f>IFERROR(__xludf.DUMMYFUNCTION("""COMPUTED_VALUE"""),"D")</f>
        <v>D</v>
      </c>
      <c r="E1658" s="1">
        <f>IFERROR(__xludf.DUMMYFUNCTION("""COMPUTED_VALUE"""),45.0)</f>
        <v>45</v>
      </c>
      <c r="F1658" s="1">
        <f>IFERROR(__xludf.DUMMYFUNCTION("""COMPUTED_VALUE"""),32.0)</f>
        <v>32</v>
      </c>
      <c r="G1658" s="1">
        <f>IFERROR(__xludf.DUMMYFUNCTION("""COMPUTED_VALUE"""),78.0)</f>
        <v>78</v>
      </c>
      <c r="H1658" s="1">
        <f>IFERROR(__xludf.DUMMYFUNCTION("""COMPUTED_VALUE"""),36.0)</f>
        <v>36</v>
      </c>
      <c r="I1658" s="1">
        <f>IFERROR(__xludf.DUMMYFUNCTION("""COMPUTED_VALUE"""),52.0)</f>
        <v>52</v>
      </c>
      <c r="J1658" s="1">
        <f>IFERROR(__xludf.DUMMYFUNCTION("""COMPUTED_VALUE"""),62.0)</f>
        <v>62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 t="str">
        <f>IFERROR(__xludf.DUMMYFUNCTION("""COMPUTED_VALUE"""),"B")</f>
        <v>B</v>
      </c>
      <c r="E1659" s="1">
        <f>IFERROR(__xludf.DUMMYFUNCTION("""COMPUTED_VALUE"""),44.0)</f>
        <v>44</v>
      </c>
      <c r="F1659" s="1">
        <f>IFERROR(__xludf.DUMMYFUNCTION("""COMPUTED_VALUE"""),53.0)</f>
        <v>53</v>
      </c>
      <c r="G1659" s="1">
        <f>IFERROR(__xludf.DUMMYFUNCTION("""COMPUTED_VALUE"""),67.0)</f>
        <v>67</v>
      </c>
      <c r="H1659" s="1">
        <f>IFERROR(__xludf.DUMMYFUNCTION("""COMPUTED_VALUE"""),57.0)</f>
        <v>57</v>
      </c>
      <c r="I1659" s="1">
        <f>IFERROR(__xludf.DUMMYFUNCTION("""COMPUTED_VALUE"""),52.0)</f>
        <v>52</v>
      </c>
      <c r="J1659" s="1">
        <f>IFERROR(__xludf.DUMMYFUNCTION("""COMPUTED_VALUE"""),93.0)</f>
        <v>93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 t="str">
        <f>IFERROR(__xludf.DUMMYFUNCTION("""COMPUTED_VALUE"""),"B")</f>
        <v>B</v>
      </c>
      <c r="E1660" s="1">
        <f>IFERROR(__xludf.DUMMYFUNCTION("""COMPUTED_VALUE"""),89.0)</f>
        <v>89</v>
      </c>
      <c r="F1660" s="1">
        <f>IFERROR(__xludf.DUMMYFUNCTION("""COMPUTED_VALUE"""),55.0)</f>
        <v>55</v>
      </c>
      <c r="G1660" s="1">
        <f>IFERROR(__xludf.DUMMYFUNCTION("""COMPUTED_VALUE"""),61.0)</f>
        <v>61</v>
      </c>
      <c r="H1660" s="1">
        <f>IFERROR(__xludf.DUMMYFUNCTION("""COMPUTED_VALUE"""),51.0)</f>
        <v>51</v>
      </c>
      <c r="I1660" s="1">
        <f>IFERROR(__xludf.DUMMYFUNCTION("""COMPUTED_VALUE"""),34.0)</f>
        <v>34</v>
      </c>
      <c r="J1660" s="1">
        <f>IFERROR(__xludf.DUMMYFUNCTION("""COMPUTED_VALUE"""),29.0)</f>
        <v>29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 t="str">
        <f>IFERROR(__xludf.DUMMYFUNCTION("""COMPUTED_VALUE"""),"D")</f>
        <v>D</v>
      </c>
      <c r="E1661" s="1">
        <f>IFERROR(__xludf.DUMMYFUNCTION("""COMPUTED_VALUE"""),98.0)</f>
        <v>98</v>
      </c>
      <c r="F1661" s="1">
        <f>IFERROR(__xludf.DUMMYFUNCTION("""COMPUTED_VALUE"""),29.0)</f>
        <v>29</v>
      </c>
      <c r="G1661" s="1">
        <f>IFERROR(__xludf.DUMMYFUNCTION("""COMPUTED_VALUE"""),58.0)</f>
        <v>58</v>
      </c>
      <c r="H1661" s="1">
        <f>IFERROR(__xludf.DUMMYFUNCTION("""COMPUTED_VALUE"""),60.0)</f>
        <v>60</v>
      </c>
      <c r="I1661" s="1">
        <f>IFERROR(__xludf.DUMMYFUNCTION("""COMPUTED_VALUE"""),57.0)</f>
        <v>57</v>
      </c>
      <c r="J1661" s="1">
        <f>IFERROR(__xludf.DUMMYFUNCTION("""COMPUTED_VALUE"""),95.0)</f>
        <v>95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 t="str">
        <f>IFERROR(__xludf.DUMMYFUNCTION("""COMPUTED_VALUE"""),"A")</f>
        <v>A</v>
      </c>
      <c r="E1662" s="1">
        <f>IFERROR(__xludf.DUMMYFUNCTION("""COMPUTED_VALUE"""),76.0)</f>
        <v>76</v>
      </c>
      <c r="F1662" s="1">
        <f>IFERROR(__xludf.DUMMYFUNCTION("""COMPUTED_VALUE"""),20.0)</f>
        <v>20</v>
      </c>
      <c r="G1662" s="1">
        <f>IFERROR(__xludf.DUMMYFUNCTION("""COMPUTED_VALUE"""),50.0)</f>
        <v>50</v>
      </c>
      <c r="H1662" s="1">
        <f>IFERROR(__xludf.DUMMYFUNCTION("""COMPUTED_VALUE"""),62.0)</f>
        <v>62</v>
      </c>
      <c r="I1662" s="1">
        <f>IFERROR(__xludf.DUMMYFUNCTION("""COMPUTED_VALUE"""),71.0)</f>
        <v>71</v>
      </c>
      <c r="J1662" s="1">
        <f>IFERROR(__xludf.DUMMYFUNCTION("""COMPUTED_VALUE"""),58.0)</f>
        <v>58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 t="str">
        <f>IFERROR(__xludf.DUMMYFUNCTION("""COMPUTED_VALUE"""),"D")</f>
        <v>D</v>
      </c>
      <c r="E1663" s="1">
        <f>IFERROR(__xludf.DUMMYFUNCTION("""COMPUTED_VALUE"""),47.0)</f>
        <v>47</v>
      </c>
      <c r="F1663" s="1">
        <f>IFERROR(__xludf.DUMMYFUNCTION("""COMPUTED_VALUE"""),55.0)</f>
        <v>55</v>
      </c>
      <c r="G1663" s="1">
        <f>IFERROR(__xludf.DUMMYFUNCTION("""COMPUTED_VALUE"""),54.0)</f>
        <v>54</v>
      </c>
      <c r="H1663" s="1">
        <f>IFERROR(__xludf.DUMMYFUNCTION("""COMPUTED_VALUE"""),32.0)</f>
        <v>32</v>
      </c>
      <c r="I1663" s="1">
        <f>IFERROR(__xludf.DUMMYFUNCTION("""COMPUTED_VALUE"""),22.0)</f>
        <v>22</v>
      </c>
      <c r="J1663" s="1">
        <f>IFERROR(__xludf.DUMMYFUNCTION("""COMPUTED_VALUE"""),88.0)</f>
        <v>88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 t="str">
        <f>IFERROR(__xludf.DUMMYFUNCTION("""COMPUTED_VALUE"""),"C")</f>
        <v>C</v>
      </c>
      <c r="E1664" s="1">
        <f>IFERROR(__xludf.DUMMYFUNCTION("""COMPUTED_VALUE"""),33.0)</f>
        <v>33</v>
      </c>
      <c r="F1664" s="1">
        <f>IFERROR(__xludf.DUMMYFUNCTION("""COMPUTED_VALUE"""),39.0)</f>
        <v>39</v>
      </c>
      <c r="G1664" s="1">
        <f>IFERROR(__xludf.DUMMYFUNCTION("""COMPUTED_VALUE"""),60.0)</f>
        <v>60</v>
      </c>
      <c r="H1664" s="1">
        <f>IFERROR(__xludf.DUMMYFUNCTION("""COMPUTED_VALUE"""),45.0)</f>
        <v>45</v>
      </c>
      <c r="I1664" s="1">
        <f>IFERROR(__xludf.DUMMYFUNCTION("""COMPUTED_VALUE"""),41.0)</f>
        <v>41</v>
      </c>
      <c r="J1664" s="1">
        <f>IFERROR(__xludf.DUMMYFUNCTION("""COMPUTED_VALUE"""),53.0)</f>
        <v>53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 t="str">
        <f>IFERROR(__xludf.DUMMYFUNCTION("""COMPUTED_VALUE"""),"A")</f>
        <v>A</v>
      </c>
      <c r="E1665" s="1">
        <f>IFERROR(__xludf.DUMMYFUNCTION("""COMPUTED_VALUE"""),72.0)</f>
        <v>72</v>
      </c>
      <c r="F1665" s="1">
        <f>IFERROR(__xludf.DUMMYFUNCTION("""COMPUTED_VALUE"""),31.0)</f>
        <v>31</v>
      </c>
      <c r="G1665" s="1">
        <f>IFERROR(__xludf.DUMMYFUNCTION("""COMPUTED_VALUE"""),49.0)</f>
        <v>49</v>
      </c>
      <c r="H1665" s="1">
        <f>IFERROR(__xludf.DUMMYFUNCTION("""COMPUTED_VALUE"""),60.0)</f>
        <v>60</v>
      </c>
      <c r="I1665" s="1">
        <f>IFERROR(__xludf.DUMMYFUNCTION("""COMPUTED_VALUE"""),51.0)</f>
        <v>51</v>
      </c>
      <c r="J1665" s="1">
        <f>IFERROR(__xludf.DUMMYFUNCTION("""COMPUTED_VALUE"""),29.0)</f>
        <v>29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 t="str">
        <f>IFERROR(__xludf.DUMMYFUNCTION("""COMPUTED_VALUE"""),"C")</f>
        <v>C</v>
      </c>
      <c r="E1666" s="1">
        <f>IFERROR(__xludf.DUMMYFUNCTION("""COMPUTED_VALUE"""),21.0)</f>
        <v>21</v>
      </c>
      <c r="F1666" s="1">
        <f>IFERROR(__xludf.DUMMYFUNCTION("""COMPUTED_VALUE"""),34.0)</f>
        <v>34</v>
      </c>
      <c r="G1666" s="1">
        <f>IFERROR(__xludf.DUMMYFUNCTION("""COMPUTED_VALUE"""),56.0)</f>
        <v>56</v>
      </c>
      <c r="H1666" s="1">
        <f>IFERROR(__xludf.DUMMYFUNCTION("""COMPUTED_VALUE"""),61.0)</f>
        <v>61</v>
      </c>
      <c r="I1666" s="1">
        <f>IFERROR(__xludf.DUMMYFUNCTION("""COMPUTED_VALUE"""),27.0)</f>
        <v>27</v>
      </c>
      <c r="J1666" s="1">
        <f>IFERROR(__xludf.DUMMYFUNCTION("""COMPUTED_VALUE"""),95.0)</f>
        <v>95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 t="str">
        <f>IFERROR(__xludf.DUMMYFUNCTION("""COMPUTED_VALUE"""),"A")</f>
        <v>A</v>
      </c>
      <c r="E1667" s="1">
        <f>IFERROR(__xludf.DUMMYFUNCTION("""COMPUTED_VALUE"""),30.0)</f>
        <v>30</v>
      </c>
      <c r="F1667" s="1">
        <f>IFERROR(__xludf.DUMMYFUNCTION("""COMPUTED_VALUE"""),56.0)</f>
        <v>56</v>
      </c>
      <c r="G1667" s="1">
        <f>IFERROR(__xludf.DUMMYFUNCTION("""COMPUTED_VALUE"""),90.0)</f>
        <v>90</v>
      </c>
      <c r="H1667" s="1">
        <f>IFERROR(__xludf.DUMMYFUNCTION("""COMPUTED_VALUE"""),62.0)</f>
        <v>62</v>
      </c>
      <c r="I1667" s="1">
        <f>IFERROR(__xludf.DUMMYFUNCTION("""COMPUTED_VALUE"""),40.0)</f>
        <v>40</v>
      </c>
      <c r="J1667" s="1">
        <f>IFERROR(__xludf.DUMMYFUNCTION("""COMPUTED_VALUE"""),60.0)</f>
        <v>60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 t="str">
        <f>IFERROR(__xludf.DUMMYFUNCTION("""COMPUTED_VALUE"""),"B")</f>
        <v>B</v>
      </c>
      <c r="E1668" s="1">
        <f>IFERROR(__xludf.DUMMYFUNCTION("""COMPUTED_VALUE"""),34.0)</f>
        <v>34</v>
      </c>
      <c r="F1668" s="1">
        <f>IFERROR(__xludf.DUMMYFUNCTION("""COMPUTED_VALUE"""),88.0)</f>
        <v>88</v>
      </c>
      <c r="G1668" s="1">
        <f>IFERROR(__xludf.DUMMYFUNCTION("""COMPUTED_VALUE"""),72.0)</f>
        <v>72</v>
      </c>
      <c r="H1668" s="1">
        <f>IFERROR(__xludf.DUMMYFUNCTION("""COMPUTED_VALUE"""),20.0)</f>
        <v>20</v>
      </c>
      <c r="I1668" s="1">
        <f>IFERROR(__xludf.DUMMYFUNCTION("""COMPUTED_VALUE"""),81.0)</f>
        <v>81</v>
      </c>
      <c r="J1668" s="1">
        <f>IFERROR(__xludf.DUMMYFUNCTION("""COMPUTED_VALUE"""),31.0)</f>
        <v>31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 t="str">
        <f>IFERROR(__xludf.DUMMYFUNCTION("""COMPUTED_VALUE"""),"B")</f>
        <v>B</v>
      </c>
      <c r="E1669" s="1">
        <f>IFERROR(__xludf.DUMMYFUNCTION("""COMPUTED_VALUE"""),19.0)</f>
        <v>19</v>
      </c>
      <c r="F1669" s="1">
        <f>IFERROR(__xludf.DUMMYFUNCTION("""COMPUTED_VALUE"""),59.0)</f>
        <v>59</v>
      </c>
      <c r="G1669" s="1">
        <f>IFERROR(__xludf.DUMMYFUNCTION("""COMPUTED_VALUE"""),46.0)</f>
        <v>46</v>
      </c>
      <c r="H1669" s="1">
        <f>IFERROR(__xludf.DUMMYFUNCTION("""COMPUTED_VALUE"""),30.0)</f>
        <v>30</v>
      </c>
      <c r="I1669" s="1">
        <f>IFERROR(__xludf.DUMMYFUNCTION("""COMPUTED_VALUE"""),31.0)</f>
        <v>31</v>
      </c>
      <c r="J1669" s="1">
        <f>IFERROR(__xludf.DUMMYFUNCTION("""COMPUTED_VALUE"""),21.0)</f>
        <v>21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 t="str">
        <f>IFERROR(__xludf.DUMMYFUNCTION("""COMPUTED_VALUE"""),"A")</f>
        <v>A</v>
      </c>
      <c r="E1670" s="1">
        <f>IFERROR(__xludf.DUMMYFUNCTION("""COMPUTED_VALUE"""),80.0)</f>
        <v>80</v>
      </c>
      <c r="F1670" s="1">
        <f>IFERROR(__xludf.DUMMYFUNCTION("""COMPUTED_VALUE"""),93.0)</f>
        <v>93</v>
      </c>
      <c r="G1670" s="1">
        <f>IFERROR(__xludf.DUMMYFUNCTION("""COMPUTED_VALUE"""),68.0)</f>
        <v>68</v>
      </c>
      <c r="H1670" s="1">
        <f>IFERROR(__xludf.DUMMYFUNCTION("""COMPUTED_VALUE"""),37.0)</f>
        <v>37</v>
      </c>
      <c r="I1670" s="1">
        <f>IFERROR(__xludf.DUMMYFUNCTION("""COMPUTED_VALUE"""),84.0)</f>
        <v>84</v>
      </c>
      <c r="J1670" s="1">
        <f>IFERROR(__xludf.DUMMYFUNCTION("""COMPUTED_VALUE"""),79.0)</f>
        <v>79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 t="str">
        <f>IFERROR(__xludf.DUMMYFUNCTION("""COMPUTED_VALUE"""),"D")</f>
        <v>D</v>
      </c>
      <c r="E1671" s="1">
        <f>IFERROR(__xludf.DUMMYFUNCTION("""COMPUTED_VALUE"""),85.0)</f>
        <v>85</v>
      </c>
      <c r="F1671" s="1">
        <f>IFERROR(__xludf.DUMMYFUNCTION("""COMPUTED_VALUE"""),60.0)</f>
        <v>60</v>
      </c>
      <c r="G1671" s="1">
        <f>IFERROR(__xludf.DUMMYFUNCTION("""COMPUTED_VALUE"""),84.0)</f>
        <v>84</v>
      </c>
      <c r="H1671" s="1">
        <f>IFERROR(__xludf.DUMMYFUNCTION("""COMPUTED_VALUE"""),63.0)</f>
        <v>63</v>
      </c>
      <c r="I1671" s="1">
        <f>IFERROR(__xludf.DUMMYFUNCTION("""COMPUTED_VALUE"""),75.0)</f>
        <v>75</v>
      </c>
      <c r="J1671" s="1">
        <f>IFERROR(__xludf.DUMMYFUNCTION("""COMPUTED_VALUE"""),62.0)</f>
        <v>62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 t="str">
        <f>IFERROR(__xludf.DUMMYFUNCTION("""COMPUTED_VALUE"""),"A")</f>
        <v>A</v>
      </c>
      <c r="E1672" s="1">
        <f>IFERROR(__xludf.DUMMYFUNCTION("""COMPUTED_VALUE"""),17.0)</f>
        <v>17</v>
      </c>
      <c r="F1672" s="1">
        <f>IFERROR(__xludf.DUMMYFUNCTION("""COMPUTED_VALUE"""),97.0)</f>
        <v>97</v>
      </c>
      <c r="G1672" s="1">
        <f>IFERROR(__xludf.DUMMYFUNCTION("""COMPUTED_VALUE"""),88.0)</f>
        <v>88</v>
      </c>
      <c r="H1672" s="1">
        <f>IFERROR(__xludf.DUMMYFUNCTION("""COMPUTED_VALUE"""),26.0)</f>
        <v>26</v>
      </c>
      <c r="I1672" s="1">
        <f>IFERROR(__xludf.DUMMYFUNCTION("""COMPUTED_VALUE"""),38.0)</f>
        <v>38</v>
      </c>
      <c r="J1672" s="1">
        <f>IFERROR(__xludf.DUMMYFUNCTION("""COMPUTED_VALUE"""),73.0)</f>
        <v>73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 t="str">
        <f>IFERROR(__xludf.DUMMYFUNCTION("""COMPUTED_VALUE"""),"A")</f>
        <v>A</v>
      </c>
      <c r="E1673" s="1">
        <f>IFERROR(__xludf.DUMMYFUNCTION("""COMPUTED_VALUE"""),40.0)</f>
        <v>40</v>
      </c>
      <c r="F1673" s="1">
        <f>IFERROR(__xludf.DUMMYFUNCTION("""COMPUTED_VALUE"""),92.0)</f>
        <v>92</v>
      </c>
      <c r="G1673" s="1">
        <f>IFERROR(__xludf.DUMMYFUNCTION("""COMPUTED_VALUE"""),39.0)</f>
        <v>39</v>
      </c>
      <c r="H1673" s="1">
        <f>IFERROR(__xludf.DUMMYFUNCTION("""COMPUTED_VALUE"""),81.0)</f>
        <v>81</v>
      </c>
      <c r="I1673" s="1">
        <f>IFERROR(__xludf.DUMMYFUNCTION("""COMPUTED_VALUE"""),34.0)</f>
        <v>34</v>
      </c>
      <c r="J1673" s="1">
        <f>IFERROR(__xludf.DUMMYFUNCTION("""COMPUTED_VALUE"""),44.0)</f>
        <v>44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 t="str">
        <f>IFERROR(__xludf.DUMMYFUNCTION("""COMPUTED_VALUE"""),"D")</f>
        <v>D</v>
      </c>
      <c r="E1674" s="1">
        <f>IFERROR(__xludf.DUMMYFUNCTION("""COMPUTED_VALUE"""),51.0)</f>
        <v>51</v>
      </c>
      <c r="F1674" s="1">
        <f>IFERROR(__xludf.DUMMYFUNCTION("""COMPUTED_VALUE"""),80.0)</f>
        <v>80</v>
      </c>
      <c r="G1674" s="1">
        <f>IFERROR(__xludf.DUMMYFUNCTION("""COMPUTED_VALUE"""),35.0)</f>
        <v>35</v>
      </c>
      <c r="H1674" s="1">
        <f>IFERROR(__xludf.DUMMYFUNCTION("""COMPUTED_VALUE"""),65.0)</f>
        <v>65</v>
      </c>
      <c r="I1674" s="1">
        <f>IFERROR(__xludf.DUMMYFUNCTION("""COMPUTED_VALUE"""),73.0)</f>
        <v>73</v>
      </c>
      <c r="J1674" s="1">
        <f>IFERROR(__xludf.DUMMYFUNCTION("""COMPUTED_VALUE"""),74.0)</f>
        <v>74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 t="str">
        <f>IFERROR(__xludf.DUMMYFUNCTION("""COMPUTED_VALUE"""),"B")</f>
        <v>B</v>
      </c>
      <c r="E1675" s="1">
        <f>IFERROR(__xludf.DUMMYFUNCTION("""COMPUTED_VALUE"""),36.0)</f>
        <v>36</v>
      </c>
      <c r="F1675" s="1">
        <f>IFERROR(__xludf.DUMMYFUNCTION("""COMPUTED_VALUE"""),99.0)</f>
        <v>99</v>
      </c>
      <c r="G1675" s="1">
        <f>IFERROR(__xludf.DUMMYFUNCTION("""COMPUTED_VALUE"""),96.0)</f>
        <v>96</v>
      </c>
      <c r="H1675" s="1">
        <f>IFERROR(__xludf.DUMMYFUNCTION("""COMPUTED_VALUE"""),41.0)</f>
        <v>41</v>
      </c>
      <c r="I1675" s="1">
        <f>IFERROR(__xludf.DUMMYFUNCTION("""COMPUTED_VALUE"""),28.0)</f>
        <v>28</v>
      </c>
      <c r="J1675" s="1">
        <f>IFERROR(__xludf.DUMMYFUNCTION("""COMPUTED_VALUE"""),31.0)</f>
        <v>31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 t="str">
        <f>IFERROR(__xludf.DUMMYFUNCTION("""COMPUTED_VALUE"""),"D")</f>
        <v>D</v>
      </c>
      <c r="E1676" s="1">
        <f>IFERROR(__xludf.DUMMYFUNCTION("""COMPUTED_VALUE"""),29.0)</f>
        <v>29</v>
      </c>
      <c r="F1676" s="1">
        <f>IFERROR(__xludf.DUMMYFUNCTION("""COMPUTED_VALUE"""),38.0)</f>
        <v>38</v>
      </c>
      <c r="G1676" s="1">
        <f>IFERROR(__xludf.DUMMYFUNCTION("""COMPUTED_VALUE"""),28.0)</f>
        <v>28</v>
      </c>
      <c r="H1676" s="1">
        <f>IFERROR(__xludf.DUMMYFUNCTION("""COMPUTED_VALUE"""),99.0)</f>
        <v>99</v>
      </c>
      <c r="I1676" s="1">
        <f>IFERROR(__xludf.DUMMYFUNCTION("""COMPUTED_VALUE"""),44.0)</f>
        <v>44</v>
      </c>
      <c r="J1676" s="1">
        <f>IFERROR(__xludf.DUMMYFUNCTION("""COMPUTED_VALUE"""),32.0)</f>
        <v>32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 t="str">
        <f>IFERROR(__xludf.DUMMYFUNCTION("""COMPUTED_VALUE"""),"A")</f>
        <v>A</v>
      </c>
      <c r="E1677" s="1">
        <f>IFERROR(__xludf.DUMMYFUNCTION("""COMPUTED_VALUE"""),31.0)</f>
        <v>31</v>
      </c>
      <c r="F1677" s="1">
        <f>IFERROR(__xludf.DUMMYFUNCTION("""COMPUTED_VALUE"""),20.0)</f>
        <v>20</v>
      </c>
      <c r="G1677" s="1">
        <f>IFERROR(__xludf.DUMMYFUNCTION("""COMPUTED_VALUE"""),58.0)</f>
        <v>58</v>
      </c>
      <c r="H1677" s="1">
        <f>IFERROR(__xludf.DUMMYFUNCTION("""COMPUTED_VALUE"""),95.0)</f>
        <v>95</v>
      </c>
      <c r="I1677" s="1">
        <f>IFERROR(__xludf.DUMMYFUNCTION("""COMPUTED_VALUE"""),57.0)</f>
        <v>57</v>
      </c>
      <c r="J1677" s="1">
        <f>IFERROR(__xludf.DUMMYFUNCTION("""COMPUTED_VALUE"""),57.0)</f>
        <v>57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 t="str">
        <f>IFERROR(__xludf.DUMMYFUNCTION("""COMPUTED_VALUE"""),"D")</f>
        <v>D</v>
      </c>
      <c r="E1678" s="1">
        <f>IFERROR(__xludf.DUMMYFUNCTION("""COMPUTED_VALUE"""),12.0)</f>
        <v>12</v>
      </c>
      <c r="F1678" s="1">
        <f>IFERROR(__xludf.DUMMYFUNCTION("""COMPUTED_VALUE"""),76.0)</f>
        <v>76</v>
      </c>
      <c r="G1678" s="1">
        <f>IFERROR(__xludf.DUMMYFUNCTION("""COMPUTED_VALUE"""),44.0)</f>
        <v>44</v>
      </c>
      <c r="H1678" s="1">
        <f>IFERROR(__xludf.DUMMYFUNCTION("""COMPUTED_VALUE"""),83.0)</f>
        <v>83</v>
      </c>
      <c r="I1678" s="1">
        <f>IFERROR(__xludf.DUMMYFUNCTION("""COMPUTED_VALUE"""),81.0)</f>
        <v>81</v>
      </c>
      <c r="J1678" s="1">
        <f>IFERROR(__xludf.DUMMYFUNCTION("""COMPUTED_VALUE"""),52.0)</f>
        <v>52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 t="str">
        <f>IFERROR(__xludf.DUMMYFUNCTION("""COMPUTED_VALUE"""),"C")</f>
        <v>C</v>
      </c>
      <c r="E1679" s="1">
        <f>IFERROR(__xludf.DUMMYFUNCTION("""COMPUTED_VALUE"""),33.0)</f>
        <v>33</v>
      </c>
      <c r="F1679" s="1">
        <f>IFERROR(__xludf.DUMMYFUNCTION("""COMPUTED_VALUE"""),38.0)</f>
        <v>38</v>
      </c>
      <c r="G1679" s="1">
        <f>IFERROR(__xludf.DUMMYFUNCTION("""COMPUTED_VALUE"""),25.0)</f>
        <v>25</v>
      </c>
      <c r="H1679" s="1">
        <f>IFERROR(__xludf.DUMMYFUNCTION("""COMPUTED_VALUE"""),99.0)</f>
        <v>99</v>
      </c>
      <c r="I1679" s="1">
        <f>IFERROR(__xludf.DUMMYFUNCTION("""COMPUTED_VALUE"""),94.0)</f>
        <v>94</v>
      </c>
      <c r="J1679" s="1">
        <f>IFERROR(__xludf.DUMMYFUNCTION("""COMPUTED_VALUE"""),29.0)</f>
        <v>29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 t="str">
        <f>IFERROR(__xludf.DUMMYFUNCTION("""COMPUTED_VALUE"""),"A")</f>
        <v>A</v>
      </c>
      <c r="E1680" s="1">
        <f>IFERROR(__xludf.DUMMYFUNCTION("""COMPUTED_VALUE"""),44.0)</f>
        <v>44</v>
      </c>
      <c r="F1680" s="1">
        <f>IFERROR(__xludf.DUMMYFUNCTION("""COMPUTED_VALUE"""),59.0)</f>
        <v>59</v>
      </c>
      <c r="G1680" s="1">
        <f>IFERROR(__xludf.DUMMYFUNCTION("""COMPUTED_VALUE"""),31.0)</f>
        <v>31</v>
      </c>
      <c r="H1680" s="1">
        <f>IFERROR(__xludf.DUMMYFUNCTION("""COMPUTED_VALUE"""),87.0)</f>
        <v>87</v>
      </c>
      <c r="I1680" s="1">
        <f>IFERROR(__xludf.DUMMYFUNCTION("""COMPUTED_VALUE"""),88.0)</f>
        <v>88</v>
      </c>
      <c r="J1680" s="1">
        <f>IFERROR(__xludf.DUMMYFUNCTION("""COMPUTED_VALUE"""),97.0)</f>
        <v>97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 t="str">
        <f>IFERROR(__xludf.DUMMYFUNCTION("""COMPUTED_VALUE"""),"D")</f>
        <v>D</v>
      </c>
      <c r="E1681" s="1">
        <f>IFERROR(__xludf.DUMMYFUNCTION("""COMPUTED_VALUE"""),38.0)</f>
        <v>38</v>
      </c>
      <c r="F1681" s="1">
        <f>IFERROR(__xludf.DUMMYFUNCTION("""COMPUTED_VALUE"""),25.0)</f>
        <v>25</v>
      </c>
      <c r="G1681" s="1">
        <f>IFERROR(__xludf.DUMMYFUNCTION("""COMPUTED_VALUE"""),80.0)</f>
        <v>80</v>
      </c>
      <c r="H1681" s="1">
        <f>IFERROR(__xludf.DUMMYFUNCTION("""COMPUTED_VALUE"""),43.0)</f>
        <v>43</v>
      </c>
      <c r="I1681" s="1">
        <f>IFERROR(__xludf.DUMMYFUNCTION("""COMPUTED_VALUE"""),98.0)</f>
        <v>98</v>
      </c>
      <c r="J1681" s="1">
        <f>IFERROR(__xludf.DUMMYFUNCTION("""COMPUTED_VALUE"""),29.0)</f>
        <v>29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 t="str">
        <f>IFERROR(__xludf.DUMMYFUNCTION("""COMPUTED_VALUE"""),"A")</f>
        <v>A</v>
      </c>
      <c r="E1682" s="1">
        <f>IFERROR(__xludf.DUMMYFUNCTION("""COMPUTED_VALUE"""),21.0)</f>
        <v>21</v>
      </c>
      <c r="F1682" s="1">
        <f>IFERROR(__xludf.DUMMYFUNCTION("""COMPUTED_VALUE"""),55.0)</f>
        <v>55</v>
      </c>
      <c r="G1682" s="1">
        <f>IFERROR(__xludf.DUMMYFUNCTION("""COMPUTED_VALUE"""),62.0)</f>
        <v>62</v>
      </c>
      <c r="H1682" s="1">
        <f>IFERROR(__xludf.DUMMYFUNCTION("""COMPUTED_VALUE"""),81.0)</f>
        <v>81</v>
      </c>
      <c r="I1682" s="1">
        <f>IFERROR(__xludf.DUMMYFUNCTION("""COMPUTED_VALUE"""),48.0)</f>
        <v>48</v>
      </c>
      <c r="J1682" s="1">
        <f>IFERROR(__xludf.DUMMYFUNCTION("""COMPUTED_VALUE"""),93.0)</f>
        <v>93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 t="str">
        <f>IFERROR(__xludf.DUMMYFUNCTION("""COMPUTED_VALUE"""),"A")</f>
        <v>A</v>
      </c>
      <c r="E1683" s="1">
        <f>IFERROR(__xludf.DUMMYFUNCTION("""COMPUTED_VALUE"""),95.0)</f>
        <v>95</v>
      </c>
      <c r="F1683" s="1">
        <f>IFERROR(__xludf.DUMMYFUNCTION("""COMPUTED_VALUE"""),55.0)</f>
        <v>55</v>
      </c>
      <c r="G1683" s="1">
        <f>IFERROR(__xludf.DUMMYFUNCTION("""COMPUTED_VALUE"""),33.0)</f>
        <v>33</v>
      </c>
      <c r="H1683" s="1">
        <f>IFERROR(__xludf.DUMMYFUNCTION("""COMPUTED_VALUE"""),62.0)</f>
        <v>62</v>
      </c>
      <c r="I1683" s="1">
        <f>IFERROR(__xludf.DUMMYFUNCTION("""COMPUTED_VALUE"""),63.0)</f>
        <v>63</v>
      </c>
      <c r="J1683" s="1">
        <f>IFERROR(__xludf.DUMMYFUNCTION("""COMPUTED_VALUE"""),50.0)</f>
        <v>50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 t="str">
        <f>IFERROR(__xludf.DUMMYFUNCTION("""COMPUTED_VALUE"""),"B")</f>
        <v>B</v>
      </c>
      <c r="E1684" s="1">
        <f>IFERROR(__xludf.DUMMYFUNCTION("""COMPUTED_VALUE"""),76.0)</f>
        <v>76</v>
      </c>
      <c r="F1684" s="1">
        <f>IFERROR(__xludf.DUMMYFUNCTION("""COMPUTED_VALUE"""),77.0)</f>
        <v>77</v>
      </c>
      <c r="G1684" s="1">
        <f>IFERROR(__xludf.DUMMYFUNCTION("""COMPUTED_VALUE"""),24.0)</f>
        <v>24</v>
      </c>
      <c r="H1684" s="1">
        <f>IFERROR(__xludf.DUMMYFUNCTION("""COMPUTED_VALUE"""),46.0)</f>
        <v>46</v>
      </c>
      <c r="I1684" s="1">
        <f>IFERROR(__xludf.DUMMYFUNCTION("""COMPUTED_VALUE"""),61.0)</f>
        <v>61</v>
      </c>
      <c r="J1684" s="1">
        <f>IFERROR(__xludf.DUMMYFUNCTION("""COMPUTED_VALUE"""),21.0)</f>
        <v>21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 t="str">
        <f>IFERROR(__xludf.DUMMYFUNCTION("""COMPUTED_VALUE"""),"A")</f>
        <v>A</v>
      </c>
      <c r="E1685" s="1">
        <f>IFERROR(__xludf.DUMMYFUNCTION("""COMPUTED_VALUE"""),23.0)</f>
        <v>23</v>
      </c>
      <c r="F1685" s="1">
        <f>IFERROR(__xludf.DUMMYFUNCTION("""COMPUTED_VALUE"""),89.0)</f>
        <v>89</v>
      </c>
      <c r="G1685" s="1">
        <f>IFERROR(__xludf.DUMMYFUNCTION("""COMPUTED_VALUE"""),85.0)</f>
        <v>85</v>
      </c>
      <c r="H1685" s="1">
        <f>IFERROR(__xludf.DUMMYFUNCTION("""COMPUTED_VALUE"""),48.0)</f>
        <v>48</v>
      </c>
      <c r="I1685" s="1">
        <f>IFERROR(__xludf.DUMMYFUNCTION("""COMPUTED_VALUE"""),88.0)</f>
        <v>88</v>
      </c>
      <c r="J1685" s="1">
        <f>IFERROR(__xludf.DUMMYFUNCTION("""COMPUTED_VALUE"""),62.0)</f>
        <v>62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 t="str">
        <f>IFERROR(__xludf.DUMMYFUNCTION("""COMPUTED_VALUE"""),"C")</f>
        <v>C</v>
      </c>
      <c r="E1686" s="1">
        <f>IFERROR(__xludf.DUMMYFUNCTION("""COMPUTED_VALUE"""),31.0)</f>
        <v>31</v>
      </c>
      <c r="F1686" s="1">
        <f>IFERROR(__xludf.DUMMYFUNCTION("""COMPUTED_VALUE"""),55.0)</f>
        <v>55</v>
      </c>
      <c r="G1686" s="1">
        <f>IFERROR(__xludf.DUMMYFUNCTION("""COMPUTED_VALUE"""),40.0)</f>
        <v>40</v>
      </c>
      <c r="H1686" s="1">
        <f>IFERROR(__xludf.DUMMYFUNCTION("""COMPUTED_VALUE"""),44.0)</f>
        <v>44</v>
      </c>
      <c r="I1686" s="1">
        <f>IFERROR(__xludf.DUMMYFUNCTION("""COMPUTED_VALUE"""),21.0)</f>
        <v>21</v>
      </c>
      <c r="J1686" s="1">
        <f>IFERROR(__xludf.DUMMYFUNCTION("""COMPUTED_VALUE"""),93.0)</f>
        <v>93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 t="str">
        <f>IFERROR(__xludf.DUMMYFUNCTION("""COMPUTED_VALUE"""),"A")</f>
        <v>A</v>
      </c>
      <c r="E1687" s="1">
        <f>IFERROR(__xludf.DUMMYFUNCTION("""COMPUTED_VALUE"""),42.0)</f>
        <v>42</v>
      </c>
      <c r="F1687" s="1">
        <f>IFERROR(__xludf.DUMMYFUNCTION("""COMPUTED_VALUE"""),61.0)</f>
        <v>61</v>
      </c>
      <c r="G1687" s="1">
        <f>IFERROR(__xludf.DUMMYFUNCTION("""COMPUTED_VALUE"""),25.0)</f>
        <v>25</v>
      </c>
      <c r="H1687" s="1">
        <f>IFERROR(__xludf.DUMMYFUNCTION("""COMPUTED_VALUE"""),51.0)</f>
        <v>51</v>
      </c>
      <c r="I1687" s="1">
        <f>IFERROR(__xludf.DUMMYFUNCTION("""COMPUTED_VALUE"""),68.0)</f>
        <v>68</v>
      </c>
      <c r="J1687" s="1">
        <f>IFERROR(__xludf.DUMMYFUNCTION("""COMPUTED_VALUE"""),30.0)</f>
        <v>30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 t="str">
        <f>IFERROR(__xludf.DUMMYFUNCTION("""COMPUTED_VALUE"""),"A")</f>
        <v>A</v>
      </c>
      <c r="E1688" s="1">
        <f>IFERROR(__xludf.DUMMYFUNCTION("""COMPUTED_VALUE"""),33.0)</f>
        <v>33</v>
      </c>
      <c r="F1688" s="1">
        <f>IFERROR(__xludf.DUMMYFUNCTION("""COMPUTED_VALUE"""),21.0)</f>
        <v>21</v>
      </c>
      <c r="G1688" s="1">
        <f>IFERROR(__xludf.DUMMYFUNCTION("""COMPUTED_VALUE"""),21.0)</f>
        <v>21</v>
      </c>
      <c r="H1688" s="1">
        <f>IFERROR(__xludf.DUMMYFUNCTION("""COMPUTED_VALUE"""),94.0)</f>
        <v>94</v>
      </c>
      <c r="I1688" s="1">
        <f>IFERROR(__xludf.DUMMYFUNCTION("""COMPUTED_VALUE"""),36.0)</f>
        <v>36</v>
      </c>
      <c r="J1688" s="1">
        <f>IFERROR(__xludf.DUMMYFUNCTION("""COMPUTED_VALUE"""),63.0)</f>
        <v>63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 t="str">
        <f>IFERROR(__xludf.DUMMYFUNCTION("""COMPUTED_VALUE"""),"A")</f>
        <v>A</v>
      </c>
      <c r="E1689" s="1">
        <f>IFERROR(__xludf.DUMMYFUNCTION("""COMPUTED_VALUE"""),72.0)</f>
        <v>72</v>
      </c>
      <c r="F1689" s="1">
        <f>IFERROR(__xludf.DUMMYFUNCTION("""COMPUTED_VALUE"""),79.0)</f>
        <v>79</v>
      </c>
      <c r="G1689" s="1">
        <f>IFERROR(__xludf.DUMMYFUNCTION("""COMPUTED_VALUE"""),79.0)</f>
        <v>79</v>
      </c>
      <c r="H1689" s="1">
        <f>IFERROR(__xludf.DUMMYFUNCTION("""COMPUTED_VALUE"""),35.0)</f>
        <v>35</v>
      </c>
      <c r="I1689" s="1">
        <f>IFERROR(__xludf.DUMMYFUNCTION("""COMPUTED_VALUE"""),26.0)</f>
        <v>26</v>
      </c>
      <c r="J1689" s="1">
        <f>IFERROR(__xludf.DUMMYFUNCTION("""COMPUTED_VALUE"""),52.0)</f>
        <v>52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 t="str">
        <f>IFERROR(__xludf.DUMMYFUNCTION("""COMPUTED_VALUE"""),"A")</f>
        <v>A</v>
      </c>
      <c r="E1690" s="1">
        <f>IFERROR(__xludf.DUMMYFUNCTION("""COMPUTED_VALUE"""),28.0)</f>
        <v>28</v>
      </c>
      <c r="F1690" s="1">
        <f>IFERROR(__xludf.DUMMYFUNCTION("""COMPUTED_VALUE"""),74.0)</f>
        <v>74</v>
      </c>
      <c r="G1690" s="1">
        <f>IFERROR(__xludf.DUMMYFUNCTION("""COMPUTED_VALUE"""),70.0)</f>
        <v>70</v>
      </c>
      <c r="H1690" s="1">
        <f>IFERROR(__xludf.DUMMYFUNCTION("""COMPUTED_VALUE"""),27.0)</f>
        <v>27</v>
      </c>
      <c r="I1690" s="1">
        <f>IFERROR(__xludf.DUMMYFUNCTION("""COMPUTED_VALUE"""),70.0)</f>
        <v>70</v>
      </c>
      <c r="J1690" s="1">
        <f>IFERROR(__xludf.DUMMYFUNCTION("""COMPUTED_VALUE"""),54.0)</f>
        <v>54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 t="str">
        <f>IFERROR(__xludf.DUMMYFUNCTION("""COMPUTED_VALUE"""),"B")</f>
        <v>B</v>
      </c>
      <c r="E1691" s="1">
        <f>IFERROR(__xludf.DUMMYFUNCTION("""COMPUTED_VALUE"""),28.0)</f>
        <v>28</v>
      </c>
      <c r="F1691" s="1">
        <f>IFERROR(__xludf.DUMMYFUNCTION("""COMPUTED_VALUE"""),76.0)</f>
        <v>76</v>
      </c>
      <c r="G1691" s="1">
        <f>IFERROR(__xludf.DUMMYFUNCTION("""COMPUTED_VALUE"""),20.0)</f>
        <v>20</v>
      </c>
      <c r="H1691" s="1">
        <f>IFERROR(__xludf.DUMMYFUNCTION("""COMPUTED_VALUE"""),56.0)</f>
        <v>56</v>
      </c>
      <c r="I1691" s="1">
        <f>IFERROR(__xludf.DUMMYFUNCTION("""COMPUTED_VALUE"""),66.0)</f>
        <v>66</v>
      </c>
      <c r="J1691" s="1">
        <f>IFERROR(__xludf.DUMMYFUNCTION("""COMPUTED_VALUE"""),92.0)</f>
        <v>92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 t="str">
        <f>IFERROR(__xludf.DUMMYFUNCTION("""COMPUTED_VALUE"""),"C")</f>
        <v>C</v>
      </c>
      <c r="E1692" s="1">
        <f>IFERROR(__xludf.DUMMYFUNCTION("""COMPUTED_VALUE"""),16.0)</f>
        <v>16</v>
      </c>
      <c r="F1692" s="1">
        <f>IFERROR(__xludf.DUMMYFUNCTION("""COMPUTED_VALUE"""),84.0)</f>
        <v>84</v>
      </c>
      <c r="G1692" s="1">
        <f>IFERROR(__xludf.DUMMYFUNCTION("""COMPUTED_VALUE"""),39.0)</f>
        <v>39</v>
      </c>
      <c r="H1692" s="1">
        <f>IFERROR(__xludf.DUMMYFUNCTION("""COMPUTED_VALUE"""),58.0)</f>
        <v>58</v>
      </c>
      <c r="I1692" s="1">
        <f>IFERROR(__xludf.DUMMYFUNCTION("""COMPUTED_VALUE"""),99.0)</f>
        <v>99</v>
      </c>
      <c r="J1692" s="1">
        <f>IFERROR(__xludf.DUMMYFUNCTION("""COMPUTED_VALUE"""),82.0)</f>
        <v>82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 t="str">
        <f>IFERROR(__xludf.DUMMYFUNCTION("""COMPUTED_VALUE"""),"A")</f>
        <v>A</v>
      </c>
      <c r="E1693" s="1">
        <f>IFERROR(__xludf.DUMMYFUNCTION("""COMPUTED_VALUE"""),76.0)</f>
        <v>76</v>
      </c>
      <c r="F1693" s="1">
        <f>IFERROR(__xludf.DUMMYFUNCTION("""COMPUTED_VALUE"""),81.0)</f>
        <v>81</v>
      </c>
      <c r="G1693" s="1">
        <f>IFERROR(__xludf.DUMMYFUNCTION("""COMPUTED_VALUE"""),30.0)</f>
        <v>30</v>
      </c>
      <c r="H1693" s="1">
        <f>IFERROR(__xludf.DUMMYFUNCTION("""COMPUTED_VALUE"""),67.0)</f>
        <v>67</v>
      </c>
      <c r="I1693" s="1">
        <f>IFERROR(__xludf.DUMMYFUNCTION("""COMPUTED_VALUE"""),27.0)</f>
        <v>27</v>
      </c>
      <c r="J1693" s="1">
        <f>IFERROR(__xludf.DUMMYFUNCTION("""COMPUTED_VALUE"""),69.0)</f>
        <v>69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 t="str">
        <f>IFERROR(__xludf.DUMMYFUNCTION("""COMPUTED_VALUE"""),"B")</f>
        <v>B</v>
      </c>
      <c r="E1694" s="1">
        <f>IFERROR(__xludf.DUMMYFUNCTION("""COMPUTED_VALUE"""),42.0)</f>
        <v>42</v>
      </c>
      <c r="F1694" s="1">
        <f>IFERROR(__xludf.DUMMYFUNCTION("""COMPUTED_VALUE"""),22.0)</f>
        <v>22</v>
      </c>
      <c r="G1694" s="1">
        <f>IFERROR(__xludf.DUMMYFUNCTION("""COMPUTED_VALUE"""),73.0)</f>
        <v>73</v>
      </c>
      <c r="H1694" s="1">
        <f>IFERROR(__xludf.DUMMYFUNCTION("""COMPUTED_VALUE"""),70.0)</f>
        <v>70</v>
      </c>
      <c r="I1694" s="1">
        <f>IFERROR(__xludf.DUMMYFUNCTION("""COMPUTED_VALUE"""),73.0)</f>
        <v>73</v>
      </c>
      <c r="J1694" s="1">
        <f>IFERROR(__xludf.DUMMYFUNCTION("""COMPUTED_VALUE"""),51.0)</f>
        <v>51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 t="str">
        <f>IFERROR(__xludf.DUMMYFUNCTION("""COMPUTED_VALUE"""),"B")</f>
        <v>B</v>
      </c>
      <c r="E1695" s="1">
        <f>IFERROR(__xludf.DUMMYFUNCTION("""COMPUTED_VALUE"""),71.0)</f>
        <v>71</v>
      </c>
      <c r="F1695" s="1">
        <f>IFERROR(__xludf.DUMMYFUNCTION("""COMPUTED_VALUE"""),28.0)</f>
        <v>28</v>
      </c>
      <c r="G1695" s="1">
        <f>IFERROR(__xludf.DUMMYFUNCTION("""COMPUTED_VALUE"""),80.0)</f>
        <v>80</v>
      </c>
      <c r="H1695" s="1">
        <f>IFERROR(__xludf.DUMMYFUNCTION("""COMPUTED_VALUE"""),96.0)</f>
        <v>96</v>
      </c>
      <c r="I1695" s="1">
        <f>IFERROR(__xludf.DUMMYFUNCTION("""COMPUTED_VALUE"""),41.0)</f>
        <v>41</v>
      </c>
      <c r="J1695" s="1">
        <f>IFERROR(__xludf.DUMMYFUNCTION("""COMPUTED_VALUE"""),80.0)</f>
        <v>80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 t="str">
        <f>IFERROR(__xludf.DUMMYFUNCTION("""COMPUTED_VALUE"""),"D")</f>
        <v>D</v>
      </c>
      <c r="E1696" s="1">
        <f>IFERROR(__xludf.DUMMYFUNCTION("""COMPUTED_VALUE"""),66.0)</f>
        <v>66</v>
      </c>
      <c r="F1696" s="1">
        <f>IFERROR(__xludf.DUMMYFUNCTION("""COMPUTED_VALUE"""),90.0)</f>
        <v>90</v>
      </c>
      <c r="G1696" s="1">
        <f>IFERROR(__xludf.DUMMYFUNCTION("""COMPUTED_VALUE"""),39.0)</f>
        <v>39</v>
      </c>
      <c r="H1696" s="1">
        <f>IFERROR(__xludf.DUMMYFUNCTION("""COMPUTED_VALUE"""),21.0)</f>
        <v>21</v>
      </c>
      <c r="I1696" s="1">
        <f>IFERROR(__xludf.DUMMYFUNCTION("""COMPUTED_VALUE"""),42.0)</f>
        <v>42</v>
      </c>
      <c r="J1696" s="1">
        <f>IFERROR(__xludf.DUMMYFUNCTION("""COMPUTED_VALUE"""),85.0)</f>
        <v>85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 t="str">
        <f>IFERROR(__xludf.DUMMYFUNCTION("""COMPUTED_VALUE"""),"B")</f>
        <v>B</v>
      </c>
      <c r="E1697" s="1">
        <f>IFERROR(__xludf.DUMMYFUNCTION("""COMPUTED_VALUE"""),56.0)</f>
        <v>56</v>
      </c>
      <c r="F1697" s="1">
        <f>IFERROR(__xludf.DUMMYFUNCTION("""COMPUTED_VALUE"""),37.0)</f>
        <v>37</v>
      </c>
      <c r="G1697" s="1">
        <f>IFERROR(__xludf.DUMMYFUNCTION("""COMPUTED_VALUE"""),71.0)</f>
        <v>71</v>
      </c>
      <c r="H1697" s="1">
        <f>IFERROR(__xludf.DUMMYFUNCTION("""COMPUTED_VALUE"""),64.0)</f>
        <v>64</v>
      </c>
      <c r="I1697" s="1">
        <f>IFERROR(__xludf.DUMMYFUNCTION("""COMPUTED_VALUE"""),90.0)</f>
        <v>90</v>
      </c>
      <c r="J1697" s="1">
        <f>IFERROR(__xludf.DUMMYFUNCTION("""COMPUTED_VALUE"""),26.0)</f>
        <v>26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 t="str">
        <f>IFERROR(__xludf.DUMMYFUNCTION("""COMPUTED_VALUE"""),"D")</f>
        <v>D</v>
      </c>
      <c r="E1698" s="1">
        <f>IFERROR(__xludf.DUMMYFUNCTION("""COMPUTED_VALUE"""),25.0)</f>
        <v>25</v>
      </c>
      <c r="F1698" s="1">
        <f>IFERROR(__xludf.DUMMYFUNCTION("""COMPUTED_VALUE"""),64.0)</f>
        <v>64</v>
      </c>
      <c r="G1698" s="1">
        <f>IFERROR(__xludf.DUMMYFUNCTION("""COMPUTED_VALUE"""),22.0)</f>
        <v>22</v>
      </c>
      <c r="H1698" s="1">
        <f>IFERROR(__xludf.DUMMYFUNCTION("""COMPUTED_VALUE"""),70.0)</f>
        <v>70</v>
      </c>
      <c r="I1698" s="1">
        <f>IFERROR(__xludf.DUMMYFUNCTION("""COMPUTED_VALUE"""),88.0)</f>
        <v>88</v>
      </c>
      <c r="J1698" s="1">
        <f>IFERROR(__xludf.DUMMYFUNCTION("""COMPUTED_VALUE"""),66.0)</f>
        <v>66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 t="str">
        <f>IFERROR(__xludf.DUMMYFUNCTION("""COMPUTED_VALUE"""),"B")</f>
        <v>B</v>
      </c>
      <c r="E1699" s="1">
        <f>IFERROR(__xludf.DUMMYFUNCTION("""COMPUTED_VALUE"""),53.0)</f>
        <v>53</v>
      </c>
      <c r="F1699" s="1">
        <f>IFERROR(__xludf.DUMMYFUNCTION("""COMPUTED_VALUE"""),98.0)</f>
        <v>98</v>
      </c>
      <c r="G1699" s="1">
        <f>IFERROR(__xludf.DUMMYFUNCTION("""COMPUTED_VALUE"""),33.0)</f>
        <v>33</v>
      </c>
      <c r="H1699" s="1">
        <f>IFERROR(__xludf.DUMMYFUNCTION("""COMPUTED_VALUE"""),38.0)</f>
        <v>38</v>
      </c>
      <c r="I1699" s="1">
        <f>IFERROR(__xludf.DUMMYFUNCTION("""COMPUTED_VALUE"""),73.0)</f>
        <v>73</v>
      </c>
      <c r="J1699" s="1">
        <f>IFERROR(__xludf.DUMMYFUNCTION("""COMPUTED_VALUE"""),56.0)</f>
        <v>56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 t="str">
        <f>IFERROR(__xludf.DUMMYFUNCTION("""COMPUTED_VALUE"""),"A")</f>
        <v>A</v>
      </c>
      <c r="E1700" s="1">
        <f>IFERROR(__xludf.DUMMYFUNCTION("""COMPUTED_VALUE"""),72.0)</f>
        <v>72</v>
      </c>
      <c r="F1700" s="1">
        <f>IFERROR(__xludf.DUMMYFUNCTION("""COMPUTED_VALUE"""),33.0)</f>
        <v>33</v>
      </c>
      <c r="G1700" s="1">
        <f>IFERROR(__xludf.DUMMYFUNCTION("""COMPUTED_VALUE"""),33.0)</f>
        <v>33</v>
      </c>
      <c r="H1700" s="1">
        <f>IFERROR(__xludf.DUMMYFUNCTION("""COMPUTED_VALUE"""),92.0)</f>
        <v>92</v>
      </c>
      <c r="I1700" s="1">
        <f>IFERROR(__xludf.DUMMYFUNCTION("""COMPUTED_VALUE"""),23.0)</f>
        <v>23</v>
      </c>
      <c r="J1700" s="1">
        <f>IFERROR(__xludf.DUMMYFUNCTION("""COMPUTED_VALUE"""),71.0)</f>
        <v>71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 t="str">
        <f>IFERROR(__xludf.DUMMYFUNCTION("""COMPUTED_VALUE"""),"D")</f>
        <v>D</v>
      </c>
      <c r="E1701" s="1">
        <f>IFERROR(__xludf.DUMMYFUNCTION("""COMPUTED_VALUE"""),69.0)</f>
        <v>69</v>
      </c>
      <c r="F1701" s="1">
        <f>IFERROR(__xludf.DUMMYFUNCTION("""COMPUTED_VALUE"""),35.0)</f>
        <v>35</v>
      </c>
      <c r="G1701" s="1">
        <f>IFERROR(__xludf.DUMMYFUNCTION("""COMPUTED_VALUE"""),31.0)</f>
        <v>31</v>
      </c>
      <c r="H1701" s="1">
        <f>IFERROR(__xludf.DUMMYFUNCTION("""COMPUTED_VALUE"""),71.0)</f>
        <v>71</v>
      </c>
      <c r="I1701" s="1">
        <f>IFERROR(__xludf.DUMMYFUNCTION("""COMPUTED_VALUE"""),99.0)</f>
        <v>99</v>
      </c>
      <c r="J1701" s="1">
        <f>IFERROR(__xludf.DUMMYFUNCTION("""COMPUTED_VALUE"""),30.0)</f>
        <v>30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 t="str">
        <f>IFERROR(__xludf.DUMMYFUNCTION("""COMPUTED_VALUE"""),"D")</f>
        <v>D</v>
      </c>
      <c r="E1702" s="1">
        <f>IFERROR(__xludf.DUMMYFUNCTION("""COMPUTED_VALUE"""),12.0)</f>
        <v>12</v>
      </c>
      <c r="F1702" s="1">
        <f>IFERROR(__xludf.DUMMYFUNCTION("""COMPUTED_VALUE"""),28.0)</f>
        <v>28</v>
      </c>
      <c r="G1702" s="1">
        <f>IFERROR(__xludf.DUMMYFUNCTION("""COMPUTED_VALUE"""),52.0)</f>
        <v>52</v>
      </c>
      <c r="H1702" s="1">
        <f>IFERROR(__xludf.DUMMYFUNCTION("""COMPUTED_VALUE"""),43.0)</f>
        <v>43</v>
      </c>
      <c r="I1702" s="1">
        <f>IFERROR(__xludf.DUMMYFUNCTION("""COMPUTED_VALUE"""),89.0)</f>
        <v>89</v>
      </c>
      <c r="J1702" s="1">
        <f>IFERROR(__xludf.DUMMYFUNCTION("""COMPUTED_VALUE"""),52.0)</f>
        <v>52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 t="str">
        <f>IFERROR(__xludf.DUMMYFUNCTION("""COMPUTED_VALUE"""),"A")</f>
        <v>A</v>
      </c>
      <c r="E1703" s="1">
        <f>IFERROR(__xludf.DUMMYFUNCTION("""COMPUTED_VALUE"""),85.0)</f>
        <v>85</v>
      </c>
      <c r="F1703" s="1">
        <f>IFERROR(__xludf.DUMMYFUNCTION("""COMPUTED_VALUE"""),29.0)</f>
        <v>29</v>
      </c>
      <c r="G1703" s="1">
        <f>IFERROR(__xludf.DUMMYFUNCTION("""COMPUTED_VALUE"""),42.0)</f>
        <v>42</v>
      </c>
      <c r="H1703" s="1">
        <f>IFERROR(__xludf.DUMMYFUNCTION("""COMPUTED_VALUE"""),81.0)</f>
        <v>81</v>
      </c>
      <c r="I1703" s="1">
        <f>IFERROR(__xludf.DUMMYFUNCTION("""COMPUTED_VALUE"""),43.0)</f>
        <v>43</v>
      </c>
      <c r="J1703" s="1">
        <f>IFERROR(__xludf.DUMMYFUNCTION("""COMPUTED_VALUE"""),70.0)</f>
        <v>70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 t="str">
        <f>IFERROR(__xludf.DUMMYFUNCTION("""COMPUTED_VALUE"""),"C")</f>
        <v>C</v>
      </c>
      <c r="E1704" s="1">
        <f>IFERROR(__xludf.DUMMYFUNCTION("""COMPUTED_VALUE"""),78.0)</f>
        <v>78</v>
      </c>
      <c r="F1704" s="1">
        <f>IFERROR(__xludf.DUMMYFUNCTION("""COMPUTED_VALUE"""),69.0)</f>
        <v>69</v>
      </c>
      <c r="G1704" s="1">
        <f>IFERROR(__xludf.DUMMYFUNCTION("""COMPUTED_VALUE"""),35.0)</f>
        <v>35</v>
      </c>
      <c r="H1704" s="1">
        <f>IFERROR(__xludf.DUMMYFUNCTION("""COMPUTED_VALUE"""),71.0)</f>
        <v>71</v>
      </c>
      <c r="I1704" s="1">
        <f>IFERROR(__xludf.DUMMYFUNCTION("""COMPUTED_VALUE"""),78.0)</f>
        <v>78</v>
      </c>
      <c r="J1704" s="1">
        <f>IFERROR(__xludf.DUMMYFUNCTION("""COMPUTED_VALUE"""),22.0)</f>
        <v>22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 t="str">
        <f>IFERROR(__xludf.DUMMYFUNCTION("""COMPUTED_VALUE"""),"D")</f>
        <v>D</v>
      </c>
      <c r="E1705" s="1">
        <f>IFERROR(__xludf.DUMMYFUNCTION("""COMPUTED_VALUE"""),32.0)</f>
        <v>32</v>
      </c>
      <c r="F1705" s="1">
        <f>IFERROR(__xludf.DUMMYFUNCTION("""COMPUTED_VALUE"""),86.0)</f>
        <v>86</v>
      </c>
      <c r="G1705" s="1">
        <f>IFERROR(__xludf.DUMMYFUNCTION("""COMPUTED_VALUE"""),61.0)</f>
        <v>61</v>
      </c>
      <c r="H1705" s="1">
        <f>IFERROR(__xludf.DUMMYFUNCTION("""COMPUTED_VALUE"""),32.0)</f>
        <v>32</v>
      </c>
      <c r="I1705" s="1">
        <f>IFERROR(__xludf.DUMMYFUNCTION("""COMPUTED_VALUE"""),60.0)</f>
        <v>60</v>
      </c>
      <c r="J1705" s="1">
        <f>IFERROR(__xludf.DUMMYFUNCTION("""COMPUTED_VALUE"""),70.0)</f>
        <v>70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 t="str">
        <f>IFERROR(__xludf.DUMMYFUNCTION("""COMPUTED_VALUE"""),"D")</f>
        <v>D</v>
      </c>
      <c r="E1706" s="1">
        <f>IFERROR(__xludf.DUMMYFUNCTION("""COMPUTED_VALUE"""),10.0)</f>
        <v>10</v>
      </c>
      <c r="F1706" s="1">
        <f>IFERROR(__xludf.DUMMYFUNCTION("""COMPUTED_VALUE"""),70.0)</f>
        <v>70</v>
      </c>
      <c r="G1706" s="1">
        <f>IFERROR(__xludf.DUMMYFUNCTION("""COMPUTED_VALUE"""),46.0)</f>
        <v>46</v>
      </c>
      <c r="H1706" s="1">
        <f>IFERROR(__xludf.DUMMYFUNCTION("""COMPUTED_VALUE"""),57.0)</f>
        <v>57</v>
      </c>
      <c r="I1706" s="1">
        <f>IFERROR(__xludf.DUMMYFUNCTION("""COMPUTED_VALUE"""),70.0)</f>
        <v>70</v>
      </c>
      <c r="J1706" s="1">
        <f>IFERROR(__xludf.DUMMYFUNCTION("""COMPUTED_VALUE"""),65.0)</f>
        <v>65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 t="str">
        <f>IFERROR(__xludf.DUMMYFUNCTION("""COMPUTED_VALUE"""),"A")</f>
        <v>A</v>
      </c>
      <c r="E1707" s="1">
        <f>IFERROR(__xludf.DUMMYFUNCTION("""COMPUTED_VALUE"""),22.0)</f>
        <v>22</v>
      </c>
      <c r="F1707" s="1">
        <f>IFERROR(__xludf.DUMMYFUNCTION("""COMPUTED_VALUE"""),36.0)</f>
        <v>36</v>
      </c>
      <c r="G1707" s="1">
        <f>IFERROR(__xludf.DUMMYFUNCTION("""COMPUTED_VALUE"""),25.0)</f>
        <v>25</v>
      </c>
      <c r="H1707" s="1">
        <f>IFERROR(__xludf.DUMMYFUNCTION("""COMPUTED_VALUE"""),89.0)</f>
        <v>89</v>
      </c>
      <c r="I1707" s="1">
        <f>IFERROR(__xludf.DUMMYFUNCTION("""COMPUTED_VALUE"""),60.0)</f>
        <v>60</v>
      </c>
      <c r="J1707" s="1">
        <f>IFERROR(__xludf.DUMMYFUNCTION("""COMPUTED_VALUE"""),47.0)</f>
        <v>47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 t="str">
        <f>IFERROR(__xludf.DUMMYFUNCTION("""COMPUTED_VALUE"""),"C")</f>
        <v>C</v>
      </c>
      <c r="E1708" s="1">
        <f>IFERROR(__xludf.DUMMYFUNCTION("""COMPUTED_VALUE"""),73.0)</f>
        <v>73</v>
      </c>
      <c r="F1708" s="1">
        <f>IFERROR(__xludf.DUMMYFUNCTION("""COMPUTED_VALUE"""),51.0)</f>
        <v>51</v>
      </c>
      <c r="G1708" s="1">
        <f>IFERROR(__xludf.DUMMYFUNCTION("""COMPUTED_VALUE"""),61.0)</f>
        <v>61</v>
      </c>
      <c r="H1708" s="1">
        <f>IFERROR(__xludf.DUMMYFUNCTION("""COMPUTED_VALUE"""),69.0)</f>
        <v>69</v>
      </c>
      <c r="I1708" s="1">
        <f>IFERROR(__xludf.DUMMYFUNCTION("""COMPUTED_VALUE"""),73.0)</f>
        <v>73</v>
      </c>
      <c r="J1708" s="1">
        <f>IFERROR(__xludf.DUMMYFUNCTION("""COMPUTED_VALUE"""),75.0)</f>
        <v>75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 t="str">
        <f>IFERROR(__xludf.DUMMYFUNCTION("""COMPUTED_VALUE"""),"C")</f>
        <v>C</v>
      </c>
      <c r="E1709" s="1">
        <f>IFERROR(__xludf.DUMMYFUNCTION("""COMPUTED_VALUE"""),44.0)</f>
        <v>44</v>
      </c>
      <c r="F1709" s="1">
        <f>IFERROR(__xludf.DUMMYFUNCTION("""COMPUTED_VALUE"""),68.0)</f>
        <v>68</v>
      </c>
      <c r="G1709" s="1">
        <f>IFERROR(__xludf.DUMMYFUNCTION("""COMPUTED_VALUE"""),75.0)</f>
        <v>75</v>
      </c>
      <c r="H1709" s="1">
        <f>IFERROR(__xludf.DUMMYFUNCTION("""COMPUTED_VALUE"""),61.0)</f>
        <v>61</v>
      </c>
      <c r="I1709" s="1">
        <f>IFERROR(__xludf.DUMMYFUNCTION("""COMPUTED_VALUE"""),94.0)</f>
        <v>94</v>
      </c>
      <c r="J1709" s="1">
        <f>IFERROR(__xludf.DUMMYFUNCTION("""COMPUTED_VALUE"""),57.0)</f>
        <v>57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 t="str">
        <f>IFERROR(__xludf.DUMMYFUNCTION("""COMPUTED_VALUE"""),"C")</f>
        <v>C</v>
      </c>
      <c r="E1710" s="1">
        <f>IFERROR(__xludf.DUMMYFUNCTION("""COMPUTED_VALUE"""),23.0)</f>
        <v>23</v>
      </c>
      <c r="F1710" s="1">
        <f>IFERROR(__xludf.DUMMYFUNCTION("""COMPUTED_VALUE"""),42.0)</f>
        <v>42</v>
      </c>
      <c r="G1710" s="1">
        <f>IFERROR(__xludf.DUMMYFUNCTION("""COMPUTED_VALUE"""),55.0)</f>
        <v>55</v>
      </c>
      <c r="H1710" s="1">
        <f>IFERROR(__xludf.DUMMYFUNCTION("""COMPUTED_VALUE"""),70.0)</f>
        <v>70</v>
      </c>
      <c r="I1710" s="1">
        <f>IFERROR(__xludf.DUMMYFUNCTION("""COMPUTED_VALUE"""),99.0)</f>
        <v>99</v>
      </c>
      <c r="J1710" s="1">
        <f>IFERROR(__xludf.DUMMYFUNCTION("""COMPUTED_VALUE"""),94.0)</f>
        <v>94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 t="str">
        <f>IFERROR(__xludf.DUMMYFUNCTION("""COMPUTED_VALUE"""),"C")</f>
        <v>C</v>
      </c>
      <c r="E1711" s="1">
        <f>IFERROR(__xludf.DUMMYFUNCTION("""COMPUTED_VALUE"""),30.0)</f>
        <v>30</v>
      </c>
      <c r="F1711" s="1">
        <f>IFERROR(__xludf.DUMMYFUNCTION("""COMPUTED_VALUE"""),56.0)</f>
        <v>56</v>
      </c>
      <c r="G1711" s="1">
        <f>IFERROR(__xludf.DUMMYFUNCTION("""COMPUTED_VALUE"""),53.0)</f>
        <v>53</v>
      </c>
      <c r="H1711" s="1">
        <f>IFERROR(__xludf.DUMMYFUNCTION("""COMPUTED_VALUE"""),47.0)</f>
        <v>47</v>
      </c>
      <c r="I1711" s="1">
        <f>IFERROR(__xludf.DUMMYFUNCTION("""COMPUTED_VALUE"""),56.0)</f>
        <v>56</v>
      </c>
      <c r="J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 t="str">
        <f>IFERROR(__xludf.DUMMYFUNCTION("""COMPUTED_VALUE"""),"D")</f>
        <v>D</v>
      </c>
      <c r="E1712" s="1">
        <f>IFERROR(__xludf.DUMMYFUNCTION("""COMPUTED_VALUE"""),79.0)</f>
        <v>79</v>
      </c>
      <c r="F1712" s="1">
        <f>IFERROR(__xludf.DUMMYFUNCTION("""COMPUTED_VALUE"""),58.0)</f>
        <v>58</v>
      </c>
      <c r="G1712" s="1">
        <f>IFERROR(__xludf.DUMMYFUNCTION("""COMPUTED_VALUE"""),42.0)</f>
        <v>42</v>
      </c>
      <c r="H1712" s="1">
        <f>IFERROR(__xludf.DUMMYFUNCTION("""COMPUTED_VALUE"""),90.0)</f>
        <v>90</v>
      </c>
      <c r="I1712" s="1">
        <f>IFERROR(__xludf.DUMMYFUNCTION("""COMPUTED_VALUE"""),68.0)</f>
        <v>68</v>
      </c>
      <c r="J1712" s="1">
        <f>IFERROR(__xludf.DUMMYFUNCTION("""COMPUTED_VALUE"""),70.0)</f>
        <v>70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 t="str">
        <f>IFERROR(__xludf.DUMMYFUNCTION("""COMPUTED_VALUE"""),"C")</f>
        <v>C</v>
      </c>
      <c r="E1713" s="1">
        <f>IFERROR(__xludf.DUMMYFUNCTION("""COMPUTED_VALUE"""),85.0)</f>
        <v>85</v>
      </c>
      <c r="F1713" s="1">
        <f>IFERROR(__xludf.DUMMYFUNCTION("""COMPUTED_VALUE"""),60.0)</f>
        <v>60</v>
      </c>
      <c r="G1713" s="1">
        <f>IFERROR(__xludf.DUMMYFUNCTION("""COMPUTED_VALUE"""),96.0)</f>
        <v>96</v>
      </c>
      <c r="H1713" s="1">
        <f>IFERROR(__xludf.DUMMYFUNCTION("""COMPUTED_VALUE"""),51.0)</f>
        <v>51</v>
      </c>
      <c r="I1713" s="1">
        <f>IFERROR(__xludf.DUMMYFUNCTION("""COMPUTED_VALUE"""),66.0)</f>
        <v>66</v>
      </c>
      <c r="J1713" s="1">
        <f>IFERROR(__xludf.DUMMYFUNCTION("""COMPUTED_VALUE"""),58.0)</f>
        <v>58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 t="str">
        <f>IFERROR(__xludf.DUMMYFUNCTION("""COMPUTED_VALUE"""),"B")</f>
        <v>B</v>
      </c>
      <c r="E1714" s="1">
        <f>IFERROR(__xludf.DUMMYFUNCTION("""COMPUTED_VALUE"""),44.0)</f>
        <v>44</v>
      </c>
      <c r="F1714" s="1">
        <f>IFERROR(__xludf.DUMMYFUNCTION("""COMPUTED_VALUE"""),55.0)</f>
        <v>55</v>
      </c>
      <c r="G1714" s="1">
        <f>IFERROR(__xludf.DUMMYFUNCTION("""COMPUTED_VALUE"""),92.0)</f>
        <v>92</v>
      </c>
      <c r="H1714" s="1">
        <f>IFERROR(__xludf.DUMMYFUNCTION("""COMPUTED_VALUE"""),21.0)</f>
        <v>21</v>
      </c>
      <c r="I1714" s="1">
        <f>IFERROR(__xludf.DUMMYFUNCTION("""COMPUTED_VALUE"""),86.0)</f>
        <v>86</v>
      </c>
      <c r="J1714" s="1">
        <f>IFERROR(__xludf.DUMMYFUNCTION("""COMPUTED_VALUE"""),69.0)</f>
        <v>69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 t="str">
        <f>IFERROR(__xludf.DUMMYFUNCTION("""COMPUTED_VALUE"""),"D")</f>
        <v>D</v>
      </c>
      <c r="E1715" s="1">
        <f>IFERROR(__xludf.DUMMYFUNCTION("""COMPUTED_VALUE"""),29.0)</f>
        <v>29</v>
      </c>
      <c r="F1715" s="1">
        <f>IFERROR(__xludf.DUMMYFUNCTION("""COMPUTED_VALUE"""),82.0)</f>
        <v>82</v>
      </c>
      <c r="G1715" s="1">
        <f>IFERROR(__xludf.DUMMYFUNCTION("""COMPUTED_VALUE"""),39.0)</f>
        <v>39</v>
      </c>
      <c r="H1715" s="1">
        <f>IFERROR(__xludf.DUMMYFUNCTION("""COMPUTED_VALUE"""),48.0)</f>
        <v>48</v>
      </c>
      <c r="I1715" s="1">
        <f>IFERROR(__xludf.DUMMYFUNCTION("""COMPUTED_VALUE"""),84.0)</f>
        <v>84</v>
      </c>
      <c r="J1715" s="1">
        <f>IFERROR(__xludf.DUMMYFUNCTION("""COMPUTED_VALUE"""),51.0)</f>
        <v>51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 t="str">
        <f>IFERROR(__xludf.DUMMYFUNCTION("""COMPUTED_VALUE"""),"A")</f>
        <v>A</v>
      </c>
      <c r="E1716" s="1">
        <f>IFERROR(__xludf.DUMMYFUNCTION("""COMPUTED_VALUE"""),12.0)</f>
        <v>12</v>
      </c>
      <c r="F1716" s="1">
        <f>IFERROR(__xludf.DUMMYFUNCTION("""COMPUTED_VALUE"""),50.0)</f>
        <v>50</v>
      </c>
      <c r="G1716" s="1">
        <f>IFERROR(__xludf.DUMMYFUNCTION("""COMPUTED_VALUE"""),95.0)</f>
        <v>95</v>
      </c>
      <c r="H1716" s="1">
        <f>IFERROR(__xludf.DUMMYFUNCTION("""COMPUTED_VALUE"""),42.0)</f>
        <v>42</v>
      </c>
      <c r="I1716" s="1">
        <f>IFERROR(__xludf.DUMMYFUNCTION("""COMPUTED_VALUE"""),78.0)</f>
        <v>78</v>
      </c>
      <c r="J1716" s="1">
        <f>IFERROR(__xludf.DUMMYFUNCTION("""COMPUTED_VALUE"""),33.0)</f>
        <v>33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 t="str">
        <f>IFERROR(__xludf.DUMMYFUNCTION("""COMPUTED_VALUE"""),"A")</f>
        <v>A</v>
      </c>
      <c r="E1717" s="1">
        <f>IFERROR(__xludf.DUMMYFUNCTION("""COMPUTED_VALUE"""),27.0)</f>
        <v>27</v>
      </c>
      <c r="F1717" s="1">
        <f>IFERROR(__xludf.DUMMYFUNCTION("""COMPUTED_VALUE"""),93.0)</f>
        <v>93</v>
      </c>
      <c r="G1717" s="1">
        <f>IFERROR(__xludf.DUMMYFUNCTION("""COMPUTED_VALUE"""),34.0)</f>
        <v>34</v>
      </c>
      <c r="H1717" s="1">
        <f>IFERROR(__xludf.DUMMYFUNCTION("""COMPUTED_VALUE"""),52.0)</f>
        <v>52</v>
      </c>
      <c r="I1717" s="1">
        <f>IFERROR(__xludf.DUMMYFUNCTION("""COMPUTED_VALUE"""),55.0)</f>
        <v>55</v>
      </c>
      <c r="J1717" s="1">
        <f>IFERROR(__xludf.DUMMYFUNCTION("""COMPUTED_VALUE"""),52.0)</f>
        <v>52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 t="str">
        <f>IFERROR(__xludf.DUMMYFUNCTION("""COMPUTED_VALUE"""),"A")</f>
        <v>A</v>
      </c>
      <c r="E1718" s="1">
        <f>IFERROR(__xludf.DUMMYFUNCTION("""COMPUTED_VALUE"""),70.0)</f>
        <v>70</v>
      </c>
      <c r="F1718" s="1">
        <f>IFERROR(__xludf.DUMMYFUNCTION("""COMPUTED_VALUE"""),44.0)</f>
        <v>44</v>
      </c>
      <c r="G1718" s="1">
        <f>IFERROR(__xludf.DUMMYFUNCTION("""COMPUTED_VALUE"""),79.0)</f>
        <v>79</v>
      </c>
      <c r="H1718" s="1">
        <f>IFERROR(__xludf.DUMMYFUNCTION("""COMPUTED_VALUE"""),83.0)</f>
        <v>83</v>
      </c>
      <c r="I1718" s="1">
        <f>IFERROR(__xludf.DUMMYFUNCTION("""COMPUTED_VALUE"""),49.0)</f>
        <v>49</v>
      </c>
      <c r="J1718" s="1">
        <f>IFERROR(__xludf.DUMMYFUNCTION("""COMPUTED_VALUE"""),24.0)</f>
        <v>24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 t="str">
        <f>IFERROR(__xludf.DUMMYFUNCTION("""COMPUTED_VALUE"""),"C")</f>
        <v>C</v>
      </c>
      <c r="E1719" s="1">
        <f>IFERROR(__xludf.DUMMYFUNCTION("""COMPUTED_VALUE"""),46.0)</f>
        <v>46</v>
      </c>
      <c r="F1719" s="1">
        <f>IFERROR(__xludf.DUMMYFUNCTION("""COMPUTED_VALUE"""),49.0)</f>
        <v>49</v>
      </c>
      <c r="G1719" s="1">
        <f>IFERROR(__xludf.DUMMYFUNCTION("""COMPUTED_VALUE"""),95.0)</f>
        <v>95</v>
      </c>
      <c r="H1719" s="1">
        <f>IFERROR(__xludf.DUMMYFUNCTION("""COMPUTED_VALUE"""),54.0)</f>
        <v>54</v>
      </c>
      <c r="I1719" s="1">
        <f>IFERROR(__xludf.DUMMYFUNCTION("""COMPUTED_VALUE"""),61.0)</f>
        <v>61</v>
      </c>
      <c r="J1719" s="1">
        <f>IFERROR(__xludf.DUMMYFUNCTION("""COMPUTED_VALUE"""),71.0)</f>
        <v>71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 t="str">
        <f>IFERROR(__xludf.DUMMYFUNCTION("""COMPUTED_VALUE"""),"B")</f>
        <v>B</v>
      </c>
      <c r="E1720" s="1">
        <f>IFERROR(__xludf.DUMMYFUNCTION("""COMPUTED_VALUE"""),69.0)</f>
        <v>69</v>
      </c>
      <c r="F1720" s="1">
        <f>IFERROR(__xludf.DUMMYFUNCTION("""COMPUTED_VALUE"""),59.0)</f>
        <v>59</v>
      </c>
      <c r="G1720" s="1">
        <f>IFERROR(__xludf.DUMMYFUNCTION("""COMPUTED_VALUE"""),62.0)</f>
        <v>62</v>
      </c>
      <c r="H1720" s="1">
        <f>IFERROR(__xludf.DUMMYFUNCTION("""COMPUTED_VALUE"""),58.0)</f>
        <v>58</v>
      </c>
      <c r="I1720" s="1">
        <f>IFERROR(__xludf.DUMMYFUNCTION("""COMPUTED_VALUE"""),48.0)</f>
        <v>48</v>
      </c>
      <c r="J1720" s="1">
        <f>IFERROR(__xludf.DUMMYFUNCTION("""COMPUTED_VALUE"""),41.0)</f>
        <v>41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 t="str">
        <f>IFERROR(__xludf.DUMMYFUNCTION("""COMPUTED_VALUE"""),"D")</f>
        <v>D</v>
      </c>
      <c r="E1721" s="1">
        <f>IFERROR(__xludf.DUMMYFUNCTION("""COMPUTED_VALUE"""),78.0)</f>
        <v>78</v>
      </c>
      <c r="F1721" s="1">
        <f>IFERROR(__xludf.DUMMYFUNCTION("""COMPUTED_VALUE"""),77.0)</f>
        <v>77</v>
      </c>
      <c r="G1721" s="1">
        <f>IFERROR(__xludf.DUMMYFUNCTION("""COMPUTED_VALUE"""),83.0)</f>
        <v>83</v>
      </c>
      <c r="H1721" s="1">
        <f>IFERROR(__xludf.DUMMYFUNCTION("""COMPUTED_VALUE"""),79.0)</f>
        <v>79</v>
      </c>
      <c r="I1721" s="1">
        <f>IFERROR(__xludf.DUMMYFUNCTION("""COMPUTED_VALUE"""),85.0)</f>
        <v>85</v>
      </c>
      <c r="J1721" s="1">
        <f>IFERROR(__xludf.DUMMYFUNCTION("""COMPUTED_VALUE"""),22.0)</f>
        <v>22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 t="str">
        <f>IFERROR(__xludf.DUMMYFUNCTION("""COMPUTED_VALUE"""),"D")</f>
        <v>D</v>
      </c>
      <c r="E1722" s="1">
        <f>IFERROR(__xludf.DUMMYFUNCTION("""COMPUTED_VALUE"""),36.0)</f>
        <v>36</v>
      </c>
      <c r="F1722" s="1">
        <f>IFERROR(__xludf.DUMMYFUNCTION("""COMPUTED_VALUE"""),95.0)</f>
        <v>95</v>
      </c>
      <c r="G1722" s="1">
        <f>IFERROR(__xludf.DUMMYFUNCTION("""COMPUTED_VALUE"""),43.0)</f>
        <v>43</v>
      </c>
      <c r="H1722" s="1">
        <f>IFERROR(__xludf.DUMMYFUNCTION("""COMPUTED_VALUE"""),33.0)</f>
        <v>33</v>
      </c>
      <c r="I1722" s="1">
        <f>IFERROR(__xludf.DUMMYFUNCTION("""COMPUTED_VALUE"""),64.0)</f>
        <v>64</v>
      </c>
      <c r="J1722" s="1">
        <f>IFERROR(__xludf.DUMMYFUNCTION("""COMPUTED_VALUE"""),70.0)</f>
        <v>70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 t="str">
        <f>IFERROR(__xludf.DUMMYFUNCTION("""COMPUTED_VALUE"""),"C")</f>
        <v>C</v>
      </c>
      <c r="E1723" s="1">
        <f>IFERROR(__xludf.DUMMYFUNCTION("""COMPUTED_VALUE"""),14.0)</f>
        <v>14</v>
      </c>
      <c r="F1723" s="1">
        <f>IFERROR(__xludf.DUMMYFUNCTION("""COMPUTED_VALUE"""),44.0)</f>
        <v>44</v>
      </c>
      <c r="G1723" s="1">
        <f>IFERROR(__xludf.DUMMYFUNCTION("""COMPUTED_VALUE"""),21.0)</f>
        <v>21</v>
      </c>
      <c r="H1723" s="1">
        <f>IFERROR(__xludf.DUMMYFUNCTION("""COMPUTED_VALUE"""),62.0)</f>
        <v>62</v>
      </c>
      <c r="I1723" s="1">
        <f>IFERROR(__xludf.DUMMYFUNCTION("""COMPUTED_VALUE"""),28.0)</f>
        <v>28</v>
      </c>
      <c r="J1723" s="1">
        <f>IFERROR(__xludf.DUMMYFUNCTION("""COMPUTED_VALUE"""),21.0)</f>
        <v>21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 t="str">
        <f>IFERROR(__xludf.DUMMYFUNCTION("""COMPUTED_VALUE"""),"A")</f>
        <v>A</v>
      </c>
      <c r="E1724" s="1">
        <f>IFERROR(__xludf.DUMMYFUNCTION("""COMPUTED_VALUE"""),41.0)</f>
        <v>41</v>
      </c>
      <c r="F1724" s="1">
        <f>IFERROR(__xludf.DUMMYFUNCTION("""COMPUTED_VALUE"""),47.0)</f>
        <v>47</v>
      </c>
      <c r="G1724" s="1">
        <f>IFERROR(__xludf.DUMMYFUNCTION("""COMPUTED_VALUE"""),32.0)</f>
        <v>32</v>
      </c>
      <c r="H1724" s="1">
        <f>IFERROR(__xludf.DUMMYFUNCTION("""COMPUTED_VALUE"""),82.0)</f>
        <v>82</v>
      </c>
      <c r="I1724" s="1">
        <f>IFERROR(__xludf.DUMMYFUNCTION("""COMPUTED_VALUE"""),30.0)</f>
        <v>30</v>
      </c>
      <c r="J1724" s="1">
        <f>IFERROR(__xludf.DUMMYFUNCTION("""COMPUTED_VALUE"""),99.0)</f>
        <v>99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 t="str">
        <f>IFERROR(__xludf.DUMMYFUNCTION("""COMPUTED_VALUE"""),"C")</f>
        <v>C</v>
      </c>
      <c r="E1725" s="1">
        <f>IFERROR(__xludf.DUMMYFUNCTION("""COMPUTED_VALUE"""),32.0)</f>
        <v>32</v>
      </c>
      <c r="F1725" s="1">
        <f>IFERROR(__xludf.DUMMYFUNCTION("""COMPUTED_VALUE"""),22.0)</f>
        <v>22</v>
      </c>
      <c r="G1725" s="1">
        <f>IFERROR(__xludf.DUMMYFUNCTION("""COMPUTED_VALUE"""),30.0)</f>
        <v>30</v>
      </c>
      <c r="H1725" s="1">
        <f>IFERROR(__xludf.DUMMYFUNCTION("""COMPUTED_VALUE"""),64.0)</f>
        <v>64</v>
      </c>
      <c r="I1725" s="1">
        <f>IFERROR(__xludf.DUMMYFUNCTION("""COMPUTED_VALUE"""),32.0)</f>
        <v>32</v>
      </c>
      <c r="J1725" s="1">
        <f>IFERROR(__xludf.DUMMYFUNCTION("""COMPUTED_VALUE"""),62.0)</f>
        <v>62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 t="str">
        <f>IFERROR(__xludf.DUMMYFUNCTION("""COMPUTED_VALUE"""),"B")</f>
        <v>B</v>
      </c>
      <c r="E1726" s="1">
        <f>IFERROR(__xludf.DUMMYFUNCTION("""COMPUTED_VALUE"""),52.0)</f>
        <v>52</v>
      </c>
      <c r="F1726" s="1">
        <f>IFERROR(__xludf.DUMMYFUNCTION("""COMPUTED_VALUE"""),33.0)</f>
        <v>33</v>
      </c>
      <c r="G1726" s="1">
        <f>IFERROR(__xludf.DUMMYFUNCTION("""COMPUTED_VALUE"""),33.0)</f>
        <v>33</v>
      </c>
      <c r="H1726" s="1">
        <f>IFERROR(__xludf.DUMMYFUNCTION("""COMPUTED_VALUE"""),76.0)</f>
        <v>76</v>
      </c>
      <c r="I1726" s="1">
        <f>IFERROR(__xludf.DUMMYFUNCTION("""COMPUTED_VALUE"""),38.0)</f>
        <v>38</v>
      </c>
      <c r="J1726" s="1">
        <f>IFERROR(__xludf.DUMMYFUNCTION("""COMPUTED_VALUE"""),57.0)</f>
        <v>57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 t="str">
        <f>IFERROR(__xludf.DUMMYFUNCTION("""COMPUTED_VALUE"""),"D")</f>
        <v>D</v>
      </c>
      <c r="E1727" s="1">
        <f>IFERROR(__xludf.DUMMYFUNCTION("""COMPUTED_VALUE"""),86.0)</f>
        <v>86</v>
      </c>
      <c r="F1727" s="1">
        <f>IFERROR(__xludf.DUMMYFUNCTION("""COMPUTED_VALUE"""),78.0)</f>
        <v>78</v>
      </c>
      <c r="G1727" s="1">
        <f>IFERROR(__xludf.DUMMYFUNCTION("""COMPUTED_VALUE"""),90.0)</f>
        <v>90</v>
      </c>
      <c r="H1727" s="1">
        <f>IFERROR(__xludf.DUMMYFUNCTION("""COMPUTED_VALUE"""),74.0)</f>
        <v>74</v>
      </c>
      <c r="I1727" s="1">
        <f>IFERROR(__xludf.DUMMYFUNCTION("""COMPUTED_VALUE"""),55.0)</f>
        <v>55</v>
      </c>
      <c r="J1727" s="1">
        <f>IFERROR(__xludf.DUMMYFUNCTION("""COMPUTED_VALUE"""),43.0)</f>
        <v>43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 t="str">
        <f>IFERROR(__xludf.DUMMYFUNCTION("""COMPUTED_VALUE"""),"C")</f>
        <v>C</v>
      </c>
      <c r="E1728" s="1">
        <f>IFERROR(__xludf.DUMMYFUNCTION("""COMPUTED_VALUE"""),47.0)</f>
        <v>47</v>
      </c>
      <c r="F1728" s="1">
        <f>IFERROR(__xludf.DUMMYFUNCTION("""COMPUTED_VALUE"""),94.0)</f>
        <v>94</v>
      </c>
      <c r="G1728" s="1">
        <f>IFERROR(__xludf.DUMMYFUNCTION("""COMPUTED_VALUE"""),87.0)</f>
        <v>87</v>
      </c>
      <c r="H1728" s="1">
        <f>IFERROR(__xludf.DUMMYFUNCTION("""COMPUTED_VALUE"""),27.0)</f>
        <v>27</v>
      </c>
      <c r="I1728" s="1">
        <f>IFERROR(__xludf.DUMMYFUNCTION("""COMPUTED_VALUE"""),20.0)</f>
        <v>20</v>
      </c>
      <c r="J1728" s="1">
        <f>IFERROR(__xludf.DUMMYFUNCTION("""COMPUTED_VALUE"""),63.0)</f>
        <v>63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 t="str">
        <f>IFERROR(__xludf.DUMMYFUNCTION("""COMPUTED_VALUE"""),"C")</f>
        <v>C</v>
      </c>
      <c r="E1729" s="1">
        <f>IFERROR(__xludf.DUMMYFUNCTION("""COMPUTED_VALUE"""),15.0)</f>
        <v>15</v>
      </c>
      <c r="F1729" s="1">
        <f>IFERROR(__xludf.DUMMYFUNCTION("""COMPUTED_VALUE"""),60.0)</f>
        <v>60</v>
      </c>
      <c r="G1729" s="1">
        <f>IFERROR(__xludf.DUMMYFUNCTION("""COMPUTED_VALUE"""),74.0)</f>
        <v>74</v>
      </c>
      <c r="H1729" s="1">
        <f>IFERROR(__xludf.DUMMYFUNCTION("""COMPUTED_VALUE"""),44.0)</f>
        <v>44</v>
      </c>
      <c r="I1729" s="1">
        <f>IFERROR(__xludf.DUMMYFUNCTION("""COMPUTED_VALUE"""),98.0)</f>
        <v>98</v>
      </c>
      <c r="J1729" s="1">
        <f>IFERROR(__xludf.DUMMYFUNCTION("""COMPUTED_VALUE"""),93.0)</f>
        <v>93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 t="str">
        <f>IFERROR(__xludf.DUMMYFUNCTION("""COMPUTED_VALUE"""),"C")</f>
        <v>C</v>
      </c>
      <c r="E1730" s="1">
        <f>IFERROR(__xludf.DUMMYFUNCTION("""COMPUTED_VALUE"""),17.0)</f>
        <v>17</v>
      </c>
      <c r="F1730" s="1">
        <f>IFERROR(__xludf.DUMMYFUNCTION("""COMPUTED_VALUE"""),53.0)</f>
        <v>53</v>
      </c>
      <c r="G1730" s="1">
        <f>IFERROR(__xludf.DUMMYFUNCTION("""COMPUTED_VALUE"""),59.0)</f>
        <v>59</v>
      </c>
      <c r="H1730" s="1">
        <f>IFERROR(__xludf.DUMMYFUNCTION("""COMPUTED_VALUE"""),43.0)</f>
        <v>43</v>
      </c>
      <c r="I1730" s="1">
        <f>IFERROR(__xludf.DUMMYFUNCTION("""COMPUTED_VALUE"""),32.0)</f>
        <v>32</v>
      </c>
      <c r="J1730" s="1">
        <f>IFERROR(__xludf.DUMMYFUNCTION("""COMPUTED_VALUE"""),56.0)</f>
        <v>56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 t="str">
        <f>IFERROR(__xludf.DUMMYFUNCTION("""COMPUTED_VALUE"""),"C")</f>
        <v>C</v>
      </c>
      <c r="E1731" s="1">
        <f>IFERROR(__xludf.DUMMYFUNCTION("""COMPUTED_VALUE"""),88.0)</f>
        <v>88</v>
      </c>
      <c r="F1731" s="1">
        <f>IFERROR(__xludf.DUMMYFUNCTION("""COMPUTED_VALUE"""),27.0)</f>
        <v>27</v>
      </c>
      <c r="G1731" s="1">
        <f>IFERROR(__xludf.DUMMYFUNCTION("""COMPUTED_VALUE"""),26.0)</f>
        <v>26</v>
      </c>
      <c r="H1731" s="1">
        <f>IFERROR(__xludf.DUMMYFUNCTION("""COMPUTED_VALUE"""),68.0)</f>
        <v>68</v>
      </c>
      <c r="I1731" s="1">
        <f>IFERROR(__xludf.DUMMYFUNCTION("""COMPUTED_VALUE"""),86.0)</f>
        <v>86</v>
      </c>
      <c r="J1731" s="1">
        <f>IFERROR(__xludf.DUMMYFUNCTION("""COMPUTED_VALUE"""),60.0)</f>
        <v>60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 t="str">
        <f>IFERROR(__xludf.DUMMYFUNCTION("""COMPUTED_VALUE"""),"D")</f>
        <v>D</v>
      </c>
      <c r="E1732" s="1">
        <f>IFERROR(__xludf.DUMMYFUNCTION("""COMPUTED_VALUE"""),47.0)</f>
        <v>47</v>
      </c>
      <c r="F1732" s="1">
        <f>IFERROR(__xludf.DUMMYFUNCTION("""COMPUTED_VALUE"""),42.0)</f>
        <v>42</v>
      </c>
      <c r="G1732" s="1">
        <f>IFERROR(__xludf.DUMMYFUNCTION("""COMPUTED_VALUE"""),25.0)</f>
        <v>25</v>
      </c>
      <c r="H1732" s="1">
        <f>IFERROR(__xludf.DUMMYFUNCTION("""COMPUTED_VALUE"""),82.0)</f>
        <v>82</v>
      </c>
      <c r="I1732" s="1">
        <f>IFERROR(__xludf.DUMMYFUNCTION("""COMPUTED_VALUE"""),26.0)</f>
        <v>26</v>
      </c>
      <c r="J1732" s="1">
        <f>IFERROR(__xludf.DUMMYFUNCTION("""COMPUTED_VALUE"""),82.0)</f>
        <v>82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 t="str">
        <f>IFERROR(__xludf.DUMMYFUNCTION("""COMPUTED_VALUE"""),"C")</f>
        <v>C</v>
      </c>
      <c r="E1733" s="1">
        <f>IFERROR(__xludf.DUMMYFUNCTION("""COMPUTED_VALUE"""),83.0)</f>
        <v>83</v>
      </c>
      <c r="F1733" s="1">
        <f>IFERROR(__xludf.DUMMYFUNCTION("""COMPUTED_VALUE"""),33.0)</f>
        <v>33</v>
      </c>
      <c r="G1733" s="1">
        <f>IFERROR(__xludf.DUMMYFUNCTION("""COMPUTED_VALUE"""),64.0)</f>
        <v>64</v>
      </c>
      <c r="H1733" s="1">
        <f>IFERROR(__xludf.DUMMYFUNCTION("""COMPUTED_VALUE"""),80.0)</f>
        <v>80</v>
      </c>
      <c r="I1733" s="1">
        <f>IFERROR(__xludf.DUMMYFUNCTION("""COMPUTED_VALUE"""),58.0)</f>
        <v>58</v>
      </c>
      <c r="J1733" s="1">
        <f>IFERROR(__xludf.DUMMYFUNCTION("""COMPUTED_VALUE"""),60.0)</f>
        <v>60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 t="str">
        <f>IFERROR(__xludf.DUMMYFUNCTION("""COMPUTED_VALUE"""),"B")</f>
        <v>B</v>
      </c>
      <c r="E1734" s="1">
        <f>IFERROR(__xludf.DUMMYFUNCTION("""COMPUTED_VALUE"""),32.0)</f>
        <v>32</v>
      </c>
      <c r="F1734" s="1">
        <f>IFERROR(__xludf.DUMMYFUNCTION("""COMPUTED_VALUE"""),84.0)</f>
        <v>84</v>
      </c>
      <c r="G1734" s="1">
        <f>IFERROR(__xludf.DUMMYFUNCTION("""COMPUTED_VALUE"""),44.0)</f>
        <v>44</v>
      </c>
      <c r="H1734" s="1">
        <f>IFERROR(__xludf.DUMMYFUNCTION("""COMPUTED_VALUE"""),41.0)</f>
        <v>41</v>
      </c>
      <c r="I1734" s="1">
        <f>IFERROR(__xludf.DUMMYFUNCTION("""COMPUTED_VALUE"""),84.0)</f>
        <v>84</v>
      </c>
      <c r="J1734" s="1">
        <f>IFERROR(__xludf.DUMMYFUNCTION("""COMPUTED_VALUE"""),36.0)</f>
        <v>36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 t="str">
        <f>IFERROR(__xludf.DUMMYFUNCTION("""COMPUTED_VALUE"""),"D")</f>
        <v>D</v>
      </c>
      <c r="E1735" s="1">
        <f>IFERROR(__xludf.DUMMYFUNCTION("""COMPUTED_VALUE"""),16.0)</f>
        <v>16</v>
      </c>
      <c r="F1735" s="1">
        <f>IFERROR(__xludf.DUMMYFUNCTION("""COMPUTED_VALUE"""),51.0)</f>
        <v>51</v>
      </c>
      <c r="G1735" s="1">
        <f>IFERROR(__xludf.DUMMYFUNCTION("""COMPUTED_VALUE"""),36.0)</f>
        <v>36</v>
      </c>
      <c r="H1735" s="1">
        <f>IFERROR(__xludf.DUMMYFUNCTION("""COMPUTED_VALUE"""),21.0)</f>
        <v>21</v>
      </c>
      <c r="I1735" s="1">
        <f>IFERROR(__xludf.DUMMYFUNCTION("""COMPUTED_VALUE"""),98.0)</f>
        <v>98</v>
      </c>
      <c r="J1735" s="1">
        <f>IFERROR(__xludf.DUMMYFUNCTION("""COMPUTED_VALUE"""),99.0)</f>
        <v>99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 t="str">
        <f>IFERROR(__xludf.DUMMYFUNCTION("""COMPUTED_VALUE"""),"B")</f>
        <v>B</v>
      </c>
      <c r="E1736" s="1">
        <f>IFERROR(__xludf.DUMMYFUNCTION("""COMPUTED_VALUE"""),93.0)</f>
        <v>93</v>
      </c>
      <c r="F1736" s="1">
        <f>IFERROR(__xludf.DUMMYFUNCTION("""COMPUTED_VALUE"""),48.0)</f>
        <v>48</v>
      </c>
      <c r="G1736" s="1">
        <f>IFERROR(__xludf.DUMMYFUNCTION("""COMPUTED_VALUE"""),22.0)</f>
        <v>22</v>
      </c>
      <c r="H1736" s="1">
        <f>IFERROR(__xludf.DUMMYFUNCTION("""COMPUTED_VALUE"""),27.0)</f>
        <v>27</v>
      </c>
      <c r="I1736" s="1">
        <f>IFERROR(__xludf.DUMMYFUNCTION("""COMPUTED_VALUE"""),86.0)</f>
        <v>86</v>
      </c>
      <c r="J1736" s="1">
        <f>IFERROR(__xludf.DUMMYFUNCTION("""COMPUTED_VALUE"""),58.0)</f>
        <v>58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 t="str">
        <f>IFERROR(__xludf.DUMMYFUNCTION("""COMPUTED_VALUE"""),"C")</f>
        <v>C</v>
      </c>
      <c r="E1737" s="1">
        <f>IFERROR(__xludf.DUMMYFUNCTION("""COMPUTED_VALUE"""),95.0)</f>
        <v>95</v>
      </c>
      <c r="F1737" s="1">
        <f>IFERROR(__xludf.DUMMYFUNCTION("""COMPUTED_VALUE"""),20.0)</f>
        <v>20</v>
      </c>
      <c r="G1737" s="1">
        <f>IFERROR(__xludf.DUMMYFUNCTION("""COMPUTED_VALUE"""),59.0)</f>
        <v>59</v>
      </c>
      <c r="H1737" s="1">
        <f>IFERROR(__xludf.DUMMYFUNCTION("""COMPUTED_VALUE"""),40.0)</f>
        <v>40</v>
      </c>
      <c r="I1737" s="1">
        <f>IFERROR(__xludf.DUMMYFUNCTION("""COMPUTED_VALUE"""),99.0)</f>
        <v>99</v>
      </c>
      <c r="J1737" s="1">
        <f>IFERROR(__xludf.DUMMYFUNCTION("""COMPUTED_VALUE"""),21.0)</f>
        <v>21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 t="str">
        <f>IFERROR(__xludf.DUMMYFUNCTION("""COMPUTED_VALUE"""),"D")</f>
        <v>D</v>
      </c>
      <c r="E1738" s="1">
        <f>IFERROR(__xludf.DUMMYFUNCTION("""COMPUTED_VALUE"""),62.0)</f>
        <v>62</v>
      </c>
      <c r="F1738" s="1">
        <f>IFERROR(__xludf.DUMMYFUNCTION("""COMPUTED_VALUE"""),58.0)</f>
        <v>58</v>
      </c>
      <c r="G1738" s="1">
        <f>IFERROR(__xludf.DUMMYFUNCTION("""COMPUTED_VALUE"""),68.0)</f>
        <v>68</v>
      </c>
      <c r="H1738" s="1">
        <f>IFERROR(__xludf.DUMMYFUNCTION("""COMPUTED_VALUE"""),70.0)</f>
        <v>70</v>
      </c>
      <c r="I1738" s="1">
        <f>IFERROR(__xludf.DUMMYFUNCTION("""COMPUTED_VALUE"""),73.0)</f>
        <v>73</v>
      </c>
      <c r="J1738" s="1">
        <f>IFERROR(__xludf.DUMMYFUNCTION("""COMPUTED_VALUE"""),90.0)</f>
        <v>90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 t="str">
        <f>IFERROR(__xludf.DUMMYFUNCTION("""COMPUTED_VALUE"""),"D")</f>
        <v>D</v>
      </c>
      <c r="E1739" s="1">
        <f>IFERROR(__xludf.DUMMYFUNCTION("""COMPUTED_VALUE"""),49.0)</f>
        <v>49</v>
      </c>
      <c r="F1739" s="1">
        <f>IFERROR(__xludf.DUMMYFUNCTION("""COMPUTED_VALUE"""),23.0)</f>
        <v>23</v>
      </c>
      <c r="G1739" s="1">
        <f>IFERROR(__xludf.DUMMYFUNCTION("""COMPUTED_VALUE"""),26.0)</f>
        <v>26</v>
      </c>
      <c r="H1739" s="1">
        <f>IFERROR(__xludf.DUMMYFUNCTION("""COMPUTED_VALUE"""),30.0)</f>
        <v>30</v>
      </c>
      <c r="I1739" s="1">
        <f>IFERROR(__xludf.DUMMYFUNCTION("""COMPUTED_VALUE"""),37.0)</f>
        <v>37</v>
      </c>
      <c r="J1739" s="1">
        <f>IFERROR(__xludf.DUMMYFUNCTION("""COMPUTED_VALUE"""),40.0)</f>
        <v>40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 t="str">
        <f>IFERROR(__xludf.DUMMYFUNCTION("""COMPUTED_VALUE"""),"D")</f>
        <v>D</v>
      </c>
      <c r="E1740" s="1">
        <f>IFERROR(__xludf.DUMMYFUNCTION("""COMPUTED_VALUE"""),45.0)</f>
        <v>45</v>
      </c>
      <c r="F1740" s="1">
        <f>IFERROR(__xludf.DUMMYFUNCTION("""COMPUTED_VALUE"""),48.0)</f>
        <v>48</v>
      </c>
      <c r="G1740" s="1">
        <f>IFERROR(__xludf.DUMMYFUNCTION("""COMPUTED_VALUE"""),96.0)</f>
        <v>96</v>
      </c>
      <c r="H1740" s="1">
        <f>IFERROR(__xludf.DUMMYFUNCTION("""COMPUTED_VALUE"""),52.0)</f>
        <v>52</v>
      </c>
      <c r="I1740" s="1">
        <f>IFERROR(__xludf.DUMMYFUNCTION("""COMPUTED_VALUE"""),29.0)</f>
        <v>29</v>
      </c>
      <c r="J1740" s="1">
        <f>IFERROR(__xludf.DUMMYFUNCTION("""COMPUTED_VALUE"""),47.0)</f>
        <v>47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 t="str">
        <f>IFERROR(__xludf.DUMMYFUNCTION("""COMPUTED_VALUE"""),"A")</f>
        <v>A</v>
      </c>
      <c r="E1741" s="1">
        <f>IFERROR(__xludf.DUMMYFUNCTION("""COMPUTED_VALUE"""),65.0)</f>
        <v>65</v>
      </c>
      <c r="F1741" s="1">
        <f>IFERROR(__xludf.DUMMYFUNCTION("""COMPUTED_VALUE"""),46.0)</f>
        <v>46</v>
      </c>
      <c r="G1741" s="1">
        <f>IFERROR(__xludf.DUMMYFUNCTION("""COMPUTED_VALUE"""),43.0)</f>
        <v>43</v>
      </c>
      <c r="H1741" s="1">
        <f>IFERROR(__xludf.DUMMYFUNCTION("""COMPUTED_VALUE"""),25.0)</f>
        <v>25</v>
      </c>
      <c r="I1741" s="1">
        <f>IFERROR(__xludf.DUMMYFUNCTION("""COMPUTED_VALUE"""),94.0)</f>
        <v>94</v>
      </c>
      <c r="J1741" s="1">
        <f>IFERROR(__xludf.DUMMYFUNCTION("""COMPUTED_VALUE"""),97.0)</f>
        <v>97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 t="str">
        <f>IFERROR(__xludf.DUMMYFUNCTION("""COMPUTED_VALUE"""),"D")</f>
        <v>D</v>
      </c>
      <c r="E1742" s="1">
        <f>IFERROR(__xludf.DUMMYFUNCTION("""COMPUTED_VALUE"""),52.0)</f>
        <v>52</v>
      </c>
      <c r="F1742" s="1">
        <f>IFERROR(__xludf.DUMMYFUNCTION("""COMPUTED_VALUE"""),53.0)</f>
        <v>53</v>
      </c>
      <c r="G1742" s="1">
        <f>IFERROR(__xludf.DUMMYFUNCTION("""COMPUTED_VALUE"""),39.0)</f>
        <v>39</v>
      </c>
      <c r="H1742" s="1">
        <f>IFERROR(__xludf.DUMMYFUNCTION("""COMPUTED_VALUE"""),29.0)</f>
        <v>29</v>
      </c>
      <c r="I1742" s="1">
        <f>IFERROR(__xludf.DUMMYFUNCTION("""COMPUTED_VALUE"""),58.0)</f>
        <v>58</v>
      </c>
      <c r="J1742" s="1">
        <f>IFERROR(__xludf.DUMMYFUNCTION("""COMPUTED_VALUE"""),81.0)</f>
        <v>81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 t="str">
        <f>IFERROR(__xludf.DUMMYFUNCTION("""COMPUTED_VALUE"""),"C")</f>
        <v>C</v>
      </c>
      <c r="E1743" s="1">
        <f>IFERROR(__xludf.DUMMYFUNCTION("""COMPUTED_VALUE"""),93.0)</f>
        <v>93</v>
      </c>
      <c r="F1743" s="1">
        <f>IFERROR(__xludf.DUMMYFUNCTION("""COMPUTED_VALUE"""),52.0)</f>
        <v>52</v>
      </c>
      <c r="G1743" s="1">
        <f>IFERROR(__xludf.DUMMYFUNCTION("""COMPUTED_VALUE"""),23.0)</f>
        <v>23</v>
      </c>
      <c r="H1743" s="1">
        <f>IFERROR(__xludf.DUMMYFUNCTION("""COMPUTED_VALUE"""),90.0)</f>
        <v>90</v>
      </c>
      <c r="I1743" s="1">
        <f>IFERROR(__xludf.DUMMYFUNCTION("""COMPUTED_VALUE"""),68.0)</f>
        <v>68</v>
      </c>
      <c r="J1743" s="1">
        <f>IFERROR(__xludf.DUMMYFUNCTION("""COMPUTED_VALUE"""),40.0)</f>
        <v>40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 t="str">
        <f>IFERROR(__xludf.DUMMYFUNCTION("""COMPUTED_VALUE"""),"B")</f>
        <v>B</v>
      </c>
      <c r="E1744" s="1">
        <f>IFERROR(__xludf.DUMMYFUNCTION("""COMPUTED_VALUE"""),97.0)</f>
        <v>97</v>
      </c>
      <c r="F1744" s="1">
        <f>IFERROR(__xludf.DUMMYFUNCTION("""COMPUTED_VALUE"""),62.0)</f>
        <v>62</v>
      </c>
      <c r="G1744" s="1">
        <f>IFERROR(__xludf.DUMMYFUNCTION("""COMPUTED_VALUE"""),33.0)</f>
        <v>33</v>
      </c>
      <c r="H1744" s="1">
        <f>IFERROR(__xludf.DUMMYFUNCTION("""COMPUTED_VALUE"""),36.0)</f>
        <v>36</v>
      </c>
      <c r="I1744" s="1">
        <f>IFERROR(__xludf.DUMMYFUNCTION("""COMPUTED_VALUE"""),25.0)</f>
        <v>25</v>
      </c>
      <c r="J1744" s="1">
        <f>IFERROR(__xludf.DUMMYFUNCTION("""COMPUTED_VALUE"""),49.0)</f>
        <v>49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 t="str">
        <f>IFERROR(__xludf.DUMMYFUNCTION("""COMPUTED_VALUE"""),"C")</f>
        <v>C</v>
      </c>
      <c r="E1745" s="1">
        <f>IFERROR(__xludf.DUMMYFUNCTION("""COMPUTED_VALUE"""),71.0)</f>
        <v>71</v>
      </c>
      <c r="F1745" s="1">
        <f>IFERROR(__xludf.DUMMYFUNCTION("""COMPUTED_VALUE"""),57.0)</f>
        <v>57</v>
      </c>
      <c r="G1745" s="1">
        <f>IFERROR(__xludf.DUMMYFUNCTION("""COMPUTED_VALUE"""),48.0)</f>
        <v>48</v>
      </c>
      <c r="H1745" s="1">
        <f>IFERROR(__xludf.DUMMYFUNCTION("""COMPUTED_VALUE"""),56.0)</f>
        <v>56</v>
      </c>
      <c r="I1745" s="1">
        <f>IFERROR(__xludf.DUMMYFUNCTION("""COMPUTED_VALUE"""),39.0)</f>
        <v>39</v>
      </c>
      <c r="J1745" s="1">
        <f>IFERROR(__xludf.DUMMYFUNCTION("""COMPUTED_VALUE"""),54.0)</f>
        <v>54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 t="str">
        <f>IFERROR(__xludf.DUMMYFUNCTION("""COMPUTED_VALUE"""),"A")</f>
        <v>A</v>
      </c>
      <c r="E1746" s="1">
        <f>IFERROR(__xludf.DUMMYFUNCTION("""COMPUTED_VALUE"""),22.0)</f>
        <v>22</v>
      </c>
      <c r="F1746" s="1">
        <f>IFERROR(__xludf.DUMMYFUNCTION("""COMPUTED_VALUE"""),95.0)</f>
        <v>95</v>
      </c>
      <c r="G1746" s="1">
        <f>IFERROR(__xludf.DUMMYFUNCTION("""COMPUTED_VALUE"""),27.0)</f>
        <v>27</v>
      </c>
      <c r="H1746" s="1">
        <f>IFERROR(__xludf.DUMMYFUNCTION("""COMPUTED_VALUE"""),37.0)</f>
        <v>37</v>
      </c>
      <c r="I1746" s="1">
        <f>IFERROR(__xludf.DUMMYFUNCTION("""COMPUTED_VALUE"""),50.0)</f>
        <v>50</v>
      </c>
      <c r="J1746" s="1">
        <f>IFERROR(__xludf.DUMMYFUNCTION("""COMPUTED_VALUE"""),90.0)</f>
        <v>90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 t="str">
        <f>IFERROR(__xludf.DUMMYFUNCTION("""COMPUTED_VALUE"""),"D")</f>
        <v>D</v>
      </c>
      <c r="E1747" s="1">
        <f>IFERROR(__xludf.DUMMYFUNCTION("""COMPUTED_VALUE"""),19.0)</f>
        <v>19</v>
      </c>
      <c r="F1747" s="1">
        <f>IFERROR(__xludf.DUMMYFUNCTION("""COMPUTED_VALUE"""),62.0)</f>
        <v>62</v>
      </c>
      <c r="G1747" s="1">
        <f>IFERROR(__xludf.DUMMYFUNCTION("""COMPUTED_VALUE"""),22.0)</f>
        <v>22</v>
      </c>
      <c r="H1747" s="1">
        <f>IFERROR(__xludf.DUMMYFUNCTION("""COMPUTED_VALUE"""),59.0)</f>
        <v>59</v>
      </c>
      <c r="I1747" s="1">
        <f>IFERROR(__xludf.DUMMYFUNCTION("""COMPUTED_VALUE"""),75.0)</f>
        <v>75</v>
      </c>
      <c r="J1747" s="1">
        <f>IFERROR(__xludf.DUMMYFUNCTION("""COMPUTED_VALUE"""),20.0)</f>
        <v>20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 t="str">
        <f>IFERROR(__xludf.DUMMYFUNCTION("""COMPUTED_VALUE"""),"D")</f>
        <v>D</v>
      </c>
      <c r="E1748" s="1">
        <f>IFERROR(__xludf.DUMMYFUNCTION("""COMPUTED_VALUE"""),100.0)</f>
        <v>100</v>
      </c>
      <c r="F1748" s="1">
        <f>IFERROR(__xludf.DUMMYFUNCTION("""COMPUTED_VALUE"""),88.0)</f>
        <v>88</v>
      </c>
      <c r="G1748" s="1">
        <f>IFERROR(__xludf.DUMMYFUNCTION("""COMPUTED_VALUE"""),54.0)</f>
        <v>54</v>
      </c>
      <c r="H1748" s="1">
        <f>IFERROR(__xludf.DUMMYFUNCTION("""COMPUTED_VALUE"""),62.0)</f>
        <v>62</v>
      </c>
      <c r="I1748" s="1">
        <f>IFERROR(__xludf.DUMMYFUNCTION("""COMPUTED_VALUE"""),22.0)</f>
        <v>22</v>
      </c>
      <c r="J1748" s="1">
        <f>IFERROR(__xludf.DUMMYFUNCTION("""COMPUTED_VALUE"""),68.0)</f>
        <v>68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 t="str">
        <f>IFERROR(__xludf.DUMMYFUNCTION("""COMPUTED_VALUE"""),"A")</f>
        <v>A</v>
      </c>
      <c r="E1749" s="1">
        <f>IFERROR(__xludf.DUMMYFUNCTION("""COMPUTED_VALUE"""),64.0)</f>
        <v>64</v>
      </c>
      <c r="F1749" s="1">
        <f>IFERROR(__xludf.DUMMYFUNCTION("""COMPUTED_VALUE"""),83.0)</f>
        <v>83</v>
      </c>
      <c r="G1749" s="1">
        <f>IFERROR(__xludf.DUMMYFUNCTION("""COMPUTED_VALUE"""),97.0)</f>
        <v>97</v>
      </c>
      <c r="H1749" s="1">
        <f>IFERROR(__xludf.DUMMYFUNCTION("""COMPUTED_VALUE"""),66.0)</f>
        <v>66</v>
      </c>
      <c r="I1749" s="1">
        <f>IFERROR(__xludf.DUMMYFUNCTION("""COMPUTED_VALUE"""),79.0)</f>
        <v>79</v>
      </c>
      <c r="J1749" s="1">
        <f>IFERROR(__xludf.DUMMYFUNCTION("""COMPUTED_VALUE"""),70.0)</f>
        <v>70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 t="str">
        <f>IFERROR(__xludf.DUMMYFUNCTION("""COMPUTED_VALUE"""),"D")</f>
        <v>D</v>
      </c>
      <c r="E1750" s="1">
        <f>IFERROR(__xludf.DUMMYFUNCTION("""COMPUTED_VALUE"""),92.0)</f>
        <v>92</v>
      </c>
      <c r="F1750" s="1">
        <f>IFERROR(__xludf.DUMMYFUNCTION("""COMPUTED_VALUE"""),54.0)</f>
        <v>54</v>
      </c>
      <c r="G1750" s="1">
        <f>IFERROR(__xludf.DUMMYFUNCTION("""COMPUTED_VALUE"""),46.0)</f>
        <v>46</v>
      </c>
      <c r="H1750" s="1">
        <f>IFERROR(__xludf.DUMMYFUNCTION("""COMPUTED_VALUE"""),47.0)</f>
        <v>47</v>
      </c>
      <c r="I1750" s="1">
        <f>IFERROR(__xludf.DUMMYFUNCTION("""COMPUTED_VALUE"""),68.0)</f>
        <v>68</v>
      </c>
      <c r="J1750" s="1">
        <f>IFERROR(__xludf.DUMMYFUNCTION("""COMPUTED_VALUE"""),95.0)</f>
        <v>95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 t="str">
        <f>IFERROR(__xludf.DUMMYFUNCTION("""COMPUTED_VALUE"""),"C")</f>
        <v>C</v>
      </c>
      <c r="E1751" s="1">
        <f>IFERROR(__xludf.DUMMYFUNCTION("""COMPUTED_VALUE"""),18.0)</f>
        <v>18</v>
      </c>
      <c r="F1751" s="1">
        <f>IFERROR(__xludf.DUMMYFUNCTION("""COMPUTED_VALUE"""),47.0)</f>
        <v>47</v>
      </c>
      <c r="G1751" s="1">
        <f>IFERROR(__xludf.DUMMYFUNCTION("""COMPUTED_VALUE"""),44.0)</f>
        <v>44</v>
      </c>
      <c r="H1751" s="1">
        <f>IFERROR(__xludf.DUMMYFUNCTION("""COMPUTED_VALUE"""),32.0)</f>
        <v>32</v>
      </c>
      <c r="I1751" s="1">
        <f>IFERROR(__xludf.DUMMYFUNCTION("""COMPUTED_VALUE"""),59.0)</f>
        <v>59</v>
      </c>
      <c r="J1751" s="1">
        <f>IFERROR(__xludf.DUMMYFUNCTION("""COMPUTED_VALUE"""),78.0)</f>
        <v>78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 t="str">
        <f>IFERROR(__xludf.DUMMYFUNCTION("""COMPUTED_VALUE"""),"D")</f>
        <v>D</v>
      </c>
      <c r="E1752" s="1">
        <f>IFERROR(__xludf.DUMMYFUNCTION("""COMPUTED_VALUE"""),74.0)</f>
        <v>74</v>
      </c>
      <c r="F1752" s="1">
        <f>IFERROR(__xludf.DUMMYFUNCTION("""COMPUTED_VALUE"""),29.0)</f>
        <v>29</v>
      </c>
      <c r="G1752" s="1">
        <f>IFERROR(__xludf.DUMMYFUNCTION("""COMPUTED_VALUE"""),37.0)</f>
        <v>37</v>
      </c>
      <c r="H1752" s="1">
        <f>IFERROR(__xludf.DUMMYFUNCTION("""COMPUTED_VALUE"""),85.0)</f>
        <v>85</v>
      </c>
      <c r="I1752" s="1">
        <f>IFERROR(__xludf.DUMMYFUNCTION("""COMPUTED_VALUE"""),52.0)</f>
        <v>52</v>
      </c>
      <c r="J1752" s="1">
        <f>IFERROR(__xludf.DUMMYFUNCTION("""COMPUTED_VALUE"""),69.0)</f>
        <v>69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 t="str">
        <f>IFERROR(__xludf.DUMMYFUNCTION("""COMPUTED_VALUE"""),"D")</f>
        <v>D</v>
      </c>
      <c r="E1753" s="1">
        <f>IFERROR(__xludf.DUMMYFUNCTION("""COMPUTED_VALUE"""),30.0)</f>
        <v>30</v>
      </c>
      <c r="F1753" s="1">
        <f>IFERROR(__xludf.DUMMYFUNCTION("""COMPUTED_VALUE"""),21.0)</f>
        <v>21</v>
      </c>
      <c r="G1753" s="1">
        <f>IFERROR(__xludf.DUMMYFUNCTION("""COMPUTED_VALUE"""),99.0)</f>
        <v>99</v>
      </c>
      <c r="H1753" s="1">
        <f>IFERROR(__xludf.DUMMYFUNCTION("""COMPUTED_VALUE"""),23.0)</f>
        <v>23</v>
      </c>
      <c r="I1753" s="1">
        <f>IFERROR(__xludf.DUMMYFUNCTION("""COMPUTED_VALUE"""),45.0)</f>
        <v>45</v>
      </c>
      <c r="J1753" s="1">
        <f>IFERROR(__xludf.DUMMYFUNCTION("""COMPUTED_VALUE"""),74.0)</f>
        <v>74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 t="str">
        <f>IFERROR(__xludf.DUMMYFUNCTION("""COMPUTED_VALUE"""),"C")</f>
        <v>C</v>
      </c>
      <c r="E1754" s="1">
        <f>IFERROR(__xludf.DUMMYFUNCTION("""COMPUTED_VALUE"""),57.0)</f>
        <v>57</v>
      </c>
      <c r="F1754" s="1">
        <f>IFERROR(__xludf.DUMMYFUNCTION("""COMPUTED_VALUE"""),98.0)</f>
        <v>98</v>
      </c>
      <c r="G1754" s="1">
        <f>IFERROR(__xludf.DUMMYFUNCTION("""COMPUTED_VALUE"""),62.0)</f>
        <v>62</v>
      </c>
      <c r="H1754" s="1">
        <f>IFERROR(__xludf.DUMMYFUNCTION("""COMPUTED_VALUE"""),77.0)</f>
        <v>77</v>
      </c>
      <c r="I1754" s="1">
        <f>IFERROR(__xludf.DUMMYFUNCTION("""COMPUTED_VALUE"""),70.0)</f>
        <v>70</v>
      </c>
      <c r="J1754" s="1">
        <f>IFERROR(__xludf.DUMMYFUNCTION("""COMPUTED_VALUE"""),70.0)</f>
        <v>70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 t="str">
        <f>IFERROR(__xludf.DUMMYFUNCTION("""COMPUTED_VALUE"""),"B")</f>
        <v>B</v>
      </c>
      <c r="E1755" s="1">
        <f>IFERROR(__xludf.DUMMYFUNCTION("""COMPUTED_VALUE"""),54.0)</f>
        <v>54</v>
      </c>
      <c r="F1755" s="1">
        <f>IFERROR(__xludf.DUMMYFUNCTION("""COMPUTED_VALUE"""),59.0)</f>
        <v>59</v>
      </c>
      <c r="G1755" s="1">
        <f>IFERROR(__xludf.DUMMYFUNCTION("""COMPUTED_VALUE"""),84.0)</f>
        <v>84</v>
      </c>
      <c r="H1755" s="1">
        <f>IFERROR(__xludf.DUMMYFUNCTION("""COMPUTED_VALUE"""),57.0)</f>
        <v>57</v>
      </c>
      <c r="I1755" s="1">
        <f>IFERROR(__xludf.DUMMYFUNCTION("""COMPUTED_VALUE"""),80.0)</f>
        <v>80</v>
      </c>
      <c r="J1755" s="1">
        <f>IFERROR(__xludf.DUMMYFUNCTION("""COMPUTED_VALUE"""),21.0)</f>
        <v>21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 t="str">
        <f>IFERROR(__xludf.DUMMYFUNCTION("""COMPUTED_VALUE"""),"A")</f>
        <v>A</v>
      </c>
      <c r="E1756" s="1">
        <f>IFERROR(__xludf.DUMMYFUNCTION("""COMPUTED_VALUE"""),73.0)</f>
        <v>73</v>
      </c>
      <c r="F1756" s="1">
        <f>IFERROR(__xludf.DUMMYFUNCTION("""COMPUTED_VALUE"""),40.0)</f>
        <v>40</v>
      </c>
      <c r="G1756" s="1">
        <f>IFERROR(__xludf.DUMMYFUNCTION("""COMPUTED_VALUE"""),27.0)</f>
        <v>27</v>
      </c>
      <c r="H1756" s="1">
        <f>IFERROR(__xludf.DUMMYFUNCTION("""COMPUTED_VALUE"""),24.0)</f>
        <v>24</v>
      </c>
      <c r="I1756" s="1">
        <f>IFERROR(__xludf.DUMMYFUNCTION("""COMPUTED_VALUE"""),73.0)</f>
        <v>73</v>
      </c>
      <c r="J1756" s="1">
        <f>IFERROR(__xludf.DUMMYFUNCTION("""COMPUTED_VALUE"""),25.0)</f>
        <v>25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 t="str">
        <f>IFERROR(__xludf.DUMMYFUNCTION("""COMPUTED_VALUE"""),"C")</f>
        <v>C</v>
      </c>
      <c r="E1757" s="1">
        <f>IFERROR(__xludf.DUMMYFUNCTION("""COMPUTED_VALUE"""),40.0)</f>
        <v>40</v>
      </c>
      <c r="F1757" s="1">
        <f>IFERROR(__xludf.DUMMYFUNCTION("""COMPUTED_VALUE"""),46.0)</f>
        <v>46</v>
      </c>
      <c r="G1757" s="1">
        <f>IFERROR(__xludf.DUMMYFUNCTION("""COMPUTED_VALUE"""),59.0)</f>
        <v>59</v>
      </c>
      <c r="H1757" s="1">
        <f>IFERROR(__xludf.DUMMYFUNCTION("""COMPUTED_VALUE"""),98.0)</f>
        <v>98</v>
      </c>
      <c r="I1757" s="1">
        <f>IFERROR(__xludf.DUMMYFUNCTION("""COMPUTED_VALUE"""),50.0)</f>
        <v>50</v>
      </c>
      <c r="J1757" s="1">
        <f>IFERROR(__xludf.DUMMYFUNCTION("""COMPUTED_VALUE"""),61.0)</f>
        <v>61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 t="str">
        <f>IFERROR(__xludf.DUMMYFUNCTION("""COMPUTED_VALUE"""),"C")</f>
        <v>C</v>
      </c>
      <c r="E1758" s="1">
        <f>IFERROR(__xludf.DUMMYFUNCTION("""COMPUTED_VALUE"""),84.0)</f>
        <v>84</v>
      </c>
      <c r="F1758" s="1">
        <f>IFERROR(__xludf.DUMMYFUNCTION("""COMPUTED_VALUE"""),58.0)</f>
        <v>58</v>
      </c>
      <c r="G1758" s="1">
        <f>IFERROR(__xludf.DUMMYFUNCTION("""COMPUTED_VALUE"""),94.0)</f>
        <v>94</v>
      </c>
      <c r="H1758" s="1">
        <f>IFERROR(__xludf.DUMMYFUNCTION("""COMPUTED_VALUE"""),39.0)</f>
        <v>39</v>
      </c>
      <c r="I1758" s="1">
        <f>IFERROR(__xludf.DUMMYFUNCTION("""COMPUTED_VALUE"""),58.0)</f>
        <v>58</v>
      </c>
      <c r="J1758" s="1">
        <f>IFERROR(__xludf.DUMMYFUNCTION("""COMPUTED_VALUE"""),44.0)</f>
        <v>44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 t="str">
        <f>IFERROR(__xludf.DUMMYFUNCTION("""COMPUTED_VALUE"""),"B")</f>
        <v>B</v>
      </c>
      <c r="E1759" s="1">
        <f>IFERROR(__xludf.DUMMYFUNCTION("""COMPUTED_VALUE"""),33.0)</f>
        <v>33</v>
      </c>
      <c r="F1759" s="1">
        <f>IFERROR(__xludf.DUMMYFUNCTION("""COMPUTED_VALUE"""),84.0)</f>
        <v>84</v>
      </c>
      <c r="G1759" s="1">
        <f>IFERROR(__xludf.DUMMYFUNCTION("""COMPUTED_VALUE"""),45.0)</f>
        <v>45</v>
      </c>
      <c r="H1759" s="1">
        <f>IFERROR(__xludf.DUMMYFUNCTION("""COMPUTED_VALUE"""),39.0)</f>
        <v>39</v>
      </c>
      <c r="I1759" s="1">
        <f>IFERROR(__xludf.DUMMYFUNCTION("""COMPUTED_VALUE"""),29.0)</f>
        <v>29</v>
      </c>
      <c r="J1759" s="1">
        <f>IFERROR(__xludf.DUMMYFUNCTION("""COMPUTED_VALUE"""),84.0)</f>
        <v>84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 t="str">
        <f>IFERROR(__xludf.DUMMYFUNCTION("""COMPUTED_VALUE"""),"D")</f>
        <v>D</v>
      </c>
      <c r="E1760" s="1">
        <f>IFERROR(__xludf.DUMMYFUNCTION("""COMPUTED_VALUE"""),41.0)</f>
        <v>41</v>
      </c>
      <c r="F1760" s="1">
        <f>IFERROR(__xludf.DUMMYFUNCTION("""COMPUTED_VALUE"""),34.0)</f>
        <v>34</v>
      </c>
      <c r="G1760" s="1">
        <f>IFERROR(__xludf.DUMMYFUNCTION("""COMPUTED_VALUE"""),61.0)</f>
        <v>61</v>
      </c>
      <c r="H1760" s="1">
        <f>IFERROR(__xludf.DUMMYFUNCTION("""COMPUTED_VALUE"""),56.0)</f>
        <v>56</v>
      </c>
      <c r="I1760" s="1">
        <f>IFERROR(__xludf.DUMMYFUNCTION("""COMPUTED_VALUE"""),65.0)</f>
        <v>65</v>
      </c>
      <c r="J1760" s="1">
        <f>IFERROR(__xludf.DUMMYFUNCTION("""COMPUTED_VALUE"""),37.0)</f>
        <v>37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 t="str">
        <f>IFERROR(__xludf.DUMMYFUNCTION("""COMPUTED_VALUE"""),"B")</f>
        <v>B</v>
      </c>
      <c r="E1761" s="1">
        <f>IFERROR(__xludf.DUMMYFUNCTION("""COMPUTED_VALUE"""),58.0)</f>
        <v>58</v>
      </c>
      <c r="F1761" s="1">
        <f>IFERROR(__xludf.DUMMYFUNCTION("""COMPUTED_VALUE"""),67.0)</f>
        <v>67</v>
      </c>
      <c r="G1761" s="1">
        <f>IFERROR(__xludf.DUMMYFUNCTION("""COMPUTED_VALUE"""),86.0)</f>
        <v>86</v>
      </c>
      <c r="H1761" s="1">
        <f>IFERROR(__xludf.DUMMYFUNCTION("""COMPUTED_VALUE"""),38.0)</f>
        <v>38</v>
      </c>
      <c r="I1761" s="1">
        <f>IFERROR(__xludf.DUMMYFUNCTION("""COMPUTED_VALUE"""),33.0)</f>
        <v>33</v>
      </c>
      <c r="J1761" s="1">
        <f>IFERROR(__xludf.DUMMYFUNCTION("""COMPUTED_VALUE"""),62.0)</f>
        <v>62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 t="str">
        <f>IFERROR(__xludf.DUMMYFUNCTION("""COMPUTED_VALUE"""),"D")</f>
        <v>D</v>
      </c>
      <c r="E1762" s="1">
        <f>IFERROR(__xludf.DUMMYFUNCTION("""COMPUTED_VALUE"""),16.0)</f>
        <v>16</v>
      </c>
      <c r="F1762" s="1">
        <f>IFERROR(__xludf.DUMMYFUNCTION("""COMPUTED_VALUE"""),99.0)</f>
        <v>99</v>
      </c>
      <c r="G1762" s="1">
        <f>IFERROR(__xludf.DUMMYFUNCTION("""COMPUTED_VALUE"""),96.0)</f>
        <v>96</v>
      </c>
      <c r="H1762" s="1">
        <f>IFERROR(__xludf.DUMMYFUNCTION("""COMPUTED_VALUE"""),80.0)</f>
        <v>80</v>
      </c>
      <c r="I1762" s="1">
        <f>IFERROR(__xludf.DUMMYFUNCTION("""COMPUTED_VALUE"""),51.0)</f>
        <v>51</v>
      </c>
      <c r="J1762" s="1">
        <f>IFERROR(__xludf.DUMMYFUNCTION("""COMPUTED_VALUE"""),97.0)</f>
        <v>97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 t="str">
        <f>IFERROR(__xludf.DUMMYFUNCTION("""COMPUTED_VALUE"""),"D")</f>
        <v>D</v>
      </c>
      <c r="E1763" s="1">
        <f>IFERROR(__xludf.DUMMYFUNCTION("""COMPUTED_VALUE"""),61.0)</f>
        <v>61</v>
      </c>
      <c r="F1763" s="1">
        <f>IFERROR(__xludf.DUMMYFUNCTION("""COMPUTED_VALUE"""),22.0)</f>
        <v>22</v>
      </c>
      <c r="G1763" s="1">
        <f>IFERROR(__xludf.DUMMYFUNCTION("""COMPUTED_VALUE"""),27.0)</f>
        <v>27</v>
      </c>
      <c r="H1763" s="1">
        <f>IFERROR(__xludf.DUMMYFUNCTION("""COMPUTED_VALUE"""),89.0)</f>
        <v>89</v>
      </c>
      <c r="I1763" s="1">
        <f>IFERROR(__xludf.DUMMYFUNCTION("""COMPUTED_VALUE"""),32.0)</f>
        <v>32</v>
      </c>
      <c r="J1763" s="1">
        <f>IFERROR(__xludf.DUMMYFUNCTION("""COMPUTED_VALUE"""),70.0)</f>
        <v>70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 t="str">
        <f>IFERROR(__xludf.DUMMYFUNCTION("""COMPUTED_VALUE"""),"C")</f>
        <v>C</v>
      </c>
      <c r="E1764" s="1">
        <f>IFERROR(__xludf.DUMMYFUNCTION("""COMPUTED_VALUE"""),24.0)</f>
        <v>24</v>
      </c>
      <c r="F1764" s="1">
        <f>IFERROR(__xludf.DUMMYFUNCTION("""COMPUTED_VALUE"""),94.0)</f>
        <v>94</v>
      </c>
      <c r="G1764" s="1">
        <f>IFERROR(__xludf.DUMMYFUNCTION("""COMPUTED_VALUE"""),84.0)</f>
        <v>84</v>
      </c>
      <c r="H1764" s="1">
        <f>IFERROR(__xludf.DUMMYFUNCTION("""COMPUTED_VALUE"""),32.0)</f>
        <v>32</v>
      </c>
      <c r="I1764" s="1">
        <f>IFERROR(__xludf.DUMMYFUNCTION("""COMPUTED_VALUE"""),58.0)</f>
        <v>58</v>
      </c>
      <c r="J1764" s="1">
        <f>IFERROR(__xludf.DUMMYFUNCTION("""COMPUTED_VALUE"""),98.0)</f>
        <v>98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 t="str">
        <f>IFERROR(__xludf.DUMMYFUNCTION("""COMPUTED_VALUE"""),"C")</f>
        <v>C</v>
      </c>
      <c r="E1765" s="1">
        <f>IFERROR(__xludf.DUMMYFUNCTION("""COMPUTED_VALUE"""),97.0)</f>
        <v>97</v>
      </c>
      <c r="F1765" s="1">
        <f>IFERROR(__xludf.DUMMYFUNCTION("""COMPUTED_VALUE"""),91.0)</f>
        <v>91</v>
      </c>
      <c r="G1765" s="1">
        <f>IFERROR(__xludf.DUMMYFUNCTION("""COMPUTED_VALUE"""),99.0)</f>
        <v>99</v>
      </c>
      <c r="H1765" s="1">
        <f>IFERROR(__xludf.DUMMYFUNCTION("""COMPUTED_VALUE"""),49.0)</f>
        <v>49</v>
      </c>
      <c r="I1765" s="1">
        <f>IFERROR(__xludf.DUMMYFUNCTION("""COMPUTED_VALUE"""),63.0)</f>
        <v>63</v>
      </c>
      <c r="J1765" s="1">
        <f>IFERROR(__xludf.DUMMYFUNCTION("""COMPUTED_VALUE"""),28.0)</f>
        <v>28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 t="str">
        <f>IFERROR(__xludf.DUMMYFUNCTION("""COMPUTED_VALUE"""),"D")</f>
        <v>D</v>
      </c>
      <c r="E1766" s="1">
        <f>IFERROR(__xludf.DUMMYFUNCTION("""COMPUTED_VALUE"""),49.0)</f>
        <v>49</v>
      </c>
      <c r="F1766" s="1">
        <f>IFERROR(__xludf.DUMMYFUNCTION("""COMPUTED_VALUE"""),89.0)</f>
        <v>89</v>
      </c>
      <c r="G1766" s="1">
        <f>IFERROR(__xludf.DUMMYFUNCTION("""COMPUTED_VALUE"""),56.0)</f>
        <v>56</v>
      </c>
      <c r="H1766" s="1">
        <f>IFERROR(__xludf.DUMMYFUNCTION("""COMPUTED_VALUE"""),68.0)</f>
        <v>68</v>
      </c>
      <c r="I1766" s="1">
        <f>IFERROR(__xludf.DUMMYFUNCTION("""COMPUTED_VALUE"""),82.0)</f>
        <v>82</v>
      </c>
      <c r="J1766" s="1">
        <f>IFERROR(__xludf.DUMMYFUNCTION("""COMPUTED_VALUE"""),80.0)</f>
        <v>80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 t="str">
        <f>IFERROR(__xludf.DUMMYFUNCTION("""COMPUTED_VALUE"""),"A")</f>
        <v>A</v>
      </c>
      <c r="E1767" s="1">
        <f>IFERROR(__xludf.DUMMYFUNCTION("""COMPUTED_VALUE"""),87.0)</f>
        <v>87</v>
      </c>
      <c r="F1767" s="1">
        <f>IFERROR(__xludf.DUMMYFUNCTION("""COMPUTED_VALUE"""),55.0)</f>
        <v>55</v>
      </c>
      <c r="G1767" s="1">
        <f>IFERROR(__xludf.DUMMYFUNCTION("""COMPUTED_VALUE"""),97.0)</f>
        <v>97</v>
      </c>
      <c r="H1767" s="1">
        <f>IFERROR(__xludf.DUMMYFUNCTION("""COMPUTED_VALUE"""),20.0)</f>
        <v>20</v>
      </c>
      <c r="I1767" s="1">
        <f>IFERROR(__xludf.DUMMYFUNCTION("""COMPUTED_VALUE"""),43.0)</f>
        <v>43</v>
      </c>
      <c r="J1767" s="1">
        <f>IFERROR(__xludf.DUMMYFUNCTION("""COMPUTED_VALUE"""),52.0)</f>
        <v>52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 t="str">
        <f>IFERROR(__xludf.DUMMYFUNCTION("""COMPUTED_VALUE"""),"D")</f>
        <v>D</v>
      </c>
      <c r="E1768" s="1">
        <f>IFERROR(__xludf.DUMMYFUNCTION("""COMPUTED_VALUE"""),91.0)</f>
        <v>91</v>
      </c>
      <c r="F1768" s="1">
        <f>IFERROR(__xludf.DUMMYFUNCTION("""COMPUTED_VALUE"""),44.0)</f>
        <v>44</v>
      </c>
      <c r="G1768" s="1">
        <f>IFERROR(__xludf.DUMMYFUNCTION("""COMPUTED_VALUE"""),21.0)</f>
        <v>21</v>
      </c>
      <c r="H1768" s="1">
        <f>IFERROR(__xludf.DUMMYFUNCTION("""COMPUTED_VALUE"""),58.0)</f>
        <v>58</v>
      </c>
      <c r="I1768" s="1">
        <f>IFERROR(__xludf.DUMMYFUNCTION("""COMPUTED_VALUE"""),97.0)</f>
        <v>97</v>
      </c>
      <c r="J1768" s="1">
        <f>IFERROR(__xludf.DUMMYFUNCTION("""COMPUTED_VALUE"""),73.0)</f>
        <v>73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 t="str">
        <f>IFERROR(__xludf.DUMMYFUNCTION("""COMPUTED_VALUE"""),"A")</f>
        <v>A</v>
      </c>
      <c r="E1769" s="1">
        <f>IFERROR(__xludf.DUMMYFUNCTION("""COMPUTED_VALUE"""),35.0)</f>
        <v>35</v>
      </c>
      <c r="F1769" s="1">
        <f>IFERROR(__xludf.DUMMYFUNCTION("""COMPUTED_VALUE"""),83.0)</f>
        <v>83</v>
      </c>
      <c r="G1769" s="1">
        <f>IFERROR(__xludf.DUMMYFUNCTION("""COMPUTED_VALUE"""),45.0)</f>
        <v>45</v>
      </c>
      <c r="H1769" s="1">
        <f>IFERROR(__xludf.DUMMYFUNCTION("""COMPUTED_VALUE"""),54.0)</f>
        <v>54</v>
      </c>
      <c r="I1769" s="1">
        <f>IFERROR(__xludf.DUMMYFUNCTION("""COMPUTED_VALUE"""),29.0)</f>
        <v>29</v>
      </c>
      <c r="J1769" s="1">
        <f>IFERROR(__xludf.DUMMYFUNCTION("""COMPUTED_VALUE"""),26.0)</f>
        <v>26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 t="str">
        <f>IFERROR(__xludf.DUMMYFUNCTION("""COMPUTED_VALUE"""),"C")</f>
        <v>C</v>
      </c>
      <c r="E1770" s="1">
        <f>IFERROR(__xludf.DUMMYFUNCTION("""COMPUTED_VALUE"""),26.0)</f>
        <v>26</v>
      </c>
      <c r="F1770" s="1">
        <f>IFERROR(__xludf.DUMMYFUNCTION("""COMPUTED_VALUE"""),92.0)</f>
        <v>92</v>
      </c>
      <c r="G1770" s="1">
        <f>IFERROR(__xludf.DUMMYFUNCTION("""COMPUTED_VALUE"""),35.0)</f>
        <v>35</v>
      </c>
      <c r="H1770" s="1">
        <f>IFERROR(__xludf.DUMMYFUNCTION("""COMPUTED_VALUE"""),21.0)</f>
        <v>21</v>
      </c>
      <c r="I1770" s="1">
        <f>IFERROR(__xludf.DUMMYFUNCTION("""COMPUTED_VALUE"""),30.0)</f>
        <v>30</v>
      </c>
      <c r="J1770" s="1">
        <f>IFERROR(__xludf.DUMMYFUNCTION("""COMPUTED_VALUE"""),73.0)</f>
        <v>73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 t="str">
        <f>IFERROR(__xludf.DUMMYFUNCTION("""COMPUTED_VALUE"""),"C")</f>
        <v>C</v>
      </c>
      <c r="E1771" s="1">
        <f>IFERROR(__xludf.DUMMYFUNCTION("""COMPUTED_VALUE"""),20.0)</f>
        <v>20</v>
      </c>
      <c r="F1771" s="1">
        <f>IFERROR(__xludf.DUMMYFUNCTION("""COMPUTED_VALUE"""),28.0)</f>
        <v>28</v>
      </c>
      <c r="G1771" s="1">
        <f>IFERROR(__xludf.DUMMYFUNCTION("""COMPUTED_VALUE"""),38.0)</f>
        <v>38</v>
      </c>
      <c r="H1771" s="1">
        <f>IFERROR(__xludf.DUMMYFUNCTION("""COMPUTED_VALUE"""),48.0)</f>
        <v>48</v>
      </c>
      <c r="I1771" s="1">
        <f>IFERROR(__xludf.DUMMYFUNCTION("""COMPUTED_VALUE"""),36.0)</f>
        <v>36</v>
      </c>
      <c r="J1771" s="1">
        <f>IFERROR(__xludf.DUMMYFUNCTION("""COMPUTED_VALUE"""),83.0)</f>
        <v>83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 t="str">
        <f>IFERROR(__xludf.DUMMYFUNCTION("""COMPUTED_VALUE"""),"B")</f>
        <v>B</v>
      </c>
      <c r="E1772" s="1">
        <f>IFERROR(__xludf.DUMMYFUNCTION("""COMPUTED_VALUE"""),32.0)</f>
        <v>32</v>
      </c>
      <c r="F1772" s="1">
        <f>IFERROR(__xludf.DUMMYFUNCTION("""COMPUTED_VALUE"""),70.0)</f>
        <v>70</v>
      </c>
      <c r="G1772" s="1">
        <f>IFERROR(__xludf.DUMMYFUNCTION("""COMPUTED_VALUE"""),43.0)</f>
        <v>43</v>
      </c>
      <c r="H1772" s="1">
        <f>IFERROR(__xludf.DUMMYFUNCTION("""COMPUTED_VALUE"""),39.0)</f>
        <v>39</v>
      </c>
      <c r="I1772" s="1">
        <f>IFERROR(__xludf.DUMMYFUNCTION("""COMPUTED_VALUE"""),43.0)</f>
        <v>43</v>
      </c>
      <c r="J1772" s="1">
        <f>IFERROR(__xludf.DUMMYFUNCTION("""COMPUTED_VALUE"""),61.0)</f>
        <v>61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 t="str">
        <f>IFERROR(__xludf.DUMMYFUNCTION("""COMPUTED_VALUE"""),"C")</f>
        <v>C</v>
      </c>
      <c r="E1773" s="1">
        <f>IFERROR(__xludf.DUMMYFUNCTION("""COMPUTED_VALUE"""),80.0)</f>
        <v>80</v>
      </c>
      <c r="F1773" s="1">
        <f>IFERROR(__xludf.DUMMYFUNCTION("""COMPUTED_VALUE"""),31.0)</f>
        <v>31</v>
      </c>
      <c r="G1773" s="1">
        <f>IFERROR(__xludf.DUMMYFUNCTION("""COMPUTED_VALUE"""),74.0)</f>
        <v>74</v>
      </c>
      <c r="H1773" s="1">
        <f>IFERROR(__xludf.DUMMYFUNCTION("""COMPUTED_VALUE"""),77.0)</f>
        <v>77</v>
      </c>
      <c r="I1773" s="1">
        <f>IFERROR(__xludf.DUMMYFUNCTION("""COMPUTED_VALUE"""),92.0)</f>
        <v>92</v>
      </c>
      <c r="J1773" s="1">
        <f>IFERROR(__xludf.DUMMYFUNCTION("""COMPUTED_VALUE"""),43.0)</f>
        <v>43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 t="str">
        <f>IFERROR(__xludf.DUMMYFUNCTION("""COMPUTED_VALUE"""),"C")</f>
        <v>C</v>
      </c>
      <c r="E1774" s="1">
        <f>IFERROR(__xludf.DUMMYFUNCTION("""COMPUTED_VALUE"""),25.0)</f>
        <v>25</v>
      </c>
      <c r="F1774" s="1">
        <f>IFERROR(__xludf.DUMMYFUNCTION("""COMPUTED_VALUE"""),70.0)</f>
        <v>70</v>
      </c>
      <c r="G1774" s="1">
        <f>IFERROR(__xludf.DUMMYFUNCTION("""COMPUTED_VALUE"""),44.0)</f>
        <v>44</v>
      </c>
      <c r="H1774" s="1">
        <f>IFERROR(__xludf.DUMMYFUNCTION("""COMPUTED_VALUE"""),78.0)</f>
        <v>78</v>
      </c>
      <c r="I1774" s="1">
        <f>IFERROR(__xludf.DUMMYFUNCTION("""COMPUTED_VALUE"""),60.0)</f>
        <v>60</v>
      </c>
      <c r="J1774" s="1">
        <f>IFERROR(__xludf.DUMMYFUNCTION("""COMPUTED_VALUE"""),47.0)</f>
        <v>47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 t="str">
        <f>IFERROR(__xludf.DUMMYFUNCTION("""COMPUTED_VALUE"""),"D")</f>
        <v>D</v>
      </c>
      <c r="E1775" s="1">
        <f>IFERROR(__xludf.DUMMYFUNCTION("""COMPUTED_VALUE"""),59.0)</f>
        <v>59</v>
      </c>
      <c r="F1775" s="1">
        <f>IFERROR(__xludf.DUMMYFUNCTION("""COMPUTED_VALUE"""),35.0)</f>
        <v>35</v>
      </c>
      <c r="G1775" s="1">
        <f>IFERROR(__xludf.DUMMYFUNCTION("""COMPUTED_VALUE"""),52.0)</f>
        <v>52</v>
      </c>
      <c r="H1775" s="1">
        <f>IFERROR(__xludf.DUMMYFUNCTION("""COMPUTED_VALUE"""),37.0)</f>
        <v>37</v>
      </c>
      <c r="I1775" s="1">
        <f>IFERROR(__xludf.DUMMYFUNCTION("""COMPUTED_VALUE"""),61.0)</f>
        <v>61</v>
      </c>
      <c r="J1775" s="1">
        <f>IFERROR(__xludf.DUMMYFUNCTION("""COMPUTED_VALUE"""),71.0)</f>
        <v>71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 t="str">
        <f>IFERROR(__xludf.DUMMYFUNCTION("""COMPUTED_VALUE"""),"C")</f>
        <v>C</v>
      </c>
      <c r="E1776" s="1">
        <f>IFERROR(__xludf.DUMMYFUNCTION("""COMPUTED_VALUE"""),26.0)</f>
        <v>26</v>
      </c>
      <c r="F1776" s="1">
        <f>IFERROR(__xludf.DUMMYFUNCTION("""COMPUTED_VALUE"""),35.0)</f>
        <v>35</v>
      </c>
      <c r="G1776" s="1">
        <f>IFERROR(__xludf.DUMMYFUNCTION("""COMPUTED_VALUE"""),44.0)</f>
        <v>44</v>
      </c>
      <c r="H1776" s="1">
        <f>IFERROR(__xludf.DUMMYFUNCTION("""COMPUTED_VALUE"""),43.0)</f>
        <v>43</v>
      </c>
      <c r="I1776" s="1">
        <f>IFERROR(__xludf.DUMMYFUNCTION("""COMPUTED_VALUE"""),73.0)</f>
        <v>73</v>
      </c>
      <c r="J1776" s="1">
        <f>IFERROR(__xludf.DUMMYFUNCTION("""COMPUTED_VALUE"""),21.0)</f>
        <v>21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 t="str">
        <f>IFERROR(__xludf.DUMMYFUNCTION("""COMPUTED_VALUE"""),"A")</f>
        <v>A</v>
      </c>
      <c r="E1777" s="1">
        <f>IFERROR(__xludf.DUMMYFUNCTION("""COMPUTED_VALUE"""),83.0)</f>
        <v>83</v>
      </c>
      <c r="F1777" s="1">
        <f>IFERROR(__xludf.DUMMYFUNCTION("""COMPUTED_VALUE"""),23.0)</f>
        <v>23</v>
      </c>
      <c r="G1777" s="1">
        <f>IFERROR(__xludf.DUMMYFUNCTION("""COMPUTED_VALUE"""),47.0)</f>
        <v>47</v>
      </c>
      <c r="H1777" s="1">
        <f>IFERROR(__xludf.DUMMYFUNCTION("""COMPUTED_VALUE"""),26.0)</f>
        <v>26</v>
      </c>
      <c r="I1777" s="1">
        <f>IFERROR(__xludf.DUMMYFUNCTION("""COMPUTED_VALUE"""),98.0)</f>
        <v>98</v>
      </c>
      <c r="J1777" s="1">
        <f>IFERROR(__xludf.DUMMYFUNCTION("""COMPUTED_VALUE"""),20.0)</f>
        <v>20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 t="str">
        <f>IFERROR(__xludf.DUMMYFUNCTION("""COMPUTED_VALUE"""),"D")</f>
        <v>D</v>
      </c>
      <c r="E1778" s="1">
        <f>IFERROR(__xludf.DUMMYFUNCTION("""COMPUTED_VALUE"""),26.0)</f>
        <v>26</v>
      </c>
      <c r="F1778" s="1">
        <f>IFERROR(__xludf.DUMMYFUNCTION("""COMPUTED_VALUE"""),34.0)</f>
        <v>34</v>
      </c>
      <c r="G1778" s="1">
        <f>IFERROR(__xludf.DUMMYFUNCTION("""COMPUTED_VALUE"""),24.0)</f>
        <v>24</v>
      </c>
      <c r="H1778" s="1">
        <f>IFERROR(__xludf.DUMMYFUNCTION("""COMPUTED_VALUE"""),67.0)</f>
        <v>67</v>
      </c>
      <c r="I1778" s="1">
        <f>IFERROR(__xludf.DUMMYFUNCTION("""COMPUTED_VALUE"""),76.0)</f>
        <v>76</v>
      </c>
      <c r="J1778" s="1">
        <f>IFERROR(__xludf.DUMMYFUNCTION("""COMPUTED_VALUE"""),47.0)</f>
        <v>47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 t="str">
        <f>IFERROR(__xludf.DUMMYFUNCTION("""COMPUTED_VALUE"""),"C")</f>
        <v>C</v>
      </c>
      <c r="E1779" s="1">
        <f>IFERROR(__xludf.DUMMYFUNCTION("""COMPUTED_VALUE"""),35.0)</f>
        <v>35</v>
      </c>
      <c r="F1779" s="1">
        <f>IFERROR(__xludf.DUMMYFUNCTION("""COMPUTED_VALUE"""),55.0)</f>
        <v>55</v>
      </c>
      <c r="G1779" s="1">
        <f>IFERROR(__xludf.DUMMYFUNCTION("""COMPUTED_VALUE"""),59.0)</f>
        <v>59</v>
      </c>
      <c r="H1779" s="1">
        <f>IFERROR(__xludf.DUMMYFUNCTION("""COMPUTED_VALUE"""),71.0)</f>
        <v>71</v>
      </c>
      <c r="I1779" s="1">
        <f>IFERROR(__xludf.DUMMYFUNCTION("""COMPUTED_VALUE"""),43.0)</f>
        <v>43</v>
      </c>
      <c r="J1779" s="1">
        <f>IFERROR(__xludf.DUMMYFUNCTION("""COMPUTED_VALUE"""),48.0)</f>
        <v>48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 t="str">
        <f>IFERROR(__xludf.DUMMYFUNCTION("""COMPUTED_VALUE"""),"B")</f>
        <v>B</v>
      </c>
      <c r="E1780" s="1">
        <f>IFERROR(__xludf.DUMMYFUNCTION("""COMPUTED_VALUE"""),87.0)</f>
        <v>87</v>
      </c>
      <c r="F1780" s="1">
        <f>IFERROR(__xludf.DUMMYFUNCTION("""COMPUTED_VALUE"""),23.0)</f>
        <v>23</v>
      </c>
      <c r="G1780" s="1">
        <f>IFERROR(__xludf.DUMMYFUNCTION("""COMPUTED_VALUE"""),70.0)</f>
        <v>70</v>
      </c>
      <c r="H1780" s="1">
        <f>IFERROR(__xludf.DUMMYFUNCTION("""COMPUTED_VALUE"""),48.0)</f>
        <v>48</v>
      </c>
      <c r="I1780" s="1">
        <f>IFERROR(__xludf.DUMMYFUNCTION("""COMPUTED_VALUE"""),83.0)</f>
        <v>83</v>
      </c>
      <c r="J1780" s="1">
        <f>IFERROR(__xludf.DUMMYFUNCTION("""COMPUTED_VALUE"""),95.0)</f>
        <v>95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 t="str">
        <f>IFERROR(__xludf.DUMMYFUNCTION("""COMPUTED_VALUE"""),"A")</f>
        <v>A</v>
      </c>
      <c r="E1781" s="1">
        <f>IFERROR(__xludf.DUMMYFUNCTION("""COMPUTED_VALUE"""),40.0)</f>
        <v>40</v>
      </c>
      <c r="F1781" s="1">
        <f>IFERROR(__xludf.DUMMYFUNCTION("""COMPUTED_VALUE"""),40.0)</f>
        <v>40</v>
      </c>
      <c r="G1781" s="1">
        <f>IFERROR(__xludf.DUMMYFUNCTION("""COMPUTED_VALUE"""),71.0)</f>
        <v>71</v>
      </c>
      <c r="H1781" s="1">
        <f>IFERROR(__xludf.DUMMYFUNCTION("""COMPUTED_VALUE"""),89.0)</f>
        <v>89</v>
      </c>
      <c r="I1781" s="1">
        <f>IFERROR(__xludf.DUMMYFUNCTION("""COMPUTED_VALUE"""),78.0)</f>
        <v>78</v>
      </c>
      <c r="J1781" s="1">
        <f>IFERROR(__xludf.DUMMYFUNCTION("""COMPUTED_VALUE"""),57.0)</f>
        <v>57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 t="str">
        <f>IFERROR(__xludf.DUMMYFUNCTION("""COMPUTED_VALUE"""),"D")</f>
        <v>D</v>
      </c>
      <c r="E1782" s="1">
        <f>IFERROR(__xludf.DUMMYFUNCTION("""COMPUTED_VALUE"""),30.0)</f>
        <v>30</v>
      </c>
      <c r="F1782" s="1">
        <f>IFERROR(__xludf.DUMMYFUNCTION("""COMPUTED_VALUE"""),96.0)</f>
        <v>96</v>
      </c>
      <c r="G1782" s="1">
        <f>IFERROR(__xludf.DUMMYFUNCTION("""COMPUTED_VALUE"""),56.0)</f>
        <v>56</v>
      </c>
      <c r="H1782" s="1">
        <f>IFERROR(__xludf.DUMMYFUNCTION("""COMPUTED_VALUE"""),55.0)</f>
        <v>55</v>
      </c>
      <c r="I1782" s="1">
        <f>IFERROR(__xludf.DUMMYFUNCTION("""COMPUTED_VALUE"""),88.0)</f>
        <v>88</v>
      </c>
      <c r="J1782" s="1">
        <f>IFERROR(__xludf.DUMMYFUNCTION("""COMPUTED_VALUE"""),31.0)</f>
        <v>31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 t="str">
        <f>IFERROR(__xludf.DUMMYFUNCTION("""COMPUTED_VALUE"""),"D")</f>
        <v>D</v>
      </c>
      <c r="E1783" s="1">
        <f>IFERROR(__xludf.DUMMYFUNCTION("""COMPUTED_VALUE"""),47.0)</f>
        <v>47</v>
      </c>
      <c r="F1783" s="1">
        <f>IFERROR(__xludf.DUMMYFUNCTION("""COMPUTED_VALUE"""),27.0)</f>
        <v>27</v>
      </c>
      <c r="G1783" s="1">
        <f>IFERROR(__xludf.DUMMYFUNCTION("""COMPUTED_VALUE"""),32.0)</f>
        <v>32</v>
      </c>
      <c r="H1783" s="1">
        <f>IFERROR(__xludf.DUMMYFUNCTION("""COMPUTED_VALUE"""),88.0)</f>
        <v>88</v>
      </c>
      <c r="I1783" s="1">
        <f>IFERROR(__xludf.DUMMYFUNCTION("""COMPUTED_VALUE"""),97.0)</f>
        <v>97</v>
      </c>
      <c r="J1783" s="1">
        <f>IFERROR(__xludf.DUMMYFUNCTION("""COMPUTED_VALUE"""),99.0)</f>
        <v>99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 t="str">
        <f>IFERROR(__xludf.DUMMYFUNCTION("""COMPUTED_VALUE"""),"A")</f>
        <v>A</v>
      </c>
      <c r="E1784" s="1">
        <f>IFERROR(__xludf.DUMMYFUNCTION("""COMPUTED_VALUE"""),14.0)</f>
        <v>14</v>
      </c>
      <c r="F1784" s="1">
        <f>IFERROR(__xludf.DUMMYFUNCTION("""COMPUTED_VALUE"""),72.0)</f>
        <v>72</v>
      </c>
      <c r="G1784" s="1">
        <f>IFERROR(__xludf.DUMMYFUNCTION("""COMPUTED_VALUE"""),40.0)</f>
        <v>40</v>
      </c>
      <c r="H1784" s="1">
        <f>IFERROR(__xludf.DUMMYFUNCTION("""COMPUTED_VALUE"""),32.0)</f>
        <v>32</v>
      </c>
      <c r="I1784" s="1">
        <f>IFERROR(__xludf.DUMMYFUNCTION("""COMPUTED_VALUE"""),68.0)</f>
        <v>68</v>
      </c>
      <c r="J1784" s="1">
        <f>IFERROR(__xludf.DUMMYFUNCTION("""COMPUTED_VALUE"""),61.0)</f>
        <v>61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 t="str">
        <f>IFERROR(__xludf.DUMMYFUNCTION("""COMPUTED_VALUE"""),"A")</f>
        <v>A</v>
      </c>
      <c r="E1785" s="1">
        <f>IFERROR(__xludf.DUMMYFUNCTION("""COMPUTED_VALUE"""),51.0)</f>
        <v>51</v>
      </c>
      <c r="F1785" s="1">
        <f>IFERROR(__xludf.DUMMYFUNCTION("""COMPUTED_VALUE"""),41.0)</f>
        <v>41</v>
      </c>
      <c r="G1785" s="1">
        <f>IFERROR(__xludf.DUMMYFUNCTION("""COMPUTED_VALUE"""),21.0)</f>
        <v>21</v>
      </c>
      <c r="H1785" s="1">
        <f>IFERROR(__xludf.DUMMYFUNCTION("""COMPUTED_VALUE"""),77.0)</f>
        <v>77</v>
      </c>
      <c r="I1785" s="1">
        <f>IFERROR(__xludf.DUMMYFUNCTION("""COMPUTED_VALUE"""),40.0)</f>
        <v>40</v>
      </c>
      <c r="J1785" s="1">
        <f>IFERROR(__xludf.DUMMYFUNCTION("""COMPUTED_VALUE"""),50.0)</f>
        <v>50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 t="str">
        <f>IFERROR(__xludf.DUMMYFUNCTION("""COMPUTED_VALUE"""),"A")</f>
        <v>A</v>
      </c>
      <c r="E1786" s="1">
        <f>IFERROR(__xludf.DUMMYFUNCTION("""COMPUTED_VALUE"""),12.0)</f>
        <v>12</v>
      </c>
      <c r="F1786" s="1">
        <f>IFERROR(__xludf.DUMMYFUNCTION("""COMPUTED_VALUE"""),91.0)</f>
        <v>91</v>
      </c>
      <c r="G1786" s="1">
        <f>IFERROR(__xludf.DUMMYFUNCTION("""COMPUTED_VALUE"""),84.0)</f>
        <v>84</v>
      </c>
      <c r="H1786" s="1">
        <f>IFERROR(__xludf.DUMMYFUNCTION("""COMPUTED_VALUE"""),76.0)</f>
        <v>76</v>
      </c>
      <c r="I1786" s="1">
        <f>IFERROR(__xludf.DUMMYFUNCTION("""COMPUTED_VALUE"""),55.0)</f>
        <v>55</v>
      </c>
      <c r="J1786" s="1">
        <f>IFERROR(__xludf.DUMMYFUNCTION("""COMPUTED_VALUE"""),58.0)</f>
        <v>58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 t="str">
        <f>IFERROR(__xludf.DUMMYFUNCTION("""COMPUTED_VALUE"""),"A")</f>
        <v>A</v>
      </c>
      <c r="E1787" s="1">
        <f>IFERROR(__xludf.DUMMYFUNCTION("""COMPUTED_VALUE"""),73.0)</f>
        <v>73</v>
      </c>
      <c r="F1787" s="1">
        <f>IFERROR(__xludf.DUMMYFUNCTION("""COMPUTED_VALUE"""),61.0)</f>
        <v>61</v>
      </c>
      <c r="G1787" s="1">
        <f>IFERROR(__xludf.DUMMYFUNCTION("""COMPUTED_VALUE"""),54.0)</f>
        <v>54</v>
      </c>
      <c r="H1787" s="1">
        <f>IFERROR(__xludf.DUMMYFUNCTION("""COMPUTED_VALUE"""),78.0)</f>
        <v>78</v>
      </c>
      <c r="I1787" s="1">
        <f>IFERROR(__xludf.DUMMYFUNCTION("""COMPUTED_VALUE"""),35.0)</f>
        <v>35</v>
      </c>
      <c r="J1787" s="1">
        <f>IFERROR(__xludf.DUMMYFUNCTION("""COMPUTED_VALUE"""),74.0)</f>
        <v>74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 t="str">
        <f>IFERROR(__xludf.DUMMYFUNCTION("""COMPUTED_VALUE"""),"D")</f>
        <v>D</v>
      </c>
      <c r="E1788" s="1">
        <f>IFERROR(__xludf.DUMMYFUNCTION("""COMPUTED_VALUE"""),83.0)</f>
        <v>83</v>
      </c>
      <c r="F1788" s="1">
        <f>IFERROR(__xludf.DUMMYFUNCTION("""COMPUTED_VALUE"""),43.0)</f>
        <v>43</v>
      </c>
      <c r="G1788" s="1">
        <f>IFERROR(__xludf.DUMMYFUNCTION("""COMPUTED_VALUE"""),80.0)</f>
        <v>80</v>
      </c>
      <c r="H1788" s="1">
        <f>IFERROR(__xludf.DUMMYFUNCTION("""COMPUTED_VALUE"""),95.0)</f>
        <v>95</v>
      </c>
      <c r="I1788" s="1">
        <f>IFERROR(__xludf.DUMMYFUNCTION("""COMPUTED_VALUE"""),96.0)</f>
        <v>96</v>
      </c>
      <c r="J1788" s="1">
        <f>IFERROR(__xludf.DUMMYFUNCTION("""COMPUTED_VALUE"""),30.0)</f>
        <v>30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 t="str">
        <f>IFERROR(__xludf.DUMMYFUNCTION("""COMPUTED_VALUE"""),"B")</f>
        <v>B</v>
      </c>
      <c r="E1789" s="1">
        <f>IFERROR(__xludf.DUMMYFUNCTION("""COMPUTED_VALUE"""),83.0)</f>
        <v>83</v>
      </c>
      <c r="F1789" s="1">
        <f>IFERROR(__xludf.DUMMYFUNCTION("""COMPUTED_VALUE"""),28.0)</f>
        <v>28</v>
      </c>
      <c r="G1789" s="1">
        <f>IFERROR(__xludf.DUMMYFUNCTION("""COMPUTED_VALUE"""),43.0)</f>
        <v>43</v>
      </c>
      <c r="H1789" s="1">
        <f>IFERROR(__xludf.DUMMYFUNCTION("""COMPUTED_VALUE"""),81.0)</f>
        <v>81</v>
      </c>
      <c r="I1789" s="1">
        <f>IFERROR(__xludf.DUMMYFUNCTION("""COMPUTED_VALUE"""),87.0)</f>
        <v>87</v>
      </c>
      <c r="J1789" s="1">
        <f>IFERROR(__xludf.DUMMYFUNCTION("""COMPUTED_VALUE"""),96.0)</f>
        <v>96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 t="str">
        <f>IFERROR(__xludf.DUMMYFUNCTION("""COMPUTED_VALUE"""),"D")</f>
        <v>D</v>
      </c>
      <c r="E1790" s="1">
        <f>IFERROR(__xludf.DUMMYFUNCTION("""COMPUTED_VALUE"""),25.0)</f>
        <v>25</v>
      </c>
      <c r="F1790" s="1">
        <f>IFERROR(__xludf.DUMMYFUNCTION("""COMPUTED_VALUE"""),48.0)</f>
        <v>48</v>
      </c>
      <c r="G1790" s="1">
        <f>IFERROR(__xludf.DUMMYFUNCTION("""COMPUTED_VALUE"""),82.0)</f>
        <v>82</v>
      </c>
      <c r="H1790" s="1">
        <f>IFERROR(__xludf.DUMMYFUNCTION("""COMPUTED_VALUE"""),90.0)</f>
        <v>90</v>
      </c>
      <c r="I1790" s="1">
        <f>IFERROR(__xludf.DUMMYFUNCTION("""COMPUTED_VALUE"""),78.0)</f>
        <v>78</v>
      </c>
      <c r="J1790" s="1">
        <f>IFERROR(__xludf.DUMMYFUNCTION("""COMPUTED_VALUE"""),66.0)</f>
        <v>66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 t="str">
        <f>IFERROR(__xludf.DUMMYFUNCTION("""COMPUTED_VALUE"""),"C")</f>
        <v>C</v>
      </c>
      <c r="E1791" s="1">
        <f>IFERROR(__xludf.DUMMYFUNCTION("""COMPUTED_VALUE"""),63.0)</f>
        <v>63</v>
      </c>
      <c r="F1791" s="1">
        <f>IFERROR(__xludf.DUMMYFUNCTION("""COMPUTED_VALUE"""),47.0)</f>
        <v>47</v>
      </c>
      <c r="G1791" s="1">
        <f>IFERROR(__xludf.DUMMYFUNCTION("""COMPUTED_VALUE"""),27.0)</f>
        <v>27</v>
      </c>
      <c r="H1791" s="1">
        <f>IFERROR(__xludf.DUMMYFUNCTION("""COMPUTED_VALUE"""),44.0)</f>
        <v>44</v>
      </c>
      <c r="I1791" s="1">
        <f>IFERROR(__xludf.DUMMYFUNCTION("""COMPUTED_VALUE"""),63.0)</f>
        <v>63</v>
      </c>
      <c r="J1791" s="1">
        <f>IFERROR(__xludf.DUMMYFUNCTION("""COMPUTED_VALUE"""),59.0)</f>
        <v>59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 t="str">
        <f>IFERROR(__xludf.DUMMYFUNCTION("""COMPUTED_VALUE"""),"A")</f>
        <v>A</v>
      </c>
      <c r="E1792" s="1">
        <f>IFERROR(__xludf.DUMMYFUNCTION("""COMPUTED_VALUE"""),16.0)</f>
        <v>16</v>
      </c>
      <c r="F1792" s="1">
        <f>IFERROR(__xludf.DUMMYFUNCTION("""COMPUTED_VALUE"""),55.0)</f>
        <v>55</v>
      </c>
      <c r="G1792" s="1">
        <f>IFERROR(__xludf.DUMMYFUNCTION("""COMPUTED_VALUE"""),91.0)</f>
        <v>91</v>
      </c>
      <c r="H1792" s="1">
        <f>IFERROR(__xludf.DUMMYFUNCTION("""COMPUTED_VALUE"""),84.0)</f>
        <v>84</v>
      </c>
      <c r="I1792" s="1">
        <f>IFERROR(__xludf.DUMMYFUNCTION("""COMPUTED_VALUE"""),54.0)</f>
        <v>54</v>
      </c>
      <c r="J1792" s="1">
        <f>IFERROR(__xludf.DUMMYFUNCTION("""COMPUTED_VALUE"""),46.0)</f>
        <v>46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 t="str">
        <f>IFERROR(__xludf.DUMMYFUNCTION("""COMPUTED_VALUE"""),"B")</f>
        <v>B</v>
      </c>
      <c r="E1793" s="1">
        <f>IFERROR(__xludf.DUMMYFUNCTION("""COMPUTED_VALUE"""),69.0)</f>
        <v>69</v>
      </c>
      <c r="F1793" s="1">
        <f>IFERROR(__xludf.DUMMYFUNCTION("""COMPUTED_VALUE"""),57.0)</f>
        <v>57</v>
      </c>
      <c r="G1793" s="1">
        <f>IFERROR(__xludf.DUMMYFUNCTION("""COMPUTED_VALUE"""),40.0)</f>
        <v>40</v>
      </c>
      <c r="H1793" s="1">
        <f>IFERROR(__xludf.DUMMYFUNCTION("""COMPUTED_VALUE"""),55.0)</f>
        <v>55</v>
      </c>
      <c r="I1793" s="1">
        <f>IFERROR(__xludf.DUMMYFUNCTION("""COMPUTED_VALUE"""),32.0)</f>
        <v>32</v>
      </c>
      <c r="J1793" s="1">
        <f>IFERROR(__xludf.DUMMYFUNCTION("""COMPUTED_VALUE"""),78.0)</f>
        <v>78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 t="str">
        <f>IFERROR(__xludf.DUMMYFUNCTION("""COMPUTED_VALUE"""),"B")</f>
        <v>B</v>
      </c>
      <c r="E1794" s="1">
        <f>IFERROR(__xludf.DUMMYFUNCTION("""COMPUTED_VALUE"""),11.0)</f>
        <v>11</v>
      </c>
      <c r="F1794" s="1">
        <f>IFERROR(__xludf.DUMMYFUNCTION("""COMPUTED_VALUE"""),37.0)</f>
        <v>37</v>
      </c>
      <c r="G1794" s="1">
        <f>IFERROR(__xludf.DUMMYFUNCTION("""COMPUTED_VALUE"""),60.0)</f>
        <v>60</v>
      </c>
      <c r="H1794" s="1">
        <f>IFERROR(__xludf.DUMMYFUNCTION("""COMPUTED_VALUE"""),63.0)</f>
        <v>63</v>
      </c>
      <c r="I1794" s="1">
        <f>IFERROR(__xludf.DUMMYFUNCTION("""COMPUTED_VALUE"""),77.0)</f>
        <v>77</v>
      </c>
      <c r="J1794" s="1">
        <f>IFERROR(__xludf.DUMMYFUNCTION("""COMPUTED_VALUE"""),36.0)</f>
        <v>36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 t="str">
        <f>IFERROR(__xludf.DUMMYFUNCTION("""COMPUTED_VALUE"""),"D")</f>
        <v>D</v>
      </c>
      <c r="E1795" s="1">
        <f>IFERROR(__xludf.DUMMYFUNCTION("""COMPUTED_VALUE"""),76.0)</f>
        <v>76</v>
      </c>
      <c r="F1795" s="1">
        <f>IFERROR(__xludf.DUMMYFUNCTION("""COMPUTED_VALUE"""),61.0)</f>
        <v>61</v>
      </c>
      <c r="G1795" s="1">
        <f>IFERROR(__xludf.DUMMYFUNCTION("""COMPUTED_VALUE"""),28.0)</f>
        <v>28</v>
      </c>
      <c r="H1795" s="1">
        <f>IFERROR(__xludf.DUMMYFUNCTION("""COMPUTED_VALUE"""),94.0)</f>
        <v>94</v>
      </c>
      <c r="I1795" s="1">
        <f>IFERROR(__xludf.DUMMYFUNCTION("""COMPUTED_VALUE"""),36.0)</f>
        <v>36</v>
      </c>
      <c r="J1795" s="1">
        <f>IFERROR(__xludf.DUMMYFUNCTION("""COMPUTED_VALUE"""),56.0)</f>
        <v>56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 t="str">
        <f>IFERROR(__xludf.DUMMYFUNCTION("""COMPUTED_VALUE"""),"B")</f>
        <v>B</v>
      </c>
      <c r="E1796" s="1">
        <f>IFERROR(__xludf.DUMMYFUNCTION("""COMPUTED_VALUE"""),81.0)</f>
        <v>81</v>
      </c>
      <c r="F1796" s="1">
        <f>IFERROR(__xludf.DUMMYFUNCTION("""COMPUTED_VALUE"""),72.0)</f>
        <v>72</v>
      </c>
      <c r="G1796" s="1">
        <f>IFERROR(__xludf.DUMMYFUNCTION("""COMPUTED_VALUE"""),59.0)</f>
        <v>59</v>
      </c>
      <c r="H1796" s="1">
        <f>IFERROR(__xludf.DUMMYFUNCTION("""COMPUTED_VALUE"""),52.0)</f>
        <v>52</v>
      </c>
      <c r="I1796" s="1">
        <f>IFERROR(__xludf.DUMMYFUNCTION("""COMPUTED_VALUE"""),81.0)</f>
        <v>81</v>
      </c>
      <c r="J1796" s="1">
        <f>IFERROR(__xludf.DUMMYFUNCTION("""COMPUTED_VALUE"""),86.0)</f>
        <v>86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 t="str">
        <f>IFERROR(__xludf.DUMMYFUNCTION("""COMPUTED_VALUE"""),"C")</f>
        <v>C</v>
      </c>
      <c r="E1797" s="1">
        <f>IFERROR(__xludf.DUMMYFUNCTION("""COMPUTED_VALUE"""),65.0)</f>
        <v>65</v>
      </c>
      <c r="F1797" s="1">
        <f>IFERROR(__xludf.DUMMYFUNCTION("""COMPUTED_VALUE"""),76.0)</f>
        <v>76</v>
      </c>
      <c r="G1797" s="1">
        <f>IFERROR(__xludf.DUMMYFUNCTION("""COMPUTED_VALUE"""),55.0)</f>
        <v>55</v>
      </c>
      <c r="H1797" s="1">
        <f>IFERROR(__xludf.DUMMYFUNCTION("""COMPUTED_VALUE"""),69.0)</f>
        <v>69</v>
      </c>
      <c r="I1797" s="1">
        <f>IFERROR(__xludf.DUMMYFUNCTION("""COMPUTED_VALUE"""),95.0)</f>
        <v>95</v>
      </c>
      <c r="J1797" s="1">
        <f>IFERROR(__xludf.DUMMYFUNCTION("""COMPUTED_VALUE"""),63.0)</f>
        <v>63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 t="str">
        <f>IFERROR(__xludf.DUMMYFUNCTION("""COMPUTED_VALUE"""),"B")</f>
        <v>B</v>
      </c>
      <c r="E1798" s="1">
        <f>IFERROR(__xludf.DUMMYFUNCTION("""COMPUTED_VALUE"""),46.0)</f>
        <v>46</v>
      </c>
      <c r="F1798" s="1">
        <f>IFERROR(__xludf.DUMMYFUNCTION("""COMPUTED_VALUE"""),94.0)</f>
        <v>94</v>
      </c>
      <c r="G1798" s="1">
        <f>IFERROR(__xludf.DUMMYFUNCTION("""COMPUTED_VALUE"""),66.0)</f>
        <v>66</v>
      </c>
      <c r="H1798" s="1">
        <f>IFERROR(__xludf.DUMMYFUNCTION("""COMPUTED_VALUE"""),51.0)</f>
        <v>51</v>
      </c>
      <c r="I1798" s="1">
        <f>IFERROR(__xludf.DUMMYFUNCTION("""COMPUTED_VALUE"""),34.0)</f>
        <v>34</v>
      </c>
      <c r="J1798" s="1">
        <f>IFERROR(__xludf.DUMMYFUNCTION("""COMPUTED_VALUE"""),29.0)</f>
        <v>29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 t="str">
        <f>IFERROR(__xludf.DUMMYFUNCTION("""COMPUTED_VALUE"""),"D")</f>
        <v>D</v>
      </c>
      <c r="E1799" s="1">
        <f>IFERROR(__xludf.DUMMYFUNCTION("""COMPUTED_VALUE"""),57.0)</f>
        <v>57</v>
      </c>
      <c r="F1799" s="1">
        <f>IFERROR(__xludf.DUMMYFUNCTION("""COMPUTED_VALUE"""),73.0)</f>
        <v>73</v>
      </c>
      <c r="G1799" s="1">
        <f>IFERROR(__xludf.DUMMYFUNCTION("""COMPUTED_VALUE"""),52.0)</f>
        <v>52</v>
      </c>
      <c r="H1799" s="1">
        <f>IFERROR(__xludf.DUMMYFUNCTION("""COMPUTED_VALUE"""),96.0)</f>
        <v>96</v>
      </c>
      <c r="I1799" s="1">
        <f>IFERROR(__xludf.DUMMYFUNCTION("""COMPUTED_VALUE"""),77.0)</f>
        <v>77</v>
      </c>
      <c r="J1799" s="1">
        <f>IFERROR(__xludf.DUMMYFUNCTION("""COMPUTED_VALUE"""),22.0)</f>
        <v>22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 t="str">
        <f>IFERROR(__xludf.DUMMYFUNCTION("""COMPUTED_VALUE"""),"C")</f>
        <v>C</v>
      </c>
      <c r="E1800" s="1">
        <f>IFERROR(__xludf.DUMMYFUNCTION("""COMPUTED_VALUE"""),61.0)</f>
        <v>61</v>
      </c>
      <c r="F1800" s="1">
        <f>IFERROR(__xludf.DUMMYFUNCTION("""COMPUTED_VALUE"""),31.0)</f>
        <v>31</v>
      </c>
      <c r="G1800" s="1">
        <f>IFERROR(__xludf.DUMMYFUNCTION("""COMPUTED_VALUE"""),60.0)</f>
        <v>60</v>
      </c>
      <c r="H1800" s="1">
        <f>IFERROR(__xludf.DUMMYFUNCTION("""COMPUTED_VALUE"""),62.0)</f>
        <v>62</v>
      </c>
      <c r="I1800" s="1">
        <f>IFERROR(__xludf.DUMMYFUNCTION("""COMPUTED_VALUE"""),30.0)</f>
        <v>30</v>
      </c>
      <c r="J1800" s="1">
        <f>IFERROR(__xludf.DUMMYFUNCTION("""COMPUTED_VALUE"""),28.0)</f>
        <v>28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 t="str">
        <f>IFERROR(__xludf.DUMMYFUNCTION("""COMPUTED_VALUE"""),"C")</f>
        <v>C</v>
      </c>
      <c r="E1801" s="1">
        <f>IFERROR(__xludf.DUMMYFUNCTION("""COMPUTED_VALUE"""),29.0)</f>
        <v>29</v>
      </c>
      <c r="F1801" s="1">
        <f>IFERROR(__xludf.DUMMYFUNCTION("""COMPUTED_VALUE"""),90.0)</f>
        <v>90</v>
      </c>
      <c r="G1801" s="1">
        <f>IFERROR(__xludf.DUMMYFUNCTION("""COMPUTED_VALUE"""),60.0)</f>
        <v>60</v>
      </c>
      <c r="H1801" s="1">
        <f>IFERROR(__xludf.DUMMYFUNCTION("""COMPUTED_VALUE"""),64.0)</f>
        <v>64</v>
      </c>
      <c r="I1801" s="1">
        <f>IFERROR(__xludf.DUMMYFUNCTION("""COMPUTED_VALUE"""),35.0)</f>
        <v>35</v>
      </c>
      <c r="J1801" s="1">
        <f>IFERROR(__xludf.DUMMYFUNCTION("""COMPUTED_VALUE"""),97.0)</f>
        <v>97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 t="str">
        <f>IFERROR(__xludf.DUMMYFUNCTION("""COMPUTED_VALUE"""),"C")</f>
        <v>C</v>
      </c>
      <c r="E1802" s="1">
        <f>IFERROR(__xludf.DUMMYFUNCTION("""COMPUTED_VALUE"""),43.0)</f>
        <v>43</v>
      </c>
      <c r="F1802" s="1">
        <f>IFERROR(__xludf.DUMMYFUNCTION("""COMPUTED_VALUE"""),32.0)</f>
        <v>32</v>
      </c>
      <c r="G1802" s="1">
        <f>IFERROR(__xludf.DUMMYFUNCTION("""COMPUTED_VALUE"""),62.0)</f>
        <v>62</v>
      </c>
      <c r="H1802" s="1">
        <f>IFERROR(__xludf.DUMMYFUNCTION("""COMPUTED_VALUE"""),60.0)</f>
        <v>60</v>
      </c>
      <c r="I1802" s="1">
        <f>IFERROR(__xludf.DUMMYFUNCTION("""COMPUTED_VALUE"""),77.0)</f>
        <v>77</v>
      </c>
      <c r="J1802" s="1">
        <f>IFERROR(__xludf.DUMMYFUNCTION("""COMPUTED_VALUE"""),50.0)</f>
        <v>50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 t="str">
        <f>IFERROR(__xludf.DUMMYFUNCTION("""COMPUTED_VALUE"""),"D")</f>
        <v>D</v>
      </c>
      <c r="E1803" s="1">
        <f>IFERROR(__xludf.DUMMYFUNCTION("""COMPUTED_VALUE"""),83.0)</f>
        <v>83</v>
      </c>
      <c r="F1803" s="1">
        <f>IFERROR(__xludf.DUMMYFUNCTION("""COMPUTED_VALUE"""),44.0)</f>
        <v>44</v>
      </c>
      <c r="G1803" s="1">
        <f>IFERROR(__xludf.DUMMYFUNCTION("""COMPUTED_VALUE"""),34.0)</f>
        <v>34</v>
      </c>
      <c r="H1803" s="1">
        <f>IFERROR(__xludf.DUMMYFUNCTION("""COMPUTED_VALUE"""),91.0)</f>
        <v>91</v>
      </c>
      <c r="I1803" s="1">
        <f>IFERROR(__xludf.DUMMYFUNCTION("""COMPUTED_VALUE"""),83.0)</f>
        <v>83</v>
      </c>
      <c r="J1803" s="1">
        <f>IFERROR(__xludf.DUMMYFUNCTION("""COMPUTED_VALUE"""),94.0)</f>
        <v>94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 t="str">
        <f>IFERROR(__xludf.DUMMYFUNCTION("""COMPUTED_VALUE"""),"A")</f>
        <v>A</v>
      </c>
      <c r="E1804" s="1">
        <f>IFERROR(__xludf.DUMMYFUNCTION("""COMPUTED_VALUE"""),35.0)</f>
        <v>35</v>
      </c>
      <c r="F1804" s="1">
        <f>IFERROR(__xludf.DUMMYFUNCTION("""COMPUTED_VALUE"""),90.0)</f>
        <v>90</v>
      </c>
      <c r="G1804" s="1">
        <f>IFERROR(__xludf.DUMMYFUNCTION("""COMPUTED_VALUE"""),32.0)</f>
        <v>32</v>
      </c>
      <c r="H1804" s="1">
        <f>IFERROR(__xludf.DUMMYFUNCTION("""COMPUTED_VALUE"""),34.0)</f>
        <v>34</v>
      </c>
      <c r="I1804" s="1">
        <f>IFERROR(__xludf.DUMMYFUNCTION("""COMPUTED_VALUE"""),32.0)</f>
        <v>32</v>
      </c>
      <c r="J1804" s="1">
        <f>IFERROR(__xludf.DUMMYFUNCTION("""COMPUTED_VALUE"""),95.0)</f>
        <v>95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 t="str">
        <f>IFERROR(__xludf.DUMMYFUNCTION("""COMPUTED_VALUE"""),"B")</f>
        <v>B</v>
      </c>
      <c r="E1805" s="1">
        <f>IFERROR(__xludf.DUMMYFUNCTION("""COMPUTED_VALUE"""),55.0)</f>
        <v>55</v>
      </c>
      <c r="F1805" s="1">
        <f>IFERROR(__xludf.DUMMYFUNCTION("""COMPUTED_VALUE"""),40.0)</f>
        <v>40</v>
      </c>
      <c r="G1805" s="1">
        <f>IFERROR(__xludf.DUMMYFUNCTION("""COMPUTED_VALUE"""),58.0)</f>
        <v>58</v>
      </c>
      <c r="H1805" s="1">
        <f>IFERROR(__xludf.DUMMYFUNCTION("""COMPUTED_VALUE"""),39.0)</f>
        <v>39</v>
      </c>
      <c r="I1805" s="1">
        <f>IFERROR(__xludf.DUMMYFUNCTION("""COMPUTED_VALUE"""),26.0)</f>
        <v>26</v>
      </c>
      <c r="J1805" s="1">
        <f>IFERROR(__xludf.DUMMYFUNCTION("""COMPUTED_VALUE"""),96.0)</f>
        <v>96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 t="str">
        <f>IFERROR(__xludf.DUMMYFUNCTION("""COMPUTED_VALUE"""),"A")</f>
        <v>A</v>
      </c>
      <c r="E1806" s="1">
        <f>IFERROR(__xludf.DUMMYFUNCTION("""COMPUTED_VALUE"""),16.0)</f>
        <v>16</v>
      </c>
      <c r="F1806" s="1">
        <f>IFERROR(__xludf.DUMMYFUNCTION("""COMPUTED_VALUE"""),49.0)</f>
        <v>49</v>
      </c>
      <c r="G1806" s="1">
        <f>IFERROR(__xludf.DUMMYFUNCTION("""COMPUTED_VALUE"""),24.0)</f>
        <v>24</v>
      </c>
      <c r="H1806" s="1">
        <f>IFERROR(__xludf.DUMMYFUNCTION("""COMPUTED_VALUE"""),23.0)</f>
        <v>23</v>
      </c>
      <c r="I1806" s="1">
        <f>IFERROR(__xludf.DUMMYFUNCTION("""COMPUTED_VALUE"""),47.0)</f>
        <v>47</v>
      </c>
      <c r="J1806" s="1">
        <f>IFERROR(__xludf.DUMMYFUNCTION("""COMPUTED_VALUE"""),44.0)</f>
        <v>44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 t="str">
        <f>IFERROR(__xludf.DUMMYFUNCTION("""COMPUTED_VALUE"""),"B")</f>
        <v>B</v>
      </c>
      <c r="E1807" s="1">
        <f>IFERROR(__xludf.DUMMYFUNCTION("""COMPUTED_VALUE"""),47.0)</f>
        <v>47</v>
      </c>
      <c r="F1807" s="1">
        <f>IFERROR(__xludf.DUMMYFUNCTION("""COMPUTED_VALUE"""),51.0)</f>
        <v>51</v>
      </c>
      <c r="G1807" s="1">
        <f>IFERROR(__xludf.DUMMYFUNCTION("""COMPUTED_VALUE"""),97.0)</f>
        <v>97</v>
      </c>
      <c r="H1807" s="1">
        <f>IFERROR(__xludf.DUMMYFUNCTION("""COMPUTED_VALUE"""),48.0)</f>
        <v>48</v>
      </c>
      <c r="I1807" s="1">
        <f>IFERROR(__xludf.DUMMYFUNCTION("""COMPUTED_VALUE"""),75.0)</f>
        <v>75</v>
      </c>
      <c r="J1807" s="1">
        <f>IFERROR(__xludf.DUMMYFUNCTION("""COMPUTED_VALUE"""),89.0)</f>
        <v>89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 t="str">
        <f>IFERROR(__xludf.DUMMYFUNCTION("""COMPUTED_VALUE"""),"B")</f>
        <v>B</v>
      </c>
      <c r="E1808" s="1">
        <f>IFERROR(__xludf.DUMMYFUNCTION("""COMPUTED_VALUE"""),60.0)</f>
        <v>60</v>
      </c>
      <c r="F1808" s="1">
        <f>IFERROR(__xludf.DUMMYFUNCTION("""COMPUTED_VALUE"""),76.0)</f>
        <v>76</v>
      </c>
      <c r="G1808" s="1">
        <f>IFERROR(__xludf.DUMMYFUNCTION("""COMPUTED_VALUE"""),40.0)</f>
        <v>40</v>
      </c>
      <c r="H1808" s="1">
        <f>IFERROR(__xludf.DUMMYFUNCTION("""COMPUTED_VALUE"""),65.0)</f>
        <v>65</v>
      </c>
      <c r="I1808" s="1">
        <f>IFERROR(__xludf.DUMMYFUNCTION("""COMPUTED_VALUE"""),24.0)</f>
        <v>24</v>
      </c>
      <c r="J1808" s="1">
        <f>IFERROR(__xludf.DUMMYFUNCTION("""COMPUTED_VALUE"""),21.0)</f>
        <v>21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 t="str">
        <f>IFERROR(__xludf.DUMMYFUNCTION("""COMPUTED_VALUE"""),"C")</f>
        <v>C</v>
      </c>
      <c r="E1809" s="1">
        <f>IFERROR(__xludf.DUMMYFUNCTION("""COMPUTED_VALUE"""),17.0)</f>
        <v>17</v>
      </c>
      <c r="F1809" s="1">
        <f>IFERROR(__xludf.DUMMYFUNCTION("""COMPUTED_VALUE"""),73.0)</f>
        <v>73</v>
      </c>
      <c r="G1809" s="1">
        <f>IFERROR(__xludf.DUMMYFUNCTION("""COMPUTED_VALUE"""),23.0)</f>
        <v>23</v>
      </c>
      <c r="H1809" s="1">
        <f>IFERROR(__xludf.DUMMYFUNCTION("""COMPUTED_VALUE"""),90.0)</f>
        <v>90</v>
      </c>
      <c r="I1809" s="1">
        <f>IFERROR(__xludf.DUMMYFUNCTION("""COMPUTED_VALUE"""),65.0)</f>
        <v>65</v>
      </c>
      <c r="J1809" s="1">
        <f>IFERROR(__xludf.DUMMYFUNCTION("""COMPUTED_VALUE"""),95.0)</f>
        <v>95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 t="str">
        <f>IFERROR(__xludf.DUMMYFUNCTION("""COMPUTED_VALUE"""),"B")</f>
        <v>B</v>
      </c>
      <c r="E1810" s="1">
        <f>IFERROR(__xludf.DUMMYFUNCTION("""COMPUTED_VALUE"""),98.0)</f>
        <v>98</v>
      </c>
      <c r="F1810" s="1">
        <f>IFERROR(__xludf.DUMMYFUNCTION("""COMPUTED_VALUE"""),97.0)</f>
        <v>97</v>
      </c>
      <c r="G1810" s="1">
        <f>IFERROR(__xludf.DUMMYFUNCTION("""COMPUTED_VALUE"""),24.0)</f>
        <v>24</v>
      </c>
      <c r="H1810" s="1">
        <f>IFERROR(__xludf.DUMMYFUNCTION("""COMPUTED_VALUE"""),67.0)</f>
        <v>67</v>
      </c>
      <c r="I1810" s="1">
        <f>IFERROR(__xludf.DUMMYFUNCTION("""COMPUTED_VALUE"""),99.0)</f>
        <v>99</v>
      </c>
      <c r="J1810" s="1">
        <f>IFERROR(__xludf.DUMMYFUNCTION("""COMPUTED_VALUE"""),34.0)</f>
        <v>34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 t="str">
        <f>IFERROR(__xludf.DUMMYFUNCTION("""COMPUTED_VALUE"""),"A")</f>
        <v>A</v>
      </c>
      <c r="E1811" s="1">
        <f>IFERROR(__xludf.DUMMYFUNCTION("""COMPUTED_VALUE"""),67.0)</f>
        <v>67</v>
      </c>
      <c r="F1811" s="1">
        <f>IFERROR(__xludf.DUMMYFUNCTION("""COMPUTED_VALUE"""),99.0)</f>
        <v>99</v>
      </c>
      <c r="G1811" s="1">
        <f>IFERROR(__xludf.DUMMYFUNCTION("""COMPUTED_VALUE"""),66.0)</f>
        <v>66</v>
      </c>
      <c r="H1811" s="1">
        <f>IFERROR(__xludf.DUMMYFUNCTION("""COMPUTED_VALUE"""),85.0)</f>
        <v>85</v>
      </c>
      <c r="I1811" s="1">
        <f>IFERROR(__xludf.DUMMYFUNCTION("""COMPUTED_VALUE"""),64.0)</f>
        <v>64</v>
      </c>
      <c r="J1811" s="1">
        <f>IFERROR(__xludf.DUMMYFUNCTION("""COMPUTED_VALUE"""),54.0)</f>
        <v>54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 t="str">
        <f>IFERROR(__xludf.DUMMYFUNCTION("""COMPUTED_VALUE"""),"D")</f>
        <v>D</v>
      </c>
      <c r="E1812" s="1">
        <f>IFERROR(__xludf.DUMMYFUNCTION("""COMPUTED_VALUE"""),39.0)</f>
        <v>39</v>
      </c>
      <c r="F1812" s="1">
        <f>IFERROR(__xludf.DUMMYFUNCTION("""COMPUTED_VALUE"""),61.0)</f>
        <v>61</v>
      </c>
      <c r="G1812" s="1">
        <f>IFERROR(__xludf.DUMMYFUNCTION("""COMPUTED_VALUE"""),81.0)</f>
        <v>81</v>
      </c>
      <c r="H1812" s="1">
        <f>IFERROR(__xludf.DUMMYFUNCTION("""COMPUTED_VALUE"""),73.0)</f>
        <v>73</v>
      </c>
      <c r="I1812" s="1">
        <f>IFERROR(__xludf.DUMMYFUNCTION("""COMPUTED_VALUE"""),83.0)</f>
        <v>83</v>
      </c>
      <c r="J1812" s="1">
        <f>IFERROR(__xludf.DUMMYFUNCTION("""COMPUTED_VALUE"""),35.0)</f>
        <v>35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 t="str">
        <f>IFERROR(__xludf.DUMMYFUNCTION("""COMPUTED_VALUE"""),"D")</f>
        <v>D</v>
      </c>
      <c r="E1813" s="1">
        <f>IFERROR(__xludf.DUMMYFUNCTION("""COMPUTED_VALUE"""),35.0)</f>
        <v>35</v>
      </c>
      <c r="F1813" s="1">
        <f>IFERROR(__xludf.DUMMYFUNCTION("""COMPUTED_VALUE"""),38.0)</f>
        <v>38</v>
      </c>
      <c r="G1813" s="1">
        <f>IFERROR(__xludf.DUMMYFUNCTION("""COMPUTED_VALUE"""),23.0)</f>
        <v>23</v>
      </c>
      <c r="H1813" s="1">
        <f>IFERROR(__xludf.DUMMYFUNCTION("""COMPUTED_VALUE"""),29.0)</f>
        <v>29</v>
      </c>
      <c r="I1813" s="1">
        <f>IFERROR(__xludf.DUMMYFUNCTION("""COMPUTED_VALUE"""),61.0)</f>
        <v>61</v>
      </c>
      <c r="J1813" s="1">
        <f>IFERROR(__xludf.DUMMYFUNCTION("""COMPUTED_VALUE"""),68.0)</f>
        <v>68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 t="str">
        <f>IFERROR(__xludf.DUMMYFUNCTION("""COMPUTED_VALUE"""),"A")</f>
        <v>A</v>
      </c>
      <c r="E1814" s="1">
        <f>IFERROR(__xludf.DUMMYFUNCTION("""COMPUTED_VALUE"""),11.0)</f>
        <v>11</v>
      </c>
      <c r="F1814" s="1">
        <f>IFERROR(__xludf.DUMMYFUNCTION("""COMPUTED_VALUE"""),57.0)</f>
        <v>57</v>
      </c>
      <c r="G1814" s="1">
        <f>IFERROR(__xludf.DUMMYFUNCTION("""COMPUTED_VALUE"""),30.0)</f>
        <v>30</v>
      </c>
      <c r="H1814" s="1">
        <f>IFERROR(__xludf.DUMMYFUNCTION("""COMPUTED_VALUE"""),50.0)</f>
        <v>50</v>
      </c>
      <c r="I1814" s="1">
        <f>IFERROR(__xludf.DUMMYFUNCTION("""COMPUTED_VALUE"""),87.0)</f>
        <v>87</v>
      </c>
      <c r="J1814" s="1">
        <f>IFERROR(__xludf.DUMMYFUNCTION("""COMPUTED_VALUE"""),97.0)</f>
        <v>97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 t="str">
        <f>IFERROR(__xludf.DUMMYFUNCTION("""COMPUTED_VALUE"""),"D")</f>
        <v>D</v>
      </c>
      <c r="E1815" s="1">
        <f>IFERROR(__xludf.DUMMYFUNCTION("""COMPUTED_VALUE"""),67.0)</f>
        <v>67</v>
      </c>
      <c r="F1815" s="1">
        <f>IFERROR(__xludf.DUMMYFUNCTION("""COMPUTED_VALUE"""),70.0)</f>
        <v>70</v>
      </c>
      <c r="G1815" s="1">
        <f>IFERROR(__xludf.DUMMYFUNCTION("""COMPUTED_VALUE"""),54.0)</f>
        <v>54</v>
      </c>
      <c r="H1815" s="1">
        <f>IFERROR(__xludf.DUMMYFUNCTION("""COMPUTED_VALUE"""),28.0)</f>
        <v>28</v>
      </c>
      <c r="I1815" s="1">
        <f>IFERROR(__xludf.DUMMYFUNCTION("""COMPUTED_VALUE"""),85.0)</f>
        <v>85</v>
      </c>
      <c r="J1815" s="1">
        <f>IFERROR(__xludf.DUMMYFUNCTION("""COMPUTED_VALUE"""),70.0)</f>
        <v>70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 t="str">
        <f>IFERROR(__xludf.DUMMYFUNCTION("""COMPUTED_VALUE"""),"A")</f>
        <v>A</v>
      </c>
      <c r="E1816" s="1">
        <f>IFERROR(__xludf.DUMMYFUNCTION("""COMPUTED_VALUE"""),58.0)</f>
        <v>58</v>
      </c>
      <c r="F1816" s="1">
        <f>IFERROR(__xludf.DUMMYFUNCTION("""COMPUTED_VALUE"""),61.0)</f>
        <v>61</v>
      </c>
      <c r="G1816" s="1">
        <f>IFERROR(__xludf.DUMMYFUNCTION("""COMPUTED_VALUE"""),63.0)</f>
        <v>63</v>
      </c>
      <c r="H1816" s="1">
        <f>IFERROR(__xludf.DUMMYFUNCTION("""COMPUTED_VALUE"""),57.0)</f>
        <v>57</v>
      </c>
      <c r="I1816" s="1">
        <f>IFERROR(__xludf.DUMMYFUNCTION("""COMPUTED_VALUE"""),44.0)</f>
        <v>44</v>
      </c>
      <c r="J1816" s="1">
        <f>IFERROR(__xludf.DUMMYFUNCTION("""COMPUTED_VALUE"""),62.0)</f>
        <v>62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 t="str">
        <f>IFERROR(__xludf.DUMMYFUNCTION("""COMPUTED_VALUE"""),"A")</f>
        <v>A</v>
      </c>
      <c r="E1817" s="1">
        <f>IFERROR(__xludf.DUMMYFUNCTION("""COMPUTED_VALUE"""),10.0)</f>
        <v>10</v>
      </c>
      <c r="F1817" s="1">
        <f>IFERROR(__xludf.DUMMYFUNCTION("""COMPUTED_VALUE"""),64.0)</f>
        <v>64</v>
      </c>
      <c r="G1817" s="1">
        <f>IFERROR(__xludf.DUMMYFUNCTION("""COMPUTED_VALUE"""),77.0)</f>
        <v>77</v>
      </c>
      <c r="H1817" s="1">
        <f>IFERROR(__xludf.DUMMYFUNCTION("""COMPUTED_VALUE"""),88.0)</f>
        <v>88</v>
      </c>
      <c r="I1817" s="1">
        <f>IFERROR(__xludf.DUMMYFUNCTION("""COMPUTED_VALUE"""),50.0)</f>
        <v>50</v>
      </c>
      <c r="J1817" s="1">
        <f>IFERROR(__xludf.DUMMYFUNCTION("""COMPUTED_VALUE"""),35.0)</f>
        <v>35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 t="str">
        <f>IFERROR(__xludf.DUMMYFUNCTION("""COMPUTED_VALUE"""),"B")</f>
        <v>B</v>
      </c>
      <c r="E1818" s="1">
        <f>IFERROR(__xludf.DUMMYFUNCTION("""COMPUTED_VALUE"""),78.0)</f>
        <v>78</v>
      </c>
      <c r="F1818" s="1">
        <f>IFERROR(__xludf.DUMMYFUNCTION("""COMPUTED_VALUE"""),70.0)</f>
        <v>70</v>
      </c>
      <c r="G1818" s="1">
        <f>IFERROR(__xludf.DUMMYFUNCTION("""COMPUTED_VALUE"""),92.0)</f>
        <v>92</v>
      </c>
      <c r="H1818" s="1">
        <f>IFERROR(__xludf.DUMMYFUNCTION("""COMPUTED_VALUE"""),84.0)</f>
        <v>84</v>
      </c>
      <c r="I1818" s="1">
        <f>IFERROR(__xludf.DUMMYFUNCTION("""COMPUTED_VALUE"""),62.0)</f>
        <v>62</v>
      </c>
      <c r="J1818" s="1">
        <f>IFERROR(__xludf.DUMMYFUNCTION("""COMPUTED_VALUE"""),27.0)</f>
        <v>27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 t="str">
        <f>IFERROR(__xludf.DUMMYFUNCTION("""COMPUTED_VALUE"""),"C")</f>
        <v>C</v>
      </c>
      <c r="E1819" s="1">
        <f>IFERROR(__xludf.DUMMYFUNCTION("""COMPUTED_VALUE"""),45.0)</f>
        <v>45</v>
      </c>
      <c r="F1819" s="1">
        <f>IFERROR(__xludf.DUMMYFUNCTION("""COMPUTED_VALUE"""),38.0)</f>
        <v>38</v>
      </c>
      <c r="G1819" s="1">
        <f>IFERROR(__xludf.DUMMYFUNCTION("""COMPUTED_VALUE"""),72.0)</f>
        <v>72</v>
      </c>
      <c r="H1819" s="1">
        <f>IFERROR(__xludf.DUMMYFUNCTION("""COMPUTED_VALUE"""),64.0)</f>
        <v>64</v>
      </c>
      <c r="I1819" s="1">
        <f>IFERROR(__xludf.DUMMYFUNCTION("""COMPUTED_VALUE"""),74.0)</f>
        <v>74</v>
      </c>
      <c r="J1819" s="1">
        <f>IFERROR(__xludf.DUMMYFUNCTION("""COMPUTED_VALUE"""),31.0)</f>
        <v>31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 t="str">
        <f>IFERROR(__xludf.DUMMYFUNCTION("""COMPUTED_VALUE"""),"D")</f>
        <v>D</v>
      </c>
      <c r="E1820" s="1">
        <f>IFERROR(__xludf.DUMMYFUNCTION("""COMPUTED_VALUE"""),58.0)</f>
        <v>58</v>
      </c>
      <c r="F1820" s="1">
        <f>IFERROR(__xludf.DUMMYFUNCTION("""COMPUTED_VALUE"""),32.0)</f>
        <v>32</v>
      </c>
      <c r="G1820" s="1">
        <f>IFERROR(__xludf.DUMMYFUNCTION("""COMPUTED_VALUE"""),22.0)</f>
        <v>22</v>
      </c>
      <c r="H1820" s="1">
        <f>IFERROR(__xludf.DUMMYFUNCTION("""COMPUTED_VALUE"""),39.0)</f>
        <v>39</v>
      </c>
      <c r="I1820" s="1">
        <f>IFERROR(__xludf.DUMMYFUNCTION("""COMPUTED_VALUE"""),43.0)</f>
        <v>43</v>
      </c>
      <c r="J1820" s="1">
        <f>IFERROR(__xludf.DUMMYFUNCTION("""COMPUTED_VALUE"""),55.0)</f>
        <v>55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 t="str">
        <f>IFERROR(__xludf.DUMMYFUNCTION("""COMPUTED_VALUE"""),"C")</f>
        <v>C</v>
      </c>
      <c r="E1821" s="1">
        <f>IFERROR(__xludf.DUMMYFUNCTION("""COMPUTED_VALUE"""),62.0)</f>
        <v>62</v>
      </c>
      <c r="F1821" s="1">
        <f>IFERROR(__xludf.DUMMYFUNCTION("""COMPUTED_VALUE"""),66.0)</f>
        <v>66</v>
      </c>
      <c r="G1821" s="1">
        <f>IFERROR(__xludf.DUMMYFUNCTION("""COMPUTED_VALUE"""),89.0)</f>
        <v>89</v>
      </c>
      <c r="H1821" s="1">
        <f>IFERROR(__xludf.DUMMYFUNCTION("""COMPUTED_VALUE"""),91.0)</f>
        <v>91</v>
      </c>
      <c r="I1821" s="1">
        <f>IFERROR(__xludf.DUMMYFUNCTION("""COMPUTED_VALUE"""),59.0)</f>
        <v>59</v>
      </c>
      <c r="J1821" s="1">
        <f>IFERROR(__xludf.DUMMYFUNCTION("""COMPUTED_VALUE"""),79.0)</f>
        <v>79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 t="str">
        <f>IFERROR(__xludf.DUMMYFUNCTION("""COMPUTED_VALUE"""),"D")</f>
        <v>D</v>
      </c>
      <c r="E1822" s="1">
        <f>IFERROR(__xludf.DUMMYFUNCTION("""COMPUTED_VALUE"""),57.0)</f>
        <v>57</v>
      </c>
      <c r="F1822" s="1">
        <f>IFERROR(__xludf.DUMMYFUNCTION("""COMPUTED_VALUE"""),82.0)</f>
        <v>82</v>
      </c>
      <c r="G1822" s="1">
        <f>IFERROR(__xludf.DUMMYFUNCTION("""COMPUTED_VALUE"""),58.0)</f>
        <v>58</v>
      </c>
      <c r="H1822" s="1">
        <f>IFERROR(__xludf.DUMMYFUNCTION("""COMPUTED_VALUE"""),84.0)</f>
        <v>84</v>
      </c>
      <c r="I1822" s="1">
        <f>IFERROR(__xludf.DUMMYFUNCTION("""COMPUTED_VALUE"""),29.0)</f>
        <v>29</v>
      </c>
      <c r="J1822" s="1">
        <f>IFERROR(__xludf.DUMMYFUNCTION("""COMPUTED_VALUE"""),79.0)</f>
        <v>79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 t="str">
        <f>IFERROR(__xludf.DUMMYFUNCTION("""COMPUTED_VALUE"""),"B")</f>
        <v>B</v>
      </c>
      <c r="E1823" s="1">
        <f>IFERROR(__xludf.DUMMYFUNCTION("""COMPUTED_VALUE"""),97.0)</f>
        <v>97</v>
      </c>
      <c r="F1823" s="1">
        <f>IFERROR(__xludf.DUMMYFUNCTION("""COMPUTED_VALUE"""),37.0)</f>
        <v>37</v>
      </c>
      <c r="G1823" s="1">
        <f>IFERROR(__xludf.DUMMYFUNCTION("""COMPUTED_VALUE"""),67.0)</f>
        <v>67</v>
      </c>
      <c r="H1823" s="1">
        <f>IFERROR(__xludf.DUMMYFUNCTION("""COMPUTED_VALUE"""),98.0)</f>
        <v>98</v>
      </c>
      <c r="I1823" s="1">
        <f>IFERROR(__xludf.DUMMYFUNCTION("""COMPUTED_VALUE"""),60.0)</f>
        <v>60</v>
      </c>
      <c r="J1823" s="1">
        <f>IFERROR(__xludf.DUMMYFUNCTION("""COMPUTED_VALUE"""),86.0)</f>
        <v>86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 t="str">
        <f>IFERROR(__xludf.DUMMYFUNCTION("""COMPUTED_VALUE"""),"D")</f>
        <v>D</v>
      </c>
      <c r="E1824" s="1">
        <f>IFERROR(__xludf.DUMMYFUNCTION("""COMPUTED_VALUE"""),38.0)</f>
        <v>38</v>
      </c>
      <c r="F1824" s="1">
        <f>IFERROR(__xludf.DUMMYFUNCTION("""COMPUTED_VALUE"""),41.0)</f>
        <v>41</v>
      </c>
      <c r="G1824" s="1">
        <f>IFERROR(__xludf.DUMMYFUNCTION("""COMPUTED_VALUE"""),51.0)</f>
        <v>51</v>
      </c>
      <c r="H1824" s="1">
        <f>IFERROR(__xludf.DUMMYFUNCTION("""COMPUTED_VALUE"""),25.0)</f>
        <v>25</v>
      </c>
      <c r="I1824" s="1">
        <f>IFERROR(__xludf.DUMMYFUNCTION("""COMPUTED_VALUE"""),92.0)</f>
        <v>92</v>
      </c>
      <c r="J1824" s="1">
        <f>IFERROR(__xludf.DUMMYFUNCTION("""COMPUTED_VALUE"""),75.0)</f>
        <v>75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 t="str">
        <f>IFERROR(__xludf.DUMMYFUNCTION("""COMPUTED_VALUE"""),"D")</f>
        <v>D</v>
      </c>
      <c r="E1825" s="1">
        <f>IFERROR(__xludf.DUMMYFUNCTION("""COMPUTED_VALUE"""),70.0)</f>
        <v>70</v>
      </c>
      <c r="F1825" s="1">
        <f>IFERROR(__xludf.DUMMYFUNCTION("""COMPUTED_VALUE"""),32.0)</f>
        <v>32</v>
      </c>
      <c r="G1825" s="1">
        <f>IFERROR(__xludf.DUMMYFUNCTION("""COMPUTED_VALUE"""),56.0)</f>
        <v>56</v>
      </c>
      <c r="H1825" s="1">
        <f>IFERROR(__xludf.DUMMYFUNCTION("""COMPUTED_VALUE"""),40.0)</f>
        <v>40</v>
      </c>
      <c r="I1825" s="1">
        <f>IFERROR(__xludf.DUMMYFUNCTION("""COMPUTED_VALUE"""),24.0)</f>
        <v>24</v>
      </c>
      <c r="J1825" s="1">
        <f>IFERROR(__xludf.DUMMYFUNCTION("""COMPUTED_VALUE"""),63.0)</f>
        <v>63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 t="str">
        <f>IFERROR(__xludf.DUMMYFUNCTION("""COMPUTED_VALUE"""),"D")</f>
        <v>D</v>
      </c>
      <c r="E1826" s="1">
        <f>IFERROR(__xludf.DUMMYFUNCTION("""COMPUTED_VALUE"""),41.0)</f>
        <v>41</v>
      </c>
      <c r="F1826" s="1">
        <f>IFERROR(__xludf.DUMMYFUNCTION("""COMPUTED_VALUE"""),91.0)</f>
        <v>91</v>
      </c>
      <c r="G1826" s="1">
        <f>IFERROR(__xludf.DUMMYFUNCTION("""COMPUTED_VALUE"""),82.0)</f>
        <v>82</v>
      </c>
      <c r="H1826" s="1">
        <f>IFERROR(__xludf.DUMMYFUNCTION("""COMPUTED_VALUE"""),21.0)</f>
        <v>21</v>
      </c>
      <c r="I1826" s="1">
        <f>IFERROR(__xludf.DUMMYFUNCTION("""COMPUTED_VALUE"""),90.0)</f>
        <v>90</v>
      </c>
      <c r="J1826" s="1">
        <f>IFERROR(__xludf.DUMMYFUNCTION("""COMPUTED_VALUE"""),54.0)</f>
        <v>54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 t="str">
        <f>IFERROR(__xludf.DUMMYFUNCTION("""COMPUTED_VALUE"""),"D")</f>
        <v>D</v>
      </c>
      <c r="E1827" s="1">
        <f>IFERROR(__xludf.DUMMYFUNCTION("""COMPUTED_VALUE"""),73.0)</f>
        <v>73</v>
      </c>
      <c r="F1827" s="1">
        <f>IFERROR(__xludf.DUMMYFUNCTION("""COMPUTED_VALUE"""),72.0)</f>
        <v>72</v>
      </c>
      <c r="G1827" s="1">
        <f>IFERROR(__xludf.DUMMYFUNCTION("""COMPUTED_VALUE"""),68.0)</f>
        <v>68</v>
      </c>
      <c r="H1827" s="1">
        <f>IFERROR(__xludf.DUMMYFUNCTION("""COMPUTED_VALUE"""),96.0)</f>
        <v>96</v>
      </c>
      <c r="I1827" s="1">
        <f>IFERROR(__xludf.DUMMYFUNCTION("""COMPUTED_VALUE"""),97.0)</f>
        <v>97</v>
      </c>
      <c r="J1827" s="1">
        <f>IFERROR(__xludf.DUMMYFUNCTION("""COMPUTED_VALUE"""),36.0)</f>
        <v>36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 t="str">
        <f>IFERROR(__xludf.DUMMYFUNCTION("""COMPUTED_VALUE"""),"C")</f>
        <v>C</v>
      </c>
      <c r="E1828" s="1">
        <f>IFERROR(__xludf.DUMMYFUNCTION("""COMPUTED_VALUE"""),24.0)</f>
        <v>24</v>
      </c>
      <c r="F1828" s="1">
        <f>IFERROR(__xludf.DUMMYFUNCTION("""COMPUTED_VALUE"""),54.0)</f>
        <v>54</v>
      </c>
      <c r="G1828" s="1">
        <f>IFERROR(__xludf.DUMMYFUNCTION("""COMPUTED_VALUE"""),71.0)</f>
        <v>71</v>
      </c>
      <c r="H1828" s="1">
        <f>IFERROR(__xludf.DUMMYFUNCTION("""COMPUTED_VALUE"""),52.0)</f>
        <v>52</v>
      </c>
      <c r="I1828" s="1">
        <f>IFERROR(__xludf.DUMMYFUNCTION("""COMPUTED_VALUE"""),92.0)</f>
        <v>92</v>
      </c>
      <c r="J1828" s="1">
        <f>IFERROR(__xludf.DUMMYFUNCTION("""COMPUTED_VALUE"""),46.0)</f>
        <v>46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 t="str">
        <f>IFERROR(__xludf.DUMMYFUNCTION("""COMPUTED_VALUE"""),"D")</f>
        <v>D</v>
      </c>
      <c r="E1829" s="1">
        <f>IFERROR(__xludf.DUMMYFUNCTION("""COMPUTED_VALUE"""),63.0)</f>
        <v>63</v>
      </c>
      <c r="F1829" s="1">
        <f>IFERROR(__xludf.DUMMYFUNCTION("""COMPUTED_VALUE"""),38.0)</f>
        <v>38</v>
      </c>
      <c r="G1829" s="1">
        <f>IFERROR(__xludf.DUMMYFUNCTION("""COMPUTED_VALUE"""),63.0)</f>
        <v>63</v>
      </c>
      <c r="H1829" s="1">
        <f>IFERROR(__xludf.DUMMYFUNCTION("""COMPUTED_VALUE"""),86.0)</f>
        <v>86</v>
      </c>
      <c r="I1829" s="1">
        <f>IFERROR(__xludf.DUMMYFUNCTION("""COMPUTED_VALUE"""),37.0)</f>
        <v>37</v>
      </c>
      <c r="J1829" s="1">
        <f>IFERROR(__xludf.DUMMYFUNCTION("""COMPUTED_VALUE"""),73.0)</f>
        <v>73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 t="str">
        <f>IFERROR(__xludf.DUMMYFUNCTION("""COMPUTED_VALUE"""),"A")</f>
        <v>A</v>
      </c>
      <c r="E1830" s="1">
        <f>IFERROR(__xludf.DUMMYFUNCTION("""COMPUTED_VALUE"""),56.0)</f>
        <v>56</v>
      </c>
      <c r="F1830" s="1">
        <f>IFERROR(__xludf.DUMMYFUNCTION("""COMPUTED_VALUE"""),53.0)</f>
        <v>53</v>
      </c>
      <c r="G1830" s="1">
        <f>IFERROR(__xludf.DUMMYFUNCTION("""COMPUTED_VALUE"""),39.0)</f>
        <v>39</v>
      </c>
      <c r="H1830" s="1">
        <f>IFERROR(__xludf.DUMMYFUNCTION("""COMPUTED_VALUE"""),63.0)</f>
        <v>63</v>
      </c>
      <c r="I1830" s="1">
        <f>IFERROR(__xludf.DUMMYFUNCTION("""COMPUTED_VALUE"""),80.0)</f>
        <v>80</v>
      </c>
      <c r="J1830" s="1">
        <f>IFERROR(__xludf.DUMMYFUNCTION("""COMPUTED_VALUE"""),49.0)</f>
        <v>49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 t="str">
        <f>IFERROR(__xludf.DUMMYFUNCTION("""COMPUTED_VALUE"""),"A")</f>
        <v>A</v>
      </c>
      <c r="E1831" s="1">
        <f>IFERROR(__xludf.DUMMYFUNCTION("""COMPUTED_VALUE"""),52.0)</f>
        <v>52</v>
      </c>
      <c r="F1831" s="1">
        <f>IFERROR(__xludf.DUMMYFUNCTION("""COMPUTED_VALUE"""),85.0)</f>
        <v>85</v>
      </c>
      <c r="G1831" s="1">
        <f>IFERROR(__xludf.DUMMYFUNCTION("""COMPUTED_VALUE"""),94.0)</f>
        <v>94</v>
      </c>
      <c r="H1831" s="1">
        <f>IFERROR(__xludf.DUMMYFUNCTION("""COMPUTED_VALUE"""),32.0)</f>
        <v>32</v>
      </c>
      <c r="I1831" s="1">
        <f>IFERROR(__xludf.DUMMYFUNCTION("""COMPUTED_VALUE"""),23.0)</f>
        <v>23</v>
      </c>
      <c r="J1831" s="1">
        <f>IFERROR(__xludf.DUMMYFUNCTION("""COMPUTED_VALUE"""),56.0)</f>
        <v>56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 t="str">
        <f>IFERROR(__xludf.DUMMYFUNCTION("""COMPUTED_VALUE"""),"C")</f>
        <v>C</v>
      </c>
      <c r="E1832" s="1">
        <f>IFERROR(__xludf.DUMMYFUNCTION("""COMPUTED_VALUE"""),71.0)</f>
        <v>71</v>
      </c>
      <c r="F1832" s="1">
        <f>IFERROR(__xludf.DUMMYFUNCTION("""COMPUTED_VALUE"""),90.0)</f>
        <v>90</v>
      </c>
      <c r="G1832" s="1">
        <f>IFERROR(__xludf.DUMMYFUNCTION("""COMPUTED_VALUE"""),32.0)</f>
        <v>32</v>
      </c>
      <c r="H1832" s="1">
        <f>IFERROR(__xludf.DUMMYFUNCTION("""COMPUTED_VALUE"""),57.0)</f>
        <v>57</v>
      </c>
      <c r="I1832" s="1">
        <f>IFERROR(__xludf.DUMMYFUNCTION("""COMPUTED_VALUE"""),71.0)</f>
        <v>71</v>
      </c>
      <c r="J1832" s="1">
        <f>IFERROR(__xludf.DUMMYFUNCTION("""COMPUTED_VALUE"""),81.0)</f>
        <v>81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 t="str">
        <f>IFERROR(__xludf.DUMMYFUNCTION("""COMPUTED_VALUE"""),"A")</f>
        <v>A</v>
      </c>
      <c r="E1833" s="1">
        <f>IFERROR(__xludf.DUMMYFUNCTION("""COMPUTED_VALUE"""),40.0)</f>
        <v>40</v>
      </c>
      <c r="F1833" s="1">
        <f>IFERROR(__xludf.DUMMYFUNCTION("""COMPUTED_VALUE"""),99.0)</f>
        <v>99</v>
      </c>
      <c r="G1833" s="1">
        <f>IFERROR(__xludf.DUMMYFUNCTION("""COMPUTED_VALUE"""),71.0)</f>
        <v>71</v>
      </c>
      <c r="H1833" s="1">
        <f>IFERROR(__xludf.DUMMYFUNCTION("""COMPUTED_VALUE"""),68.0)</f>
        <v>68</v>
      </c>
      <c r="I1833" s="1">
        <f>IFERROR(__xludf.DUMMYFUNCTION("""COMPUTED_VALUE"""),47.0)</f>
        <v>47</v>
      </c>
      <c r="J1833" s="1">
        <f>IFERROR(__xludf.DUMMYFUNCTION("""COMPUTED_VALUE"""),42.0)</f>
        <v>42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 t="str">
        <f>IFERROR(__xludf.DUMMYFUNCTION("""COMPUTED_VALUE"""),"D")</f>
        <v>D</v>
      </c>
      <c r="E1834" s="1">
        <f>IFERROR(__xludf.DUMMYFUNCTION("""COMPUTED_VALUE"""),22.0)</f>
        <v>22</v>
      </c>
      <c r="F1834" s="1">
        <f>IFERROR(__xludf.DUMMYFUNCTION("""COMPUTED_VALUE"""),79.0)</f>
        <v>79</v>
      </c>
      <c r="G1834" s="1">
        <f>IFERROR(__xludf.DUMMYFUNCTION("""COMPUTED_VALUE"""),43.0)</f>
        <v>43</v>
      </c>
      <c r="H1834" s="1">
        <f>IFERROR(__xludf.DUMMYFUNCTION("""COMPUTED_VALUE"""),50.0)</f>
        <v>50</v>
      </c>
      <c r="I1834" s="1">
        <f>IFERROR(__xludf.DUMMYFUNCTION("""COMPUTED_VALUE"""),90.0)</f>
        <v>90</v>
      </c>
      <c r="J1834" s="1">
        <f>IFERROR(__xludf.DUMMYFUNCTION("""COMPUTED_VALUE"""),67.0)</f>
        <v>67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 t="str">
        <f>IFERROR(__xludf.DUMMYFUNCTION("""COMPUTED_VALUE"""),"C")</f>
        <v>C</v>
      </c>
      <c r="E1835" s="1">
        <f>IFERROR(__xludf.DUMMYFUNCTION("""COMPUTED_VALUE"""),59.0)</f>
        <v>59</v>
      </c>
      <c r="F1835" s="1">
        <f>IFERROR(__xludf.DUMMYFUNCTION("""COMPUTED_VALUE"""),79.0)</f>
        <v>79</v>
      </c>
      <c r="G1835" s="1">
        <f>IFERROR(__xludf.DUMMYFUNCTION("""COMPUTED_VALUE"""),91.0)</f>
        <v>91</v>
      </c>
      <c r="H1835" s="1">
        <f>IFERROR(__xludf.DUMMYFUNCTION("""COMPUTED_VALUE"""),70.0)</f>
        <v>70</v>
      </c>
      <c r="I1835" s="1">
        <f>IFERROR(__xludf.DUMMYFUNCTION("""COMPUTED_VALUE"""),25.0)</f>
        <v>25</v>
      </c>
      <c r="J1835" s="1">
        <f>IFERROR(__xludf.DUMMYFUNCTION("""COMPUTED_VALUE"""),68.0)</f>
        <v>68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 t="str">
        <f>IFERROR(__xludf.DUMMYFUNCTION("""COMPUTED_VALUE"""),"C")</f>
        <v>C</v>
      </c>
      <c r="E1836" s="1">
        <f>IFERROR(__xludf.DUMMYFUNCTION("""COMPUTED_VALUE"""),19.0)</f>
        <v>19</v>
      </c>
      <c r="F1836" s="1">
        <f>IFERROR(__xludf.DUMMYFUNCTION("""COMPUTED_VALUE"""),22.0)</f>
        <v>22</v>
      </c>
      <c r="G1836" s="1">
        <f>IFERROR(__xludf.DUMMYFUNCTION("""COMPUTED_VALUE"""),85.0)</f>
        <v>85</v>
      </c>
      <c r="H1836" s="1">
        <f>IFERROR(__xludf.DUMMYFUNCTION("""COMPUTED_VALUE"""),87.0)</f>
        <v>87</v>
      </c>
      <c r="I1836" s="1">
        <f>IFERROR(__xludf.DUMMYFUNCTION("""COMPUTED_VALUE"""),23.0)</f>
        <v>23</v>
      </c>
      <c r="J1836" s="1">
        <f>IFERROR(__xludf.DUMMYFUNCTION("""COMPUTED_VALUE"""),28.0)</f>
        <v>28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 t="str">
        <f>IFERROR(__xludf.DUMMYFUNCTION("""COMPUTED_VALUE"""),"A")</f>
        <v>A</v>
      </c>
      <c r="E1837" s="1">
        <f>IFERROR(__xludf.DUMMYFUNCTION("""COMPUTED_VALUE"""),96.0)</f>
        <v>96</v>
      </c>
      <c r="F1837" s="1">
        <f>IFERROR(__xludf.DUMMYFUNCTION("""COMPUTED_VALUE"""),22.0)</f>
        <v>22</v>
      </c>
      <c r="G1837" s="1">
        <f>IFERROR(__xludf.DUMMYFUNCTION("""COMPUTED_VALUE"""),48.0)</f>
        <v>48</v>
      </c>
      <c r="H1837" s="1">
        <f>IFERROR(__xludf.DUMMYFUNCTION("""COMPUTED_VALUE"""),30.0)</f>
        <v>30</v>
      </c>
      <c r="I1837" s="1">
        <f>IFERROR(__xludf.DUMMYFUNCTION("""COMPUTED_VALUE"""),51.0)</f>
        <v>51</v>
      </c>
      <c r="J1837" s="1">
        <f>IFERROR(__xludf.DUMMYFUNCTION("""COMPUTED_VALUE"""),26.0)</f>
        <v>26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 t="str">
        <f>IFERROR(__xludf.DUMMYFUNCTION("""COMPUTED_VALUE"""),"A")</f>
        <v>A</v>
      </c>
      <c r="E1838" s="1">
        <f>IFERROR(__xludf.DUMMYFUNCTION("""COMPUTED_VALUE"""),60.0)</f>
        <v>60</v>
      </c>
      <c r="F1838" s="1">
        <f>IFERROR(__xludf.DUMMYFUNCTION("""COMPUTED_VALUE"""),77.0)</f>
        <v>77</v>
      </c>
      <c r="G1838" s="1">
        <f>IFERROR(__xludf.DUMMYFUNCTION("""COMPUTED_VALUE"""),48.0)</f>
        <v>48</v>
      </c>
      <c r="H1838" s="1">
        <f>IFERROR(__xludf.DUMMYFUNCTION("""COMPUTED_VALUE"""),39.0)</f>
        <v>39</v>
      </c>
      <c r="I1838" s="1">
        <f>IFERROR(__xludf.DUMMYFUNCTION("""COMPUTED_VALUE"""),54.0)</f>
        <v>54</v>
      </c>
      <c r="J1838" s="1">
        <f>IFERROR(__xludf.DUMMYFUNCTION("""COMPUTED_VALUE"""),31.0)</f>
        <v>31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 t="str">
        <f>IFERROR(__xludf.DUMMYFUNCTION("""COMPUTED_VALUE"""),"C")</f>
        <v>C</v>
      </c>
      <c r="E1839" s="1">
        <f>IFERROR(__xludf.DUMMYFUNCTION("""COMPUTED_VALUE"""),28.0)</f>
        <v>28</v>
      </c>
      <c r="F1839" s="1">
        <f>IFERROR(__xludf.DUMMYFUNCTION("""COMPUTED_VALUE"""),77.0)</f>
        <v>77</v>
      </c>
      <c r="G1839" s="1">
        <f>IFERROR(__xludf.DUMMYFUNCTION("""COMPUTED_VALUE"""),27.0)</f>
        <v>27</v>
      </c>
      <c r="H1839" s="1">
        <f>IFERROR(__xludf.DUMMYFUNCTION("""COMPUTED_VALUE"""),59.0)</f>
        <v>59</v>
      </c>
      <c r="I1839" s="1">
        <f>IFERROR(__xludf.DUMMYFUNCTION("""COMPUTED_VALUE"""),83.0)</f>
        <v>83</v>
      </c>
      <c r="J1839" s="1">
        <f>IFERROR(__xludf.DUMMYFUNCTION("""COMPUTED_VALUE"""),34.0)</f>
        <v>34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 t="str">
        <f>IFERROR(__xludf.DUMMYFUNCTION("""COMPUTED_VALUE"""),"A")</f>
        <v>A</v>
      </c>
      <c r="E1840" s="1">
        <f>IFERROR(__xludf.DUMMYFUNCTION("""COMPUTED_VALUE"""),49.0)</f>
        <v>49</v>
      </c>
      <c r="F1840" s="1">
        <f>IFERROR(__xludf.DUMMYFUNCTION("""COMPUTED_VALUE"""),94.0)</f>
        <v>94</v>
      </c>
      <c r="G1840" s="1">
        <f>IFERROR(__xludf.DUMMYFUNCTION("""COMPUTED_VALUE"""),79.0)</f>
        <v>79</v>
      </c>
      <c r="H1840" s="1">
        <f>IFERROR(__xludf.DUMMYFUNCTION("""COMPUTED_VALUE"""),83.0)</f>
        <v>83</v>
      </c>
      <c r="I1840" s="1">
        <f>IFERROR(__xludf.DUMMYFUNCTION("""COMPUTED_VALUE"""),79.0)</f>
        <v>79</v>
      </c>
      <c r="J1840" s="1">
        <f>IFERROR(__xludf.DUMMYFUNCTION("""COMPUTED_VALUE"""),49.0)</f>
        <v>49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 t="str">
        <f>IFERROR(__xludf.DUMMYFUNCTION("""COMPUTED_VALUE"""),"A")</f>
        <v>A</v>
      </c>
      <c r="E1841" s="1">
        <f>IFERROR(__xludf.DUMMYFUNCTION("""COMPUTED_VALUE"""),46.0)</f>
        <v>46</v>
      </c>
      <c r="F1841" s="1">
        <f>IFERROR(__xludf.DUMMYFUNCTION("""COMPUTED_VALUE"""),66.0)</f>
        <v>66</v>
      </c>
      <c r="G1841" s="1">
        <f>IFERROR(__xludf.DUMMYFUNCTION("""COMPUTED_VALUE"""),92.0)</f>
        <v>92</v>
      </c>
      <c r="H1841" s="1">
        <f>IFERROR(__xludf.DUMMYFUNCTION("""COMPUTED_VALUE"""),87.0)</f>
        <v>87</v>
      </c>
      <c r="I1841" s="1">
        <f>IFERROR(__xludf.DUMMYFUNCTION("""COMPUTED_VALUE"""),36.0)</f>
        <v>36</v>
      </c>
      <c r="J1841" s="1">
        <f>IFERROR(__xludf.DUMMYFUNCTION("""COMPUTED_VALUE"""),46.0)</f>
        <v>46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 t="str">
        <f>IFERROR(__xludf.DUMMYFUNCTION("""COMPUTED_VALUE"""),"A")</f>
        <v>A</v>
      </c>
      <c r="E1842" s="1">
        <f>IFERROR(__xludf.DUMMYFUNCTION("""COMPUTED_VALUE"""),77.0)</f>
        <v>77</v>
      </c>
      <c r="F1842" s="1">
        <f>IFERROR(__xludf.DUMMYFUNCTION("""COMPUTED_VALUE"""),98.0)</f>
        <v>98</v>
      </c>
      <c r="G1842" s="1">
        <f>IFERROR(__xludf.DUMMYFUNCTION("""COMPUTED_VALUE"""),87.0)</f>
        <v>87</v>
      </c>
      <c r="H1842" s="1">
        <f>IFERROR(__xludf.DUMMYFUNCTION("""COMPUTED_VALUE"""),68.0)</f>
        <v>68</v>
      </c>
      <c r="I1842" s="1">
        <f>IFERROR(__xludf.DUMMYFUNCTION("""COMPUTED_VALUE"""),58.0)</f>
        <v>58</v>
      </c>
      <c r="J1842" s="1">
        <f>IFERROR(__xludf.DUMMYFUNCTION("""COMPUTED_VALUE"""),20.0)</f>
        <v>20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 t="str">
        <f>IFERROR(__xludf.DUMMYFUNCTION("""COMPUTED_VALUE"""),"C")</f>
        <v>C</v>
      </c>
      <c r="E1843" s="1">
        <f>IFERROR(__xludf.DUMMYFUNCTION("""COMPUTED_VALUE"""),17.0)</f>
        <v>17</v>
      </c>
      <c r="F1843" s="1">
        <f>IFERROR(__xludf.DUMMYFUNCTION("""COMPUTED_VALUE"""),38.0)</f>
        <v>38</v>
      </c>
      <c r="G1843" s="1">
        <f>IFERROR(__xludf.DUMMYFUNCTION("""COMPUTED_VALUE"""),72.0)</f>
        <v>72</v>
      </c>
      <c r="H1843" s="1">
        <f>IFERROR(__xludf.DUMMYFUNCTION("""COMPUTED_VALUE"""),34.0)</f>
        <v>34</v>
      </c>
      <c r="I1843" s="1">
        <f>IFERROR(__xludf.DUMMYFUNCTION("""COMPUTED_VALUE"""),96.0)</f>
        <v>96</v>
      </c>
      <c r="J1843" s="1">
        <f>IFERROR(__xludf.DUMMYFUNCTION("""COMPUTED_VALUE"""),87.0)</f>
        <v>87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 t="str">
        <f>IFERROR(__xludf.DUMMYFUNCTION("""COMPUTED_VALUE"""),"D")</f>
        <v>D</v>
      </c>
      <c r="E1844" s="1">
        <f>IFERROR(__xludf.DUMMYFUNCTION("""COMPUTED_VALUE"""),71.0)</f>
        <v>71</v>
      </c>
      <c r="F1844" s="1">
        <f>IFERROR(__xludf.DUMMYFUNCTION("""COMPUTED_VALUE"""),21.0)</f>
        <v>21</v>
      </c>
      <c r="G1844" s="1">
        <f>IFERROR(__xludf.DUMMYFUNCTION("""COMPUTED_VALUE"""),58.0)</f>
        <v>58</v>
      </c>
      <c r="H1844" s="1">
        <f>IFERROR(__xludf.DUMMYFUNCTION("""COMPUTED_VALUE"""),64.0)</f>
        <v>64</v>
      </c>
      <c r="I1844" s="1">
        <f>IFERROR(__xludf.DUMMYFUNCTION("""COMPUTED_VALUE"""),31.0)</f>
        <v>31</v>
      </c>
      <c r="J1844" s="1">
        <f>IFERROR(__xludf.DUMMYFUNCTION("""COMPUTED_VALUE"""),56.0)</f>
        <v>56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 t="str">
        <f>IFERROR(__xludf.DUMMYFUNCTION("""COMPUTED_VALUE"""),"B")</f>
        <v>B</v>
      </c>
      <c r="E1845" s="1">
        <f>IFERROR(__xludf.DUMMYFUNCTION("""COMPUTED_VALUE"""),48.0)</f>
        <v>48</v>
      </c>
      <c r="F1845" s="1">
        <f>IFERROR(__xludf.DUMMYFUNCTION("""COMPUTED_VALUE"""),57.0)</f>
        <v>57</v>
      </c>
      <c r="G1845" s="1">
        <f>IFERROR(__xludf.DUMMYFUNCTION("""COMPUTED_VALUE"""),45.0)</f>
        <v>45</v>
      </c>
      <c r="H1845" s="1">
        <f>IFERROR(__xludf.DUMMYFUNCTION("""COMPUTED_VALUE"""),61.0)</f>
        <v>61</v>
      </c>
      <c r="I1845" s="1">
        <f>IFERROR(__xludf.DUMMYFUNCTION("""COMPUTED_VALUE"""),43.0)</f>
        <v>43</v>
      </c>
      <c r="J1845" s="1">
        <f>IFERROR(__xludf.DUMMYFUNCTION("""COMPUTED_VALUE"""),79.0)</f>
        <v>79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 t="str">
        <f>IFERROR(__xludf.DUMMYFUNCTION("""COMPUTED_VALUE"""),"B")</f>
        <v>B</v>
      </c>
      <c r="E1846" s="1">
        <f>IFERROR(__xludf.DUMMYFUNCTION("""COMPUTED_VALUE"""),53.0)</f>
        <v>53</v>
      </c>
      <c r="F1846" s="1">
        <f>IFERROR(__xludf.DUMMYFUNCTION("""COMPUTED_VALUE"""),92.0)</f>
        <v>92</v>
      </c>
      <c r="G1846" s="1">
        <f>IFERROR(__xludf.DUMMYFUNCTION("""COMPUTED_VALUE"""),51.0)</f>
        <v>51</v>
      </c>
      <c r="H1846" s="1">
        <f>IFERROR(__xludf.DUMMYFUNCTION("""COMPUTED_VALUE"""),70.0)</f>
        <v>70</v>
      </c>
      <c r="I1846" s="1">
        <f>IFERROR(__xludf.DUMMYFUNCTION("""COMPUTED_VALUE"""),95.0)</f>
        <v>95</v>
      </c>
      <c r="J1846" s="1">
        <f>IFERROR(__xludf.DUMMYFUNCTION("""COMPUTED_VALUE"""),20.0)</f>
        <v>20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 t="str">
        <f>IFERROR(__xludf.DUMMYFUNCTION("""COMPUTED_VALUE"""),"B")</f>
        <v>B</v>
      </c>
      <c r="E1847" s="1">
        <f>IFERROR(__xludf.DUMMYFUNCTION("""COMPUTED_VALUE"""),47.0)</f>
        <v>47</v>
      </c>
      <c r="F1847" s="1">
        <f>IFERROR(__xludf.DUMMYFUNCTION("""COMPUTED_VALUE"""),92.0)</f>
        <v>92</v>
      </c>
      <c r="G1847" s="1">
        <f>IFERROR(__xludf.DUMMYFUNCTION("""COMPUTED_VALUE"""),28.0)</f>
        <v>28</v>
      </c>
      <c r="H1847" s="1">
        <f>IFERROR(__xludf.DUMMYFUNCTION("""COMPUTED_VALUE"""),35.0)</f>
        <v>35</v>
      </c>
      <c r="I1847" s="1">
        <f>IFERROR(__xludf.DUMMYFUNCTION("""COMPUTED_VALUE"""),91.0)</f>
        <v>91</v>
      </c>
      <c r="J1847" s="1">
        <f>IFERROR(__xludf.DUMMYFUNCTION("""COMPUTED_VALUE"""),26.0)</f>
        <v>26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 t="str">
        <f>IFERROR(__xludf.DUMMYFUNCTION("""COMPUTED_VALUE"""),"A")</f>
        <v>A</v>
      </c>
      <c r="E1848" s="1">
        <f>IFERROR(__xludf.DUMMYFUNCTION("""COMPUTED_VALUE"""),84.0)</f>
        <v>84</v>
      </c>
      <c r="F1848" s="1">
        <f>IFERROR(__xludf.DUMMYFUNCTION("""COMPUTED_VALUE"""),29.0)</f>
        <v>29</v>
      </c>
      <c r="G1848" s="1">
        <f>IFERROR(__xludf.DUMMYFUNCTION("""COMPUTED_VALUE"""),39.0)</f>
        <v>39</v>
      </c>
      <c r="H1848" s="1">
        <f>IFERROR(__xludf.DUMMYFUNCTION("""COMPUTED_VALUE"""),46.0)</f>
        <v>46</v>
      </c>
      <c r="I1848" s="1">
        <f>IFERROR(__xludf.DUMMYFUNCTION("""COMPUTED_VALUE"""),33.0)</f>
        <v>33</v>
      </c>
      <c r="J1848" s="1">
        <f>IFERROR(__xludf.DUMMYFUNCTION("""COMPUTED_VALUE"""),67.0)</f>
        <v>67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 t="str">
        <f>IFERROR(__xludf.DUMMYFUNCTION("""COMPUTED_VALUE"""),"D")</f>
        <v>D</v>
      </c>
      <c r="E1849" s="1">
        <f>IFERROR(__xludf.DUMMYFUNCTION("""COMPUTED_VALUE"""),48.0)</f>
        <v>48</v>
      </c>
      <c r="F1849" s="1">
        <f>IFERROR(__xludf.DUMMYFUNCTION("""COMPUTED_VALUE"""),88.0)</f>
        <v>88</v>
      </c>
      <c r="G1849" s="1">
        <f>IFERROR(__xludf.DUMMYFUNCTION("""COMPUTED_VALUE"""),82.0)</f>
        <v>82</v>
      </c>
      <c r="H1849" s="1">
        <f>IFERROR(__xludf.DUMMYFUNCTION("""COMPUTED_VALUE"""),48.0)</f>
        <v>48</v>
      </c>
      <c r="I1849" s="1">
        <f>IFERROR(__xludf.DUMMYFUNCTION("""COMPUTED_VALUE"""),61.0)</f>
        <v>61</v>
      </c>
      <c r="J1849" s="1">
        <f>IFERROR(__xludf.DUMMYFUNCTION("""COMPUTED_VALUE"""),51.0)</f>
        <v>51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 t="str">
        <f>IFERROR(__xludf.DUMMYFUNCTION("""COMPUTED_VALUE"""),"D")</f>
        <v>D</v>
      </c>
      <c r="E1850" s="1">
        <f>IFERROR(__xludf.DUMMYFUNCTION("""COMPUTED_VALUE"""),63.0)</f>
        <v>63</v>
      </c>
      <c r="F1850" s="1">
        <f>IFERROR(__xludf.DUMMYFUNCTION("""COMPUTED_VALUE"""),40.0)</f>
        <v>40</v>
      </c>
      <c r="G1850" s="1">
        <f>IFERROR(__xludf.DUMMYFUNCTION("""COMPUTED_VALUE"""),89.0)</f>
        <v>89</v>
      </c>
      <c r="H1850" s="1">
        <f>IFERROR(__xludf.DUMMYFUNCTION("""COMPUTED_VALUE"""),22.0)</f>
        <v>22</v>
      </c>
      <c r="I1850" s="1">
        <f>IFERROR(__xludf.DUMMYFUNCTION("""COMPUTED_VALUE"""),95.0)</f>
        <v>95</v>
      </c>
      <c r="J1850" s="1">
        <f>IFERROR(__xludf.DUMMYFUNCTION("""COMPUTED_VALUE"""),79.0)</f>
        <v>79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 t="str">
        <f>IFERROR(__xludf.DUMMYFUNCTION("""COMPUTED_VALUE"""),"A")</f>
        <v>A</v>
      </c>
      <c r="E1851" s="1">
        <f>IFERROR(__xludf.DUMMYFUNCTION("""COMPUTED_VALUE"""),76.0)</f>
        <v>76</v>
      </c>
      <c r="F1851" s="1">
        <f>IFERROR(__xludf.DUMMYFUNCTION("""COMPUTED_VALUE"""),97.0)</f>
        <v>97</v>
      </c>
      <c r="G1851" s="1">
        <f>IFERROR(__xludf.DUMMYFUNCTION("""COMPUTED_VALUE"""),42.0)</f>
        <v>42</v>
      </c>
      <c r="H1851" s="1">
        <f>IFERROR(__xludf.DUMMYFUNCTION("""COMPUTED_VALUE"""),48.0)</f>
        <v>48</v>
      </c>
      <c r="I1851" s="1">
        <f>IFERROR(__xludf.DUMMYFUNCTION("""COMPUTED_VALUE"""),49.0)</f>
        <v>49</v>
      </c>
      <c r="J1851" s="1">
        <f>IFERROR(__xludf.DUMMYFUNCTION("""COMPUTED_VALUE"""),70.0)</f>
        <v>70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 t="str">
        <f>IFERROR(__xludf.DUMMYFUNCTION("""COMPUTED_VALUE"""),"D")</f>
        <v>D</v>
      </c>
      <c r="E1852" s="1">
        <f>IFERROR(__xludf.DUMMYFUNCTION("""COMPUTED_VALUE"""),33.0)</f>
        <v>33</v>
      </c>
      <c r="F1852" s="1">
        <f>IFERROR(__xludf.DUMMYFUNCTION("""COMPUTED_VALUE"""),61.0)</f>
        <v>61</v>
      </c>
      <c r="G1852" s="1">
        <f>IFERROR(__xludf.DUMMYFUNCTION("""COMPUTED_VALUE"""),81.0)</f>
        <v>81</v>
      </c>
      <c r="H1852" s="1">
        <f>IFERROR(__xludf.DUMMYFUNCTION("""COMPUTED_VALUE"""),67.0)</f>
        <v>67</v>
      </c>
      <c r="I1852" s="1">
        <f>IFERROR(__xludf.DUMMYFUNCTION("""COMPUTED_VALUE"""),84.0)</f>
        <v>84</v>
      </c>
      <c r="J1852" s="1">
        <f>IFERROR(__xludf.DUMMYFUNCTION("""COMPUTED_VALUE"""),27.0)</f>
        <v>27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 t="str">
        <f>IFERROR(__xludf.DUMMYFUNCTION("""COMPUTED_VALUE"""),"B")</f>
        <v>B</v>
      </c>
      <c r="E1853" s="1">
        <f>IFERROR(__xludf.DUMMYFUNCTION("""COMPUTED_VALUE"""),62.0)</f>
        <v>62</v>
      </c>
      <c r="F1853" s="1">
        <f>IFERROR(__xludf.DUMMYFUNCTION("""COMPUTED_VALUE"""),42.0)</f>
        <v>42</v>
      </c>
      <c r="G1853" s="1">
        <f>IFERROR(__xludf.DUMMYFUNCTION("""COMPUTED_VALUE"""),98.0)</f>
        <v>98</v>
      </c>
      <c r="H1853" s="1">
        <f>IFERROR(__xludf.DUMMYFUNCTION("""COMPUTED_VALUE"""),44.0)</f>
        <v>44</v>
      </c>
      <c r="I1853" s="1">
        <f>IFERROR(__xludf.DUMMYFUNCTION("""COMPUTED_VALUE"""),89.0)</f>
        <v>89</v>
      </c>
      <c r="J1853" s="1">
        <f>IFERROR(__xludf.DUMMYFUNCTION("""COMPUTED_VALUE"""),97.0)</f>
        <v>97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 t="str">
        <f>IFERROR(__xludf.DUMMYFUNCTION("""COMPUTED_VALUE"""),"B")</f>
        <v>B</v>
      </c>
      <c r="E1854" s="1">
        <f>IFERROR(__xludf.DUMMYFUNCTION("""COMPUTED_VALUE"""),79.0)</f>
        <v>79</v>
      </c>
      <c r="F1854" s="1">
        <f>IFERROR(__xludf.DUMMYFUNCTION("""COMPUTED_VALUE"""),95.0)</f>
        <v>95</v>
      </c>
      <c r="G1854" s="1">
        <f>IFERROR(__xludf.DUMMYFUNCTION("""COMPUTED_VALUE"""),87.0)</f>
        <v>87</v>
      </c>
      <c r="H1854" s="1">
        <f>IFERROR(__xludf.DUMMYFUNCTION("""COMPUTED_VALUE"""),86.0)</f>
        <v>86</v>
      </c>
      <c r="I1854" s="1">
        <f>IFERROR(__xludf.DUMMYFUNCTION("""COMPUTED_VALUE"""),47.0)</f>
        <v>47</v>
      </c>
      <c r="J1854" s="1">
        <f>IFERROR(__xludf.DUMMYFUNCTION("""COMPUTED_VALUE"""),37.0)</f>
        <v>37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 t="str">
        <f>IFERROR(__xludf.DUMMYFUNCTION("""COMPUTED_VALUE"""),"B")</f>
        <v>B</v>
      </c>
      <c r="E1855" s="1">
        <f>IFERROR(__xludf.DUMMYFUNCTION("""COMPUTED_VALUE"""),72.0)</f>
        <v>72</v>
      </c>
      <c r="F1855" s="1">
        <f>IFERROR(__xludf.DUMMYFUNCTION("""COMPUTED_VALUE"""),97.0)</f>
        <v>97</v>
      </c>
      <c r="G1855" s="1">
        <f>IFERROR(__xludf.DUMMYFUNCTION("""COMPUTED_VALUE"""),39.0)</f>
        <v>39</v>
      </c>
      <c r="H1855" s="1">
        <f>IFERROR(__xludf.DUMMYFUNCTION("""COMPUTED_VALUE"""),79.0)</f>
        <v>79</v>
      </c>
      <c r="I1855" s="1">
        <f>IFERROR(__xludf.DUMMYFUNCTION("""COMPUTED_VALUE"""),37.0)</f>
        <v>37</v>
      </c>
      <c r="J1855" s="1">
        <f>IFERROR(__xludf.DUMMYFUNCTION("""COMPUTED_VALUE"""),94.0)</f>
        <v>94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 t="str">
        <f>IFERROR(__xludf.DUMMYFUNCTION("""COMPUTED_VALUE"""),"B")</f>
        <v>B</v>
      </c>
      <c r="E1856" s="1">
        <f>IFERROR(__xludf.DUMMYFUNCTION("""COMPUTED_VALUE"""),81.0)</f>
        <v>81</v>
      </c>
      <c r="F1856" s="1">
        <f>IFERROR(__xludf.DUMMYFUNCTION("""COMPUTED_VALUE"""),66.0)</f>
        <v>66</v>
      </c>
      <c r="G1856" s="1">
        <f>IFERROR(__xludf.DUMMYFUNCTION("""COMPUTED_VALUE"""),47.0)</f>
        <v>47</v>
      </c>
      <c r="H1856" s="1">
        <f>IFERROR(__xludf.DUMMYFUNCTION("""COMPUTED_VALUE"""),89.0)</f>
        <v>89</v>
      </c>
      <c r="I1856" s="1">
        <f>IFERROR(__xludf.DUMMYFUNCTION("""COMPUTED_VALUE"""),82.0)</f>
        <v>82</v>
      </c>
      <c r="J1856" s="1">
        <f>IFERROR(__xludf.DUMMYFUNCTION("""COMPUTED_VALUE"""),40.0)</f>
        <v>40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 t="str">
        <f>IFERROR(__xludf.DUMMYFUNCTION("""COMPUTED_VALUE"""),"A")</f>
        <v>A</v>
      </c>
      <c r="E1857" s="1">
        <f>IFERROR(__xludf.DUMMYFUNCTION("""COMPUTED_VALUE"""),55.0)</f>
        <v>55</v>
      </c>
      <c r="F1857" s="1">
        <f>IFERROR(__xludf.DUMMYFUNCTION("""COMPUTED_VALUE"""),52.0)</f>
        <v>52</v>
      </c>
      <c r="G1857" s="1">
        <f>IFERROR(__xludf.DUMMYFUNCTION("""COMPUTED_VALUE"""),62.0)</f>
        <v>62</v>
      </c>
      <c r="H1857" s="1">
        <f>IFERROR(__xludf.DUMMYFUNCTION("""COMPUTED_VALUE"""),27.0)</f>
        <v>27</v>
      </c>
      <c r="I1857" s="1">
        <f>IFERROR(__xludf.DUMMYFUNCTION("""COMPUTED_VALUE"""),77.0)</f>
        <v>77</v>
      </c>
      <c r="J1857" s="1">
        <f>IFERROR(__xludf.DUMMYFUNCTION("""COMPUTED_VALUE"""),75.0)</f>
        <v>75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 t="str">
        <f>IFERROR(__xludf.DUMMYFUNCTION("""COMPUTED_VALUE"""),"A")</f>
        <v>A</v>
      </c>
      <c r="E1858" s="1">
        <f>IFERROR(__xludf.DUMMYFUNCTION("""COMPUTED_VALUE"""),29.0)</f>
        <v>29</v>
      </c>
      <c r="F1858" s="1">
        <f>IFERROR(__xludf.DUMMYFUNCTION("""COMPUTED_VALUE"""),70.0)</f>
        <v>70</v>
      </c>
      <c r="G1858" s="1">
        <f>IFERROR(__xludf.DUMMYFUNCTION("""COMPUTED_VALUE"""),60.0)</f>
        <v>60</v>
      </c>
      <c r="H1858" s="1">
        <f>IFERROR(__xludf.DUMMYFUNCTION("""COMPUTED_VALUE"""),84.0)</f>
        <v>84</v>
      </c>
      <c r="I1858" s="1">
        <f>IFERROR(__xludf.DUMMYFUNCTION("""COMPUTED_VALUE"""),92.0)</f>
        <v>92</v>
      </c>
      <c r="J1858" s="1">
        <f>IFERROR(__xludf.DUMMYFUNCTION("""COMPUTED_VALUE"""),54.0)</f>
        <v>54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 t="str">
        <f>IFERROR(__xludf.DUMMYFUNCTION("""COMPUTED_VALUE"""),"A")</f>
        <v>A</v>
      </c>
      <c r="E1859" s="1">
        <f>IFERROR(__xludf.DUMMYFUNCTION("""COMPUTED_VALUE"""),40.0)</f>
        <v>40</v>
      </c>
      <c r="F1859" s="1">
        <f>IFERROR(__xludf.DUMMYFUNCTION("""COMPUTED_VALUE"""),69.0)</f>
        <v>69</v>
      </c>
      <c r="G1859" s="1">
        <f>IFERROR(__xludf.DUMMYFUNCTION("""COMPUTED_VALUE"""),99.0)</f>
        <v>99</v>
      </c>
      <c r="H1859" s="1">
        <f>IFERROR(__xludf.DUMMYFUNCTION("""COMPUTED_VALUE"""),62.0)</f>
        <v>62</v>
      </c>
      <c r="I1859" s="1">
        <f>IFERROR(__xludf.DUMMYFUNCTION("""COMPUTED_VALUE"""),61.0)</f>
        <v>61</v>
      </c>
      <c r="J1859" s="1">
        <f>IFERROR(__xludf.DUMMYFUNCTION("""COMPUTED_VALUE"""),66.0)</f>
        <v>66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 t="str">
        <f>IFERROR(__xludf.DUMMYFUNCTION("""COMPUTED_VALUE"""),"B")</f>
        <v>B</v>
      </c>
      <c r="E1860" s="1">
        <f>IFERROR(__xludf.DUMMYFUNCTION("""COMPUTED_VALUE"""),40.0)</f>
        <v>40</v>
      </c>
      <c r="F1860" s="1">
        <f>IFERROR(__xludf.DUMMYFUNCTION("""COMPUTED_VALUE"""),55.0)</f>
        <v>55</v>
      </c>
      <c r="G1860" s="1">
        <f>IFERROR(__xludf.DUMMYFUNCTION("""COMPUTED_VALUE"""),51.0)</f>
        <v>51</v>
      </c>
      <c r="H1860" s="1">
        <f>IFERROR(__xludf.DUMMYFUNCTION("""COMPUTED_VALUE"""),37.0)</f>
        <v>37</v>
      </c>
      <c r="I1860" s="1">
        <f>IFERROR(__xludf.DUMMYFUNCTION("""COMPUTED_VALUE"""),37.0)</f>
        <v>37</v>
      </c>
      <c r="J1860" s="1">
        <f>IFERROR(__xludf.DUMMYFUNCTION("""COMPUTED_VALUE"""),84.0)</f>
        <v>84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 t="str">
        <f>IFERROR(__xludf.DUMMYFUNCTION("""COMPUTED_VALUE"""),"D")</f>
        <v>D</v>
      </c>
      <c r="E1861" s="1">
        <f>IFERROR(__xludf.DUMMYFUNCTION("""COMPUTED_VALUE"""),90.0)</f>
        <v>90</v>
      </c>
      <c r="F1861" s="1">
        <f>IFERROR(__xludf.DUMMYFUNCTION("""COMPUTED_VALUE"""),24.0)</f>
        <v>24</v>
      </c>
      <c r="G1861" s="1">
        <f>IFERROR(__xludf.DUMMYFUNCTION("""COMPUTED_VALUE"""),41.0)</f>
        <v>41</v>
      </c>
      <c r="H1861" s="1">
        <f>IFERROR(__xludf.DUMMYFUNCTION("""COMPUTED_VALUE"""),52.0)</f>
        <v>52</v>
      </c>
      <c r="I1861" s="1">
        <f>IFERROR(__xludf.DUMMYFUNCTION("""COMPUTED_VALUE"""),38.0)</f>
        <v>38</v>
      </c>
      <c r="J1861" s="1">
        <f>IFERROR(__xludf.DUMMYFUNCTION("""COMPUTED_VALUE"""),86.0)</f>
        <v>86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 t="str">
        <f>IFERROR(__xludf.DUMMYFUNCTION("""COMPUTED_VALUE"""),"B")</f>
        <v>B</v>
      </c>
      <c r="E1862" s="1">
        <f>IFERROR(__xludf.DUMMYFUNCTION("""COMPUTED_VALUE"""),23.0)</f>
        <v>23</v>
      </c>
      <c r="F1862" s="1">
        <f>IFERROR(__xludf.DUMMYFUNCTION("""COMPUTED_VALUE"""),98.0)</f>
        <v>98</v>
      </c>
      <c r="G1862" s="1">
        <f>IFERROR(__xludf.DUMMYFUNCTION("""COMPUTED_VALUE"""),68.0)</f>
        <v>68</v>
      </c>
      <c r="H1862" s="1">
        <f>IFERROR(__xludf.DUMMYFUNCTION("""COMPUTED_VALUE"""),63.0)</f>
        <v>63</v>
      </c>
      <c r="I1862" s="1">
        <f>IFERROR(__xludf.DUMMYFUNCTION("""COMPUTED_VALUE"""),71.0)</f>
        <v>71</v>
      </c>
      <c r="J1862" s="1">
        <f>IFERROR(__xludf.DUMMYFUNCTION("""COMPUTED_VALUE"""),84.0)</f>
        <v>84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 t="str">
        <f>IFERROR(__xludf.DUMMYFUNCTION("""COMPUTED_VALUE"""),"D")</f>
        <v>D</v>
      </c>
      <c r="E1863" s="1">
        <f>IFERROR(__xludf.DUMMYFUNCTION("""COMPUTED_VALUE"""),14.0)</f>
        <v>14</v>
      </c>
      <c r="F1863" s="1">
        <f>IFERROR(__xludf.DUMMYFUNCTION("""COMPUTED_VALUE"""),88.0)</f>
        <v>88</v>
      </c>
      <c r="G1863" s="1">
        <f>IFERROR(__xludf.DUMMYFUNCTION("""COMPUTED_VALUE"""),69.0)</f>
        <v>69</v>
      </c>
      <c r="H1863" s="1">
        <f>IFERROR(__xludf.DUMMYFUNCTION("""COMPUTED_VALUE"""),93.0)</f>
        <v>93</v>
      </c>
      <c r="I1863" s="1">
        <f>IFERROR(__xludf.DUMMYFUNCTION("""COMPUTED_VALUE"""),65.0)</f>
        <v>65</v>
      </c>
      <c r="J1863" s="1">
        <f>IFERROR(__xludf.DUMMYFUNCTION("""COMPUTED_VALUE"""),41.0)</f>
        <v>41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 t="str">
        <f>IFERROR(__xludf.DUMMYFUNCTION("""COMPUTED_VALUE"""),"B")</f>
        <v>B</v>
      </c>
      <c r="E1864" s="1">
        <f>IFERROR(__xludf.DUMMYFUNCTION("""COMPUTED_VALUE"""),73.0)</f>
        <v>73</v>
      </c>
      <c r="F1864" s="1">
        <f>IFERROR(__xludf.DUMMYFUNCTION("""COMPUTED_VALUE"""),32.0)</f>
        <v>32</v>
      </c>
      <c r="G1864" s="1">
        <f>IFERROR(__xludf.DUMMYFUNCTION("""COMPUTED_VALUE"""),48.0)</f>
        <v>48</v>
      </c>
      <c r="H1864" s="1">
        <f>IFERROR(__xludf.DUMMYFUNCTION("""COMPUTED_VALUE"""),39.0)</f>
        <v>39</v>
      </c>
      <c r="I1864" s="1">
        <f>IFERROR(__xludf.DUMMYFUNCTION("""COMPUTED_VALUE"""),80.0)</f>
        <v>80</v>
      </c>
      <c r="J1864" s="1">
        <f>IFERROR(__xludf.DUMMYFUNCTION("""COMPUTED_VALUE"""),41.0)</f>
        <v>41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 t="str">
        <f>IFERROR(__xludf.DUMMYFUNCTION("""COMPUTED_VALUE"""),"C")</f>
        <v>C</v>
      </c>
      <c r="E1865" s="1">
        <f>IFERROR(__xludf.DUMMYFUNCTION("""COMPUTED_VALUE"""),12.0)</f>
        <v>12</v>
      </c>
      <c r="F1865" s="1">
        <f>IFERROR(__xludf.DUMMYFUNCTION("""COMPUTED_VALUE"""),43.0)</f>
        <v>43</v>
      </c>
      <c r="G1865" s="1">
        <f>IFERROR(__xludf.DUMMYFUNCTION("""COMPUTED_VALUE"""),58.0)</f>
        <v>58</v>
      </c>
      <c r="H1865" s="1">
        <f>IFERROR(__xludf.DUMMYFUNCTION("""COMPUTED_VALUE"""),40.0)</f>
        <v>40</v>
      </c>
      <c r="I1865" s="1">
        <f>IFERROR(__xludf.DUMMYFUNCTION("""COMPUTED_VALUE"""),53.0)</f>
        <v>53</v>
      </c>
      <c r="J1865" s="1">
        <f>IFERROR(__xludf.DUMMYFUNCTION("""COMPUTED_VALUE"""),79.0)</f>
        <v>79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 t="str">
        <f>IFERROR(__xludf.DUMMYFUNCTION("""COMPUTED_VALUE"""),"C")</f>
        <v>C</v>
      </c>
      <c r="E1866" s="1">
        <f>IFERROR(__xludf.DUMMYFUNCTION("""COMPUTED_VALUE"""),40.0)</f>
        <v>40</v>
      </c>
      <c r="F1866" s="1">
        <f>IFERROR(__xludf.DUMMYFUNCTION("""COMPUTED_VALUE"""),78.0)</f>
        <v>78</v>
      </c>
      <c r="G1866" s="1">
        <f>IFERROR(__xludf.DUMMYFUNCTION("""COMPUTED_VALUE"""),84.0)</f>
        <v>84</v>
      </c>
      <c r="H1866" s="1">
        <f>IFERROR(__xludf.DUMMYFUNCTION("""COMPUTED_VALUE"""),47.0)</f>
        <v>47</v>
      </c>
      <c r="I1866" s="1">
        <f>IFERROR(__xludf.DUMMYFUNCTION("""COMPUTED_VALUE"""),87.0)</f>
        <v>87</v>
      </c>
      <c r="J1866" s="1">
        <f>IFERROR(__xludf.DUMMYFUNCTION("""COMPUTED_VALUE"""),33.0)</f>
        <v>33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 t="str">
        <f>IFERROR(__xludf.DUMMYFUNCTION("""COMPUTED_VALUE"""),"D")</f>
        <v>D</v>
      </c>
      <c r="E1867" s="1">
        <f>IFERROR(__xludf.DUMMYFUNCTION("""COMPUTED_VALUE"""),56.0)</f>
        <v>56</v>
      </c>
      <c r="F1867" s="1">
        <f>IFERROR(__xludf.DUMMYFUNCTION("""COMPUTED_VALUE"""),33.0)</f>
        <v>33</v>
      </c>
      <c r="G1867" s="1">
        <f>IFERROR(__xludf.DUMMYFUNCTION("""COMPUTED_VALUE"""),96.0)</f>
        <v>96</v>
      </c>
      <c r="H1867" s="1">
        <f>IFERROR(__xludf.DUMMYFUNCTION("""COMPUTED_VALUE"""),88.0)</f>
        <v>88</v>
      </c>
      <c r="I1867" s="1">
        <f>IFERROR(__xludf.DUMMYFUNCTION("""COMPUTED_VALUE"""),98.0)</f>
        <v>98</v>
      </c>
      <c r="J1867" s="1">
        <f>IFERROR(__xludf.DUMMYFUNCTION("""COMPUTED_VALUE"""),48.0)</f>
        <v>48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 t="str">
        <f>IFERROR(__xludf.DUMMYFUNCTION("""COMPUTED_VALUE"""),"C")</f>
        <v>C</v>
      </c>
      <c r="E1868" s="1">
        <f>IFERROR(__xludf.DUMMYFUNCTION("""COMPUTED_VALUE"""),19.0)</f>
        <v>19</v>
      </c>
      <c r="F1868" s="1">
        <f>IFERROR(__xludf.DUMMYFUNCTION("""COMPUTED_VALUE"""),86.0)</f>
        <v>86</v>
      </c>
      <c r="G1868" s="1">
        <f>IFERROR(__xludf.DUMMYFUNCTION("""COMPUTED_VALUE"""),35.0)</f>
        <v>35</v>
      </c>
      <c r="H1868" s="1">
        <f>IFERROR(__xludf.DUMMYFUNCTION("""COMPUTED_VALUE"""),30.0)</f>
        <v>30</v>
      </c>
      <c r="I1868" s="1">
        <f>IFERROR(__xludf.DUMMYFUNCTION("""COMPUTED_VALUE"""),88.0)</f>
        <v>88</v>
      </c>
      <c r="J1868" s="1">
        <f>IFERROR(__xludf.DUMMYFUNCTION("""COMPUTED_VALUE"""),27.0)</f>
        <v>27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 t="str">
        <f>IFERROR(__xludf.DUMMYFUNCTION("""COMPUTED_VALUE"""),"B")</f>
        <v>B</v>
      </c>
      <c r="E1869" s="1">
        <f>IFERROR(__xludf.DUMMYFUNCTION("""COMPUTED_VALUE"""),40.0)</f>
        <v>40</v>
      </c>
      <c r="F1869" s="1">
        <f>IFERROR(__xludf.DUMMYFUNCTION("""COMPUTED_VALUE"""),40.0)</f>
        <v>40</v>
      </c>
      <c r="G1869" s="1">
        <f>IFERROR(__xludf.DUMMYFUNCTION("""COMPUTED_VALUE"""),86.0)</f>
        <v>86</v>
      </c>
      <c r="H1869" s="1">
        <f>IFERROR(__xludf.DUMMYFUNCTION("""COMPUTED_VALUE"""),75.0)</f>
        <v>75</v>
      </c>
      <c r="I1869" s="1">
        <f>IFERROR(__xludf.DUMMYFUNCTION("""COMPUTED_VALUE"""),81.0)</f>
        <v>81</v>
      </c>
      <c r="J1869" s="1">
        <f>IFERROR(__xludf.DUMMYFUNCTION("""COMPUTED_VALUE"""),43.0)</f>
        <v>43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 t="str">
        <f>IFERROR(__xludf.DUMMYFUNCTION("""COMPUTED_VALUE"""),"C")</f>
        <v>C</v>
      </c>
      <c r="E1870" s="1">
        <f>IFERROR(__xludf.DUMMYFUNCTION("""COMPUTED_VALUE"""),76.0)</f>
        <v>76</v>
      </c>
      <c r="F1870" s="1">
        <f>IFERROR(__xludf.DUMMYFUNCTION("""COMPUTED_VALUE"""),62.0)</f>
        <v>62</v>
      </c>
      <c r="G1870" s="1">
        <f>IFERROR(__xludf.DUMMYFUNCTION("""COMPUTED_VALUE"""),74.0)</f>
        <v>74</v>
      </c>
      <c r="H1870" s="1">
        <f>IFERROR(__xludf.DUMMYFUNCTION("""COMPUTED_VALUE"""),40.0)</f>
        <v>40</v>
      </c>
      <c r="I1870" s="1">
        <f>IFERROR(__xludf.DUMMYFUNCTION("""COMPUTED_VALUE"""),99.0)</f>
        <v>99</v>
      </c>
      <c r="J1870" s="1">
        <f>IFERROR(__xludf.DUMMYFUNCTION("""COMPUTED_VALUE"""),47.0)</f>
        <v>47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 t="str">
        <f>IFERROR(__xludf.DUMMYFUNCTION("""COMPUTED_VALUE"""),"C")</f>
        <v>C</v>
      </c>
      <c r="E1871" s="1">
        <f>IFERROR(__xludf.DUMMYFUNCTION("""COMPUTED_VALUE"""),73.0)</f>
        <v>73</v>
      </c>
      <c r="F1871" s="1">
        <f>IFERROR(__xludf.DUMMYFUNCTION("""COMPUTED_VALUE"""),67.0)</f>
        <v>67</v>
      </c>
      <c r="G1871" s="1">
        <f>IFERROR(__xludf.DUMMYFUNCTION("""COMPUTED_VALUE"""),69.0)</f>
        <v>69</v>
      </c>
      <c r="H1871" s="1">
        <f>IFERROR(__xludf.DUMMYFUNCTION("""COMPUTED_VALUE"""),36.0)</f>
        <v>36</v>
      </c>
      <c r="I1871" s="1">
        <f>IFERROR(__xludf.DUMMYFUNCTION("""COMPUTED_VALUE"""),80.0)</f>
        <v>80</v>
      </c>
      <c r="J1871" s="1">
        <f>IFERROR(__xludf.DUMMYFUNCTION("""COMPUTED_VALUE"""),42.0)</f>
        <v>42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 t="str">
        <f>IFERROR(__xludf.DUMMYFUNCTION("""COMPUTED_VALUE"""),"D")</f>
        <v>D</v>
      </c>
      <c r="E1872" s="1">
        <f>IFERROR(__xludf.DUMMYFUNCTION("""COMPUTED_VALUE"""),83.0)</f>
        <v>83</v>
      </c>
      <c r="F1872" s="1">
        <f>IFERROR(__xludf.DUMMYFUNCTION("""COMPUTED_VALUE"""),20.0)</f>
        <v>20</v>
      </c>
      <c r="G1872" s="1">
        <f>IFERROR(__xludf.DUMMYFUNCTION("""COMPUTED_VALUE"""),29.0)</f>
        <v>29</v>
      </c>
      <c r="H1872" s="1">
        <f>IFERROR(__xludf.DUMMYFUNCTION("""COMPUTED_VALUE"""),35.0)</f>
        <v>35</v>
      </c>
      <c r="I1872" s="1">
        <f>IFERROR(__xludf.DUMMYFUNCTION("""COMPUTED_VALUE"""),25.0)</f>
        <v>25</v>
      </c>
      <c r="J1872" s="1">
        <f>IFERROR(__xludf.DUMMYFUNCTION("""COMPUTED_VALUE"""),53.0)</f>
        <v>53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 t="str">
        <f>IFERROR(__xludf.DUMMYFUNCTION("""COMPUTED_VALUE"""),"B")</f>
        <v>B</v>
      </c>
      <c r="E1873" s="1">
        <f>IFERROR(__xludf.DUMMYFUNCTION("""COMPUTED_VALUE"""),76.0)</f>
        <v>76</v>
      </c>
      <c r="F1873" s="1">
        <f>IFERROR(__xludf.DUMMYFUNCTION("""COMPUTED_VALUE"""),33.0)</f>
        <v>33</v>
      </c>
      <c r="G1873" s="1">
        <f>IFERROR(__xludf.DUMMYFUNCTION("""COMPUTED_VALUE"""),86.0)</f>
        <v>86</v>
      </c>
      <c r="H1873" s="1">
        <f>IFERROR(__xludf.DUMMYFUNCTION("""COMPUTED_VALUE"""),78.0)</f>
        <v>78</v>
      </c>
      <c r="I1873" s="1">
        <f>IFERROR(__xludf.DUMMYFUNCTION("""COMPUTED_VALUE"""),22.0)</f>
        <v>22</v>
      </c>
      <c r="J1873" s="1">
        <f>IFERROR(__xludf.DUMMYFUNCTION("""COMPUTED_VALUE"""),53.0)</f>
        <v>53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 t="str">
        <f>IFERROR(__xludf.DUMMYFUNCTION("""COMPUTED_VALUE"""),"D")</f>
        <v>D</v>
      </c>
      <c r="E1874" s="1">
        <f>IFERROR(__xludf.DUMMYFUNCTION("""COMPUTED_VALUE"""),25.0)</f>
        <v>25</v>
      </c>
      <c r="F1874" s="1">
        <f>IFERROR(__xludf.DUMMYFUNCTION("""COMPUTED_VALUE"""),43.0)</f>
        <v>43</v>
      </c>
      <c r="G1874" s="1">
        <f>IFERROR(__xludf.DUMMYFUNCTION("""COMPUTED_VALUE"""),25.0)</f>
        <v>25</v>
      </c>
      <c r="H1874" s="1">
        <f>IFERROR(__xludf.DUMMYFUNCTION("""COMPUTED_VALUE"""),23.0)</f>
        <v>23</v>
      </c>
      <c r="I1874" s="1">
        <f>IFERROR(__xludf.DUMMYFUNCTION("""COMPUTED_VALUE"""),88.0)</f>
        <v>88</v>
      </c>
      <c r="J1874" s="1">
        <f>IFERROR(__xludf.DUMMYFUNCTION("""COMPUTED_VALUE"""),36.0)</f>
        <v>36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 t="str">
        <f>IFERROR(__xludf.DUMMYFUNCTION("""COMPUTED_VALUE"""),"D")</f>
        <v>D</v>
      </c>
      <c r="E1875" s="1">
        <f>IFERROR(__xludf.DUMMYFUNCTION("""COMPUTED_VALUE"""),48.0)</f>
        <v>48</v>
      </c>
      <c r="F1875" s="1">
        <f>IFERROR(__xludf.DUMMYFUNCTION("""COMPUTED_VALUE"""),27.0)</f>
        <v>27</v>
      </c>
      <c r="G1875" s="1">
        <f>IFERROR(__xludf.DUMMYFUNCTION("""COMPUTED_VALUE"""),65.0)</f>
        <v>65</v>
      </c>
      <c r="H1875" s="1">
        <f>IFERROR(__xludf.DUMMYFUNCTION("""COMPUTED_VALUE"""),90.0)</f>
        <v>90</v>
      </c>
      <c r="I1875" s="1">
        <f>IFERROR(__xludf.DUMMYFUNCTION("""COMPUTED_VALUE"""),88.0)</f>
        <v>88</v>
      </c>
      <c r="J1875" s="1">
        <f>IFERROR(__xludf.DUMMYFUNCTION("""COMPUTED_VALUE"""),72.0)</f>
        <v>72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 t="str">
        <f>IFERROR(__xludf.DUMMYFUNCTION("""COMPUTED_VALUE"""),"C")</f>
        <v>C</v>
      </c>
      <c r="E1876" s="1">
        <f>IFERROR(__xludf.DUMMYFUNCTION("""COMPUTED_VALUE"""),93.0)</f>
        <v>93</v>
      </c>
      <c r="F1876" s="1">
        <f>IFERROR(__xludf.DUMMYFUNCTION("""COMPUTED_VALUE"""),77.0)</f>
        <v>77</v>
      </c>
      <c r="G1876" s="1">
        <f>IFERROR(__xludf.DUMMYFUNCTION("""COMPUTED_VALUE"""),86.0)</f>
        <v>86</v>
      </c>
      <c r="H1876" s="1">
        <f>IFERROR(__xludf.DUMMYFUNCTION("""COMPUTED_VALUE"""),69.0)</f>
        <v>69</v>
      </c>
      <c r="I1876" s="1">
        <f>IFERROR(__xludf.DUMMYFUNCTION("""COMPUTED_VALUE"""),51.0)</f>
        <v>51</v>
      </c>
      <c r="J1876" s="1">
        <f>IFERROR(__xludf.DUMMYFUNCTION("""COMPUTED_VALUE"""),48.0)</f>
        <v>48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 t="str">
        <f>IFERROR(__xludf.DUMMYFUNCTION("""COMPUTED_VALUE"""),"D")</f>
        <v>D</v>
      </c>
      <c r="E1877" s="1">
        <f>IFERROR(__xludf.DUMMYFUNCTION("""COMPUTED_VALUE"""),33.0)</f>
        <v>33</v>
      </c>
      <c r="F1877" s="1">
        <f>IFERROR(__xludf.DUMMYFUNCTION("""COMPUTED_VALUE"""),75.0)</f>
        <v>75</v>
      </c>
      <c r="G1877" s="1">
        <f>IFERROR(__xludf.DUMMYFUNCTION("""COMPUTED_VALUE"""),86.0)</f>
        <v>86</v>
      </c>
      <c r="H1877" s="1">
        <f>IFERROR(__xludf.DUMMYFUNCTION("""COMPUTED_VALUE"""),71.0)</f>
        <v>71</v>
      </c>
      <c r="I1877" s="1">
        <f>IFERROR(__xludf.DUMMYFUNCTION("""COMPUTED_VALUE"""),70.0)</f>
        <v>70</v>
      </c>
      <c r="J1877" s="1">
        <f>IFERROR(__xludf.DUMMYFUNCTION("""COMPUTED_VALUE"""),43.0)</f>
        <v>43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 t="str">
        <f>IFERROR(__xludf.DUMMYFUNCTION("""COMPUTED_VALUE"""),"B")</f>
        <v>B</v>
      </c>
      <c r="E1878" s="1">
        <f>IFERROR(__xludf.DUMMYFUNCTION("""COMPUTED_VALUE"""),35.0)</f>
        <v>35</v>
      </c>
      <c r="F1878" s="1">
        <f>IFERROR(__xludf.DUMMYFUNCTION("""COMPUTED_VALUE"""),68.0)</f>
        <v>68</v>
      </c>
      <c r="G1878" s="1">
        <f>IFERROR(__xludf.DUMMYFUNCTION("""COMPUTED_VALUE"""),92.0)</f>
        <v>92</v>
      </c>
      <c r="H1878" s="1">
        <f>IFERROR(__xludf.DUMMYFUNCTION("""COMPUTED_VALUE"""),36.0)</f>
        <v>36</v>
      </c>
      <c r="I1878" s="1">
        <f>IFERROR(__xludf.DUMMYFUNCTION("""COMPUTED_VALUE"""),61.0)</f>
        <v>61</v>
      </c>
      <c r="J1878" s="1">
        <f>IFERROR(__xludf.DUMMYFUNCTION("""COMPUTED_VALUE"""),23.0)</f>
        <v>23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 t="str">
        <f>IFERROR(__xludf.DUMMYFUNCTION("""COMPUTED_VALUE"""),"D")</f>
        <v>D</v>
      </c>
      <c r="E1879" s="1">
        <f>IFERROR(__xludf.DUMMYFUNCTION("""COMPUTED_VALUE"""),55.0)</f>
        <v>55</v>
      </c>
      <c r="F1879" s="1">
        <f>IFERROR(__xludf.DUMMYFUNCTION("""COMPUTED_VALUE"""),72.0)</f>
        <v>72</v>
      </c>
      <c r="G1879" s="1">
        <f>IFERROR(__xludf.DUMMYFUNCTION("""COMPUTED_VALUE"""),35.0)</f>
        <v>35</v>
      </c>
      <c r="H1879" s="1">
        <f>IFERROR(__xludf.DUMMYFUNCTION("""COMPUTED_VALUE"""),46.0)</f>
        <v>46</v>
      </c>
      <c r="I1879" s="1">
        <f>IFERROR(__xludf.DUMMYFUNCTION("""COMPUTED_VALUE"""),25.0)</f>
        <v>25</v>
      </c>
      <c r="J1879" s="1">
        <f>IFERROR(__xludf.DUMMYFUNCTION("""COMPUTED_VALUE"""),34.0)</f>
        <v>34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 t="str">
        <f>IFERROR(__xludf.DUMMYFUNCTION("""COMPUTED_VALUE"""),"A")</f>
        <v>A</v>
      </c>
      <c r="E1880" s="1">
        <f>IFERROR(__xludf.DUMMYFUNCTION("""COMPUTED_VALUE"""),83.0)</f>
        <v>83</v>
      </c>
      <c r="F1880" s="1">
        <f>IFERROR(__xludf.DUMMYFUNCTION("""COMPUTED_VALUE"""),74.0)</f>
        <v>74</v>
      </c>
      <c r="G1880" s="1">
        <f>IFERROR(__xludf.DUMMYFUNCTION("""COMPUTED_VALUE"""),42.0)</f>
        <v>42</v>
      </c>
      <c r="H1880" s="1">
        <f>IFERROR(__xludf.DUMMYFUNCTION("""COMPUTED_VALUE"""),59.0)</f>
        <v>59</v>
      </c>
      <c r="I1880" s="1">
        <f>IFERROR(__xludf.DUMMYFUNCTION("""COMPUTED_VALUE"""),24.0)</f>
        <v>24</v>
      </c>
      <c r="J1880" s="1">
        <f>IFERROR(__xludf.DUMMYFUNCTION("""COMPUTED_VALUE"""),27.0)</f>
        <v>27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 t="str">
        <f>IFERROR(__xludf.DUMMYFUNCTION("""COMPUTED_VALUE"""),"A")</f>
        <v>A</v>
      </c>
      <c r="E1881" s="1">
        <f>IFERROR(__xludf.DUMMYFUNCTION("""COMPUTED_VALUE"""),77.0)</f>
        <v>77</v>
      </c>
      <c r="F1881" s="1">
        <f>IFERROR(__xludf.DUMMYFUNCTION("""COMPUTED_VALUE"""),63.0)</f>
        <v>63</v>
      </c>
      <c r="G1881" s="1">
        <f>IFERROR(__xludf.DUMMYFUNCTION("""COMPUTED_VALUE"""),52.0)</f>
        <v>52</v>
      </c>
      <c r="H1881" s="1">
        <f>IFERROR(__xludf.DUMMYFUNCTION("""COMPUTED_VALUE"""),51.0)</f>
        <v>51</v>
      </c>
      <c r="I1881" s="1">
        <f>IFERROR(__xludf.DUMMYFUNCTION("""COMPUTED_VALUE"""),25.0)</f>
        <v>25</v>
      </c>
      <c r="J1881" s="1">
        <f>IFERROR(__xludf.DUMMYFUNCTION("""COMPUTED_VALUE"""),78.0)</f>
        <v>78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 t="str">
        <f>IFERROR(__xludf.DUMMYFUNCTION("""COMPUTED_VALUE"""),"C")</f>
        <v>C</v>
      </c>
      <c r="E1882" s="1">
        <f>IFERROR(__xludf.DUMMYFUNCTION("""COMPUTED_VALUE"""),10.0)</f>
        <v>10</v>
      </c>
      <c r="F1882" s="1">
        <f>IFERROR(__xludf.DUMMYFUNCTION("""COMPUTED_VALUE"""),32.0)</f>
        <v>32</v>
      </c>
      <c r="G1882" s="1">
        <f>IFERROR(__xludf.DUMMYFUNCTION("""COMPUTED_VALUE"""),69.0)</f>
        <v>69</v>
      </c>
      <c r="H1882" s="1">
        <f>IFERROR(__xludf.DUMMYFUNCTION("""COMPUTED_VALUE"""),33.0)</f>
        <v>33</v>
      </c>
      <c r="I1882" s="1">
        <f>IFERROR(__xludf.DUMMYFUNCTION("""COMPUTED_VALUE"""),86.0)</f>
        <v>86</v>
      </c>
      <c r="J1882" s="1">
        <f>IFERROR(__xludf.DUMMYFUNCTION("""COMPUTED_VALUE"""),66.0)</f>
        <v>66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 t="str">
        <f>IFERROR(__xludf.DUMMYFUNCTION("""COMPUTED_VALUE"""),"B")</f>
        <v>B</v>
      </c>
      <c r="E1883" s="1">
        <f>IFERROR(__xludf.DUMMYFUNCTION("""COMPUTED_VALUE"""),52.0)</f>
        <v>52</v>
      </c>
      <c r="F1883" s="1">
        <f>IFERROR(__xludf.DUMMYFUNCTION("""COMPUTED_VALUE"""),20.0)</f>
        <v>20</v>
      </c>
      <c r="G1883" s="1">
        <f>IFERROR(__xludf.DUMMYFUNCTION("""COMPUTED_VALUE"""),83.0)</f>
        <v>83</v>
      </c>
      <c r="H1883" s="1">
        <f>IFERROR(__xludf.DUMMYFUNCTION("""COMPUTED_VALUE"""),69.0)</f>
        <v>69</v>
      </c>
      <c r="I1883" s="1">
        <f>IFERROR(__xludf.DUMMYFUNCTION("""COMPUTED_VALUE"""),22.0)</f>
        <v>22</v>
      </c>
      <c r="J1883" s="1">
        <f>IFERROR(__xludf.DUMMYFUNCTION("""COMPUTED_VALUE"""),50.0)</f>
        <v>50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 t="str">
        <f>IFERROR(__xludf.DUMMYFUNCTION("""COMPUTED_VALUE"""),"A")</f>
        <v>A</v>
      </c>
      <c r="E1884" s="1">
        <f>IFERROR(__xludf.DUMMYFUNCTION("""COMPUTED_VALUE"""),99.0)</f>
        <v>99</v>
      </c>
      <c r="F1884" s="1">
        <f>IFERROR(__xludf.DUMMYFUNCTION("""COMPUTED_VALUE"""),23.0)</f>
        <v>23</v>
      </c>
      <c r="G1884" s="1">
        <f>IFERROR(__xludf.DUMMYFUNCTION("""COMPUTED_VALUE"""),82.0)</f>
        <v>82</v>
      </c>
      <c r="H1884" s="1">
        <f>IFERROR(__xludf.DUMMYFUNCTION("""COMPUTED_VALUE"""),83.0)</f>
        <v>83</v>
      </c>
      <c r="I1884" s="1">
        <f>IFERROR(__xludf.DUMMYFUNCTION("""COMPUTED_VALUE"""),46.0)</f>
        <v>46</v>
      </c>
      <c r="J1884" s="1">
        <f>IFERROR(__xludf.DUMMYFUNCTION("""COMPUTED_VALUE"""),79.0)</f>
        <v>79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 t="str">
        <f>IFERROR(__xludf.DUMMYFUNCTION("""COMPUTED_VALUE"""),"C")</f>
        <v>C</v>
      </c>
      <c r="E1885" s="1">
        <f>IFERROR(__xludf.DUMMYFUNCTION("""COMPUTED_VALUE"""),72.0)</f>
        <v>72</v>
      </c>
      <c r="F1885" s="1">
        <f>IFERROR(__xludf.DUMMYFUNCTION("""COMPUTED_VALUE"""),98.0)</f>
        <v>98</v>
      </c>
      <c r="G1885" s="1">
        <f>IFERROR(__xludf.DUMMYFUNCTION("""COMPUTED_VALUE"""),84.0)</f>
        <v>84</v>
      </c>
      <c r="H1885" s="1">
        <f>IFERROR(__xludf.DUMMYFUNCTION("""COMPUTED_VALUE"""),89.0)</f>
        <v>89</v>
      </c>
      <c r="I1885" s="1">
        <f>IFERROR(__xludf.DUMMYFUNCTION("""COMPUTED_VALUE"""),49.0)</f>
        <v>49</v>
      </c>
      <c r="J1885" s="1">
        <f>IFERROR(__xludf.DUMMYFUNCTION("""COMPUTED_VALUE"""),26.0)</f>
        <v>26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 t="str">
        <f>IFERROR(__xludf.DUMMYFUNCTION("""COMPUTED_VALUE"""),"A")</f>
        <v>A</v>
      </c>
      <c r="E1886" s="1">
        <f>IFERROR(__xludf.DUMMYFUNCTION("""COMPUTED_VALUE"""),24.0)</f>
        <v>24</v>
      </c>
      <c r="F1886" s="1">
        <f>IFERROR(__xludf.DUMMYFUNCTION("""COMPUTED_VALUE"""),94.0)</f>
        <v>94</v>
      </c>
      <c r="G1886" s="1">
        <f>IFERROR(__xludf.DUMMYFUNCTION("""COMPUTED_VALUE"""),25.0)</f>
        <v>25</v>
      </c>
      <c r="H1886" s="1">
        <f>IFERROR(__xludf.DUMMYFUNCTION("""COMPUTED_VALUE"""),32.0)</f>
        <v>32</v>
      </c>
      <c r="I1886" s="1">
        <f>IFERROR(__xludf.DUMMYFUNCTION("""COMPUTED_VALUE"""),22.0)</f>
        <v>22</v>
      </c>
      <c r="J1886" s="1">
        <f>IFERROR(__xludf.DUMMYFUNCTION("""COMPUTED_VALUE"""),56.0)</f>
        <v>56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 t="str">
        <f>IFERROR(__xludf.DUMMYFUNCTION("""COMPUTED_VALUE"""),"C")</f>
        <v>C</v>
      </c>
      <c r="E1887" s="1">
        <f>IFERROR(__xludf.DUMMYFUNCTION("""COMPUTED_VALUE"""),69.0)</f>
        <v>69</v>
      </c>
      <c r="F1887" s="1">
        <f>IFERROR(__xludf.DUMMYFUNCTION("""COMPUTED_VALUE"""),38.0)</f>
        <v>38</v>
      </c>
      <c r="G1887" s="1">
        <f>IFERROR(__xludf.DUMMYFUNCTION("""COMPUTED_VALUE"""),42.0)</f>
        <v>42</v>
      </c>
      <c r="H1887" s="1">
        <f>IFERROR(__xludf.DUMMYFUNCTION("""COMPUTED_VALUE"""),30.0)</f>
        <v>30</v>
      </c>
      <c r="I1887" s="1">
        <f>IFERROR(__xludf.DUMMYFUNCTION("""COMPUTED_VALUE"""),47.0)</f>
        <v>47</v>
      </c>
      <c r="J1887" s="1">
        <f>IFERROR(__xludf.DUMMYFUNCTION("""COMPUTED_VALUE"""),86.0)</f>
        <v>86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 t="str">
        <f>IFERROR(__xludf.DUMMYFUNCTION("""COMPUTED_VALUE"""),"A")</f>
        <v>A</v>
      </c>
      <c r="E1888" s="1">
        <f>IFERROR(__xludf.DUMMYFUNCTION("""COMPUTED_VALUE"""),56.0)</f>
        <v>56</v>
      </c>
      <c r="F1888" s="1">
        <f>IFERROR(__xludf.DUMMYFUNCTION("""COMPUTED_VALUE"""),22.0)</f>
        <v>22</v>
      </c>
      <c r="G1888" s="1">
        <f>IFERROR(__xludf.DUMMYFUNCTION("""COMPUTED_VALUE"""),56.0)</f>
        <v>56</v>
      </c>
      <c r="H1888" s="1">
        <f>IFERROR(__xludf.DUMMYFUNCTION("""COMPUTED_VALUE"""),36.0)</f>
        <v>36</v>
      </c>
      <c r="I1888" s="1">
        <f>IFERROR(__xludf.DUMMYFUNCTION("""COMPUTED_VALUE"""),56.0)</f>
        <v>56</v>
      </c>
      <c r="J1888" s="1">
        <f>IFERROR(__xludf.DUMMYFUNCTION("""COMPUTED_VALUE"""),85.0)</f>
        <v>85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 t="str">
        <f>IFERROR(__xludf.DUMMYFUNCTION("""COMPUTED_VALUE"""),"D")</f>
        <v>D</v>
      </c>
      <c r="E1889" s="1">
        <f>IFERROR(__xludf.DUMMYFUNCTION("""COMPUTED_VALUE"""),62.0)</f>
        <v>62</v>
      </c>
      <c r="F1889" s="1">
        <f>IFERROR(__xludf.DUMMYFUNCTION("""COMPUTED_VALUE"""),90.0)</f>
        <v>90</v>
      </c>
      <c r="G1889" s="1">
        <f>IFERROR(__xludf.DUMMYFUNCTION("""COMPUTED_VALUE"""),81.0)</f>
        <v>81</v>
      </c>
      <c r="H1889" s="1">
        <f>IFERROR(__xludf.DUMMYFUNCTION("""COMPUTED_VALUE"""),38.0)</f>
        <v>38</v>
      </c>
      <c r="I1889" s="1">
        <f>IFERROR(__xludf.DUMMYFUNCTION("""COMPUTED_VALUE"""),55.0)</f>
        <v>55</v>
      </c>
      <c r="J1889" s="1">
        <f>IFERROR(__xludf.DUMMYFUNCTION("""COMPUTED_VALUE"""),24.0)</f>
        <v>24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 t="str">
        <f>IFERROR(__xludf.DUMMYFUNCTION("""COMPUTED_VALUE"""),"D")</f>
        <v>D</v>
      </c>
      <c r="E1890" s="1">
        <f>IFERROR(__xludf.DUMMYFUNCTION("""COMPUTED_VALUE"""),23.0)</f>
        <v>23</v>
      </c>
      <c r="F1890" s="1">
        <f>IFERROR(__xludf.DUMMYFUNCTION("""COMPUTED_VALUE"""),21.0)</f>
        <v>21</v>
      </c>
      <c r="G1890" s="1">
        <f>IFERROR(__xludf.DUMMYFUNCTION("""COMPUTED_VALUE"""),67.0)</f>
        <v>67</v>
      </c>
      <c r="H1890" s="1">
        <f>IFERROR(__xludf.DUMMYFUNCTION("""COMPUTED_VALUE"""),60.0)</f>
        <v>60</v>
      </c>
      <c r="I1890" s="1">
        <f>IFERROR(__xludf.DUMMYFUNCTION("""COMPUTED_VALUE"""),50.0)</f>
        <v>50</v>
      </c>
      <c r="J1890" s="1">
        <f>IFERROR(__xludf.DUMMYFUNCTION("""COMPUTED_VALUE"""),63.0)</f>
        <v>63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 t="str">
        <f>IFERROR(__xludf.DUMMYFUNCTION("""COMPUTED_VALUE"""),"B")</f>
        <v>B</v>
      </c>
      <c r="E1891" s="1">
        <f>IFERROR(__xludf.DUMMYFUNCTION("""COMPUTED_VALUE"""),94.0)</f>
        <v>94</v>
      </c>
      <c r="F1891" s="1">
        <f>IFERROR(__xludf.DUMMYFUNCTION("""COMPUTED_VALUE"""),95.0)</f>
        <v>95</v>
      </c>
      <c r="G1891" s="1">
        <f>IFERROR(__xludf.DUMMYFUNCTION("""COMPUTED_VALUE"""),21.0)</f>
        <v>21</v>
      </c>
      <c r="H1891" s="1">
        <f>IFERROR(__xludf.DUMMYFUNCTION("""COMPUTED_VALUE"""),71.0)</f>
        <v>71</v>
      </c>
      <c r="I1891" s="1">
        <f>IFERROR(__xludf.DUMMYFUNCTION("""COMPUTED_VALUE"""),60.0)</f>
        <v>60</v>
      </c>
      <c r="J1891" s="1">
        <f>IFERROR(__xludf.DUMMYFUNCTION("""COMPUTED_VALUE"""),27.0)</f>
        <v>27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 t="str">
        <f>IFERROR(__xludf.DUMMYFUNCTION("""COMPUTED_VALUE"""),"D")</f>
        <v>D</v>
      </c>
      <c r="E1892" s="1">
        <f>IFERROR(__xludf.DUMMYFUNCTION("""COMPUTED_VALUE"""),10.0)</f>
        <v>10</v>
      </c>
      <c r="F1892" s="1">
        <f>IFERROR(__xludf.DUMMYFUNCTION("""COMPUTED_VALUE"""),81.0)</f>
        <v>81</v>
      </c>
      <c r="G1892" s="1">
        <f>IFERROR(__xludf.DUMMYFUNCTION("""COMPUTED_VALUE"""),20.0)</f>
        <v>20</v>
      </c>
      <c r="H1892" s="1">
        <f>IFERROR(__xludf.DUMMYFUNCTION("""COMPUTED_VALUE"""),80.0)</f>
        <v>80</v>
      </c>
      <c r="I1892" s="1">
        <f>IFERROR(__xludf.DUMMYFUNCTION("""COMPUTED_VALUE"""),69.0)</f>
        <v>69</v>
      </c>
      <c r="J1892" s="1">
        <f>IFERROR(__xludf.DUMMYFUNCTION("""COMPUTED_VALUE"""),49.0)</f>
        <v>49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 t="str">
        <f>IFERROR(__xludf.DUMMYFUNCTION("""COMPUTED_VALUE"""),"C")</f>
        <v>C</v>
      </c>
      <c r="E1893" s="1">
        <f>IFERROR(__xludf.DUMMYFUNCTION("""COMPUTED_VALUE"""),35.0)</f>
        <v>35</v>
      </c>
      <c r="F1893" s="1">
        <f>IFERROR(__xludf.DUMMYFUNCTION("""COMPUTED_VALUE"""),64.0)</f>
        <v>64</v>
      </c>
      <c r="G1893" s="1">
        <f>IFERROR(__xludf.DUMMYFUNCTION("""COMPUTED_VALUE"""),21.0)</f>
        <v>21</v>
      </c>
      <c r="H1893" s="1">
        <f>IFERROR(__xludf.DUMMYFUNCTION("""COMPUTED_VALUE"""),98.0)</f>
        <v>98</v>
      </c>
      <c r="I1893" s="1">
        <f>IFERROR(__xludf.DUMMYFUNCTION("""COMPUTED_VALUE"""),24.0)</f>
        <v>24</v>
      </c>
      <c r="J1893" s="1">
        <f>IFERROR(__xludf.DUMMYFUNCTION("""COMPUTED_VALUE"""),39.0)</f>
        <v>39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 t="str">
        <f>IFERROR(__xludf.DUMMYFUNCTION("""COMPUTED_VALUE"""),"A")</f>
        <v>A</v>
      </c>
      <c r="E1894" s="1">
        <f>IFERROR(__xludf.DUMMYFUNCTION("""COMPUTED_VALUE"""),10.0)</f>
        <v>10</v>
      </c>
      <c r="F1894" s="1">
        <f>IFERROR(__xludf.DUMMYFUNCTION("""COMPUTED_VALUE"""),60.0)</f>
        <v>60</v>
      </c>
      <c r="G1894" s="1">
        <f>IFERROR(__xludf.DUMMYFUNCTION("""COMPUTED_VALUE"""),59.0)</f>
        <v>59</v>
      </c>
      <c r="H1894" s="1">
        <f>IFERROR(__xludf.DUMMYFUNCTION("""COMPUTED_VALUE"""),63.0)</f>
        <v>63</v>
      </c>
      <c r="I1894" s="1">
        <f>IFERROR(__xludf.DUMMYFUNCTION("""COMPUTED_VALUE"""),67.0)</f>
        <v>67</v>
      </c>
      <c r="J1894" s="1">
        <f>IFERROR(__xludf.DUMMYFUNCTION("""COMPUTED_VALUE"""),21.0)</f>
        <v>21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 t="str">
        <f>IFERROR(__xludf.DUMMYFUNCTION("""COMPUTED_VALUE"""),"C")</f>
        <v>C</v>
      </c>
      <c r="E1895" s="1">
        <f>IFERROR(__xludf.DUMMYFUNCTION("""COMPUTED_VALUE"""),99.0)</f>
        <v>99</v>
      </c>
      <c r="F1895" s="1">
        <f>IFERROR(__xludf.DUMMYFUNCTION("""COMPUTED_VALUE"""),50.0)</f>
        <v>50</v>
      </c>
      <c r="G1895" s="1">
        <f>IFERROR(__xludf.DUMMYFUNCTION("""COMPUTED_VALUE"""),43.0)</f>
        <v>43</v>
      </c>
      <c r="H1895" s="1">
        <f>IFERROR(__xludf.DUMMYFUNCTION("""COMPUTED_VALUE"""),39.0)</f>
        <v>39</v>
      </c>
      <c r="I1895" s="1">
        <f>IFERROR(__xludf.DUMMYFUNCTION("""COMPUTED_VALUE"""),83.0)</f>
        <v>83</v>
      </c>
      <c r="J1895" s="1">
        <f>IFERROR(__xludf.DUMMYFUNCTION("""COMPUTED_VALUE"""),83.0)</f>
        <v>83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 t="str">
        <f>IFERROR(__xludf.DUMMYFUNCTION("""COMPUTED_VALUE"""),"B")</f>
        <v>B</v>
      </c>
      <c r="E1896" s="1">
        <f>IFERROR(__xludf.DUMMYFUNCTION("""COMPUTED_VALUE"""),95.0)</f>
        <v>95</v>
      </c>
      <c r="F1896" s="1">
        <f>IFERROR(__xludf.DUMMYFUNCTION("""COMPUTED_VALUE"""),53.0)</f>
        <v>53</v>
      </c>
      <c r="G1896" s="1">
        <f>IFERROR(__xludf.DUMMYFUNCTION("""COMPUTED_VALUE"""),96.0)</f>
        <v>96</v>
      </c>
      <c r="H1896" s="1">
        <f>IFERROR(__xludf.DUMMYFUNCTION("""COMPUTED_VALUE"""),31.0)</f>
        <v>31</v>
      </c>
      <c r="I1896" s="1">
        <f>IFERROR(__xludf.DUMMYFUNCTION("""COMPUTED_VALUE"""),51.0)</f>
        <v>51</v>
      </c>
      <c r="J1896" s="1">
        <f>IFERROR(__xludf.DUMMYFUNCTION("""COMPUTED_VALUE"""),98.0)</f>
        <v>98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 t="str">
        <f>IFERROR(__xludf.DUMMYFUNCTION("""COMPUTED_VALUE"""),"A")</f>
        <v>A</v>
      </c>
      <c r="E1897" s="1">
        <f>IFERROR(__xludf.DUMMYFUNCTION("""COMPUTED_VALUE"""),94.0)</f>
        <v>94</v>
      </c>
      <c r="F1897" s="1">
        <f>IFERROR(__xludf.DUMMYFUNCTION("""COMPUTED_VALUE"""),24.0)</f>
        <v>24</v>
      </c>
      <c r="G1897" s="1">
        <f>IFERROR(__xludf.DUMMYFUNCTION("""COMPUTED_VALUE"""),92.0)</f>
        <v>92</v>
      </c>
      <c r="H1897" s="1">
        <f>IFERROR(__xludf.DUMMYFUNCTION("""COMPUTED_VALUE"""),57.0)</f>
        <v>57</v>
      </c>
      <c r="I1897" s="1">
        <f>IFERROR(__xludf.DUMMYFUNCTION("""COMPUTED_VALUE"""),90.0)</f>
        <v>90</v>
      </c>
      <c r="J1897" s="1">
        <f>IFERROR(__xludf.DUMMYFUNCTION("""COMPUTED_VALUE"""),96.0)</f>
        <v>96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 t="str">
        <f>IFERROR(__xludf.DUMMYFUNCTION("""COMPUTED_VALUE"""),"A")</f>
        <v>A</v>
      </c>
      <c r="E1898" s="1">
        <f>IFERROR(__xludf.DUMMYFUNCTION("""COMPUTED_VALUE"""),66.0)</f>
        <v>66</v>
      </c>
      <c r="F1898" s="1">
        <f>IFERROR(__xludf.DUMMYFUNCTION("""COMPUTED_VALUE"""),46.0)</f>
        <v>46</v>
      </c>
      <c r="G1898" s="1">
        <f>IFERROR(__xludf.DUMMYFUNCTION("""COMPUTED_VALUE"""),90.0)</f>
        <v>90</v>
      </c>
      <c r="H1898" s="1">
        <f>IFERROR(__xludf.DUMMYFUNCTION("""COMPUTED_VALUE"""),41.0)</f>
        <v>41</v>
      </c>
      <c r="I1898" s="1">
        <f>IFERROR(__xludf.DUMMYFUNCTION("""COMPUTED_VALUE"""),88.0)</f>
        <v>88</v>
      </c>
      <c r="J1898" s="1">
        <f>IFERROR(__xludf.DUMMYFUNCTION("""COMPUTED_VALUE"""),85.0)</f>
        <v>85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 t="str">
        <f>IFERROR(__xludf.DUMMYFUNCTION("""COMPUTED_VALUE"""),"A")</f>
        <v>A</v>
      </c>
      <c r="E1899" s="1">
        <f>IFERROR(__xludf.DUMMYFUNCTION("""COMPUTED_VALUE"""),52.0)</f>
        <v>52</v>
      </c>
      <c r="F1899" s="1">
        <f>IFERROR(__xludf.DUMMYFUNCTION("""COMPUTED_VALUE"""),72.0)</f>
        <v>72</v>
      </c>
      <c r="G1899" s="1">
        <f>IFERROR(__xludf.DUMMYFUNCTION("""COMPUTED_VALUE"""),97.0)</f>
        <v>97</v>
      </c>
      <c r="H1899" s="1">
        <f>IFERROR(__xludf.DUMMYFUNCTION("""COMPUTED_VALUE"""),35.0)</f>
        <v>35</v>
      </c>
      <c r="I1899" s="1">
        <f>IFERROR(__xludf.DUMMYFUNCTION("""COMPUTED_VALUE"""),57.0)</f>
        <v>57</v>
      </c>
      <c r="J1899" s="1">
        <f>IFERROR(__xludf.DUMMYFUNCTION("""COMPUTED_VALUE"""),61.0)</f>
        <v>61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 t="str">
        <f>IFERROR(__xludf.DUMMYFUNCTION("""COMPUTED_VALUE"""),"D")</f>
        <v>D</v>
      </c>
      <c r="E1900" s="1">
        <f>IFERROR(__xludf.DUMMYFUNCTION("""COMPUTED_VALUE"""),42.0)</f>
        <v>42</v>
      </c>
      <c r="F1900" s="1">
        <f>IFERROR(__xludf.DUMMYFUNCTION("""COMPUTED_VALUE"""),30.0)</f>
        <v>30</v>
      </c>
      <c r="G1900" s="1">
        <f>IFERROR(__xludf.DUMMYFUNCTION("""COMPUTED_VALUE"""),24.0)</f>
        <v>24</v>
      </c>
      <c r="H1900" s="1">
        <f>IFERROR(__xludf.DUMMYFUNCTION("""COMPUTED_VALUE"""),40.0)</f>
        <v>40</v>
      </c>
      <c r="I1900" s="1">
        <f>IFERROR(__xludf.DUMMYFUNCTION("""COMPUTED_VALUE"""),77.0)</f>
        <v>77</v>
      </c>
      <c r="J1900" s="1">
        <f>IFERROR(__xludf.DUMMYFUNCTION("""COMPUTED_VALUE"""),32.0)</f>
        <v>32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 t="str">
        <f>IFERROR(__xludf.DUMMYFUNCTION("""COMPUTED_VALUE"""),"C")</f>
        <v>C</v>
      </c>
      <c r="E1901" s="1">
        <f>IFERROR(__xludf.DUMMYFUNCTION("""COMPUTED_VALUE"""),79.0)</f>
        <v>79</v>
      </c>
      <c r="F1901" s="1">
        <f>IFERROR(__xludf.DUMMYFUNCTION("""COMPUTED_VALUE"""),95.0)</f>
        <v>95</v>
      </c>
      <c r="G1901" s="1">
        <f>IFERROR(__xludf.DUMMYFUNCTION("""COMPUTED_VALUE"""),62.0)</f>
        <v>62</v>
      </c>
      <c r="H1901" s="1">
        <f>IFERROR(__xludf.DUMMYFUNCTION("""COMPUTED_VALUE"""),39.0)</f>
        <v>39</v>
      </c>
      <c r="I1901" s="1">
        <f>IFERROR(__xludf.DUMMYFUNCTION("""COMPUTED_VALUE"""),86.0)</f>
        <v>86</v>
      </c>
      <c r="J1901" s="1">
        <f>IFERROR(__xludf.DUMMYFUNCTION("""COMPUTED_VALUE"""),91.0)</f>
        <v>91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 t="str">
        <f>IFERROR(__xludf.DUMMYFUNCTION("""COMPUTED_VALUE"""),"A")</f>
        <v>A</v>
      </c>
      <c r="E1902" s="1">
        <f>IFERROR(__xludf.DUMMYFUNCTION("""COMPUTED_VALUE"""),36.0)</f>
        <v>36</v>
      </c>
      <c r="F1902" s="1">
        <f>IFERROR(__xludf.DUMMYFUNCTION("""COMPUTED_VALUE"""),45.0)</f>
        <v>45</v>
      </c>
      <c r="G1902" s="1">
        <f>IFERROR(__xludf.DUMMYFUNCTION("""COMPUTED_VALUE"""),62.0)</f>
        <v>62</v>
      </c>
      <c r="H1902" s="1">
        <f>IFERROR(__xludf.DUMMYFUNCTION("""COMPUTED_VALUE"""),98.0)</f>
        <v>98</v>
      </c>
      <c r="I1902" s="1">
        <f>IFERROR(__xludf.DUMMYFUNCTION("""COMPUTED_VALUE"""),27.0)</f>
        <v>27</v>
      </c>
      <c r="J1902" s="1">
        <f>IFERROR(__xludf.DUMMYFUNCTION("""COMPUTED_VALUE"""),64.0)</f>
        <v>64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 t="str">
        <f>IFERROR(__xludf.DUMMYFUNCTION("""COMPUTED_VALUE"""),"C")</f>
        <v>C</v>
      </c>
      <c r="E1903" s="1">
        <f>IFERROR(__xludf.DUMMYFUNCTION("""COMPUTED_VALUE"""),13.0)</f>
        <v>13</v>
      </c>
      <c r="F1903" s="1">
        <f>IFERROR(__xludf.DUMMYFUNCTION("""COMPUTED_VALUE"""),39.0)</f>
        <v>39</v>
      </c>
      <c r="G1903" s="1">
        <f>IFERROR(__xludf.DUMMYFUNCTION("""COMPUTED_VALUE"""),72.0)</f>
        <v>72</v>
      </c>
      <c r="H1903" s="1">
        <f>IFERROR(__xludf.DUMMYFUNCTION("""COMPUTED_VALUE"""),42.0)</f>
        <v>42</v>
      </c>
      <c r="I1903" s="1">
        <f>IFERROR(__xludf.DUMMYFUNCTION("""COMPUTED_VALUE"""),65.0)</f>
        <v>65</v>
      </c>
      <c r="J1903" s="1">
        <f>IFERROR(__xludf.DUMMYFUNCTION("""COMPUTED_VALUE"""),57.0)</f>
        <v>57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 t="str">
        <f>IFERROR(__xludf.DUMMYFUNCTION("""COMPUTED_VALUE"""),"A")</f>
        <v>A</v>
      </c>
      <c r="E1904" s="1">
        <f>IFERROR(__xludf.DUMMYFUNCTION("""COMPUTED_VALUE"""),47.0)</f>
        <v>47</v>
      </c>
      <c r="F1904" s="1">
        <f>IFERROR(__xludf.DUMMYFUNCTION("""COMPUTED_VALUE"""),48.0)</f>
        <v>48</v>
      </c>
      <c r="G1904" s="1">
        <f>IFERROR(__xludf.DUMMYFUNCTION("""COMPUTED_VALUE"""),62.0)</f>
        <v>62</v>
      </c>
      <c r="H1904" s="1">
        <f>IFERROR(__xludf.DUMMYFUNCTION("""COMPUTED_VALUE"""),59.0)</f>
        <v>59</v>
      </c>
      <c r="I1904" s="1">
        <f>IFERROR(__xludf.DUMMYFUNCTION("""COMPUTED_VALUE"""),70.0)</f>
        <v>70</v>
      </c>
      <c r="J1904" s="1">
        <f>IFERROR(__xludf.DUMMYFUNCTION("""COMPUTED_VALUE"""),43.0)</f>
        <v>43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 t="str">
        <f>IFERROR(__xludf.DUMMYFUNCTION("""COMPUTED_VALUE"""),"A")</f>
        <v>A</v>
      </c>
      <c r="E1905" s="1">
        <f>IFERROR(__xludf.DUMMYFUNCTION("""COMPUTED_VALUE"""),60.0)</f>
        <v>60</v>
      </c>
      <c r="F1905" s="1">
        <f>IFERROR(__xludf.DUMMYFUNCTION("""COMPUTED_VALUE"""),22.0)</f>
        <v>22</v>
      </c>
      <c r="G1905" s="1">
        <f>IFERROR(__xludf.DUMMYFUNCTION("""COMPUTED_VALUE"""),37.0)</f>
        <v>37</v>
      </c>
      <c r="H1905" s="1">
        <f>IFERROR(__xludf.DUMMYFUNCTION("""COMPUTED_VALUE"""),56.0)</f>
        <v>56</v>
      </c>
      <c r="I1905" s="1">
        <f>IFERROR(__xludf.DUMMYFUNCTION("""COMPUTED_VALUE"""),26.0)</f>
        <v>26</v>
      </c>
      <c r="J1905" s="1">
        <f>IFERROR(__xludf.DUMMYFUNCTION("""COMPUTED_VALUE"""),76.0)</f>
        <v>76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 t="str">
        <f>IFERROR(__xludf.DUMMYFUNCTION("""COMPUTED_VALUE"""),"A")</f>
        <v>A</v>
      </c>
      <c r="E1906" s="1">
        <f>IFERROR(__xludf.DUMMYFUNCTION("""COMPUTED_VALUE"""),75.0)</f>
        <v>75</v>
      </c>
      <c r="F1906" s="1">
        <f>IFERROR(__xludf.DUMMYFUNCTION("""COMPUTED_VALUE"""),84.0)</f>
        <v>84</v>
      </c>
      <c r="G1906" s="1">
        <f>IFERROR(__xludf.DUMMYFUNCTION("""COMPUTED_VALUE"""),90.0)</f>
        <v>90</v>
      </c>
      <c r="H1906" s="1">
        <f>IFERROR(__xludf.DUMMYFUNCTION("""COMPUTED_VALUE"""),71.0)</f>
        <v>71</v>
      </c>
      <c r="I1906" s="1">
        <f>IFERROR(__xludf.DUMMYFUNCTION("""COMPUTED_VALUE"""),51.0)</f>
        <v>51</v>
      </c>
      <c r="J1906" s="1">
        <f>IFERROR(__xludf.DUMMYFUNCTION("""COMPUTED_VALUE"""),80.0)</f>
        <v>80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 t="str">
        <f>IFERROR(__xludf.DUMMYFUNCTION("""COMPUTED_VALUE"""),"B")</f>
        <v>B</v>
      </c>
      <c r="E1907" s="1">
        <f>IFERROR(__xludf.DUMMYFUNCTION("""COMPUTED_VALUE"""),26.0)</f>
        <v>26</v>
      </c>
      <c r="F1907" s="1">
        <f>IFERROR(__xludf.DUMMYFUNCTION("""COMPUTED_VALUE"""),75.0)</f>
        <v>75</v>
      </c>
      <c r="G1907" s="1">
        <f>IFERROR(__xludf.DUMMYFUNCTION("""COMPUTED_VALUE"""),20.0)</f>
        <v>20</v>
      </c>
      <c r="H1907" s="1">
        <f>IFERROR(__xludf.DUMMYFUNCTION("""COMPUTED_VALUE"""),46.0)</f>
        <v>46</v>
      </c>
      <c r="I1907" s="1">
        <f>IFERROR(__xludf.DUMMYFUNCTION("""COMPUTED_VALUE"""),37.0)</f>
        <v>37</v>
      </c>
      <c r="J1907" s="1">
        <f>IFERROR(__xludf.DUMMYFUNCTION("""COMPUTED_VALUE"""),86.0)</f>
        <v>86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 t="str">
        <f>IFERROR(__xludf.DUMMYFUNCTION("""COMPUTED_VALUE"""),"C")</f>
        <v>C</v>
      </c>
      <c r="E1908" s="1">
        <f>IFERROR(__xludf.DUMMYFUNCTION("""COMPUTED_VALUE"""),85.0)</f>
        <v>85</v>
      </c>
      <c r="F1908" s="1">
        <f>IFERROR(__xludf.DUMMYFUNCTION("""COMPUTED_VALUE"""),94.0)</f>
        <v>94</v>
      </c>
      <c r="G1908" s="1">
        <f>IFERROR(__xludf.DUMMYFUNCTION("""COMPUTED_VALUE"""),77.0)</f>
        <v>77</v>
      </c>
      <c r="H1908" s="1">
        <f>IFERROR(__xludf.DUMMYFUNCTION("""COMPUTED_VALUE"""),53.0)</f>
        <v>53</v>
      </c>
      <c r="I1908" s="1">
        <f>IFERROR(__xludf.DUMMYFUNCTION("""COMPUTED_VALUE"""),67.0)</f>
        <v>67</v>
      </c>
      <c r="J1908" s="1">
        <f>IFERROR(__xludf.DUMMYFUNCTION("""COMPUTED_VALUE"""),28.0)</f>
        <v>28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 t="str">
        <f>IFERROR(__xludf.DUMMYFUNCTION("""COMPUTED_VALUE"""),"A")</f>
        <v>A</v>
      </c>
      <c r="E1909" s="1">
        <f>IFERROR(__xludf.DUMMYFUNCTION("""COMPUTED_VALUE"""),71.0)</f>
        <v>71</v>
      </c>
      <c r="F1909" s="1">
        <f>IFERROR(__xludf.DUMMYFUNCTION("""COMPUTED_VALUE"""),44.0)</f>
        <v>44</v>
      </c>
      <c r="G1909" s="1">
        <f>IFERROR(__xludf.DUMMYFUNCTION("""COMPUTED_VALUE"""),44.0)</f>
        <v>44</v>
      </c>
      <c r="H1909" s="1">
        <f>IFERROR(__xludf.DUMMYFUNCTION("""COMPUTED_VALUE"""),78.0)</f>
        <v>78</v>
      </c>
      <c r="I1909" s="1">
        <f>IFERROR(__xludf.DUMMYFUNCTION("""COMPUTED_VALUE"""),84.0)</f>
        <v>84</v>
      </c>
      <c r="J1909" s="1">
        <f>IFERROR(__xludf.DUMMYFUNCTION("""COMPUTED_VALUE"""),40.0)</f>
        <v>40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 t="str">
        <f>IFERROR(__xludf.DUMMYFUNCTION("""COMPUTED_VALUE"""),"D")</f>
        <v>D</v>
      </c>
      <c r="E1910" s="1">
        <f>IFERROR(__xludf.DUMMYFUNCTION("""COMPUTED_VALUE"""),37.0)</f>
        <v>37</v>
      </c>
      <c r="F1910" s="1">
        <f>IFERROR(__xludf.DUMMYFUNCTION("""COMPUTED_VALUE"""),37.0)</f>
        <v>37</v>
      </c>
      <c r="G1910" s="1">
        <f>IFERROR(__xludf.DUMMYFUNCTION("""COMPUTED_VALUE"""),71.0)</f>
        <v>71</v>
      </c>
      <c r="H1910" s="1">
        <f>IFERROR(__xludf.DUMMYFUNCTION("""COMPUTED_VALUE"""),78.0)</f>
        <v>78</v>
      </c>
      <c r="I1910" s="1">
        <f>IFERROR(__xludf.DUMMYFUNCTION("""COMPUTED_VALUE"""),47.0)</f>
        <v>47</v>
      </c>
      <c r="J1910" s="1">
        <f>IFERROR(__xludf.DUMMYFUNCTION("""COMPUTED_VALUE"""),26.0)</f>
        <v>26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 t="str">
        <f>IFERROR(__xludf.DUMMYFUNCTION("""COMPUTED_VALUE"""),"B")</f>
        <v>B</v>
      </c>
      <c r="E1911" s="1">
        <f>IFERROR(__xludf.DUMMYFUNCTION("""COMPUTED_VALUE"""),71.0)</f>
        <v>71</v>
      </c>
      <c r="F1911" s="1">
        <f>IFERROR(__xludf.DUMMYFUNCTION("""COMPUTED_VALUE"""),81.0)</f>
        <v>81</v>
      </c>
      <c r="G1911" s="1">
        <f>IFERROR(__xludf.DUMMYFUNCTION("""COMPUTED_VALUE"""),73.0)</f>
        <v>73</v>
      </c>
      <c r="H1911" s="1">
        <f>IFERROR(__xludf.DUMMYFUNCTION("""COMPUTED_VALUE"""),61.0)</f>
        <v>61</v>
      </c>
      <c r="I1911" s="1">
        <f>IFERROR(__xludf.DUMMYFUNCTION("""COMPUTED_VALUE"""),73.0)</f>
        <v>73</v>
      </c>
      <c r="J1911" s="1">
        <f>IFERROR(__xludf.DUMMYFUNCTION("""COMPUTED_VALUE"""),25.0)</f>
        <v>25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 t="str">
        <f>IFERROR(__xludf.DUMMYFUNCTION("""COMPUTED_VALUE"""),"B")</f>
        <v>B</v>
      </c>
      <c r="E1912" s="1">
        <f>IFERROR(__xludf.DUMMYFUNCTION("""COMPUTED_VALUE"""),50.0)</f>
        <v>50</v>
      </c>
      <c r="F1912" s="1">
        <f>IFERROR(__xludf.DUMMYFUNCTION("""COMPUTED_VALUE"""),62.0)</f>
        <v>62</v>
      </c>
      <c r="G1912" s="1">
        <f>IFERROR(__xludf.DUMMYFUNCTION("""COMPUTED_VALUE"""),34.0)</f>
        <v>34</v>
      </c>
      <c r="H1912" s="1">
        <f>IFERROR(__xludf.DUMMYFUNCTION("""COMPUTED_VALUE"""),27.0)</f>
        <v>27</v>
      </c>
      <c r="I1912" s="1">
        <f>IFERROR(__xludf.DUMMYFUNCTION("""COMPUTED_VALUE"""),22.0)</f>
        <v>22</v>
      </c>
      <c r="J1912" s="1">
        <f>IFERROR(__xludf.DUMMYFUNCTION("""COMPUTED_VALUE"""),86.0)</f>
        <v>86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 t="str">
        <f>IFERROR(__xludf.DUMMYFUNCTION("""COMPUTED_VALUE"""),"C")</f>
        <v>C</v>
      </c>
      <c r="E1913" s="1">
        <f>IFERROR(__xludf.DUMMYFUNCTION("""COMPUTED_VALUE"""),30.0)</f>
        <v>30</v>
      </c>
      <c r="F1913" s="1">
        <f>IFERROR(__xludf.DUMMYFUNCTION("""COMPUTED_VALUE"""),34.0)</f>
        <v>34</v>
      </c>
      <c r="G1913" s="1">
        <f>IFERROR(__xludf.DUMMYFUNCTION("""COMPUTED_VALUE"""),34.0)</f>
        <v>34</v>
      </c>
      <c r="H1913" s="1">
        <f>IFERROR(__xludf.DUMMYFUNCTION("""COMPUTED_VALUE"""),85.0)</f>
        <v>85</v>
      </c>
      <c r="I1913" s="1">
        <f>IFERROR(__xludf.DUMMYFUNCTION("""COMPUTED_VALUE"""),24.0)</f>
        <v>24</v>
      </c>
      <c r="J1913" s="1">
        <f>IFERROR(__xludf.DUMMYFUNCTION("""COMPUTED_VALUE"""),57.0)</f>
        <v>57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 t="str">
        <f>IFERROR(__xludf.DUMMYFUNCTION("""COMPUTED_VALUE"""),"C")</f>
        <v>C</v>
      </c>
      <c r="E1914" s="1">
        <f>IFERROR(__xludf.DUMMYFUNCTION("""COMPUTED_VALUE"""),53.0)</f>
        <v>53</v>
      </c>
      <c r="F1914" s="1">
        <f>IFERROR(__xludf.DUMMYFUNCTION("""COMPUTED_VALUE"""),94.0)</f>
        <v>94</v>
      </c>
      <c r="G1914" s="1">
        <f>IFERROR(__xludf.DUMMYFUNCTION("""COMPUTED_VALUE"""),26.0)</f>
        <v>26</v>
      </c>
      <c r="H1914" s="1">
        <f>IFERROR(__xludf.DUMMYFUNCTION("""COMPUTED_VALUE"""),90.0)</f>
        <v>90</v>
      </c>
      <c r="I1914" s="1">
        <f>IFERROR(__xludf.DUMMYFUNCTION("""COMPUTED_VALUE"""),33.0)</f>
        <v>33</v>
      </c>
      <c r="J1914" s="1">
        <f>IFERROR(__xludf.DUMMYFUNCTION("""COMPUTED_VALUE"""),41.0)</f>
        <v>41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 t="str">
        <f>IFERROR(__xludf.DUMMYFUNCTION("""COMPUTED_VALUE"""),"C")</f>
        <v>C</v>
      </c>
      <c r="E1915" s="1">
        <f>IFERROR(__xludf.DUMMYFUNCTION("""COMPUTED_VALUE"""),18.0)</f>
        <v>18</v>
      </c>
      <c r="F1915" s="1">
        <f>IFERROR(__xludf.DUMMYFUNCTION("""COMPUTED_VALUE"""),91.0)</f>
        <v>91</v>
      </c>
      <c r="G1915" s="1">
        <f>IFERROR(__xludf.DUMMYFUNCTION("""COMPUTED_VALUE"""),84.0)</f>
        <v>84</v>
      </c>
      <c r="H1915" s="1">
        <f>IFERROR(__xludf.DUMMYFUNCTION("""COMPUTED_VALUE"""),87.0)</f>
        <v>87</v>
      </c>
      <c r="I1915" s="1">
        <f>IFERROR(__xludf.DUMMYFUNCTION("""COMPUTED_VALUE"""),42.0)</f>
        <v>42</v>
      </c>
      <c r="J1915" s="1">
        <f>IFERROR(__xludf.DUMMYFUNCTION("""COMPUTED_VALUE"""),39.0)</f>
        <v>39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 t="str">
        <f>IFERROR(__xludf.DUMMYFUNCTION("""COMPUTED_VALUE"""),"B")</f>
        <v>B</v>
      </c>
      <c r="E1916" s="1">
        <f>IFERROR(__xludf.DUMMYFUNCTION("""COMPUTED_VALUE"""),52.0)</f>
        <v>52</v>
      </c>
      <c r="F1916" s="1">
        <f>IFERROR(__xludf.DUMMYFUNCTION("""COMPUTED_VALUE"""),65.0)</f>
        <v>65</v>
      </c>
      <c r="G1916" s="1">
        <f>IFERROR(__xludf.DUMMYFUNCTION("""COMPUTED_VALUE"""),27.0)</f>
        <v>27</v>
      </c>
      <c r="H1916" s="1">
        <f>IFERROR(__xludf.DUMMYFUNCTION("""COMPUTED_VALUE"""),66.0)</f>
        <v>66</v>
      </c>
      <c r="I1916" s="1">
        <f>IFERROR(__xludf.DUMMYFUNCTION("""COMPUTED_VALUE"""),70.0)</f>
        <v>70</v>
      </c>
      <c r="J1916" s="1">
        <f>IFERROR(__xludf.DUMMYFUNCTION("""COMPUTED_VALUE"""),51.0)</f>
        <v>51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 t="str">
        <f>IFERROR(__xludf.DUMMYFUNCTION("""COMPUTED_VALUE"""),"C")</f>
        <v>C</v>
      </c>
      <c r="E1917" s="1">
        <f>IFERROR(__xludf.DUMMYFUNCTION("""COMPUTED_VALUE"""),37.0)</f>
        <v>37</v>
      </c>
      <c r="F1917" s="1">
        <f>IFERROR(__xludf.DUMMYFUNCTION("""COMPUTED_VALUE"""),51.0)</f>
        <v>51</v>
      </c>
      <c r="G1917" s="1">
        <f>IFERROR(__xludf.DUMMYFUNCTION("""COMPUTED_VALUE"""),82.0)</f>
        <v>82</v>
      </c>
      <c r="H1917" s="1">
        <f>IFERROR(__xludf.DUMMYFUNCTION("""COMPUTED_VALUE"""),63.0)</f>
        <v>63</v>
      </c>
      <c r="I1917" s="1">
        <f>IFERROR(__xludf.DUMMYFUNCTION("""COMPUTED_VALUE"""),58.0)</f>
        <v>58</v>
      </c>
      <c r="J1917" s="1">
        <f>IFERROR(__xludf.DUMMYFUNCTION("""COMPUTED_VALUE"""),84.0)</f>
        <v>84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 t="str">
        <f>IFERROR(__xludf.DUMMYFUNCTION("""COMPUTED_VALUE"""),"A")</f>
        <v>A</v>
      </c>
      <c r="E1918" s="1">
        <f>IFERROR(__xludf.DUMMYFUNCTION("""COMPUTED_VALUE"""),90.0)</f>
        <v>90</v>
      </c>
      <c r="F1918" s="1">
        <f>IFERROR(__xludf.DUMMYFUNCTION("""COMPUTED_VALUE"""),40.0)</f>
        <v>40</v>
      </c>
      <c r="G1918" s="1">
        <f>IFERROR(__xludf.DUMMYFUNCTION("""COMPUTED_VALUE"""),73.0)</f>
        <v>73</v>
      </c>
      <c r="H1918" s="1">
        <f>IFERROR(__xludf.DUMMYFUNCTION("""COMPUTED_VALUE"""),85.0)</f>
        <v>85</v>
      </c>
      <c r="I1918" s="1">
        <f>IFERROR(__xludf.DUMMYFUNCTION("""COMPUTED_VALUE"""),46.0)</f>
        <v>46</v>
      </c>
      <c r="J1918" s="1">
        <f>IFERROR(__xludf.DUMMYFUNCTION("""COMPUTED_VALUE"""),34.0)</f>
        <v>34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 t="str">
        <f>IFERROR(__xludf.DUMMYFUNCTION("""COMPUTED_VALUE"""),"A")</f>
        <v>A</v>
      </c>
      <c r="E1919" s="1">
        <f>IFERROR(__xludf.DUMMYFUNCTION("""COMPUTED_VALUE"""),15.0)</f>
        <v>15</v>
      </c>
      <c r="F1919" s="1">
        <f>IFERROR(__xludf.DUMMYFUNCTION("""COMPUTED_VALUE"""),33.0)</f>
        <v>33</v>
      </c>
      <c r="G1919" s="1">
        <f>IFERROR(__xludf.DUMMYFUNCTION("""COMPUTED_VALUE"""),53.0)</f>
        <v>53</v>
      </c>
      <c r="H1919" s="1">
        <f>IFERROR(__xludf.DUMMYFUNCTION("""COMPUTED_VALUE"""),40.0)</f>
        <v>40</v>
      </c>
      <c r="I1919" s="1">
        <f>IFERROR(__xludf.DUMMYFUNCTION("""COMPUTED_VALUE"""),88.0)</f>
        <v>88</v>
      </c>
      <c r="J1919" s="1">
        <f>IFERROR(__xludf.DUMMYFUNCTION("""COMPUTED_VALUE"""),57.0)</f>
        <v>57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 t="str">
        <f>IFERROR(__xludf.DUMMYFUNCTION("""COMPUTED_VALUE"""),"D")</f>
        <v>D</v>
      </c>
      <c r="E1920" s="1">
        <f>IFERROR(__xludf.DUMMYFUNCTION("""COMPUTED_VALUE"""),33.0)</f>
        <v>33</v>
      </c>
      <c r="F1920" s="1">
        <f>IFERROR(__xludf.DUMMYFUNCTION("""COMPUTED_VALUE"""),25.0)</f>
        <v>25</v>
      </c>
      <c r="G1920" s="1">
        <f>IFERROR(__xludf.DUMMYFUNCTION("""COMPUTED_VALUE"""),30.0)</f>
        <v>30</v>
      </c>
      <c r="H1920" s="1">
        <f>IFERROR(__xludf.DUMMYFUNCTION("""COMPUTED_VALUE"""),60.0)</f>
        <v>60</v>
      </c>
      <c r="I1920" s="1">
        <f>IFERROR(__xludf.DUMMYFUNCTION("""COMPUTED_VALUE"""),87.0)</f>
        <v>87</v>
      </c>
      <c r="J1920" s="1">
        <f>IFERROR(__xludf.DUMMYFUNCTION("""COMPUTED_VALUE"""),80.0)</f>
        <v>80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 t="str">
        <f>IFERROR(__xludf.DUMMYFUNCTION("""COMPUTED_VALUE"""),"D")</f>
        <v>D</v>
      </c>
      <c r="E1921" s="1">
        <f>IFERROR(__xludf.DUMMYFUNCTION("""COMPUTED_VALUE"""),61.0)</f>
        <v>61</v>
      </c>
      <c r="F1921" s="1">
        <f>IFERROR(__xludf.DUMMYFUNCTION("""COMPUTED_VALUE"""),37.0)</f>
        <v>37</v>
      </c>
      <c r="G1921" s="1">
        <f>IFERROR(__xludf.DUMMYFUNCTION("""COMPUTED_VALUE"""),74.0)</f>
        <v>74</v>
      </c>
      <c r="H1921" s="1">
        <f>IFERROR(__xludf.DUMMYFUNCTION("""COMPUTED_VALUE"""),74.0)</f>
        <v>74</v>
      </c>
      <c r="I1921" s="1">
        <f>IFERROR(__xludf.DUMMYFUNCTION("""COMPUTED_VALUE"""),55.0)</f>
        <v>55</v>
      </c>
      <c r="J1921" s="1">
        <f>IFERROR(__xludf.DUMMYFUNCTION("""COMPUTED_VALUE"""),96.0)</f>
        <v>96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 t="str">
        <f>IFERROR(__xludf.DUMMYFUNCTION("""COMPUTED_VALUE"""),"D")</f>
        <v>D</v>
      </c>
      <c r="E1922" s="1">
        <f>IFERROR(__xludf.DUMMYFUNCTION("""COMPUTED_VALUE"""),43.0)</f>
        <v>43</v>
      </c>
      <c r="F1922" s="1">
        <f>IFERROR(__xludf.DUMMYFUNCTION("""COMPUTED_VALUE"""),38.0)</f>
        <v>38</v>
      </c>
      <c r="G1922" s="1">
        <f>IFERROR(__xludf.DUMMYFUNCTION("""COMPUTED_VALUE"""),46.0)</f>
        <v>46</v>
      </c>
      <c r="H1922" s="1">
        <f>IFERROR(__xludf.DUMMYFUNCTION("""COMPUTED_VALUE"""),48.0)</f>
        <v>48</v>
      </c>
      <c r="I1922" s="1">
        <f>IFERROR(__xludf.DUMMYFUNCTION("""COMPUTED_VALUE"""),99.0)</f>
        <v>99</v>
      </c>
      <c r="J1922" s="1">
        <f>IFERROR(__xludf.DUMMYFUNCTION("""COMPUTED_VALUE"""),35.0)</f>
        <v>35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 t="str">
        <f>IFERROR(__xludf.DUMMYFUNCTION("""COMPUTED_VALUE"""),"A")</f>
        <v>A</v>
      </c>
      <c r="E1923" s="1">
        <f>IFERROR(__xludf.DUMMYFUNCTION("""COMPUTED_VALUE"""),10.0)</f>
        <v>10</v>
      </c>
      <c r="F1923" s="1">
        <f>IFERROR(__xludf.DUMMYFUNCTION("""COMPUTED_VALUE"""),60.0)</f>
        <v>60</v>
      </c>
      <c r="G1923" s="1">
        <f>IFERROR(__xludf.DUMMYFUNCTION("""COMPUTED_VALUE"""),82.0)</f>
        <v>82</v>
      </c>
      <c r="H1923" s="1">
        <f>IFERROR(__xludf.DUMMYFUNCTION("""COMPUTED_VALUE"""),40.0)</f>
        <v>40</v>
      </c>
      <c r="I1923" s="1">
        <f>IFERROR(__xludf.DUMMYFUNCTION("""COMPUTED_VALUE"""),66.0)</f>
        <v>66</v>
      </c>
      <c r="J1923" s="1">
        <f>IFERROR(__xludf.DUMMYFUNCTION("""COMPUTED_VALUE"""),77.0)</f>
        <v>77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 t="str">
        <f>IFERROR(__xludf.DUMMYFUNCTION("""COMPUTED_VALUE"""),"C")</f>
        <v>C</v>
      </c>
      <c r="E1924" s="1">
        <f>IFERROR(__xludf.DUMMYFUNCTION("""COMPUTED_VALUE"""),80.0)</f>
        <v>80</v>
      </c>
      <c r="F1924" s="1">
        <f>IFERROR(__xludf.DUMMYFUNCTION("""COMPUTED_VALUE"""),90.0)</f>
        <v>90</v>
      </c>
      <c r="G1924" s="1">
        <f>IFERROR(__xludf.DUMMYFUNCTION("""COMPUTED_VALUE"""),22.0)</f>
        <v>22</v>
      </c>
      <c r="H1924" s="1">
        <f>IFERROR(__xludf.DUMMYFUNCTION("""COMPUTED_VALUE"""),51.0)</f>
        <v>51</v>
      </c>
      <c r="I1924" s="1">
        <f>IFERROR(__xludf.DUMMYFUNCTION("""COMPUTED_VALUE"""),42.0)</f>
        <v>42</v>
      </c>
      <c r="J1924" s="1">
        <f>IFERROR(__xludf.DUMMYFUNCTION("""COMPUTED_VALUE"""),65.0)</f>
        <v>65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 t="str">
        <f>IFERROR(__xludf.DUMMYFUNCTION("""COMPUTED_VALUE"""),"D")</f>
        <v>D</v>
      </c>
      <c r="E1925" s="1">
        <f>IFERROR(__xludf.DUMMYFUNCTION("""COMPUTED_VALUE"""),14.0)</f>
        <v>14</v>
      </c>
      <c r="F1925" s="1">
        <f>IFERROR(__xludf.DUMMYFUNCTION("""COMPUTED_VALUE"""),48.0)</f>
        <v>48</v>
      </c>
      <c r="G1925" s="1">
        <f>IFERROR(__xludf.DUMMYFUNCTION("""COMPUTED_VALUE"""),57.0)</f>
        <v>57</v>
      </c>
      <c r="H1925" s="1">
        <f>IFERROR(__xludf.DUMMYFUNCTION("""COMPUTED_VALUE"""),84.0)</f>
        <v>84</v>
      </c>
      <c r="I1925" s="1">
        <f>IFERROR(__xludf.DUMMYFUNCTION("""COMPUTED_VALUE"""),85.0)</f>
        <v>85</v>
      </c>
      <c r="J1925" s="1">
        <f>IFERROR(__xludf.DUMMYFUNCTION("""COMPUTED_VALUE"""),69.0)</f>
        <v>69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 t="str">
        <f>IFERROR(__xludf.DUMMYFUNCTION("""COMPUTED_VALUE"""),"C")</f>
        <v>C</v>
      </c>
      <c r="E1926" s="1">
        <f>IFERROR(__xludf.DUMMYFUNCTION("""COMPUTED_VALUE"""),15.0)</f>
        <v>15</v>
      </c>
      <c r="F1926" s="1">
        <f>IFERROR(__xludf.DUMMYFUNCTION("""COMPUTED_VALUE"""),83.0)</f>
        <v>83</v>
      </c>
      <c r="G1926" s="1">
        <f>IFERROR(__xludf.DUMMYFUNCTION("""COMPUTED_VALUE"""),54.0)</f>
        <v>54</v>
      </c>
      <c r="H1926" s="1">
        <f>IFERROR(__xludf.DUMMYFUNCTION("""COMPUTED_VALUE"""),94.0)</f>
        <v>94</v>
      </c>
      <c r="I1926" s="1">
        <f>IFERROR(__xludf.DUMMYFUNCTION("""COMPUTED_VALUE"""),35.0)</f>
        <v>35</v>
      </c>
      <c r="J1926" s="1">
        <f>IFERROR(__xludf.DUMMYFUNCTION("""COMPUTED_VALUE"""),73.0)</f>
        <v>73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 t="str">
        <f>IFERROR(__xludf.DUMMYFUNCTION("""COMPUTED_VALUE"""),"A")</f>
        <v>A</v>
      </c>
      <c r="E1927" s="1">
        <f>IFERROR(__xludf.DUMMYFUNCTION("""COMPUTED_VALUE"""),16.0)</f>
        <v>16</v>
      </c>
      <c r="F1927" s="1">
        <f>IFERROR(__xludf.DUMMYFUNCTION("""COMPUTED_VALUE"""),28.0)</f>
        <v>28</v>
      </c>
      <c r="G1927" s="1">
        <f>IFERROR(__xludf.DUMMYFUNCTION("""COMPUTED_VALUE"""),94.0)</f>
        <v>94</v>
      </c>
      <c r="H1927" s="1">
        <f>IFERROR(__xludf.DUMMYFUNCTION("""COMPUTED_VALUE"""),94.0)</f>
        <v>94</v>
      </c>
      <c r="I1927" s="1">
        <f>IFERROR(__xludf.DUMMYFUNCTION("""COMPUTED_VALUE"""),71.0)</f>
        <v>71</v>
      </c>
      <c r="J1927" s="1">
        <f>IFERROR(__xludf.DUMMYFUNCTION("""COMPUTED_VALUE"""),30.0)</f>
        <v>30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 t="str">
        <f>IFERROR(__xludf.DUMMYFUNCTION("""COMPUTED_VALUE"""),"A")</f>
        <v>A</v>
      </c>
      <c r="E1928" s="1">
        <f>IFERROR(__xludf.DUMMYFUNCTION("""COMPUTED_VALUE"""),41.0)</f>
        <v>41</v>
      </c>
      <c r="F1928" s="1">
        <f>IFERROR(__xludf.DUMMYFUNCTION("""COMPUTED_VALUE"""),42.0)</f>
        <v>42</v>
      </c>
      <c r="G1928" s="1">
        <f>IFERROR(__xludf.DUMMYFUNCTION("""COMPUTED_VALUE"""),40.0)</f>
        <v>40</v>
      </c>
      <c r="H1928" s="1">
        <f>IFERROR(__xludf.DUMMYFUNCTION("""COMPUTED_VALUE"""),67.0)</f>
        <v>67</v>
      </c>
      <c r="I1928" s="1">
        <f>IFERROR(__xludf.DUMMYFUNCTION("""COMPUTED_VALUE"""),91.0)</f>
        <v>91</v>
      </c>
      <c r="J1928" s="1">
        <f>IFERROR(__xludf.DUMMYFUNCTION("""COMPUTED_VALUE"""),89.0)</f>
        <v>89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 t="str">
        <f>IFERROR(__xludf.DUMMYFUNCTION("""COMPUTED_VALUE"""),"C")</f>
        <v>C</v>
      </c>
      <c r="E1929" s="1">
        <f>IFERROR(__xludf.DUMMYFUNCTION("""COMPUTED_VALUE"""),67.0)</f>
        <v>67</v>
      </c>
      <c r="F1929" s="1">
        <f>IFERROR(__xludf.DUMMYFUNCTION("""COMPUTED_VALUE"""),26.0)</f>
        <v>26</v>
      </c>
      <c r="G1929" s="1">
        <f>IFERROR(__xludf.DUMMYFUNCTION("""COMPUTED_VALUE"""),42.0)</f>
        <v>42</v>
      </c>
      <c r="H1929" s="1">
        <f>IFERROR(__xludf.DUMMYFUNCTION("""COMPUTED_VALUE"""),85.0)</f>
        <v>85</v>
      </c>
      <c r="I1929" s="1">
        <f>IFERROR(__xludf.DUMMYFUNCTION("""COMPUTED_VALUE"""),96.0)</f>
        <v>96</v>
      </c>
      <c r="J1929" s="1">
        <f>IFERROR(__xludf.DUMMYFUNCTION("""COMPUTED_VALUE"""),98.0)</f>
        <v>98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 t="str">
        <f>IFERROR(__xludf.DUMMYFUNCTION("""COMPUTED_VALUE"""),"C")</f>
        <v>C</v>
      </c>
      <c r="E1930" s="1">
        <f>IFERROR(__xludf.DUMMYFUNCTION("""COMPUTED_VALUE"""),32.0)</f>
        <v>32</v>
      </c>
      <c r="F1930" s="1">
        <f>IFERROR(__xludf.DUMMYFUNCTION("""COMPUTED_VALUE"""),51.0)</f>
        <v>51</v>
      </c>
      <c r="G1930" s="1">
        <f>IFERROR(__xludf.DUMMYFUNCTION("""COMPUTED_VALUE"""),23.0)</f>
        <v>23</v>
      </c>
      <c r="H1930" s="1">
        <f>IFERROR(__xludf.DUMMYFUNCTION("""COMPUTED_VALUE"""),39.0)</f>
        <v>39</v>
      </c>
      <c r="I1930" s="1">
        <f>IFERROR(__xludf.DUMMYFUNCTION("""COMPUTED_VALUE"""),24.0)</f>
        <v>24</v>
      </c>
      <c r="J1930" s="1">
        <f>IFERROR(__xludf.DUMMYFUNCTION("""COMPUTED_VALUE"""),56.0)</f>
        <v>56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 t="str">
        <f>IFERROR(__xludf.DUMMYFUNCTION("""COMPUTED_VALUE"""),"A")</f>
        <v>A</v>
      </c>
      <c r="E1931" s="1">
        <f>IFERROR(__xludf.DUMMYFUNCTION("""COMPUTED_VALUE"""),43.0)</f>
        <v>43</v>
      </c>
      <c r="F1931" s="1">
        <f>IFERROR(__xludf.DUMMYFUNCTION("""COMPUTED_VALUE"""),47.0)</f>
        <v>47</v>
      </c>
      <c r="G1931" s="1">
        <f>IFERROR(__xludf.DUMMYFUNCTION("""COMPUTED_VALUE"""),73.0)</f>
        <v>73</v>
      </c>
      <c r="H1931" s="1">
        <f>IFERROR(__xludf.DUMMYFUNCTION("""COMPUTED_VALUE"""),96.0)</f>
        <v>96</v>
      </c>
      <c r="I1931" s="1">
        <f>IFERROR(__xludf.DUMMYFUNCTION("""COMPUTED_VALUE"""),64.0)</f>
        <v>64</v>
      </c>
      <c r="J1931" s="1">
        <f>IFERROR(__xludf.DUMMYFUNCTION("""COMPUTED_VALUE"""),54.0)</f>
        <v>54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 t="str">
        <f>IFERROR(__xludf.DUMMYFUNCTION("""COMPUTED_VALUE"""),"C")</f>
        <v>C</v>
      </c>
      <c r="E1932" s="1">
        <f>IFERROR(__xludf.DUMMYFUNCTION("""COMPUTED_VALUE"""),60.0)</f>
        <v>60</v>
      </c>
      <c r="F1932" s="1">
        <f>IFERROR(__xludf.DUMMYFUNCTION("""COMPUTED_VALUE"""),59.0)</f>
        <v>59</v>
      </c>
      <c r="G1932" s="1">
        <f>IFERROR(__xludf.DUMMYFUNCTION("""COMPUTED_VALUE"""),28.0)</f>
        <v>28</v>
      </c>
      <c r="H1932" s="1">
        <f>IFERROR(__xludf.DUMMYFUNCTION("""COMPUTED_VALUE"""),91.0)</f>
        <v>91</v>
      </c>
      <c r="I1932" s="1">
        <f>IFERROR(__xludf.DUMMYFUNCTION("""COMPUTED_VALUE"""),25.0)</f>
        <v>25</v>
      </c>
      <c r="J1932" s="1">
        <f>IFERROR(__xludf.DUMMYFUNCTION("""COMPUTED_VALUE"""),30.0)</f>
        <v>30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 t="str">
        <f>IFERROR(__xludf.DUMMYFUNCTION("""COMPUTED_VALUE"""),"D")</f>
        <v>D</v>
      </c>
      <c r="E1933" s="1">
        <f>IFERROR(__xludf.DUMMYFUNCTION("""COMPUTED_VALUE"""),17.0)</f>
        <v>17</v>
      </c>
      <c r="F1933" s="1">
        <f>IFERROR(__xludf.DUMMYFUNCTION("""COMPUTED_VALUE"""),81.0)</f>
        <v>81</v>
      </c>
      <c r="G1933" s="1">
        <f>IFERROR(__xludf.DUMMYFUNCTION("""COMPUTED_VALUE"""),25.0)</f>
        <v>25</v>
      </c>
      <c r="H1933" s="1">
        <f>IFERROR(__xludf.DUMMYFUNCTION("""COMPUTED_VALUE"""),93.0)</f>
        <v>93</v>
      </c>
      <c r="I1933" s="1">
        <f>IFERROR(__xludf.DUMMYFUNCTION("""COMPUTED_VALUE"""),97.0)</f>
        <v>97</v>
      </c>
      <c r="J1933" s="1">
        <f>IFERROR(__xludf.DUMMYFUNCTION("""COMPUTED_VALUE"""),65.0)</f>
        <v>65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 t="str">
        <f>IFERROR(__xludf.DUMMYFUNCTION("""COMPUTED_VALUE"""),"A")</f>
        <v>A</v>
      </c>
      <c r="E1934" s="1">
        <f>IFERROR(__xludf.DUMMYFUNCTION("""COMPUTED_VALUE"""),74.0)</f>
        <v>74</v>
      </c>
      <c r="F1934" s="1">
        <f>IFERROR(__xludf.DUMMYFUNCTION("""COMPUTED_VALUE"""),92.0)</f>
        <v>92</v>
      </c>
      <c r="G1934" s="1">
        <f>IFERROR(__xludf.DUMMYFUNCTION("""COMPUTED_VALUE"""),82.0)</f>
        <v>82</v>
      </c>
      <c r="H1934" s="1">
        <f>IFERROR(__xludf.DUMMYFUNCTION("""COMPUTED_VALUE"""),26.0)</f>
        <v>26</v>
      </c>
      <c r="I1934" s="1">
        <f>IFERROR(__xludf.DUMMYFUNCTION("""COMPUTED_VALUE"""),23.0)</f>
        <v>23</v>
      </c>
      <c r="J1934" s="1">
        <f>IFERROR(__xludf.DUMMYFUNCTION("""COMPUTED_VALUE"""),87.0)</f>
        <v>87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 t="str">
        <f>IFERROR(__xludf.DUMMYFUNCTION("""COMPUTED_VALUE"""),"B")</f>
        <v>B</v>
      </c>
      <c r="E1935" s="1">
        <f>IFERROR(__xludf.DUMMYFUNCTION("""COMPUTED_VALUE"""),98.0)</f>
        <v>98</v>
      </c>
      <c r="F1935" s="1">
        <f>IFERROR(__xludf.DUMMYFUNCTION("""COMPUTED_VALUE"""),64.0)</f>
        <v>64</v>
      </c>
      <c r="G1935" s="1">
        <f>IFERROR(__xludf.DUMMYFUNCTION("""COMPUTED_VALUE"""),58.0)</f>
        <v>58</v>
      </c>
      <c r="H1935" s="1">
        <f>IFERROR(__xludf.DUMMYFUNCTION("""COMPUTED_VALUE"""),78.0)</f>
        <v>78</v>
      </c>
      <c r="I1935" s="1">
        <f>IFERROR(__xludf.DUMMYFUNCTION("""COMPUTED_VALUE"""),39.0)</f>
        <v>39</v>
      </c>
      <c r="J1935" s="1">
        <f>IFERROR(__xludf.DUMMYFUNCTION("""COMPUTED_VALUE"""),52.0)</f>
        <v>52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 t="str">
        <f>IFERROR(__xludf.DUMMYFUNCTION("""COMPUTED_VALUE"""),"A")</f>
        <v>A</v>
      </c>
      <c r="E1936" s="1">
        <f>IFERROR(__xludf.DUMMYFUNCTION("""COMPUTED_VALUE"""),87.0)</f>
        <v>87</v>
      </c>
      <c r="F1936" s="1">
        <f>IFERROR(__xludf.DUMMYFUNCTION("""COMPUTED_VALUE"""),40.0)</f>
        <v>40</v>
      </c>
      <c r="G1936" s="1">
        <f>IFERROR(__xludf.DUMMYFUNCTION("""COMPUTED_VALUE"""),68.0)</f>
        <v>68</v>
      </c>
      <c r="H1936" s="1">
        <f>IFERROR(__xludf.DUMMYFUNCTION("""COMPUTED_VALUE"""),87.0)</f>
        <v>87</v>
      </c>
      <c r="I1936" s="1">
        <f>IFERROR(__xludf.DUMMYFUNCTION("""COMPUTED_VALUE"""),76.0)</f>
        <v>76</v>
      </c>
      <c r="J1936" s="1">
        <f>IFERROR(__xludf.DUMMYFUNCTION("""COMPUTED_VALUE"""),57.0)</f>
        <v>57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 t="str">
        <f>IFERROR(__xludf.DUMMYFUNCTION("""COMPUTED_VALUE"""),"B")</f>
        <v>B</v>
      </c>
      <c r="E1937" s="1">
        <f>IFERROR(__xludf.DUMMYFUNCTION("""COMPUTED_VALUE"""),29.0)</f>
        <v>29</v>
      </c>
      <c r="F1937" s="1">
        <f>IFERROR(__xludf.DUMMYFUNCTION("""COMPUTED_VALUE"""),40.0)</f>
        <v>40</v>
      </c>
      <c r="G1937" s="1">
        <f>IFERROR(__xludf.DUMMYFUNCTION("""COMPUTED_VALUE"""),84.0)</f>
        <v>84</v>
      </c>
      <c r="H1937" s="1">
        <f>IFERROR(__xludf.DUMMYFUNCTION("""COMPUTED_VALUE"""),32.0)</f>
        <v>32</v>
      </c>
      <c r="I1937" s="1">
        <f>IFERROR(__xludf.DUMMYFUNCTION("""COMPUTED_VALUE"""),78.0)</f>
        <v>78</v>
      </c>
      <c r="J1937" s="1">
        <f>IFERROR(__xludf.DUMMYFUNCTION("""COMPUTED_VALUE"""),94.0)</f>
        <v>94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 t="str">
        <f>IFERROR(__xludf.DUMMYFUNCTION("""COMPUTED_VALUE"""),"D")</f>
        <v>D</v>
      </c>
      <c r="E1938" s="1">
        <f>IFERROR(__xludf.DUMMYFUNCTION("""COMPUTED_VALUE"""),72.0)</f>
        <v>72</v>
      </c>
      <c r="F1938" s="1">
        <f>IFERROR(__xludf.DUMMYFUNCTION("""COMPUTED_VALUE"""),32.0)</f>
        <v>32</v>
      </c>
      <c r="G1938" s="1">
        <f>IFERROR(__xludf.DUMMYFUNCTION("""COMPUTED_VALUE"""),82.0)</f>
        <v>82</v>
      </c>
      <c r="H1938" s="1">
        <f>IFERROR(__xludf.DUMMYFUNCTION("""COMPUTED_VALUE"""),49.0)</f>
        <v>49</v>
      </c>
      <c r="I1938" s="1">
        <f>IFERROR(__xludf.DUMMYFUNCTION("""COMPUTED_VALUE"""),94.0)</f>
        <v>94</v>
      </c>
      <c r="J1938" s="1">
        <f>IFERROR(__xludf.DUMMYFUNCTION("""COMPUTED_VALUE"""),54.0)</f>
        <v>54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 t="str">
        <f>IFERROR(__xludf.DUMMYFUNCTION("""COMPUTED_VALUE"""),"B")</f>
        <v>B</v>
      </c>
      <c r="E1939" s="1">
        <f>IFERROR(__xludf.DUMMYFUNCTION("""COMPUTED_VALUE"""),48.0)</f>
        <v>48</v>
      </c>
      <c r="F1939" s="1">
        <f>IFERROR(__xludf.DUMMYFUNCTION("""COMPUTED_VALUE"""),86.0)</f>
        <v>86</v>
      </c>
      <c r="G1939" s="1">
        <f>IFERROR(__xludf.DUMMYFUNCTION("""COMPUTED_VALUE"""),93.0)</f>
        <v>93</v>
      </c>
      <c r="H1939" s="1">
        <f>IFERROR(__xludf.DUMMYFUNCTION("""COMPUTED_VALUE"""),82.0)</f>
        <v>82</v>
      </c>
      <c r="I1939" s="1">
        <f>IFERROR(__xludf.DUMMYFUNCTION("""COMPUTED_VALUE"""),93.0)</f>
        <v>93</v>
      </c>
      <c r="J1939" s="1">
        <f>IFERROR(__xludf.DUMMYFUNCTION("""COMPUTED_VALUE"""),60.0)</f>
        <v>60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 t="str">
        <f>IFERROR(__xludf.DUMMYFUNCTION("""COMPUTED_VALUE"""),"B")</f>
        <v>B</v>
      </c>
      <c r="E1940" s="1">
        <f>IFERROR(__xludf.DUMMYFUNCTION("""COMPUTED_VALUE"""),82.0)</f>
        <v>82</v>
      </c>
      <c r="F1940" s="1">
        <f>IFERROR(__xludf.DUMMYFUNCTION("""COMPUTED_VALUE"""),86.0)</f>
        <v>86</v>
      </c>
      <c r="G1940" s="1">
        <f>IFERROR(__xludf.DUMMYFUNCTION("""COMPUTED_VALUE"""),38.0)</f>
        <v>38</v>
      </c>
      <c r="H1940" s="1">
        <f>IFERROR(__xludf.DUMMYFUNCTION("""COMPUTED_VALUE"""),59.0)</f>
        <v>59</v>
      </c>
      <c r="I1940" s="1">
        <f>IFERROR(__xludf.DUMMYFUNCTION("""COMPUTED_VALUE"""),56.0)</f>
        <v>56</v>
      </c>
      <c r="J1940" s="1">
        <f>IFERROR(__xludf.DUMMYFUNCTION("""COMPUTED_VALUE"""),51.0)</f>
        <v>51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 t="str">
        <f>IFERROR(__xludf.DUMMYFUNCTION("""COMPUTED_VALUE"""),"D")</f>
        <v>D</v>
      </c>
      <c r="E1941" s="1">
        <f>IFERROR(__xludf.DUMMYFUNCTION("""COMPUTED_VALUE"""),10.0)</f>
        <v>10</v>
      </c>
      <c r="F1941" s="1">
        <f>IFERROR(__xludf.DUMMYFUNCTION("""COMPUTED_VALUE"""),29.0)</f>
        <v>29</v>
      </c>
      <c r="G1941" s="1">
        <f>IFERROR(__xludf.DUMMYFUNCTION("""COMPUTED_VALUE"""),35.0)</f>
        <v>35</v>
      </c>
      <c r="H1941" s="1">
        <f>IFERROR(__xludf.DUMMYFUNCTION("""COMPUTED_VALUE"""),72.0)</f>
        <v>72</v>
      </c>
      <c r="I1941" s="1">
        <f>IFERROR(__xludf.DUMMYFUNCTION("""COMPUTED_VALUE"""),93.0)</f>
        <v>93</v>
      </c>
      <c r="J1941" s="1">
        <f>IFERROR(__xludf.DUMMYFUNCTION("""COMPUTED_VALUE"""),69.0)</f>
        <v>69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 t="str">
        <f>IFERROR(__xludf.DUMMYFUNCTION("""COMPUTED_VALUE"""),"C")</f>
        <v>C</v>
      </c>
      <c r="E1942" s="1">
        <f>IFERROR(__xludf.DUMMYFUNCTION("""COMPUTED_VALUE"""),83.0)</f>
        <v>83</v>
      </c>
      <c r="F1942" s="1">
        <f>IFERROR(__xludf.DUMMYFUNCTION("""COMPUTED_VALUE"""),81.0)</f>
        <v>81</v>
      </c>
      <c r="G1942" s="1">
        <f>IFERROR(__xludf.DUMMYFUNCTION("""COMPUTED_VALUE"""),59.0)</f>
        <v>59</v>
      </c>
      <c r="H1942" s="1">
        <f>IFERROR(__xludf.DUMMYFUNCTION("""COMPUTED_VALUE"""),96.0)</f>
        <v>96</v>
      </c>
      <c r="I1942" s="1">
        <f>IFERROR(__xludf.DUMMYFUNCTION("""COMPUTED_VALUE"""),43.0)</f>
        <v>43</v>
      </c>
      <c r="J1942" s="1">
        <f>IFERROR(__xludf.DUMMYFUNCTION("""COMPUTED_VALUE"""),98.0)</f>
        <v>98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 t="str">
        <f>IFERROR(__xludf.DUMMYFUNCTION("""COMPUTED_VALUE"""),"C")</f>
        <v>C</v>
      </c>
      <c r="E1943" s="1">
        <f>IFERROR(__xludf.DUMMYFUNCTION("""COMPUTED_VALUE"""),12.0)</f>
        <v>12</v>
      </c>
      <c r="F1943" s="1">
        <f>IFERROR(__xludf.DUMMYFUNCTION("""COMPUTED_VALUE"""),59.0)</f>
        <v>59</v>
      </c>
      <c r="G1943" s="1">
        <f>IFERROR(__xludf.DUMMYFUNCTION("""COMPUTED_VALUE"""),63.0)</f>
        <v>63</v>
      </c>
      <c r="H1943" s="1">
        <f>IFERROR(__xludf.DUMMYFUNCTION("""COMPUTED_VALUE"""),49.0)</f>
        <v>49</v>
      </c>
      <c r="I1943" s="1">
        <f>IFERROR(__xludf.DUMMYFUNCTION("""COMPUTED_VALUE"""),78.0)</f>
        <v>78</v>
      </c>
      <c r="J1943" s="1">
        <f>IFERROR(__xludf.DUMMYFUNCTION("""COMPUTED_VALUE"""),56.0)</f>
        <v>56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 t="str">
        <f>IFERROR(__xludf.DUMMYFUNCTION("""COMPUTED_VALUE"""),"A")</f>
        <v>A</v>
      </c>
      <c r="E1944" s="1">
        <f>IFERROR(__xludf.DUMMYFUNCTION("""COMPUTED_VALUE"""),20.0)</f>
        <v>20</v>
      </c>
      <c r="F1944" s="1">
        <f>IFERROR(__xludf.DUMMYFUNCTION("""COMPUTED_VALUE"""),49.0)</f>
        <v>49</v>
      </c>
      <c r="G1944" s="1">
        <f>IFERROR(__xludf.DUMMYFUNCTION("""COMPUTED_VALUE"""),27.0)</f>
        <v>27</v>
      </c>
      <c r="H1944" s="1">
        <f>IFERROR(__xludf.DUMMYFUNCTION("""COMPUTED_VALUE"""),43.0)</f>
        <v>43</v>
      </c>
      <c r="I1944" s="1">
        <f>IFERROR(__xludf.DUMMYFUNCTION("""COMPUTED_VALUE"""),75.0)</f>
        <v>75</v>
      </c>
      <c r="J1944" s="1">
        <f>IFERROR(__xludf.DUMMYFUNCTION("""COMPUTED_VALUE"""),41.0)</f>
        <v>41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 t="str">
        <f>IFERROR(__xludf.DUMMYFUNCTION("""COMPUTED_VALUE"""),"C")</f>
        <v>C</v>
      </c>
      <c r="E1945" s="1">
        <f>IFERROR(__xludf.DUMMYFUNCTION("""COMPUTED_VALUE"""),62.0)</f>
        <v>62</v>
      </c>
      <c r="F1945" s="1">
        <f>IFERROR(__xludf.DUMMYFUNCTION("""COMPUTED_VALUE"""),79.0)</f>
        <v>79</v>
      </c>
      <c r="G1945" s="1">
        <f>IFERROR(__xludf.DUMMYFUNCTION("""COMPUTED_VALUE"""),58.0)</f>
        <v>58</v>
      </c>
      <c r="H1945" s="1">
        <f>IFERROR(__xludf.DUMMYFUNCTION("""COMPUTED_VALUE"""),58.0)</f>
        <v>58</v>
      </c>
      <c r="I1945" s="1">
        <f>IFERROR(__xludf.DUMMYFUNCTION("""COMPUTED_VALUE"""),44.0)</f>
        <v>44</v>
      </c>
      <c r="J1945" s="1">
        <f>IFERROR(__xludf.DUMMYFUNCTION("""COMPUTED_VALUE"""),68.0)</f>
        <v>68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 t="str">
        <f>IFERROR(__xludf.DUMMYFUNCTION("""COMPUTED_VALUE"""),"A")</f>
        <v>A</v>
      </c>
      <c r="E1946" s="1">
        <f>IFERROR(__xludf.DUMMYFUNCTION("""COMPUTED_VALUE"""),54.0)</f>
        <v>54</v>
      </c>
      <c r="F1946" s="1">
        <f>IFERROR(__xludf.DUMMYFUNCTION("""COMPUTED_VALUE"""),23.0)</f>
        <v>23</v>
      </c>
      <c r="G1946" s="1">
        <f>IFERROR(__xludf.DUMMYFUNCTION("""COMPUTED_VALUE"""),25.0)</f>
        <v>25</v>
      </c>
      <c r="H1946" s="1">
        <f>IFERROR(__xludf.DUMMYFUNCTION("""COMPUTED_VALUE"""),55.0)</f>
        <v>55</v>
      </c>
      <c r="I1946" s="1">
        <f>IFERROR(__xludf.DUMMYFUNCTION("""COMPUTED_VALUE"""),66.0)</f>
        <v>66</v>
      </c>
      <c r="J1946" s="1">
        <f>IFERROR(__xludf.DUMMYFUNCTION("""COMPUTED_VALUE"""),20.0)</f>
        <v>20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 t="str">
        <f>IFERROR(__xludf.DUMMYFUNCTION("""COMPUTED_VALUE"""),"D")</f>
        <v>D</v>
      </c>
      <c r="E1947" s="1">
        <f>IFERROR(__xludf.DUMMYFUNCTION("""COMPUTED_VALUE"""),59.0)</f>
        <v>59</v>
      </c>
      <c r="F1947" s="1">
        <f>IFERROR(__xludf.DUMMYFUNCTION("""COMPUTED_VALUE"""),48.0)</f>
        <v>48</v>
      </c>
      <c r="G1947" s="1">
        <f>IFERROR(__xludf.DUMMYFUNCTION("""COMPUTED_VALUE"""),74.0)</f>
        <v>74</v>
      </c>
      <c r="H1947" s="1">
        <f>IFERROR(__xludf.DUMMYFUNCTION("""COMPUTED_VALUE"""),27.0)</f>
        <v>27</v>
      </c>
      <c r="I1947" s="1">
        <f>IFERROR(__xludf.DUMMYFUNCTION("""COMPUTED_VALUE"""),69.0)</f>
        <v>69</v>
      </c>
      <c r="J1947" s="1">
        <f>IFERROR(__xludf.DUMMYFUNCTION("""COMPUTED_VALUE"""),48.0)</f>
        <v>48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 t="str">
        <f>IFERROR(__xludf.DUMMYFUNCTION("""COMPUTED_VALUE"""),"A")</f>
        <v>A</v>
      </c>
      <c r="E1948" s="1">
        <f>IFERROR(__xludf.DUMMYFUNCTION("""COMPUTED_VALUE"""),13.0)</f>
        <v>13</v>
      </c>
      <c r="F1948" s="1">
        <f>IFERROR(__xludf.DUMMYFUNCTION("""COMPUTED_VALUE"""),53.0)</f>
        <v>53</v>
      </c>
      <c r="G1948" s="1">
        <f>IFERROR(__xludf.DUMMYFUNCTION("""COMPUTED_VALUE"""),55.0)</f>
        <v>55</v>
      </c>
      <c r="H1948" s="1">
        <f>IFERROR(__xludf.DUMMYFUNCTION("""COMPUTED_VALUE"""),53.0)</f>
        <v>53</v>
      </c>
      <c r="I1948" s="1">
        <f>IFERROR(__xludf.DUMMYFUNCTION("""COMPUTED_VALUE"""),58.0)</f>
        <v>58</v>
      </c>
      <c r="J1948" s="1">
        <f>IFERROR(__xludf.DUMMYFUNCTION("""COMPUTED_VALUE"""),61.0)</f>
        <v>61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 t="str">
        <f>IFERROR(__xludf.DUMMYFUNCTION("""COMPUTED_VALUE"""),"D")</f>
        <v>D</v>
      </c>
      <c r="E1949" s="1">
        <f>IFERROR(__xludf.DUMMYFUNCTION("""COMPUTED_VALUE"""),79.0)</f>
        <v>79</v>
      </c>
      <c r="F1949" s="1">
        <f>IFERROR(__xludf.DUMMYFUNCTION("""COMPUTED_VALUE"""),59.0)</f>
        <v>59</v>
      </c>
      <c r="G1949" s="1">
        <f>IFERROR(__xludf.DUMMYFUNCTION("""COMPUTED_VALUE"""),56.0)</f>
        <v>56</v>
      </c>
      <c r="H1949" s="1">
        <f>IFERROR(__xludf.DUMMYFUNCTION("""COMPUTED_VALUE"""),85.0)</f>
        <v>85</v>
      </c>
      <c r="I1949" s="1">
        <f>IFERROR(__xludf.DUMMYFUNCTION("""COMPUTED_VALUE"""),77.0)</f>
        <v>77</v>
      </c>
      <c r="J1949" s="1">
        <f>IFERROR(__xludf.DUMMYFUNCTION("""COMPUTED_VALUE"""),63.0)</f>
        <v>63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 t="str">
        <f>IFERROR(__xludf.DUMMYFUNCTION("""COMPUTED_VALUE"""),"C")</f>
        <v>C</v>
      </c>
      <c r="E1950" s="1">
        <f>IFERROR(__xludf.DUMMYFUNCTION("""COMPUTED_VALUE"""),62.0)</f>
        <v>62</v>
      </c>
      <c r="F1950" s="1">
        <f>IFERROR(__xludf.DUMMYFUNCTION("""COMPUTED_VALUE"""),95.0)</f>
        <v>95</v>
      </c>
      <c r="G1950" s="1">
        <f>IFERROR(__xludf.DUMMYFUNCTION("""COMPUTED_VALUE"""),72.0)</f>
        <v>72</v>
      </c>
      <c r="H1950" s="1">
        <f>IFERROR(__xludf.DUMMYFUNCTION("""COMPUTED_VALUE"""),77.0)</f>
        <v>77</v>
      </c>
      <c r="I1950" s="1">
        <f>IFERROR(__xludf.DUMMYFUNCTION("""COMPUTED_VALUE"""),53.0)</f>
        <v>53</v>
      </c>
      <c r="J1950" s="1">
        <f>IFERROR(__xludf.DUMMYFUNCTION("""COMPUTED_VALUE"""),90.0)</f>
        <v>90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 t="str">
        <f>IFERROR(__xludf.DUMMYFUNCTION("""COMPUTED_VALUE"""),"A")</f>
        <v>A</v>
      </c>
      <c r="E1951" s="1">
        <f>IFERROR(__xludf.DUMMYFUNCTION("""COMPUTED_VALUE"""),41.0)</f>
        <v>41</v>
      </c>
      <c r="F1951" s="1">
        <f>IFERROR(__xludf.DUMMYFUNCTION("""COMPUTED_VALUE"""),43.0)</f>
        <v>43</v>
      </c>
      <c r="G1951" s="1">
        <f>IFERROR(__xludf.DUMMYFUNCTION("""COMPUTED_VALUE"""),84.0)</f>
        <v>84</v>
      </c>
      <c r="H1951" s="1">
        <f>IFERROR(__xludf.DUMMYFUNCTION("""COMPUTED_VALUE"""),25.0)</f>
        <v>25</v>
      </c>
      <c r="I1951" s="1">
        <f>IFERROR(__xludf.DUMMYFUNCTION("""COMPUTED_VALUE"""),49.0)</f>
        <v>49</v>
      </c>
      <c r="J1951" s="1">
        <f>IFERROR(__xludf.DUMMYFUNCTION("""COMPUTED_VALUE"""),24.0)</f>
        <v>24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 t="str">
        <f>IFERROR(__xludf.DUMMYFUNCTION("""COMPUTED_VALUE"""),"D")</f>
        <v>D</v>
      </c>
      <c r="E1952" s="1">
        <f>IFERROR(__xludf.DUMMYFUNCTION("""COMPUTED_VALUE"""),88.0)</f>
        <v>88</v>
      </c>
      <c r="F1952" s="1">
        <f>IFERROR(__xludf.DUMMYFUNCTION("""COMPUTED_VALUE"""),36.0)</f>
        <v>36</v>
      </c>
      <c r="G1952" s="1">
        <f>IFERROR(__xludf.DUMMYFUNCTION("""COMPUTED_VALUE"""),78.0)</f>
        <v>78</v>
      </c>
      <c r="H1952" s="1">
        <f>IFERROR(__xludf.DUMMYFUNCTION("""COMPUTED_VALUE"""),54.0)</f>
        <v>54</v>
      </c>
      <c r="I1952" s="1">
        <f>IFERROR(__xludf.DUMMYFUNCTION("""COMPUTED_VALUE"""),68.0)</f>
        <v>68</v>
      </c>
      <c r="J1952" s="1">
        <f>IFERROR(__xludf.DUMMYFUNCTION("""COMPUTED_VALUE"""),60.0)</f>
        <v>60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 t="str">
        <f>IFERROR(__xludf.DUMMYFUNCTION("""COMPUTED_VALUE"""),"C")</f>
        <v>C</v>
      </c>
      <c r="E1953" s="1">
        <f>IFERROR(__xludf.DUMMYFUNCTION("""COMPUTED_VALUE"""),93.0)</f>
        <v>93</v>
      </c>
      <c r="F1953" s="1">
        <f>IFERROR(__xludf.DUMMYFUNCTION("""COMPUTED_VALUE"""),67.0)</f>
        <v>67</v>
      </c>
      <c r="G1953" s="1">
        <f>IFERROR(__xludf.DUMMYFUNCTION("""COMPUTED_VALUE"""),35.0)</f>
        <v>35</v>
      </c>
      <c r="H1953" s="1">
        <f>IFERROR(__xludf.DUMMYFUNCTION("""COMPUTED_VALUE"""),42.0)</f>
        <v>42</v>
      </c>
      <c r="I1953" s="1">
        <f>IFERROR(__xludf.DUMMYFUNCTION("""COMPUTED_VALUE"""),52.0)</f>
        <v>52</v>
      </c>
      <c r="J1953" s="1">
        <f>IFERROR(__xludf.DUMMYFUNCTION("""COMPUTED_VALUE"""),89.0)</f>
        <v>89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 t="str">
        <f>IFERROR(__xludf.DUMMYFUNCTION("""COMPUTED_VALUE"""),"A")</f>
        <v>A</v>
      </c>
      <c r="E1954" s="1">
        <f>IFERROR(__xludf.DUMMYFUNCTION("""COMPUTED_VALUE"""),62.0)</f>
        <v>62</v>
      </c>
      <c r="F1954" s="1">
        <f>IFERROR(__xludf.DUMMYFUNCTION("""COMPUTED_VALUE"""),46.0)</f>
        <v>46</v>
      </c>
      <c r="G1954" s="1">
        <f>IFERROR(__xludf.DUMMYFUNCTION("""COMPUTED_VALUE"""),63.0)</f>
        <v>63</v>
      </c>
      <c r="H1954" s="1">
        <f>IFERROR(__xludf.DUMMYFUNCTION("""COMPUTED_VALUE"""),60.0)</f>
        <v>60</v>
      </c>
      <c r="I1954" s="1">
        <f>IFERROR(__xludf.DUMMYFUNCTION("""COMPUTED_VALUE"""),95.0)</f>
        <v>95</v>
      </c>
      <c r="J1954" s="1">
        <f>IFERROR(__xludf.DUMMYFUNCTION("""COMPUTED_VALUE"""),64.0)</f>
        <v>64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 t="str">
        <f>IFERROR(__xludf.DUMMYFUNCTION("""COMPUTED_VALUE"""),"D")</f>
        <v>D</v>
      </c>
      <c r="E1955" s="1">
        <f>IFERROR(__xludf.DUMMYFUNCTION("""COMPUTED_VALUE"""),17.0)</f>
        <v>17</v>
      </c>
      <c r="F1955" s="1">
        <f>IFERROR(__xludf.DUMMYFUNCTION("""COMPUTED_VALUE"""),41.0)</f>
        <v>41</v>
      </c>
      <c r="G1955" s="1">
        <f>IFERROR(__xludf.DUMMYFUNCTION("""COMPUTED_VALUE"""),87.0)</f>
        <v>87</v>
      </c>
      <c r="H1955" s="1">
        <f>IFERROR(__xludf.DUMMYFUNCTION("""COMPUTED_VALUE"""),91.0)</f>
        <v>91</v>
      </c>
      <c r="I1955" s="1">
        <f>IFERROR(__xludf.DUMMYFUNCTION("""COMPUTED_VALUE"""),87.0)</f>
        <v>87</v>
      </c>
      <c r="J1955" s="1">
        <f>IFERROR(__xludf.DUMMYFUNCTION("""COMPUTED_VALUE"""),65.0)</f>
        <v>65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 t="str">
        <f>IFERROR(__xludf.DUMMYFUNCTION("""COMPUTED_VALUE"""),"C")</f>
        <v>C</v>
      </c>
      <c r="E1956" s="1">
        <f>IFERROR(__xludf.DUMMYFUNCTION("""COMPUTED_VALUE"""),82.0)</f>
        <v>82</v>
      </c>
      <c r="F1956" s="1">
        <f>IFERROR(__xludf.DUMMYFUNCTION("""COMPUTED_VALUE"""),40.0)</f>
        <v>40</v>
      </c>
      <c r="G1956" s="1">
        <f>IFERROR(__xludf.DUMMYFUNCTION("""COMPUTED_VALUE"""),22.0)</f>
        <v>22</v>
      </c>
      <c r="H1956" s="1">
        <f>IFERROR(__xludf.DUMMYFUNCTION("""COMPUTED_VALUE"""),70.0)</f>
        <v>70</v>
      </c>
      <c r="I1956" s="1">
        <f>IFERROR(__xludf.DUMMYFUNCTION("""COMPUTED_VALUE"""),28.0)</f>
        <v>28</v>
      </c>
      <c r="J1956" s="1">
        <f>IFERROR(__xludf.DUMMYFUNCTION("""COMPUTED_VALUE"""),87.0)</f>
        <v>87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 t="str">
        <f>IFERROR(__xludf.DUMMYFUNCTION("""COMPUTED_VALUE"""),"C")</f>
        <v>C</v>
      </c>
      <c r="E1957" s="1">
        <f>IFERROR(__xludf.DUMMYFUNCTION("""COMPUTED_VALUE"""),80.0)</f>
        <v>80</v>
      </c>
      <c r="F1957" s="1">
        <f>IFERROR(__xludf.DUMMYFUNCTION("""COMPUTED_VALUE"""),25.0)</f>
        <v>25</v>
      </c>
      <c r="G1957" s="1">
        <f>IFERROR(__xludf.DUMMYFUNCTION("""COMPUTED_VALUE"""),92.0)</f>
        <v>92</v>
      </c>
      <c r="H1957" s="1">
        <f>IFERROR(__xludf.DUMMYFUNCTION("""COMPUTED_VALUE"""),53.0)</f>
        <v>53</v>
      </c>
      <c r="I1957" s="1">
        <f>IFERROR(__xludf.DUMMYFUNCTION("""COMPUTED_VALUE"""),56.0)</f>
        <v>56</v>
      </c>
      <c r="J1957" s="1">
        <f>IFERROR(__xludf.DUMMYFUNCTION("""COMPUTED_VALUE"""),33.0)</f>
        <v>33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 t="str">
        <f>IFERROR(__xludf.DUMMYFUNCTION("""COMPUTED_VALUE"""),"A")</f>
        <v>A</v>
      </c>
      <c r="E1958" s="1">
        <f>IFERROR(__xludf.DUMMYFUNCTION("""COMPUTED_VALUE"""),79.0)</f>
        <v>79</v>
      </c>
      <c r="F1958" s="1">
        <f>IFERROR(__xludf.DUMMYFUNCTION("""COMPUTED_VALUE"""),53.0)</f>
        <v>53</v>
      </c>
      <c r="G1958" s="1">
        <f>IFERROR(__xludf.DUMMYFUNCTION("""COMPUTED_VALUE"""),83.0)</f>
        <v>83</v>
      </c>
      <c r="H1958" s="1">
        <f>IFERROR(__xludf.DUMMYFUNCTION("""COMPUTED_VALUE"""),32.0)</f>
        <v>32</v>
      </c>
      <c r="I1958" s="1">
        <f>IFERROR(__xludf.DUMMYFUNCTION("""COMPUTED_VALUE"""),93.0)</f>
        <v>93</v>
      </c>
      <c r="J1958" s="1">
        <f>IFERROR(__xludf.DUMMYFUNCTION("""COMPUTED_VALUE"""),51.0)</f>
        <v>51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 t="str">
        <f>IFERROR(__xludf.DUMMYFUNCTION("""COMPUTED_VALUE"""),"C")</f>
        <v>C</v>
      </c>
      <c r="E1959" s="1">
        <f>IFERROR(__xludf.DUMMYFUNCTION("""COMPUTED_VALUE"""),18.0)</f>
        <v>18</v>
      </c>
      <c r="F1959" s="1">
        <f>IFERROR(__xludf.DUMMYFUNCTION("""COMPUTED_VALUE"""),21.0)</f>
        <v>21</v>
      </c>
      <c r="G1959" s="1">
        <f>IFERROR(__xludf.DUMMYFUNCTION("""COMPUTED_VALUE"""),48.0)</f>
        <v>48</v>
      </c>
      <c r="H1959" s="1">
        <f>IFERROR(__xludf.DUMMYFUNCTION("""COMPUTED_VALUE"""),51.0)</f>
        <v>51</v>
      </c>
      <c r="I1959" s="1">
        <f>IFERROR(__xludf.DUMMYFUNCTION("""COMPUTED_VALUE"""),51.0)</f>
        <v>51</v>
      </c>
      <c r="J1959" s="1">
        <f>IFERROR(__xludf.DUMMYFUNCTION("""COMPUTED_VALUE"""),44.0)</f>
        <v>44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 t="str">
        <f>IFERROR(__xludf.DUMMYFUNCTION("""COMPUTED_VALUE"""),"C")</f>
        <v>C</v>
      </c>
      <c r="E1960" s="1">
        <f>IFERROR(__xludf.DUMMYFUNCTION("""COMPUTED_VALUE"""),76.0)</f>
        <v>76</v>
      </c>
      <c r="F1960" s="1">
        <f>IFERROR(__xludf.DUMMYFUNCTION("""COMPUTED_VALUE"""),24.0)</f>
        <v>24</v>
      </c>
      <c r="G1960" s="1">
        <f>IFERROR(__xludf.DUMMYFUNCTION("""COMPUTED_VALUE"""),93.0)</f>
        <v>93</v>
      </c>
      <c r="H1960" s="1">
        <f>IFERROR(__xludf.DUMMYFUNCTION("""COMPUTED_VALUE"""),24.0)</f>
        <v>24</v>
      </c>
      <c r="I1960" s="1">
        <f>IFERROR(__xludf.DUMMYFUNCTION("""COMPUTED_VALUE"""),39.0)</f>
        <v>39</v>
      </c>
      <c r="J1960" s="1">
        <f>IFERROR(__xludf.DUMMYFUNCTION("""COMPUTED_VALUE"""),41.0)</f>
        <v>41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 t="str">
        <f>IFERROR(__xludf.DUMMYFUNCTION("""COMPUTED_VALUE"""),"C")</f>
        <v>C</v>
      </c>
      <c r="E1961" s="1">
        <f>IFERROR(__xludf.DUMMYFUNCTION("""COMPUTED_VALUE"""),85.0)</f>
        <v>85</v>
      </c>
      <c r="F1961" s="1">
        <f>IFERROR(__xludf.DUMMYFUNCTION("""COMPUTED_VALUE"""),75.0)</f>
        <v>75</v>
      </c>
      <c r="G1961" s="1">
        <f>IFERROR(__xludf.DUMMYFUNCTION("""COMPUTED_VALUE"""),79.0)</f>
        <v>79</v>
      </c>
      <c r="H1961" s="1">
        <f>IFERROR(__xludf.DUMMYFUNCTION("""COMPUTED_VALUE"""),80.0)</f>
        <v>80</v>
      </c>
      <c r="I1961" s="1">
        <f>IFERROR(__xludf.DUMMYFUNCTION("""COMPUTED_VALUE"""),69.0)</f>
        <v>69</v>
      </c>
      <c r="J1961" s="1">
        <f>IFERROR(__xludf.DUMMYFUNCTION("""COMPUTED_VALUE"""),41.0)</f>
        <v>41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 t="str">
        <f>IFERROR(__xludf.DUMMYFUNCTION("""COMPUTED_VALUE"""),"A")</f>
        <v>A</v>
      </c>
      <c r="E1962" s="1">
        <f>IFERROR(__xludf.DUMMYFUNCTION("""COMPUTED_VALUE"""),70.0)</f>
        <v>70</v>
      </c>
      <c r="F1962" s="1">
        <f>IFERROR(__xludf.DUMMYFUNCTION("""COMPUTED_VALUE"""),53.0)</f>
        <v>53</v>
      </c>
      <c r="G1962" s="1">
        <f>IFERROR(__xludf.DUMMYFUNCTION("""COMPUTED_VALUE"""),66.0)</f>
        <v>66</v>
      </c>
      <c r="H1962" s="1">
        <f>IFERROR(__xludf.DUMMYFUNCTION("""COMPUTED_VALUE"""),50.0)</f>
        <v>50</v>
      </c>
      <c r="I1962" s="1">
        <f>IFERROR(__xludf.DUMMYFUNCTION("""COMPUTED_VALUE"""),72.0)</f>
        <v>72</v>
      </c>
      <c r="J1962" s="1">
        <f>IFERROR(__xludf.DUMMYFUNCTION("""COMPUTED_VALUE"""),24.0)</f>
        <v>24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 t="str">
        <f>IFERROR(__xludf.DUMMYFUNCTION("""COMPUTED_VALUE"""),"C")</f>
        <v>C</v>
      </c>
      <c r="E1963" s="1">
        <f>IFERROR(__xludf.DUMMYFUNCTION("""COMPUTED_VALUE"""),52.0)</f>
        <v>52</v>
      </c>
      <c r="F1963" s="1">
        <f>IFERROR(__xludf.DUMMYFUNCTION("""COMPUTED_VALUE"""),59.0)</f>
        <v>59</v>
      </c>
      <c r="G1963" s="1">
        <f>IFERROR(__xludf.DUMMYFUNCTION("""COMPUTED_VALUE"""),79.0)</f>
        <v>79</v>
      </c>
      <c r="H1963" s="1">
        <f>IFERROR(__xludf.DUMMYFUNCTION("""COMPUTED_VALUE"""),66.0)</f>
        <v>66</v>
      </c>
      <c r="I1963" s="1">
        <f>IFERROR(__xludf.DUMMYFUNCTION("""COMPUTED_VALUE"""),86.0)</f>
        <v>86</v>
      </c>
      <c r="J1963" s="1">
        <f>IFERROR(__xludf.DUMMYFUNCTION("""COMPUTED_VALUE"""),88.0)</f>
        <v>88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 t="str">
        <f>IFERROR(__xludf.DUMMYFUNCTION("""COMPUTED_VALUE"""),"B")</f>
        <v>B</v>
      </c>
      <c r="E1964" s="1">
        <f>IFERROR(__xludf.DUMMYFUNCTION("""COMPUTED_VALUE"""),54.0)</f>
        <v>54</v>
      </c>
      <c r="F1964" s="1">
        <f>IFERROR(__xludf.DUMMYFUNCTION("""COMPUTED_VALUE"""),76.0)</f>
        <v>76</v>
      </c>
      <c r="G1964" s="1">
        <f>IFERROR(__xludf.DUMMYFUNCTION("""COMPUTED_VALUE"""),65.0)</f>
        <v>65</v>
      </c>
      <c r="H1964" s="1">
        <f>IFERROR(__xludf.DUMMYFUNCTION("""COMPUTED_VALUE"""),50.0)</f>
        <v>50</v>
      </c>
      <c r="I1964" s="1">
        <f>IFERROR(__xludf.DUMMYFUNCTION("""COMPUTED_VALUE"""),65.0)</f>
        <v>65</v>
      </c>
      <c r="J1964" s="1">
        <f>IFERROR(__xludf.DUMMYFUNCTION("""COMPUTED_VALUE"""),44.0)</f>
        <v>44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 t="str">
        <f>IFERROR(__xludf.DUMMYFUNCTION("""COMPUTED_VALUE"""),"D")</f>
        <v>D</v>
      </c>
      <c r="E1965" s="1">
        <f>IFERROR(__xludf.DUMMYFUNCTION("""COMPUTED_VALUE"""),48.0)</f>
        <v>48</v>
      </c>
      <c r="F1965" s="1">
        <f>IFERROR(__xludf.DUMMYFUNCTION("""COMPUTED_VALUE"""),78.0)</f>
        <v>78</v>
      </c>
      <c r="G1965" s="1">
        <f>IFERROR(__xludf.DUMMYFUNCTION("""COMPUTED_VALUE"""),31.0)</f>
        <v>31</v>
      </c>
      <c r="H1965" s="1">
        <f>IFERROR(__xludf.DUMMYFUNCTION("""COMPUTED_VALUE"""),85.0)</f>
        <v>85</v>
      </c>
      <c r="I1965" s="1">
        <f>IFERROR(__xludf.DUMMYFUNCTION("""COMPUTED_VALUE"""),29.0)</f>
        <v>29</v>
      </c>
      <c r="J1965" s="1">
        <f>IFERROR(__xludf.DUMMYFUNCTION("""COMPUTED_VALUE"""),74.0)</f>
        <v>74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 t="str">
        <f>IFERROR(__xludf.DUMMYFUNCTION("""COMPUTED_VALUE"""),"B")</f>
        <v>B</v>
      </c>
      <c r="E1966" s="1">
        <f>IFERROR(__xludf.DUMMYFUNCTION("""COMPUTED_VALUE"""),53.0)</f>
        <v>53</v>
      </c>
      <c r="F1966" s="1">
        <f>IFERROR(__xludf.DUMMYFUNCTION("""COMPUTED_VALUE"""),63.0)</f>
        <v>63</v>
      </c>
      <c r="G1966" s="1">
        <f>IFERROR(__xludf.DUMMYFUNCTION("""COMPUTED_VALUE"""),51.0)</f>
        <v>51</v>
      </c>
      <c r="H1966" s="1">
        <f>IFERROR(__xludf.DUMMYFUNCTION("""COMPUTED_VALUE"""),79.0)</f>
        <v>79</v>
      </c>
      <c r="I1966" s="1">
        <f>IFERROR(__xludf.DUMMYFUNCTION("""COMPUTED_VALUE"""),70.0)</f>
        <v>70</v>
      </c>
      <c r="J1966" s="1">
        <f>IFERROR(__xludf.DUMMYFUNCTION("""COMPUTED_VALUE"""),51.0)</f>
        <v>51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 t="str">
        <f>IFERROR(__xludf.DUMMYFUNCTION("""COMPUTED_VALUE"""),"C")</f>
        <v>C</v>
      </c>
      <c r="E1967" s="1">
        <f>IFERROR(__xludf.DUMMYFUNCTION("""COMPUTED_VALUE"""),12.0)</f>
        <v>12</v>
      </c>
      <c r="F1967" s="1">
        <f>IFERROR(__xludf.DUMMYFUNCTION("""COMPUTED_VALUE"""),60.0)</f>
        <v>60</v>
      </c>
      <c r="G1967" s="1">
        <f>IFERROR(__xludf.DUMMYFUNCTION("""COMPUTED_VALUE"""),32.0)</f>
        <v>32</v>
      </c>
      <c r="H1967" s="1">
        <f>IFERROR(__xludf.DUMMYFUNCTION("""COMPUTED_VALUE"""),66.0)</f>
        <v>66</v>
      </c>
      <c r="I1967" s="1">
        <f>IFERROR(__xludf.DUMMYFUNCTION("""COMPUTED_VALUE"""),64.0)</f>
        <v>64</v>
      </c>
      <c r="J1967" s="1">
        <f>IFERROR(__xludf.DUMMYFUNCTION("""COMPUTED_VALUE"""),34.0)</f>
        <v>34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 t="str">
        <f>IFERROR(__xludf.DUMMYFUNCTION("""COMPUTED_VALUE"""),"A")</f>
        <v>A</v>
      </c>
      <c r="E1968" s="1">
        <f>IFERROR(__xludf.DUMMYFUNCTION("""COMPUTED_VALUE"""),29.0)</f>
        <v>29</v>
      </c>
      <c r="F1968" s="1">
        <f>IFERROR(__xludf.DUMMYFUNCTION("""COMPUTED_VALUE"""),43.0)</f>
        <v>43</v>
      </c>
      <c r="G1968" s="1">
        <f>IFERROR(__xludf.DUMMYFUNCTION("""COMPUTED_VALUE"""),84.0)</f>
        <v>84</v>
      </c>
      <c r="H1968" s="1">
        <f>IFERROR(__xludf.DUMMYFUNCTION("""COMPUTED_VALUE"""),55.0)</f>
        <v>55</v>
      </c>
      <c r="I1968" s="1">
        <f>IFERROR(__xludf.DUMMYFUNCTION("""COMPUTED_VALUE"""),40.0)</f>
        <v>40</v>
      </c>
      <c r="J1968" s="1">
        <f>IFERROR(__xludf.DUMMYFUNCTION("""COMPUTED_VALUE"""),52.0)</f>
        <v>52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 t="str">
        <f>IFERROR(__xludf.DUMMYFUNCTION("""COMPUTED_VALUE"""),"A")</f>
        <v>A</v>
      </c>
      <c r="E1969" s="1">
        <f>IFERROR(__xludf.DUMMYFUNCTION("""COMPUTED_VALUE"""),38.0)</f>
        <v>38</v>
      </c>
      <c r="F1969" s="1">
        <f>IFERROR(__xludf.DUMMYFUNCTION("""COMPUTED_VALUE"""),59.0)</f>
        <v>59</v>
      </c>
      <c r="G1969" s="1">
        <f>IFERROR(__xludf.DUMMYFUNCTION("""COMPUTED_VALUE"""),34.0)</f>
        <v>34</v>
      </c>
      <c r="H1969" s="1">
        <f>IFERROR(__xludf.DUMMYFUNCTION("""COMPUTED_VALUE"""),86.0)</f>
        <v>86</v>
      </c>
      <c r="I1969" s="1">
        <f>IFERROR(__xludf.DUMMYFUNCTION("""COMPUTED_VALUE"""),31.0)</f>
        <v>31</v>
      </c>
      <c r="J1969" s="1">
        <f>IFERROR(__xludf.DUMMYFUNCTION("""COMPUTED_VALUE"""),41.0)</f>
        <v>41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 t="str">
        <f>IFERROR(__xludf.DUMMYFUNCTION("""COMPUTED_VALUE"""),"D")</f>
        <v>D</v>
      </c>
      <c r="E1970" s="1">
        <f>IFERROR(__xludf.DUMMYFUNCTION("""COMPUTED_VALUE"""),99.0)</f>
        <v>99</v>
      </c>
      <c r="F1970" s="1">
        <f>IFERROR(__xludf.DUMMYFUNCTION("""COMPUTED_VALUE"""),35.0)</f>
        <v>35</v>
      </c>
      <c r="G1970" s="1">
        <f>IFERROR(__xludf.DUMMYFUNCTION("""COMPUTED_VALUE"""),44.0)</f>
        <v>44</v>
      </c>
      <c r="H1970" s="1">
        <f>IFERROR(__xludf.DUMMYFUNCTION("""COMPUTED_VALUE"""),59.0)</f>
        <v>59</v>
      </c>
      <c r="I1970" s="1">
        <f>IFERROR(__xludf.DUMMYFUNCTION("""COMPUTED_VALUE"""),82.0)</f>
        <v>82</v>
      </c>
      <c r="J1970" s="1">
        <f>IFERROR(__xludf.DUMMYFUNCTION("""COMPUTED_VALUE"""),81.0)</f>
        <v>81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 t="str">
        <f>IFERROR(__xludf.DUMMYFUNCTION("""COMPUTED_VALUE"""),"D")</f>
        <v>D</v>
      </c>
      <c r="E1971" s="1">
        <f>IFERROR(__xludf.DUMMYFUNCTION("""COMPUTED_VALUE"""),50.0)</f>
        <v>50</v>
      </c>
      <c r="F1971" s="1">
        <f>IFERROR(__xludf.DUMMYFUNCTION("""COMPUTED_VALUE"""),75.0)</f>
        <v>75</v>
      </c>
      <c r="G1971" s="1">
        <f>IFERROR(__xludf.DUMMYFUNCTION("""COMPUTED_VALUE"""),67.0)</f>
        <v>67</v>
      </c>
      <c r="H1971" s="1">
        <f>IFERROR(__xludf.DUMMYFUNCTION("""COMPUTED_VALUE"""),85.0)</f>
        <v>85</v>
      </c>
      <c r="I1971" s="1">
        <f>IFERROR(__xludf.DUMMYFUNCTION("""COMPUTED_VALUE"""),53.0)</f>
        <v>53</v>
      </c>
      <c r="J1971" s="1">
        <f>IFERROR(__xludf.DUMMYFUNCTION("""COMPUTED_VALUE"""),29.0)</f>
        <v>29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 t="str">
        <f>IFERROR(__xludf.DUMMYFUNCTION("""COMPUTED_VALUE"""),"C")</f>
        <v>C</v>
      </c>
      <c r="E1972" s="1">
        <f>IFERROR(__xludf.DUMMYFUNCTION("""COMPUTED_VALUE"""),78.0)</f>
        <v>78</v>
      </c>
      <c r="F1972" s="1">
        <f>IFERROR(__xludf.DUMMYFUNCTION("""COMPUTED_VALUE"""),56.0)</f>
        <v>56</v>
      </c>
      <c r="G1972" s="1">
        <f>IFERROR(__xludf.DUMMYFUNCTION("""COMPUTED_VALUE"""),58.0)</f>
        <v>58</v>
      </c>
      <c r="H1972" s="1">
        <f>IFERROR(__xludf.DUMMYFUNCTION("""COMPUTED_VALUE"""),46.0)</f>
        <v>46</v>
      </c>
      <c r="I1972" s="1">
        <f>IFERROR(__xludf.DUMMYFUNCTION("""COMPUTED_VALUE"""),47.0)</f>
        <v>47</v>
      </c>
      <c r="J1972" s="1">
        <f>IFERROR(__xludf.DUMMYFUNCTION("""COMPUTED_VALUE"""),87.0)</f>
        <v>87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 t="str">
        <f>IFERROR(__xludf.DUMMYFUNCTION("""COMPUTED_VALUE"""),"B")</f>
        <v>B</v>
      </c>
      <c r="E1973" s="1">
        <f>IFERROR(__xludf.DUMMYFUNCTION("""COMPUTED_VALUE"""),68.0)</f>
        <v>68</v>
      </c>
      <c r="F1973" s="1">
        <f>IFERROR(__xludf.DUMMYFUNCTION("""COMPUTED_VALUE"""),22.0)</f>
        <v>22</v>
      </c>
      <c r="G1973" s="1">
        <f>IFERROR(__xludf.DUMMYFUNCTION("""COMPUTED_VALUE"""),71.0)</f>
        <v>71</v>
      </c>
      <c r="H1973" s="1">
        <f>IFERROR(__xludf.DUMMYFUNCTION("""COMPUTED_VALUE"""),76.0)</f>
        <v>76</v>
      </c>
      <c r="I1973" s="1">
        <f>IFERROR(__xludf.DUMMYFUNCTION("""COMPUTED_VALUE"""),94.0)</f>
        <v>94</v>
      </c>
      <c r="J1973" s="1">
        <f>IFERROR(__xludf.DUMMYFUNCTION("""COMPUTED_VALUE"""),41.0)</f>
        <v>41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 t="str">
        <f>IFERROR(__xludf.DUMMYFUNCTION("""COMPUTED_VALUE"""),"C")</f>
        <v>C</v>
      </c>
      <c r="E1974" s="1">
        <f>IFERROR(__xludf.DUMMYFUNCTION("""COMPUTED_VALUE"""),88.0)</f>
        <v>88</v>
      </c>
      <c r="F1974" s="1">
        <f>IFERROR(__xludf.DUMMYFUNCTION("""COMPUTED_VALUE"""),84.0)</f>
        <v>84</v>
      </c>
      <c r="G1974" s="1">
        <f>IFERROR(__xludf.DUMMYFUNCTION("""COMPUTED_VALUE"""),87.0)</f>
        <v>87</v>
      </c>
      <c r="H1974" s="1">
        <f>IFERROR(__xludf.DUMMYFUNCTION("""COMPUTED_VALUE"""),98.0)</f>
        <v>98</v>
      </c>
      <c r="I1974" s="1">
        <f>IFERROR(__xludf.DUMMYFUNCTION("""COMPUTED_VALUE"""),87.0)</f>
        <v>87</v>
      </c>
      <c r="J1974" s="1">
        <f>IFERROR(__xludf.DUMMYFUNCTION("""COMPUTED_VALUE"""),41.0)</f>
        <v>41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 t="str">
        <f>IFERROR(__xludf.DUMMYFUNCTION("""COMPUTED_VALUE"""),"B")</f>
        <v>B</v>
      </c>
      <c r="E1975" s="1">
        <f>IFERROR(__xludf.DUMMYFUNCTION("""COMPUTED_VALUE"""),63.0)</f>
        <v>63</v>
      </c>
      <c r="F1975" s="1">
        <f>IFERROR(__xludf.DUMMYFUNCTION("""COMPUTED_VALUE"""),98.0)</f>
        <v>98</v>
      </c>
      <c r="G1975" s="1">
        <f>IFERROR(__xludf.DUMMYFUNCTION("""COMPUTED_VALUE"""),25.0)</f>
        <v>25</v>
      </c>
      <c r="H1975" s="1">
        <f>IFERROR(__xludf.DUMMYFUNCTION("""COMPUTED_VALUE"""),59.0)</f>
        <v>59</v>
      </c>
      <c r="I1975" s="1">
        <f>IFERROR(__xludf.DUMMYFUNCTION("""COMPUTED_VALUE"""),37.0)</f>
        <v>37</v>
      </c>
      <c r="J1975" s="1">
        <f>IFERROR(__xludf.DUMMYFUNCTION("""COMPUTED_VALUE"""),31.0)</f>
        <v>31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 t="str">
        <f>IFERROR(__xludf.DUMMYFUNCTION("""COMPUTED_VALUE"""),"C")</f>
        <v>C</v>
      </c>
      <c r="E1976" s="1">
        <f>IFERROR(__xludf.DUMMYFUNCTION("""COMPUTED_VALUE"""),13.0)</f>
        <v>13</v>
      </c>
      <c r="F1976" s="1">
        <f>IFERROR(__xludf.DUMMYFUNCTION("""COMPUTED_VALUE"""),48.0)</f>
        <v>48</v>
      </c>
      <c r="G1976" s="1">
        <f>IFERROR(__xludf.DUMMYFUNCTION("""COMPUTED_VALUE"""),26.0)</f>
        <v>26</v>
      </c>
      <c r="H1976" s="1">
        <f>IFERROR(__xludf.DUMMYFUNCTION("""COMPUTED_VALUE"""),54.0)</f>
        <v>54</v>
      </c>
      <c r="I1976" s="1">
        <f>IFERROR(__xludf.DUMMYFUNCTION("""COMPUTED_VALUE"""),91.0)</f>
        <v>91</v>
      </c>
      <c r="J1976" s="1">
        <f>IFERROR(__xludf.DUMMYFUNCTION("""COMPUTED_VALUE"""),33.0)</f>
        <v>33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 t="str">
        <f>IFERROR(__xludf.DUMMYFUNCTION("""COMPUTED_VALUE"""),"D")</f>
        <v>D</v>
      </c>
      <c r="E1977" s="1">
        <f>IFERROR(__xludf.DUMMYFUNCTION("""COMPUTED_VALUE"""),18.0)</f>
        <v>18</v>
      </c>
      <c r="F1977" s="1">
        <f>IFERROR(__xludf.DUMMYFUNCTION("""COMPUTED_VALUE"""),52.0)</f>
        <v>52</v>
      </c>
      <c r="G1977" s="1">
        <f>IFERROR(__xludf.DUMMYFUNCTION("""COMPUTED_VALUE"""),47.0)</f>
        <v>47</v>
      </c>
      <c r="H1977" s="1">
        <f>IFERROR(__xludf.DUMMYFUNCTION("""COMPUTED_VALUE"""),45.0)</f>
        <v>45</v>
      </c>
      <c r="I1977" s="1">
        <f>IFERROR(__xludf.DUMMYFUNCTION("""COMPUTED_VALUE"""),53.0)</f>
        <v>53</v>
      </c>
      <c r="J1977" s="1">
        <f>IFERROR(__xludf.DUMMYFUNCTION("""COMPUTED_VALUE"""),53.0)</f>
        <v>53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 t="str">
        <f>IFERROR(__xludf.DUMMYFUNCTION("""COMPUTED_VALUE"""),"D")</f>
        <v>D</v>
      </c>
      <c r="E1978" s="1">
        <f>IFERROR(__xludf.DUMMYFUNCTION("""COMPUTED_VALUE"""),94.0)</f>
        <v>94</v>
      </c>
      <c r="F1978" s="1">
        <f>IFERROR(__xludf.DUMMYFUNCTION("""COMPUTED_VALUE"""),21.0)</f>
        <v>21</v>
      </c>
      <c r="G1978" s="1">
        <f>IFERROR(__xludf.DUMMYFUNCTION("""COMPUTED_VALUE"""),68.0)</f>
        <v>68</v>
      </c>
      <c r="H1978" s="1">
        <f>IFERROR(__xludf.DUMMYFUNCTION("""COMPUTED_VALUE"""),93.0)</f>
        <v>93</v>
      </c>
      <c r="I1978" s="1">
        <f>IFERROR(__xludf.DUMMYFUNCTION("""COMPUTED_VALUE"""),44.0)</f>
        <v>44</v>
      </c>
      <c r="J1978" s="1">
        <f>IFERROR(__xludf.DUMMYFUNCTION("""COMPUTED_VALUE"""),79.0)</f>
        <v>79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 t="str">
        <f>IFERROR(__xludf.DUMMYFUNCTION("""COMPUTED_VALUE"""),"D")</f>
        <v>D</v>
      </c>
      <c r="E1979" s="1">
        <f>IFERROR(__xludf.DUMMYFUNCTION("""COMPUTED_VALUE"""),19.0)</f>
        <v>19</v>
      </c>
      <c r="F1979" s="1">
        <f>IFERROR(__xludf.DUMMYFUNCTION("""COMPUTED_VALUE"""),71.0)</f>
        <v>71</v>
      </c>
      <c r="G1979" s="1">
        <f>IFERROR(__xludf.DUMMYFUNCTION("""COMPUTED_VALUE"""),37.0)</f>
        <v>37</v>
      </c>
      <c r="H1979" s="1">
        <f>IFERROR(__xludf.DUMMYFUNCTION("""COMPUTED_VALUE"""),90.0)</f>
        <v>90</v>
      </c>
      <c r="I1979" s="1">
        <f>IFERROR(__xludf.DUMMYFUNCTION("""COMPUTED_VALUE"""),84.0)</f>
        <v>84</v>
      </c>
      <c r="J1979" s="1">
        <f>IFERROR(__xludf.DUMMYFUNCTION("""COMPUTED_VALUE"""),24.0)</f>
        <v>24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 t="str">
        <f>IFERROR(__xludf.DUMMYFUNCTION("""COMPUTED_VALUE"""),"C")</f>
        <v>C</v>
      </c>
      <c r="E1980" s="1">
        <f>IFERROR(__xludf.DUMMYFUNCTION("""COMPUTED_VALUE"""),23.0)</f>
        <v>23</v>
      </c>
      <c r="F1980" s="1">
        <f>IFERROR(__xludf.DUMMYFUNCTION("""COMPUTED_VALUE"""),86.0)</f>
        <v>86</v>
      </c>
      <c r="G1980" s="1">
        <f>IFERROR(__xludf.DUMMYFUNCTION("""COMPUTED_VALUE"""),22.0)</f>
        <v>22</v>
      </c>
      <c r="H1980" s="1">
        <f>IFERROR(__xludf.DUMMYFUNCTION("""COMPUTED_VALUE"""),80.0)</f>
        <v>80</v>
      </c>
      <c r="I1980" s="1">
        <f>IFERROR(__xludf.DUMMYFUNCTION("""COMPUTED_VALUE"""),57.0)</f>
        <v>57</v>
      </c>
      <c r="J1980" s="1">
        <f>IFERROR(__xludf.DUMMYFUNCTION("""COMPUTED_VALUE"""),93.0)</f>
        <v>93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 t="str">
        <f>IFERROR(__xludf.DUMMYFUNCTION("""COMPUTED_VALUE"""),"A")</f>
        <v>A</v>
      </c>
      <c r="E1981" s="1">
        <f>IFERROR(__xludf.DUMMYFUNCTION("""COMPUTED_VALUE"""),60.0)</f>
        <v>60</v>
      </c>
      <c r="F1981" s="1">
        <f>IFERROR(__xludf.DUMMYFUNCTION("""COMPUTED_VALUE"""),97.0)</f>
        <v>97</v>
      </c>
      <c r="G1981" s="1">
        <f>IFERROR(__xludf.DUMMYFUNCTION("""COMPUTED_VALUE"""),74.0)</f>
        <v>74</v>
      </c>
      <c r="H1981" s="1">
        <f>IFERROR(__xludf.DUMMYFUNCTION("""COMPUTED_VALUE"""),75.0)</f>
        <v>75</v>
      </c>
      <c r="I1981" s="1">
        <f>IFERROR(__xludf.DUMMYFUNCTION("""COMPUTED_VALUE"""),25.0)</f>
        <v>25</v>
      </c>
      <c r="J1981" s="1">
        <f>IFERROR(__xludf.DUMMYFUNCTION("""COMPUTED_VALUE"""),44.0)</f>
        <v>44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 t="str">
        <f>IFERROR(__xludf.DUMMYFUNCTION("""COMPUTED_VALUE"""),"A")</f>
        <v>A</v>
      </c>
      <c r="E1982" s="1">
        <f>IFERROR(__xludf.DUMMYFUNCTION("""COMPUTED_VALUE"""),41.0)</f>
        <v>41</v>
      </c>
      <c r="F1982" s="1">
        <f>IFERROR(__xludf.DUMMYFUNCTION("""COMPUTED_VALUE"""),79.0)</f>
        <v>79</v>
      </c>
      <c r="G1982" s="1">
        <f>IFERROR(__xludf.DUMMYFUNCTION("""COMPUTED_VALUE"""),27.0)</f>
        <v>27</v>
      </c>
      <c r="H1982" s="1">
        <f>IFERROR(__xludf.DUMMYFUNCTION("""COMPUTED_VALUE"""),93.0)</f>
        <v>93</v>
      </c>
      <c r="I1982" s="1">
        <f>IFERROR(__xludf.DUMMYFUNCTION("""COMPUTED_VALUE"""),77.0)</f>
        <v>77</v>
      </c>
      <c r="J1982" s="1">
        <f>IFERROR(__xludf.DUMMYFUNCTION("""COMPUTED_VALUE"""),21.0)</f>
        <v>21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 t="str">
        <f>IFERROR(__xludf.DUMMYFUNCTION("""COMPUTED_VALUE"""),"A")</f>
        <v>A</v>
      </c>
      <c r="E1983" s="1">
        <f>IFERROR(__xludf.DUMMYFUNCTION("""COMPUTED_VALUE"""),48.0)</f>
        <v>48</v>
      </c>
      <c r="F1983" s="1">
        <f>IFERROR(__xludf.DUMMYFUNCTION("""COMPUTED_VALUE"""),43.0)</f>
        <v>43</v>
      </c>
      <c r="G1983" s="1">
        <f>IFERROR(__xludf.DUMMYFUNCTION("""COMPUTED_VALUE"""),93.0)</f>
        <v>93</v>
      </c>
      <c r="H1983" s="1">
        <f>IFERROR(__xludf.DUMMYFUNCTION("""COMPUTED_VALUE"""),36.0)</f>
        <v>36</v>
      </c>
      <c r="I1983" s="1">
        <f>IFERROR(__xludf.DUMMYFUNCTION("""COMPUTED_VALUE"""),57.0)</f>
        <v>57</v>
      </c>
      <c r="J1983" s="1">
        <f>IFERROR(__xludf.DUMMYFUNCTION("""COMPUTED_VALUE"""),36.0)</f>
        <v>36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 t="str">
        <f>IFERROR(__xludf.DUMMYFUNCTION("""COMPUTED_VALUE"""),"A")</f>
        <v>A</v>
      </c>
      <c r="E1984" s="1">
        <f>IFERROR(__xludf.DUMMYFUNCTION("""COMPUTED_VALUE"""),94.0)</f>
        <v>94</v>
      </c>
      <c r="F1984" s="1">
        <f>IFERROR(__xludf.DUMMYFUNCTION("""COMPUTED_VALUE"""),84.0)</f>
        <v>84</v>
      </c>
      <c r="G1984" s="1">
        <f>IFERROR(__xludf.DUMMYFUNCTION("""COMPUTED_VALUE"""),74.0)</f>
        <v>74</v>
      </c>
      <c r="H1984" s="1">
        <f>IFERROR(__xludf.DUMMYFUNCTION("""COMPUTED_VALUE"""),20.0)</f>
        <v>20</v>
      </c>
      <c r="I1984" s="1">
        <f>IFERROR(__xludf.DUMMYFUNCTION("""COMPUTED_VALUE"""),37.0)</f>
        <v>37</v>
      </c>
      <c r="J1984" s="1">
        <f>IFERROR(__xludf.DUMMYFUNCTION("""COMPUTED_VALUE"""),97.0)</f>
        <v>97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 t="str">
        <f>IFERROR(__xludf.DUMMYFUNCTION("""COMPUTED_VALUE"""),"C")</f>
        <v>C</v>
      </c>
      <c r="E1985" s="1">
        <f>IFERROR(__xludf.DUMMYFUNCTION("""COMPUTED_VALUE"""),64.0)</f>
        <v>64</v>
      </c>
      <c r="F1985" s="1">
        <f>IFERROR(__xludf.DUMMYFUNCTION("""COMPUTED_VALUE"""),72.0)</f>
        <v>72</v>
      </c>
      <c r="G1985" s="1">
        <f>IFERROR(__xludf.DUMMYFUNCTION("""COMPUTED_VALUE"""),69.0)</f>
        <v>69</v>
      </c>
      <c r="H1985" s="1">
        <f>IFERROR(__xludf.DUMMYFUNCTION("""COMPUTED_VALUE"""),37.0)</f>
        <v>37</v>
      </c>
      <c r="I1985" s="1">
        <f>IFERROR(__xludf.DUMMYFUNCTION("""COMPUTED_VALUE"""),89.0)</f>
        <v>89</v>
      </c>
      <c r="J1985" s="1">
        <f>IFERROR(__xludf.DUMMYFUNCTION("""COMPUTED_VALUE"""),82.0)</f>
        <v>82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 t="str">
        <f>IFERROR(__xludf.DUMMYFUNCTION("""COMPUTED_VALUE"""),"D")</f>
        <v>D</v>
      </c>
      <c r="E1986" s="1">
        <f>IFERROR(__xludf.DUMMYFUNCTION("""COMPUTED_VALUE"""),65.0)</f>
        <v>65</v>
      </c>
      <c r="F1986" s="1">
        <f>IFERROR(__xludf.DUMMYFUNCTION("""COMPUTED_VALUE"""),46.0)</f>
        <v>46</v>
      </c>
      <c r="G1986" s="1">
        <f>IFERROR(__xludf.DUMMYFUNCTION("""COMPUTED_VALUE"""),58.0)</f>
        <v>58</v>
      </c>
      <c r="H1986" s="1">
        <f>IFERROR(__xludf.DUMMYFUNCTION("""COMPUTED_VALUE"""),34.0)</f>
        <v>34</v>
      </c>
      <c r="I1986" s="1">
        <f>IFERROR(__xludf.DUMMYFUNCTION("""COMPUTED_VALUE"""),88.0)</f>
        <v>88</v>
      </c>
      <c r="J1986" s="1">
        <f>IFERROR(__xludf.DUMMYFUNCTION("""COMPUTED_VALUE"""),59.0)</f>
        <v>59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 t="str">
        <f>IFERROR(__xludf.DUMMYFUNCTION("""COMPUTED_VALUE"""),"B")</f>
        <v>B</v>
      </c>
      <c r="E1987" s="1">
        <f>IFERROR(__xludf.DUMMYFUNCTION("""COMPUTED_VALUE"""),10.0)</f>
        <v>10</v>
      </c>
      <c r="F1987" s="1">
        <f>IFERROR(__xludf.DUMMYFUNCTION("""COMPUTED_VALUE"""),40.0)</f>
        <v>40</v>
      </c>
      <c r="G1987" s="1">
        <f>IFERROR(__xludf.DUMMYFUNCTION("""COMPUTED_VALUE"""),54.0)</f>
        <v>54</v>
      </c>
      <c r="H1987" s="1">
        <f>IFERROR(__xludf.DUMMYFUNCTION("""COMPUTED_VALUE"""),35.0)</f>
        <v>35</v>
      </c>
      <c r="I1987" s="1">
        <f>IFERROR(__xludf.DUMMYFUNCTION("""COMPUTED_VALUE"""),85.0)</f>
        <v>85</v>
      </c>
      <c r="J1987" s="1">
        <f>IFERROR(__xludf.DUMMYFUNCTION("""COMPUTED_VALUE"""),79.0)</f>
        <v>79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 t="str">
        <f>IFERROR(__xludf.DUMMYFUNCTION("""COMPUTED_VALUE"""),"B")</f>
        <v>B</v>
      </c>
      <c r="E1988" s="1">
        <f>IFERROR(__xludf.DUMMYFUNCTION("""COMPUTED_VALUE"""),10.0)</f>
        <v>10</v>
      </c>
      <c r="F1988" s="1">
        <f>IFERROR(__xludf.DUMMYFUNCTION("""COMPUTED_VALUE"""),81.0)</f>
        <v>81</v>
      </c>
      <c r="G1988" s="1">
        <f>IFERROR(__xludf.DUMMYFUNCTION("""COMPUTED_VALUE"""),75.0)</f>
        <v>75</v>
      </c>
      <c r="H1988" s="1">
        <f>IFERROR(__xludf.DUMMYFUNCTION("""COMPUTED_VALUE"""),40.0)</f>
        <v>40</v>
      </c>
      <c r="I1988" s="1">
        <f>IFERROR(__xludf.DUMMYFUNCTION("""COMPUTED_VALUE"""),61.0)</f>
        <v>61</v>
      </c>
      <c r="J1988" s="1">
        <f>IFERROR(__xludf.DUMMYFUNCTION("""COMPUTED_VALUE"""),55.0)</f>
        <v>55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 t="str">
        <f>IFERROR(__xludf.DUMMYFUNCTION("""COMPUTED_VALUE"""),"C")</f>
        <v>C</v>
      </c>
      <c r="E1989" s="1">
        <f>IFERROR(__xludf.DUMMYFUNCTION("""COMPUTED_VALUE"""),28.0)</f>
        <v>28</v>
      </c>
      <c r="F1989" s="1">
        <f>IFERROR(__xludf.DUMMYFUNCTION("""COMPUTED_VALUE"""),76.0)</f>
        <v>76</v>
      </c>
      <c r="G1989" s="1">
        <f>IFERROR(__xludf.DUMMYFUNCTION("""COMPUTED_VALUE"""),59.0)</f>
        <v>59</v>
      </c>
      <c r="H1989" s="1">
        <f>IFERROR(__xludf.DUMMYFUNCTION("""COMPUTED_VALUE"""),47.0)</f>
        <v>47</v>
      </c>
      <c r="I1989" s="1">
        <f>IFERROR(__xludf.DUMMYFUNCTION("""COMPUTED_VALUE"""),72.0)</f>
        <v>72</v>
      </c>
      <c r="J1989" s="1">
        <f>IFERROR(__xludf.DUMMYFUNCTION("""COMPUTED_VALUE"""),82.0)</f>
        <v>82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 t="str">
        <f>IFERROR(__xludf.DUMMYFUNCTION("""COMPUTED_VALUE"""),"C")</f>
        <v>C</v>
      </c>
      <c r="E1990" s="1">
        <f>IFERROR(__xludf.DUMMYFUNCTION("""COMPUTED_VALUE"""),91.0)</f>
        <v>91</v>
      </c>
      <c r="F1990" s="1">
        <f>IFERROR(__xludf.DUMMYFUNCTION("""COMPUTED_VALUE"""),31.0)</f>
        <v>31</v>
      </c>
      <c r="G1990" s="1">
        <f>IFERROR(__xludf.DUMMYFUNCTION("""COMPUTED_VALUE"""),75.0)</f>
        <v>75</v>
      </c>
      <c r="H1990" s="1">
        <f>IFERROR(__xludf.DUMMYFUNCTION("""COMPUTED_VALUE"""),92.0)</f>
        <v>92</v>
      </c>
      <c r="I1990" s="1">
        <f>IFERROR(__xludf.DUMMYFUNCTION("""COMPUTED_VALUE"""),35.0)</f>
        <v>35</v>
      </c>
      <c r="J1990" s="1">
        <f>IFERROR(__xludf.DUMMYFUNCTION("""COMPUTED_VALUE"""),93.0)</f>
        <v>93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 t="str">
        <f>IFERROR(__xludf.DUMMYFUNCTION("""COMPUTED_VALUE"""),"C")</f>
        <v>C</v>
      </c>
      <c r="E1991" s="1">
        <f>IFERROR(__xludf.DUMMYFUNCTION("""COMPUTED_VALUE"""),16.0)</f>
        <v>16</v>
      </c>
      <c r="F1991" s="1">
        <f>IFERROR(__xludf.DUMMYFUNCTION("""COMPUTED_VALUE"""),67.0)</f>
        <v>67</v>
      </c>
      <c r="G1991" s="1">
        <f>IFERROR(__xludf.DUMMYFUNCTION("""COMPUTED_VALUE"""),35.0)</f>
        <v>35</v>
      </c>
      <c r="H1991" s="1">
        <f>IFERROR(__xludf.DUMMYFUNCTION("""COMPUTED_VALUE"""),43.0)</f>
        <v>43</v>
      </c>
      <c r="I1991" s="1">
        <f>IFERROR(__xludf.DUMMYFUNCTION("""COMPUTED_VALUE"""),85.0)</f>
        <v>85</v>
      </c>
      <c r="J1991" s="1">
        <f>IFERROR(__xludf.DUMMYFUNCTION("""COMPUTED_VALUE"""),90.0)</f>
        <v>90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 t="str">
        <f>IFERROR(__xludf.DUMMYFUNCTION("""COMPUTED_VALUE"""),"A")</f>
        <v>A</v>
      </c>
      <c r="E1992" s="1">
        <f>IFERROR(__xludf.DUMMYFUNCTION("""COMPUTED_VALUE"""),56.0)</f>
        <v>56</v>
      </c>
      <c r="F1992" s="1">
        <f>IFERROR(__xludf.DUMMYFUNCTION("""COMPUTED_VALUE"""),71.0)</f>
        <v>71</v>
      </c>
      <c r="G1992" s="1">
        <f>IFERROR(__xludf.DUMMYFUNCTION("""COMPUTED_VALUE"""),72.0)</f>
        <v>72</v>
      </c>
      <c r="H1992" s="1">
        <f>IFERROR(__xludf.DUMMYFUNCTION("""COMPUTED_VALUE"""),42.0)</f>
        <v>42</v>
      </c>
      <c r="I1992" s="1">
        <f>IFERROR(__xludf.DUMMYFUNCTION("""COMPUTED_VALUE"""),50.0)</f>
        <v>50</v>
      </c>
      <c r="J1992" s="1">
        <f>IFERROR(__xludf.DUMMYFUNCTION("""COMPUTED_VALUE"""),96.0)</f>
        <v>96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 t="str">
        <f>IFERROR(__xludf.DUMMYFUNCTION("""COMPUTED_VALUE"""),"A")</f>
        <v>A</v>
      </c>
      <c r="E1993" s="1">
        <f>IFERROR(__xludf.DUMMYFUNCTION("""COMPUTED_VALUE"""),90.0)</f>
        <v>90</v>
      </c>
      <c r="F1993" s="1">
        <f>IFERROR(__xludf.DUMMYFUNCTION("""COMPUTED_VALUE"""),62.0)</f>
        <v>62</v>
      </c>
      <c r="G1993" s="1">
        <f>IFERROR(__xludf.DUMMYFUNCTION("""COMPUTED_VALUE"""),59.0)</f>
        <v>59</v>
      </c>
      <c r="H1993" s="1">
        <f>IFERROR(__xludf.DUMMYFUNCTION("""COMPUTED_VALUE"""),80.0)</f>
        <v>80</v>
      </c>
      <c r="I1993" s="1">
        <f>IFERROR(__xludf.DUMMYFUNCTION("""COMPUTED_VALUE"""),57.0)</f>
        <v>57</v>
      </c>
      <c r="J1993" s="1">
        <f>IFERROR(__xludf.DUMMYFUNCTION("""COMPUTED_VALUE"""),59.0)</f>
        <v>59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 t="str">
        <f>IFERROR(__xludf.DUMMYFUNCTION("""COMPUTED_VALUE"""),"C")</f>
        <v>C</v>
      </c>
      <c r="E1994" s="1">
        <f>IFERROR(__xludf.DUMMYFUNCTION("""COMPUTED_VALUE"""),47.0)</f>
        <v>47</v>
      </c>
      <c r="F1994" s="1">
        <f>IFERROR(__xludf.DUMMYFUNCTION("""COMPUTED_VALUE"""),41.0)</f>
        <v>41</v>
      </c>
      <c r="G1994" s="1">
        <f>IFERROR(__xludf.DUMMYFUNCTION("""COMPUTED_VALUE"""),96.0)</f>
        <v>96</v>
      </c>
      <c r="H1994" s="1">
        <f>IFERROR(__xludf.DUMMYFUNCTION("""COMPUTED_VALUE"""),96.0)</f>
        <v>96</v>
      </c>
      <c r="I1994" s="1">
        <f>IFERROR(__xludf.DUMMYFUNCTION("""COMPUTED_VALUE"""),27.0)</f>
        <v>27</v>
      </c>
      <c r="J1994" s="1">
        <f>IFERROR(__xludf.DUMMYFUNCTION("""COMPUTED_VALUE"""),70.0)</f>
        <v>70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 t="str">
        <f>IFERROR(__xludf.DUMMYFUNCTION("""COMPUTED_VALUE"""),"C")</f>
        <v>C</v>
      </c>
      <c r="E1995" s="1">
        <f>IFERROR(__xludf.DUMMYFUNCTION("""COMPUTED_VALUE"""),90.0)</f>
        <v>90</v>
      </c>
      <c r="F1995" s="1">
        <f>IFERROR(__xludf.DUMMYFUNCTION("""COMPUTED_VALUE"""),57.0)</f>
        <v>57</v>
      </c>
      <c r="G1995" s="1">
        <f>IFERROR(__xludf.DUMMYFUNCTION("""COMPUTED_VALUE"""),37.0)</f>
        <v>37</v>
      </c>
      <c r="H1995" s="1">
        <f>IFERROR(__xludf.DUMMYFUNCTION("""COMPUTED_VALUE"""),62.0)</f>
        <v>62</v>
      </c>
      <c r="I1995" s="1">
        <f>IFERROR(__xludf.DUMMYFUNCTION("""COMPUTED_VALUE"""),54.0)</f>
        <v>54</v>
      </c>
      <c r="J1995" s="1">
        <f>IFERROR(__xludf.DUMMYFUNCTION("""COMPUTED_VALUE"""),52.0)</f>
        <v>52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 t="str">
        <f>IFERROR(__xludf.DUMMYFUNCTION("""COMPUTED_VALUE"""),"B")</f>
        <v>B</v>
      </c>
      <c r="E1996" s="1">
        <f>IFERROR(__xludf.DUMMYFUNCTION("""COMPUTED_VALUE"""),67.0)</f>
        <v>67</v>
      </c>
      <c r="F1996" s="1">
        <f>IFERROR(__xludf.DUMMYFUNCTION("""COMPUTED_VALUE"""),32.0)</f>
        <v>32</v>
      </c>
      <c r="G1996" s="1">
        <f>IFERROR(__xludf.DUMMYFUNCTION("""COMPUTED_VALUE"""),73.0)</f>
        <v>73</v>
      </c>
      <c r="H1996" s="1">
        <f>IFERROR(__xludf.DUMMYFUNCTION("""COMPUTED_VALUE"""),36.0)</f>
        <v>36</v>
      </c>
      <c r="I1996" s="1">
        <f>IFERROR(__xludf.DUMMYFUNCTION("""COMPUTED_VALUE"""),52.0)</f>
        <v>52</v>
      </c>
      <c r="J1996" s="1">
        <f>IFERROR(__xludf.DUMMYFUNCTION("""COMPUTED_VALUE"""),96.0)</f>
        <v>96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 t="str">
        <f>IFERROR(__xludf.DUMMYFUNCTION("""COMPUTED_VALUE"""),"D")</f>
        <v>D</v>
      </c>
      <c r="E1997" s="1">
        <f>IFERROR(__xludf.DUMMYFUNCTION("""COMPUTED_VALUE"""),67.0)</f>
        <v>67</v>
      </c>
      <c r="F1997" s="1">
        <f>IFERROR(__xludf.DUMMYFUNCTION("""COMPUTED_VALUE"""),53.0)</f>
        <v>53</v>
      </c>
      <c r="G1997" s="1">
        <f>IFERROR(__xludf.DUMMYFUNCTION("""COMPUTED_VALUE"""),91.0)</f>
        <v>91</v>
      </c>
      <c r="H1997" s="1">
        <f>IFERROR(__xludf.DUMMYFUNCTION("""COMPUTED_VALUE"""),46.0)</f>
        <v>46</v>
      </c>
      <c r="I1997" s="1">
        <f>IFERROR(__xludf.DUMMYFUNCTION("""COMPUTED_VALUE"""),52.0)</f>
        <v>52</v>
      </c>
      <c r="J1997" s="1">
        <f>IFERROR(__xludf.DUMMYFUNCTION("""COMPUTED_VALUE"""),24.0)</f>
        <v>24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 t="str">
        <f>IFERROR(__xludf.DUMMYFUNCTION("""COMPUTED_VALUE"""),"C")</f>
        <v>C</v>
      </c>
      <c r="E1998" s="1">
        <f>IFERROR(__xludf.DUMMYFUNCTION("""COMPUTED_VALUE"""),27.0)</f>
        <v>27</v>
      </c>
      <c r="F1998" s="1">
        <f>IFERROR(__xludf.DUMMYFUNCTION("""COMPUTED_VALUE"""),24.0)</f>
        <v>24</v>
      </c>
      <c r="G1998" s="1">
        <f>IFERROR(__xludf.DUMMYFUNCTION("""COMPUTED_VALUE"""),57.0)</f>
        <v>57</v>
      </c>
      <c r="H1998" s="1">
        <f>IFERROR(__xludf.DUMMYFUNCTION("""COMPUTED_VALUE"""),33.0)</f>
        <v>33</v>
      </c>
      <c r="I1998" s="1">
        <f>IFERROR(__xludf.DUMMYFUNCTION("""COMPUTED_VALUE"""),33.0)</f>
        <v>33</v>
      </c>
      <c r="J1998" s="1">
        <f>IFERROR(__xludf.DUMMYFUNCTION("""COMPUTED_VALUE"""),67.0)</f>
        <v>67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 t="str">
        <f>IFERROR(__xludf.DUMMYFUNCTION("""COMPUTED_VALUE"""),"C")</f>
        <v>C</v>
      </c>
      <c r="E1999" s="1">
        <f>IFERROR(__xludf.DUMMYFUNCTION("""COMPUTED_VALUE"""),80.0)</f>
        <v>80</v>
      </c>
      <c r="F1999" s="1">
        <f>IFERROR(__xludf.DUMMYFUNCTION("""COMPUTED_VALUE"""),49.0)</f>
        <v>49</v>
      </c>
      <c r="G1999" s="1">
        <f>IFERROR(__xludf.DUMMYFUNCTION("""COMPUTED_VALUE"""),53.0)</f>
        <v>53</v>
      </c>
      <c r="H1999" s="1">
        <f>IFERROR(__xludf.DUMMYFUNCTION("""COMPUTED_VALUE"""),43.0)</f>
        <v>43</v>
      </c>
      <c r="I1999" s="1">
        <f>IFERROR(__xludf.DUMMYFUNCTION("""COMPUTED_VALUE"""),40.0)</f>
        <v>40</v>
      </c>
      <c r="J1999" s="1">
        <f>IFERROR(__xludf.DUMMYFUNCTION("""COMPUTED_VALUE"""),84.0)</f>
        <v>84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 t="str">
        <f>IFERROR(__xludf.DUMMYFUNCTION("""COMPUTED_VALUE"""),"C")</f>
        <v>C</v>
      </c>
      <c r="E2000" s="1">
        <f>IFERROR(__xludf.DUMMYFUNCTION("""COMPUTED_VALUE"""),36.0)</f>
        <v>36</v>
      </c>
      <c r="F2000" s="1">
        <f>IFERROR(__xludf.DUMMYFUNCTION("""COMPUTED_VALUE"""),81.0)</f>
        <v>81</v>
      </c>
      <c r="G2000" s="1">
        <f>IFERROR(__xludf.DUMMYFUNCTION("""COMPUTED_VALUE"""),95.0)</f>
        <v>95</v>
      </c>
      <c r="H2000" s="1">
        <f>IFERROR(__xludf.DUMMYFUNCTION("""COMPUTED_VALUE"""),88.0)</f>
        <v>88</v>
      </c>
      <c r="I2000" s="1">
        <f>IFERROR(__xludf.DUMMYFUNCTION("""COMPUTED_VALUE"""),43.0)</f>
        <v>43</v>
      </c>
      <c r="J2000" s="1">
        <f>IFERROR(__xludf.DUMMYFUNCTION("""COMPUTED_VALUE"""),51.0)</f>
        <v>51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 t="str">
        <f>IFERROR(__xludf.DUMMYFUNCTION("""COMPUTED_VALUE"""),"D")</f>
        <v>D</v>
      </c>
      <c r="E2001" s="1">
        <f>IFERROR(__xludf.DUMMYFUNCTION("""COMPUTED_VALUE"""),52.0)</f>
        <v>52</v>
      </c>
      <c r="F2001" s="1">
        <f>IFERROR(__xludf.DUMMYFUNCTION("""COMPUTED_VALUE"""),42.0)</f>
        <v>42</v>
      </c>
      <c r="G2001" s="1">
        <f>IFERROR(__xludf.DUMMYFUNCTION("""COMPUTED_VALUE"""),60.0)</f>
        <v>60</v>
      </c>
      <c r="H2001" s="1">
        <f>IFERROR(__xludf.DUMMYFUNCTION("""COMPUTED_VALUE"""),59.0)</f>
        <v>59</v>
      </c>
      <c r="I2001" s="1">
        <f>IFERROR(__xludf.DUMMYFUNCTION("""COMPUTED_VALUE"""),79.0)</f>
        <v>79</v>
      </c>
      <c r="J2001" s="1">
        <f>IFERROR(__xludf.DUMMYFUNCTION("""COMPUTED_VALUE"""),88.0)</f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IFERROR(__xludf.DUMMYFUNCTION("query(importrange(""https://docs.google.com/spreadsheets/d/1M37DjHnPN95tzUOEE8wSni2R2lc875SF1Wepiuuu3lM/"",""marksheet!A1:K2001""),
""Select *"",1)"),"Student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IFERROR(__xludf.DUMMYFUNCTION("""COMPUTED_VALUE"""),"Attendance (%)")</f>
        <v>Attendance (%)</v>
      </c>
      <c r="E1" s="1" t="str">
        <f>IFERROR(__xludf.DUMMYFUNCTION("""COMPUTED_VALUE"""),"Hindi")</f>
        <v>Hindi</v>
      </c>
      <c r="F1" s="1" t="str">
        <f>IFERROR(__xludf.DUMMYFUNCTION("""COMPUTED_VALUE"""),"English")</f>
        <v>English</v>
      </c>
      <c r="G1" s="1" t="str">
        <f>IFERROR(__xludf.DUMMYFUNCTION("""COMPUTED_VALUE"""),"Science")</f>
        <v>Science</v>
      </c>
      <c r="H1" s="1" t="str">
        <f>IFERROR(__xludf.DUMMYFUNCTION("""COMPUTED_VALUE"""),"Maths")</f>
        <v>Maths</v>
      </c>
      <c r="I1" s="1" t="str">
        <f>IFERROR(__xludf.DUMMYFUNCTION("""COMPUTED_VALUE"""),"Computer")</f>
        <v>Computer</v>
      </c>
      <c r="J1" s="1" t="str">
        <f>IFERROR(__xludf.DUMMYFUNCTION("""COMPUTED_VALUE"""),"Total Marks")</f>
        <v>Total Marks</v>
      </c>
      <c r="K1" s="1" t="str">
        <f>IFERROR(__xludf.DUMMYFUNCTION("""COMPUTED_VALUE"""),"Percentage")</f>
        <v>Percentage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>
        <f>IFERROR(__xludf.DUMMYFUNCTION("""COMPUTED_VALUE"""),67.0)</f>
        <v>67</v>
      </c>
      <c r="E2" s="1">
        <f>IFERROR(__xludf.DUMMYFUNCTION("""COMPUTED_VALUE"""),90.0)</f>
        <v>90</v>
      </c>
      <c r="F2" s="1">
        <f>IFERROR(__xludf.DUMMYFUNCTION("""COMPUTED_VALUE"""),56.0)</f>
        <v>56</v>
      </c>
      <c r="G2" s="1">
        <f>IFERROR(__xludf.DUMMYFUNCTION("""COMPUTED_VALUE"""),78.0)</f>
        <v>78</v>
      </c>
      <c r="H2" s="1">
        <f>IFERROR(__xludf.DUMMYFUNCTION("""COMPUTED_VALUE"""),45.0)</f>
        <v>45</v>
      </c>
      <c r="I2" s="1">
        <f>IFERROR(__xludf.DUMMYFUNCTION("""COMPUTED_VALUE"""),67.0)</f>
        <v>67</v>
      </c>
      <c r="J2" s="1">
        <f>IFERROR(__xludf.DUMMYFUNCTION("""COMPUTED_VALUE"""),336.0)</f>
        <v>336</v>
      </c>
      <c r="K2" s="1">
        <f>IFERROR(__xludf.DUMMYFUNCTION("""COMPUTED_VALUE"""),67.2)</f>
        <v>67.2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>
        <f>IFERROR(__xludf.DUMMYFUNCTION("""COMPUTED_VALUE"""),87.0)</f>
        <v>87</v>
      </c>
      <c r="E3" s="1">
        <f>IFERROR(__xludf.DUMMYFUNCTION("""COMPUTED_VALUE"""),67.0)</f>
        <v>67</v>
      </c>
      <c r="F3" s="1">
        <f>IFERROR(__xludf.DUMMYFUNCTION("""COMPUTED_VALUE"""),45.0)</f>
        <v>45</v>
      </c>
      <c r="G3" s="1">
        <f>IFERROR(__xludf.DUMMYFUNCTION("""COMPUTED_VALUE"""),46.0)</f>
        <v>46</v>
      </c>
      <c r="H3" s="1">
        <f>IFERROR(__xludf.DUMMYFUNCTION("""COMPUTED_VALUE"""),53.0)</f>
        <v>53</v>
      </c>
      <c r="I3" s="1">
        <f>IFERROR(__xludf.DUMMYFUNCTION("""COMPUTED_VALUE"""),86.0)</f>
        <v>86</v>
      </c>
      <c r="J3" s="1">
        <f>IFERROR(__xludf.DUMMYFUNCTION("""COMPUTED_VALUE"""),297.0)</f>
        <v>297</v>
      </c>
      <c r="K3" s="1">
        <f>IFERROR(__xludf.DUMMYFUNCTION("""COMPUTED_VALUE"""),59.4)</f>
        <v>59.4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>
        <f>IFERROR(__xludf.DUMMYFUNCTION("""COMPUTED_VALUE"""),15.0)</f>
        <v>15</v>
      </c>
      <c r="E4" s="1">
        <f>IFERROR(__xludf.DUMMYFUNCTION("""COMPUTED_VALUE"""),68.0)</f>
        <v>68</v>
      </c>
      <c r="F4" s="1">
        <f>IFERROR(__xludf.DUMMYFUNCTION("""COMPUTED_VALUE"""),49.0)</f>
        <v>49</v>
      </c>
      <c r="G4" s="1">
        <f>IFERROR(__xludf.DUMMYFUNCTION("""COMPUTED_VALUE"""),59.0)</f>
        <v>59</v>
      </c>
      <c r="H4" s="1">
        <f>IFERROR(__xludf.DUMMYFUNCTION("""COMPUTED_VALUE"""),59.0)</f>
        <v>59</v>
      </c>
      <c r="I4" s="1">
        <f>IFERROR(__xludf.DUMMYFUNCTION("""COMPUTED_VALUE"""),48.0)</f>
        <v>48</v>
      </c>
      <c r="J4" s="1">
        <f>IFERROR(__xludf.DUMMYFUNCTION("""COMPUTED_VALUE"""),283.0)</f>
        <v>283</v>
      </c>
      <c r="K4" s="1">
        <f>IFERROR(__xludf.DUMMYFUNCTION("""COMPUTED_VALUE"""),56.599999999999994)</f>
        <v>56.6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>
        <f>IFERROR(__xludf.DUMMYFUNCTION("""COMPUTED_VALUE"""),85.0)</f>
        <v>85</v>
      </c>
      <c r="E5" s="1">
        <f>IFERROR(__xludf.DUMMYFUNCTION("""COMPUTED_VALUE"""),28.0)</f>
        <v>28</v>
      </c>
      <c r="F5" s="1">
        <f>IFERROR(__xludf.DUMMYFUNCTION("""COMPUTED_VALUE"""),28.0)</f>
        <v>28</v>
      </c>
      <c r="G5" s="1">
        <f>IFERROR(__xludf.DUMMYFUNCTION("""COMPUTED_VALUE"""),72.0)</f>
        <v>72</v>
      </c>
      <c r="H5" s="1">
        <f>IFERROR(__xludf.DUMMYFUNCTION("""COMPUTED_VALUE"""),25.0)</f>
        <v>25</v>
      </c>
      <c r="I5" s="1">
        <f>IFERROR(__xludf.DUMMYFUNCTION("""COMPUTED_VALUE"""),94.0)</f>
        <v>94</v>
      </c>
      <c r="J5" s="1">
        <f>IFERROR(__xludf.DUMMYFUNCTION("""COMPUTED_VALUE"""),247.0)</f>
        <v>247</v>
      </c>
      <c r="K5" s="1">
        <f>IFERROR(__xludf.DUMMYFUNCTION("""COMPUTED_VALUE"""),49.4)</f>
        <v>49.4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>
        <f>IFERROR(__xludf.DUMMYFUNCTION("""COMPUTED_VALUE"""),93.0)</f>
        <v>93</v>
      </c>
      <c r="E6" s="1">
        <f>IFERROR(__xludf.DUMMYFUNCTION("""COMPUTED_VALUE"""),97.0)</f>
        <v>97</v>
      </c>
      <c r="F6" s="1">
        <f>IFERROR(__xludf.DUMMYFUNCTION("""COMPUTED_VALUE"""),92.0)</f>
        <v>92</v>
      </c>
      <c r="G6" s="1">
        <f>IFERROR(__xludf.DUMMYFUNCTION("""COMPUTED_VALUE"""),49.0)</f>
        <v>49</v>
      </c>
      <c r="H6" s="1">
        <f>IFERROR(__xludf.DUMMYFUNCTION("""COMPUTED_VALUE"""),67.0)</f>
        <v>67</v>
      </c>
      <c r="I6" s="1">
        <f>IFERROR(__xludf.DUMMYFUNCTION("""COMPUTED_VALUE"""),30.0)</f>
        <v>30</v>
      </c>
      <c r="J6" s="1">
        <f>IFERROR(__xludf.DUMMYFUNCTION("""COMPUTED_VALUE"""),335.0)</f>
        <v>335</v>
      </c>
      <c r="K6" s="1">
        <f>IFERROR(__xludf.DUMMYFUNCTION("""COMPUTED_VALUE"""),67.0)</f>
        <v>67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>
        <f>IFERROR(__xludf.DUMMYFUNCTION("""COMPUTED_VALUE"""),100.0)</f>
        <v>100</v>
      </c>
      <c r="E7" s="1">
        <f>IFERROR(__xludf.DUMMYFUNCTION("""COMPUTED_VALUE"""),56.0)</f>
        <v>56</v>
      </c>
      <c r="F7" s="1">
        <f>IFERROR(__xludf.DUMMYFUNCTION("""COMPUTED_VALUE"""),78.0)</f>
        <v>78</v>
      </c>
      <c r="G7" s="1">
        <f>IFERROR(__xludf.DUMMYFUNCTION("""COMPUTED_VALUE"""),30.0)</f>
        <v>30</v>
      </c>
      <c r="H7" s="1">
        <f>IFERROR(__xludf.DUMMYFUNCTION("""COMPUTED_VALUE"""),37.0)</f>
        <v>37</v>
      </c>
      <c r="I7" s="1">
        <f>IFERROR(__xludf.DUMMYFUNCTION("""COMPUTED_VALUE"""),74.0)</f>
        <v>74</v>
      </c>
      <c r="J7" s="1">
        <f>IFERROR(__xludf.DUMMYFUNCTION("""COMPUTED_VALUE"""),275.0)</f>
        <v>275</v>
      </c>
      <c r="K7" s="1">
        <f>IFERROR(__xludf.DUMMYFUNCTION("""COMPUTED_VALUE"""),55.00000000000001)</f>
        <v>55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>
        <f>IFERROR(__xludf.DUMMYFUNCTION("""COMPUTED_VALUE"""),20.0)</f>
        <v>20</v>
      </c>
      <c r="E8" s="1">
        <f>IFERROR(__xludf.DUMMYFUNCTION("""COMPUTED_VALUE"""),21.0)</f>
        <v>21</v>
      </c>
      <c r="F8" s="1">
        <f>IFERROR(__xludf.DUMMYFUNCTION("""COMPUTED_VALUE"""),34.0)</f>
        <v>34</v>
      </c>
      <c r="G8" s="1">
        <f>IFERROR(__xludf.DUMMYFUNCTION("""COMPUTED_VALUE"""),95.0)</f>
        <v>95</v>
      </c>
      <c r="H8" s="1">
        <f>IFERROR(__xludf.DUMMYFUNCTION("""COMPUTED_VALUE"""),96.0)</f>
        <v>96</v>
      </c>
      <c r="I8" s="1">
        <f>IFERROR(__xludf.DUMMYFUNCTION("""COMPUTED_VALUE"""),78.0)</f>
        <v>78</v>
      </c>
      <c r="J8" s="1">
        <f>IFERROR(__xludf.DUMMYFUNCTION("""COMPUTED_VALUE"""),324.0)</f>
        <v>324</v>
      </c>
      <c r="K8" s="1">
        <f>IFERROR(__xludf.DUMMYFUNCTION("""COMPUTED_VALUE"""),64.8)</f>
        <v>64.8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>
        <f>IFERROR(__xludf.DUMMYFUNCTION("""COMPUTED_VALUE"""),57.0)</f>
        <v>57</v>
      </c>
      <c r="E9" s="1">
        <f>IFERROR(__xludf.DUMMYFUNCTION("""COMPUTED_VALUE"""),63.0)</f>
        <v>63</v>
      </c>
      <c r="F9" s="1">
        <f>IFERROR(__xludf.DUMMYFUNCTION("""COMPUTED_VALUE"""),41.0)</f>
        <v>41</v>
      </c>
      <c r="G9" s="1">
        <f>IFERROR(__xludf.DUMMYFUNCTION("""COMPUTED_VALUE"""),34.0)</f>
        <v>34</v>
      </c>
      <c r="H9" s="1">
        <f>IFERROR(__xludf.DUMMYFUNCTION("""COMPUTED_VALUE"""),66.0)</f>
        <v>66</v>
      </c>
      <c r="I9" s="1">
        <f>IFERROR(__xludf.DUMMYFUNCTION("""COMPUTED_VALUE"""),47.0)</f>
        <v>47</v>
      </c>
      <c r="J9" s="1">
        <f>IFERROR(__xludf.DUMMYFUNCTION("""COMPUTED_VALUE"""),251.0)</f>
        <v>251</v>
      </c>
      <c r="K9" s="1">
        <f>IFERROR(__xludf.DUMMYFUNCTION("""COMPUTED_VALUE"""),50.2)</f>
        <v>50.2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>
        <f>IFERROR(__xludf.DUMMYFUNCTION("""COMPUTED_VALUE"""),98.0)</f>
        <v>98</v>
      </c>
      <c r="E10" s="1">
        <f>IFERROR(__xludf.DUMMYFUNCTION("""COMPUTED_VALUE"""),97.0)</f>
        <v>97</v>
      </c>
      <c r="F10" s="1">
        <f>IFERROR(__xludf.DUMMYFUNCTION("""COMPUTED_VALUE"""),64.0)</f>
        <v>64</v>
      </c>
      <c r="G10" s="1">
        <f>IFERROR(__xludf.DUMMYFUNCTION("""COMPUTED_VALUE"""),75.0)</f>
        <v>75</v>
      </c>
      <c r="H10" s="1">
        <f>IFERROR(__xludf.DUMMYFUNCTION("""COMPUTED_VALUE"""),23.0)</f>
        <v>23</v>
      </c>
      <c r="I10" s="1">
        <f>IFERROR(__xludf.DUMMYFUNCTION("""COMPUTED_VALUE"""),78.0)</f>
        <v>78</v>
      </c>
      <c r="J10" s="1">
        <f>IFERROR(__xludf.DUMMYFUNCTION("""COMPUTED_VALUE"""),337.0)</f>
        <v>337</v>
      </c>
      <c r="K10" s="1">
        <f>IFERROR(__xludf.DUMMYFUNCTION("""COMPUTED_VALUE"""),67.4)</f>
        <v>67.4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>
        <f>IFERROR(__xludf.DUMMYFUNCTION("""COMPUTED_VALUE"""),37.0)</f>
        <v>37</v>
      </c>
      <c r="E11" s="1">
        <f>IFERROR(__xludf.DUMMYFUNCTION("""COMPUTED_VALUE"""),42.0)</f>
        <v>42</v>
      </c>
      <c r="F11" s="1">
        <f>IFERROR(__xludf.DUMMYFUNCTION("""COMPUTED_VALUE"""),93.0)</f>
        <v>93</v>
      </c>
      <c r="G11" s="1">
        <f>IFERROR(__xludf.DUMMYFUNCTION("""COMPUTED_VALUE"""),75.0)</f>
        <v>75</v>
      </c>
      <c r="H11" s="1">
        <f>IFERROR(__xludf.DUMMYFUNCTION("""COMPUTED_VALUE"""),84.0)</f>
        <v>84</v>
      </c>
      <c r="I11" s="1">
        <f>IFERROR(__xludf.DUMMYFUNCTION("""COMPUTED_VALUE"""),79.0)</f>
        <v>79</v>
      </c>
      <c r="J11" s="1">
        <f>IFERROR(__xludf.DUMMYFUNCTION("""COMPUTED_VALUE"""),373.0)</f>
        <v>373</v>
      </c>
      <c r="K11" s="1">
        <f>IFERROR(__xludf.DUMMYFUNCTION("""COMPUTED_VALUE"""),74.6)</f>
        <v>74.6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>
        <f>IFERROR(__xludf.DUMMYFUNCTION("""COMPUTED_VALUE"""),38.0)</f>
        <v>38</v>
      </c>
      <c r="E12" s="1">
        <f>IFERROR(__xludf.DUMMYFUNCTION("""COMPUTED_VALUE"""),21.0)</f>
        <v>21</v>
      </c>
      <c r="F12" s="1">
        <f>IFERROR(__xludf.DUMMYFUNCTION("""COMPUTED_VALUE"""),53.0)</f>
        <v>53</v>
      </c>
      <c r="G12" s="1">
        <f>IFERROR(__xludf.DUMMYFUNCTION("""COMPUTED_VALUE"""),32.0)</f>
        <v>32</v>
      </c>
      <c r="H12" s="1">
        <f>IFERROR(__xludf.DUMMYFUNCTION("""COMPUTED_VALUE"""),54.0)</f>
        <v>54</v>
      </c>
      <c r="I12" s="1">
        <f>IFERROR(__xludf.DUMMYFUNCTION("""COMPUTED_VALUE"""),41.0)</f>
        <v>41</v>
      </c>
      <c r="J12" s="1">
        <f>IFERROR(__xludf.DUMMYFUNCTION("""COMPUTED_VALUE"""),201.0)</f>
        <v>201</v>
      </c>
      <c r="K12" s="1">
        <f>IFERROR(__xludf.DUMMYFUNCTION("""COMPUTED_VALUE"""),40.2)</f>
        <v>40.2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>
        <f>IFERROR(__xludf.DUMMYFUNCTION("""COMPUTED_VALUE"""),90.0)</f>
        <v>90</v>
      </c>
      <c r="E13" s="1">
        <f>IFERROR(__xludf.DUMMYFUNCTION("""COMPUTED_VALUE"""),75.0)</f>
        <v>75</v>
      </c>
      <c r="F13" s="1">
        <f>IFERROR(__xludf.DUMMYFUNCTION("""COMPUTED_VALUE"""),74.0)</f>
        <v>74</v>
      </c>
      <c r="G13" s="1">
        <f>IFERROR(__xludf.DUMMYFUNCTION("""COMPUTED_VALUE"""),63.0)</f>
        <v>63</v>
      </c>
      <c r="H13" s="1">
        <f>IFERROR(__xludf.DUMMYFUNCTION("""COMPUTED_VALUE"""),91.0)</f>
        <v>91</v>
      </c>
      <c r="I13" s="1">
        <f>IFERROR(__xludf.DUMMYFUNCTION("""COMPUTED_VALUE"""),41.0)</f>
        <v>41</v>
      </c>
      <c r="J13" s="1">
        <f>IFERROR(__xludf.DUMMYFUNCTION("""COMPUTED_VALUE"""),344.0)</f>
        <v>344</v>
      </c>
      <c r="K13" s="1">
        <f>IFERROR(__xludf.DUMMYFUNCTION("""COMPUTED_VALUE"""),68.8)</f>
        <v>68.8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>
        <f>IFERROR(__xludf.DUMMYFUNCTION("""COMPUTED_VALUE"""),51.0)</f>
        <v>51</v>
      </c>
      <c r="E14" s="1">
        <f>IFERROR(__xludf.DUMMYFUNCTION("""COMPUTED_VALUE"""),50.0)</f>
        <v>50</v>
      </c>
      <c r="F14" s="1">
        <f>IFERROR(__xludf.DUMMYFUNCTION("""COMPUTED_VALUE"""),69.0)</f>
        <v>69</v>
      </c>
      <c r="G14" s="1">
        <f>IFERROR(__xludf.DUMMYFUNCTION("""COMPUTED_VALUE"""),64.0)</f>
        <v>64</v>
      </c>
      <c r="H14" s="1">
        <f>IFERROR(__xludf.DUMMYFUNCTION("""COMPUTED_VALUE"""),69.0)</f>
        <v>69</v>
      </c>
      <c r="I14" s="1">
        <f>IFERROR(__xludf.DUMMYFUNCTION("""COMPUTED_VALUE"""),86.0)</f>
        <v>86</v>
      </c>
      <c r="J14" s="1">
        <f>IFERROR(__xludf.DUMMYFUNCTION("""COMPUTED_VALUE"""),338.0)</f>
        <v>338</v>
      </c>
      <c r="K14" s="1">
        <f>IFERROR(__xludf.DUMMYFUNCTION("""COMPUTED_VALUE"""),67.60000000000001)</f>
        <v>67.6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>
        <f>IFERROR(__xludf.DUMMYFUNCTION("""COMPUTED_VALUE"""),21.0)</f>
        <v>21</v>
      </c>
      <c r="E15" s="1">
        <f>IFERROR(__xludf.DUMMYFUNCTION("""COMPUTED_VALUE"""),97.0)</f>
        <v>97</v>
      </c>
      <c r="F15" s="1">
        <f>IFERROR(__xludf.DUMMYFUNCTION("""COMPUTED_VALUE"""),77.0)</f>
        <v>77</v>
      </c>
      <c r="G15" s="1">
        <f>IFERROR(__xludf.DUMMYFUNCTION("""COMPUTED_VALUE"""),30.0)</f>
        <v>30</v>
      </c>
      <c r="H15" s="1">
        <f>IFERROR(__xludf.DUMMYFUNCTION("""COMPUTED_VALUE"""),52.0)</f>
        <v>52</v>
      </c>
      <c r="I15" s="1">
        <f>IFERROR(__xludf.DUMMYFUNCTION("""COMPUTED_VALUE"""),95.0)</f>
        <v>95</v>
      </c>
      <c r="J15" s="1">
        <f>IFERROR(__xludf.DUMMYFUNCTION("""COMPUTED_VALUE"""),351.0)</f>
        <v>351</v>
      </c>
      <c r="K15" s="1">
        <f>IFERROR(__xludf.DUMMYFUNCTION("""COMPUTED_VALUE"""),70.19999999999999)</f>
        <v>70.2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>
        <f>IFERROR(__xludf.DUMMYFUNCTION("""COMPUTED_VALUE"""),67.0)</f>
        <v>67</v>
      </c>
      <c r="E16" s="1">
        <f>IFERROR(__xludf.DUMMYFUNCTION("""COMPUTED_VALUE"""),60.0)</f>
        <v>60</v>
      </c>
      <c r="F16" s="1">
        <f>IFERROR(__xludf.DUMMYFUNCTION("""COMPUTED_VALUE"""),72.0)</f>
        <v>72</v>
      </c>
      <c r="G16" s="1">
        <f>IFERROR(__xludf.DUMMYFUNCTION("""COMPUTED_VALUE"""),76.0)</f>
        <v>76</v>
      </c>
      <c r="H16" s="1">
        <f>IFERROR(__xludf.DUMMYFUNCTION("""COMPUTED_VALUE"""),45.0)</f>
        <v>45</v>
      </c>
      <c r="I16" s="1">
        <f>IFERROR(__xludf.DUMMYFUNCTION("""COMPUTED_VALUE"""),76.0)</f>
        <v>76</v>
      </c>
      <c r="J16" s="1">
        <f>IFERROR(__xludf.DUMMYFUNCTION("""COMPUTED_VALUE"""),329.0)</f>
        <v>329</v>
      </c>
      <c r="K16" s="1">
        <f>IFERROR(__xludf.DUMMYFUNCTION("""COMPUTED_VALUE"""),65.8)</f>
        <v>65.8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>
        <f>IFERROR(__xludf.DUMMYFUNCTION("""COMPUTED_VALUE"""),60.0)</f>
        <v>60</v>
      </c>
      <c r="E17" s="1">
        <f>IFERROR(__xludf.DUMMYFUNCTION("""COMPUTED_VALUE"""),99.0)</f>
        <v>99</v>
      </c>
      <c r="F17" s="1">
        <f>IFERROR(__xludf.DUMMYFUNCTION("""COMPUTED_VALUE"""),21.0)</f>
        <v>21</v>
      </c>
      <c r="G17" s="1">
        <f>IFERROR(__xludf.DUMMYFUNCTION("""COMPUTED_VALUE"""),73.0)</f>
        <v>73</v>
      </c>
      <c r="H17" s="1">
        <f>IFERROR(__xludf.DUMMYFUNCTION("""COMPUTED_VALUE"""),73.0)</f>
        <v>73</v>
      </c>
      <c r="I17" s="1">
        <f>IFERROR(__xludf.DUMMYFUNCTION("""COMPUTED_VALUE"""),71.0)</f>
        <v>71</v>
      </c>
      <c r="J17" s="1">
        <f>IFERROR(__xludf.DUMMYFUNCTION("""COMPUTED_VALUE"""),337.0)</f>
        <v>337</v>
      </c>
      <c r="K17" s="1">
        <f>IFERROR(__xludf.DUMMYFUNCTION("""COMPUTED_VALUE"""),67.4)</f>
        <v>67.4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>
        <f>IFERROR(__xludf.DUMMYFUNCTION("""COMPUTED_VALUE"""),86.0)</f>
        <v>86</v>
      </c>
      <c r="E18" s="1">
        <f>IFERROR(__xludf.DUMMYFUNCTION("""COMPUTED_VALUE"""),20.0)</f>
        <v>20</v>
      </c>
      <c r="F18" s="1">
        <f>IFERROR(__xludf.DUMMYFUNCTION("""COMPUTED_VALUE"""),93.0)</f>
        <v>93</v>
      </c>
      <c r="G18" s="1">
        <f>IFERROR(__xludf.DUMMYFUNCTION("""COMPUTED_VALUE"""),75.0)</f>
        <v>75</v>
      </c>
      <c r="H18" s="1">
        <f>IFERROR(__xludf.DUMMYFUNCTION("""COMPUTED_VALUE"""),64.0)</f>
        <v>64</v>
      </c>
      <c r="I18" s="1">
        <f>IFERROR(__xludf.DUMMYFUNCTION("""COMPUTED_VALUE"""),21.0)</f>
        <v>21</v>
      </c>
      <c r="J18" s="1">
        <f>IFERROR(__xludf.DUMMYFUNCTION("""COMPUTED_VALUE"""),273.0)</f>
        <v>273</v>
      </c>
      <c r="K18" s="1">
        <f>IFERROR(__xludf.DUMMYFUNCTION("""COMPUTED_VALUE"""),54.6)</f>
        <v>54.6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>
        <f>IFERROR(__xludf.DUMMYFUNCTION("""COMPUTED_VALUE"""),75.0)</f>
        <v>75</v>
      </c>
      <c r="E19" s="1">
        <f>IFERROR(__xludf.DUMMYFUNCTION("""COMPUTED_VALUE"""),86.0)</f>
        <v>86</v>
      </c>
      <c r="F19" s="1">
        <f>IFERROR(__xludf.DUMMYFUNCTION("""COMPUTED_VALUE"""),60.0)</f>
        <v>60</v>
      </c>
      <c r="G19" s="1">
        <f>IFERROR(__xludf.DUMMYFUNCTION("""COMPUTED_VALUE"""),50.0)</f>
        <v>50</v>
      </c>
      <c r="H19" s="1">
        <f>IFERROR(__xludf.DUMMYFUNCTION("""COMPUTED_VALUE"""),60.0)</f>
        <v>60</v>
      </c>
      <c r="I19" s="1">
        <f>IFERROR(__xludf.DUMMYFUNCTION("""COMPUTED_VALUE"""),80.0)</f>
        <v>80</v>
      </c>
      <c r="J19" s="1">
        <f>IFERROR(__xludf.DUMMYFUNCTION("""COMPUTED_VALUE"""),336.0)</f>
        <v>336</v>
      </c>
      <c r="K19" s="1">
        <f>IFERROR(__xludf.DUMMYFUNCTION("""COMPUTED_VALUE"""),67.2)</f>
        <v>67.2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>
        <f>IFERROR(__xludf.DUMMYFUNCTION("""COMPUTED_VALUE"""),20.0)</f>
        <v>20</v>
      </c>
      <c r="E20" s="1">
        <f>IFERROR(__xludf.DUMMYFUNCTION("""COMPUTED_VALUE"""),59.0)</f>
        <v>59</v>
      </c>
      <c r="F20" s="1">
        <f>IFERROR(__xludf.DUMMYFUNCTION("""COMPUTED_VALUE"""),31.0)</f>
        <v>31</v>
      </c>
      <c r="G20" s="1">
        <f>IFERROR(__xludf.DUMMYFUNCTION("""COMPUTED_VALUE"""),44.0)</f>
        <v>44</v>
      </c>
      <c r="H20" s="1">
        <f>IFERROR(__xludf.DUMMYFUNCTION("""COMPUTED_VALUE"""),64.0)</f>
        <v>64</v>
      </c>
      <c r="I20" s="1">
        <f>IFERROR(__xludf.DUMMYFUNCTION("""COMPUTED_VALUE"""),87.0)</f>
        <v>87</v>
      </c>
      <c r="J20" s="1">
        <f>IFERROR(__xludf.DUMMYFUNCTION("""COMPUTED_VALUE"""),285.0)</f>
        <v>285</v>
      </c>
      <c r="K20" s="1">
        <f>IFERROR(__xludf.DUMMYFUNCTION("""COMPUTED_VALUE"""),56.99999999999999)</f>
        <v>57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>
        <f>IFERROR(__xludf.DUMMYFUNCTION("""COMPUTED_VALUE"""),12.0)</f>
        <v>12</v>
      </c>
      <c r="E21" s="1">
        <f>IFERROR(__xludf.DUMMYFUNCTION("""COMPUTED_VALUE"""),36.0)</f>
        <v>36</v>
      </c>
      <c r="F21" s="1">
        <f>IFERROR(__xludf.DUMMYFUNCTION("""COMPUTED_VALUE"""),52.0)</f>
        <v>52</v>
      </c>
      <c r="G21" s="1">
        <f>IFERROR(__xludf.DUMMYFUNCTION("""COMPUTED_VALUE"""),94.0)</f>
        <v>94</v>
      </c>
      <c r="H21" s="1">
        <f>IFERROR(__xludf.DUMMYFUNCTION("""COMPUTED_VALUE"""),58.0)</f>
        <v>58</v>
      </c>
      <c r="I21" s="1">
        <f>IFERROR(__xludf.DUMMYFUNCTION("""COMPUTED_VALUE"""),95.0)</f>
        <v>95</v>
      </c>
      <c r="J21" s="1">
        <f>IFERROR(__xludf.DUMMYFUNCTION("""COMPUTED_VALUE"""),335.0)</f>
        <v>335</v>
      </c>
      <c r="K21" s="1">
        <f>IFERROR(__xludf.DUMMYFUNCTION("""COMPUTED_VALUE"""),67.0)</f>
        <v>67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>
        <f>IFERROR(__xludf.DUMMYFUNCTION("""COMPUTED_VALUE"""),13.0)</f>
        <v>13</v>
      </c>
      <c r="E22" s="1">
        <f>IFERROR(__xludf.DUMMYFUNCTION("""COMPUTED_VALUE"""),94.0)</f>
        <v>94</v>
      </c>
      <c r="F22" s="1">
        <f>IFERROR(__xludf.DUMMYFUNCTION("""COMPUTED_VALUE"""),26.0)</f>
        <v>26</v>
      </c>
      <c r="G22" s="1">
        <f>IFERROR(__xludf.DUMMYFUNCTION("""COMPUTED_VALUE"""),26.0)</f>
        <v>26</v>
      </c>
      <c r="H22" s="1">
        <f>IFERROR(__xludf.DUMMYFUNCTION("""COMPUTED_VALUE"""),20.0)</f>
        <v>20</v>
      </c>
      <c r="I22" s="1">
        <f>IFERROR(__xludf.DUMMYFUNCTION("""COMPUTED_VALUE"""),55.0)</f>
        <v>55</v>
      </c>
      <c r="J22" s="1">
        <f>IFERROR(__xludf.DUMMYFUNCTION("""COMPUTED_VALUE"""),221.0)</f>
        <v>221</v>
      </c>
      <c r="K22" s="1">
        <f>IFERROR(__xludf.DUMMYFUNCTION("""COMPUTED_VALUE"""),44.2)</f>
        <v>44.2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>
        <f>IFERROR(__xludf.DUMMYFUNCTION("""COMPUTED_VALUE"""),41.0)</f>
        <v>41</v>
      </c>
      <c r="E23" s="1">
        <f>IFERROR(__xludf.DUMMYFUNCTION("""COMPUTED_VALUE"""),64.0)</f>
        <v>64</v>
      </c>
      <c r="F23" s="1">
        <f>IFERROR(__xludf.DUMMYFUNCTION("""COMPUTED_VALUE"""),84.0)</f>
        <v>84</v>
      </c>
      <c r="G23" s="1">
        <f>IFERROR(__xludf.DUMMYFUNCTION("""COMPUTED_VALUE"""),80.0)</f>
        <v>80</v>
      </c>
      <c r="H23" s="1">
        <f>IFERROR(__xludf.DUMMYFUNCTION("""COMPUTED_VALUE"""),45.0)</f>
        <v>45</v>
      </c>
      <c r="I23" s="1">
        <f>IFERROR(__xludf.DUMMYFUNCTION("""COMPUTED_VALUE"""),65.0)</f>
        <v>65</v>
      </c>
      <c r="J23" s="1">
        <f>IFERROR(__xludf.DUMMYFUNCTION("""COMPUTED_VALUE"""),338.0)</f>
        <v>338</v>
      </c>
      <c r="K23" s="1">
        <f>IFERROR(__xludf.DUMMYFUNCTION("""COMPUTED_VALUE"""),67.60000000000001)</f>
        <v>67.6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>
        <f>IFERROR(__xludf.DUMMYFUNCTION("""COMPUTED_VALUE"""),99.0)</f>
        <v>99</v>
      </c>
      <c r="E24" s="1">
        <f>IFERROR(__xludf.DUMMYFUNCTION("""COMPUTED_VALUE"""),54.0)</f>
        <v>54</v>
      </c>
      <c r="F24" s="1">
        <f>IFERROR(__xludf.DUMMYFUNCTION("""COMPUTED_VALUE"""),54.0)</f>
        <v>54</v>
      </c>
      <c r="G24" s="1">
        <f>IFERROR(__xludf.DUMMYFUNCTION("""COMPUTED_VALUE"""),98.0)</f>
        <v>98</v>
      </c>
      <c r="H24" s="1">
        <f>IFERROR(__xludf.DUMMYFUNCTION("""COMPUTED_VALUE"""),72.0)</f>
        <v>72</v>
      </c>
      <c r="I24" s="1">
        <f>IFERROR(__xludf.DUMMYFUNCTION("""COMPUTED_VALUE"""),52.0)</f>
        <v>52</v>
      </c>
      <c r="J24" s="1">
        <f>IFERROR(__xludf.DUMMYFUNCTION("""COMPUTED_VALUE"""),330.0)</f>
        <v>330</v>
      </c>
      <c r="K24" s="1">
        <f>IFERROR(__xludf.DUMMYFUNCTION("""COMPUTED_VALUE"""),66.0)</f>
        <v>66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>
        <f>IFERROR(__xludf.DUMMYFUNCTION("""COMPUTED_VALUE"""),37.0)</f>
        <v>37</v>
      </c>
      <c r="E25" s="1">
        <f>IFERROR(__xludf.DUMMYFUNCTION("""COMPUTED_VALUE"""),94.0)</f>
        <v>94</v>
      </c>
      <c r="F25" s="1">
        <f>IFERROR(__xludf.DUMMYFUNCTION("""COMPUTED_VALUE"""),23.0)</f>
        <v>23</v>
      </c>
      <c r="G25" s="1">
        <f>IFERROR(__xludf.DUMMYFUNCTION("""COMPUTED_VALUE"""),59.0)</f>
        <v>59</v>
      </c>
      <c r="H25" s="1">
        <f>IFERROR(__xludf.DUMMYFUNCTION("""COMPUTED_VALUE"""),33.0)</f>
        <v>33</v>
      </c>
      <c r="I25" s="1">
        <f>IFERROR(__xludf.DUMMYFUNCTION("""COMPUTED_VALUE"""),37.0)</f>
        <v>37</v>
      </c>
      <c r="J25" s="1">
        <f>IFERROR(__xludf.DUMMYFUNCTION("""COMPUTED_VALUE"""),246.0)</f>
        <v>246</v>
      </c>
      <c r="K25" s="1">
        <f>IFERROR(__xludf.DUMMYFUNCTION("""COMPUTED_VALUE"""),49.2)</f>
        <v>49.2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>
        <f>IFERROR(__xludf.DUMMYFUNCTION("""COMPUTED_VALUE"""),17.0)</f>
        <v>17</v>
      </c>
      <c r="E26" s="1">
        <f>IFERROR(__xludf.DUMMYFUNCTION("""COMPUTED_VALUE"""),81.0)</f>
        <v>81</v>
      </c>
      <c r="F26" s="1">
        <f>IFERROR(__xludf.DUMMYFUNCTION("""COMPUTED_VALUE"""),57.0)</f>
        <v>57</v>
      </c>
      <c r="G26" s="1">
        <f>IFERROR(__xludf.DUMMYFUNCTION("""COMPUTED_VALUE"""),29.0)</f>
        <v>29</v>
      </c>
      <c r="H26" s="1">
        <f>IFERROR(__xludf.DUMMYFUNCTION("""COMPUTED_VALUE"""),61.0)</f>
        <v>61</v>
      </c>
      <c r="I26" s="1">
        <f>IFERROR(__xludf.DUMMYFUNCTION("""COMPUTED_VALUE"""),96.0)</f>
        <v>96</v>
      </c>
      <c r="J26" s="1">
        <f>IFERROR(__xludf.DUMMYFUNCTION("""COMPUTED_VALUE"""),324.0)</f>
        <v>324</v>
      </c>
      <c r="K26" s="1">
        <f>IFERROR(__xludf.DUMMYFUNCTION("""COMPUTED_VALUE"""),64.8)</f>
        <v>64.8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>
        <f>IFERROR(__xludf.DUMMYFUNCTION("""COMPUTED_VALUE"""),10.0)</f>
        <v>10</v>
      </c>
      <c r="E27" s="1">
        <f>IFERROR(__xludf.DUMMYFUNCTION("""COMPUTED_VALUE"""),52.0)</f>
        <v>52</v>
      </c>
      <c r="F27" s="1">
        <f>IFERROR(__xludf.DUMMYFUNCTION("""COMPUTED_VALUE"""),81.0)</f>
        <v>81</v>
      </c>
      <c r="G27" s="1">
        <f>IFERROR(__xludf.DUMMYFUNCTION("""COMPUTED_VALUE"""),67.0)</f>
        <v>67</v>
      </c>
      <c r="H27" s="1">
        <f>IFERROR(__xludf.DUMMYFUNCTION("""COMPUTED_VALUE"""),31.0)</f>
        <v>31</v>
      </c>
      <c r="I27" s="1">
        <f>IFERROR(__xludf.DUMMYFUNCTION("""COMPUTED_VALUE"""),90.0)</f>
        <v>90</v>
      </c>
      <c r="J27" s="1">
        <f>IFERROR(__xludf.DUMMYFUNCTION("""COMPUTED_VALUE"""),321.0)</f>
        <v>321</v>
      </c>
      <c r="K27" s="1">
        <f>IFERROR(__xludf.DUMMYFUNCTION("""COMPUTED_VALUE"""),64.2)</f>
        <v>64.2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>
        <f>IFERROR(__xludf.DUMMYFUNCTION("""COMPUTED_VALUE"""),48.0)</f>
        <v>48</v>
      </c>
      <c r="E28" s="1">
        <f>IFERROR(__xludf.DUMMYFUNCTION("""COMPUTED_VALUE"""),64.0)</f>
        <v>64</v>
      </c>
      <c r="F28" s="1">
        <f>IFERROR(__xludf.DUMMYFUNCTION("""COMPUTED_VALUE"""),24.0)</f>
        <v>24</v>
      </c>
      <c r="G28" s="1">
        <f>IFERROR(__xludf.DUMMYFUNCTION("""COMPUTED_VALUE"""),77.0)</f>
        <v>77</v>
      </c>
      <c r="H28" s="1">
        <f>IFERROR(__xludf.DUMMYFUNCTION("""COMPUTED_VALUE"""),97.0)</f>
        <v>97</v>
      </c>
      <c r="I28" s="1">
        <f>IFERROR(__xludf.DUMMYFUNCTION("""COMPUTED_VALUE"""),35.0)</f>
        <v>35</v>
      </c>
      <c r="J28" s="1">
        <f>IFERROR(__xludf.DUMMYFUNCTION("""COMPUTED_VALUE"""),297.0)</f>
        <v>297</v>
      </c>
      <c r="K28" s="1">
        <f>IFERROR(__xludf.DUMMYFUNCTION("""COMPUTED_VALUE"""),59.4)</f>
        <v>59.4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>
        <f>IFERROR(__xludf.DUMMYFUNCTION("""COMPUTED_VALUE"""),88.0)</f>
        <v>88</v>
      </c>
      <c r="E29" s="1">
        <f>IFERROR(__xludf.DUMMYFUNCTION("""COMPUTED_VALUE"""),92.0)</f>
        <v>92</v>
      </c>
      <c r="F29" s="1">
        <f>IFERROR(__xludf.DUMMYFUNCTION("""COMPUTED_VALUE"""),47.0)</f>
        <v>47</v>
      </c>
      <c r="G29" s="1">
        <f>IFERROR(__xludf.DUMMYFUNCTION("""COMPUTED_VALUE"""),39.0)</f>
        <v>39</v>
      </c>
      <c r="H29" s="1">
        <f>IFERROR(__xludf.DUMMYFUNCTION("""COMPUTED_VALUE"""),89.0)</f>
        <v>89</v>
      </c>
      <c r="I29" s="1">
        <f>IFERROR(__xludf.DUMMYFUNCTION("""COMPUTED_VALUE"""),35.0)</f>
        <v>35</v>
      </c>
      <c r="J29" s="1">
        <f>IFERROR(__xludf.DUMMYFUNCTION("""COMPUTED_VALUE"""),302.0)</f>
        <v>302</v>
      </c>
      <c r="K29" s="1">
        <f>IFERROR(__xludf.DUMMYFUNCTION("""COMPUTED_VALUE"""),60.4)</f>
        <v>60.4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>
        <f>IFERROR(__xludf.DUMMYFUNCTION("""COMPUTED_VALUE"""),37.0)</f>
        <v>37</v>
      </c>
      <c r="E30" s="1">
        <f>IFERROR(__xludf.DUMMYFUNCTION("""COMPUTED_VALUE"""),25.0)</f>
        <v>25</v>
      </c>
      <c r="F30" s="1">
        <f>IFERROR(__xludf.DUMMYFUNCTION("""COMPUTED_VALUE"""),43.0)</f>
        <v>43</v>
      </c>
      <c r="G30" s="1">
        <f>IFERROR(__xludf.DUMMYFUNCTION("""COMPUTED_VALUE"""),26.0)</f>
        <v>26</v>
      </c>
      <c r="H30" s="1">
        <f>IFERROR(__xludf.DUMMYFUNCTION("""COMPUTED_VALUE"""),74.0)</f>
        <v>74</v>
      </c>
      <c r="I30" s="1">
        <f>IFERROR(__xludf.DUMMYFUNCTION("""COMPUTED_VALUE"""),21.0)</f>
        <v>21</v>
      </c>
      <c r="J30" s="1">
        <f>IFERROR(__xludf.DUMMYFUNCTION("""COMPUTED_VALUE"""),189.0)</f>
        <v>189</v>
      </c>
      <c r="K30" s="1">
        <f>IFERROR(__xludf.DUMMYFUNCTION("""COMPUTED_VALUE"""),37.8)</f>
        <v>37.8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>
        <f>IFERROR(__xludf.DUMMYFUNCTION("""COMPUTED_VALUE"""),44.0)</f>
        <v>44</v>
      </c>
      <c r="E31" s="1">
        <f>IFERROR(__xludf.DUMMYFUNCTION("""COMPUTED_VALUE"""),52.0)</f>
        <v>52</v>
      </c>
      <c r="F31" s="1">
        <f>IFERROR(__xludf.DUMMYFUNCTION("""COMPUTED_VALUE"""),82.0)</f>
        <v>82</v>
      </c>
      <c r="G31" s="1">
        <f>IFERROR(__xludf.DUMMYFUNCTION("""COMPUTED_VALUE"""),49.0)</f>
        <v>49</v>
      </c>
      <c r="H31" s="1">
        <f>IFERROR(__xludf.DUMMYFUNCTION("""COMPUTED_VALUE"""),52.0)</f>
        <v>52</v>
      </c>
      <c r="I31" s="1">
        <f>IFERROR(__xludf.DUMMYFUNCTION("""COMPUTED_VALUE"""),80.0)</f>
        <v>80</v>
      </c>
      <c r="J31" s="1">
        <f>IFERROR(__xludf.DUMMYFUNCTION("""COMPUTED_VALUE"""),315.0)</f>
        <v>315</v>
      </c>
      <c r="K31" s="1">
        <f>IFERROR(__xludf.DUMMYFUNCTION("""COMPUTED_VALUE"""),63.0)</f>
        <v>63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>
        <f>IFERROR(__xludf.DUMMYFUNCTION("""COMPUTED_VALUE"""),10.0)</f>
        <v>10</v>
      </c>
      <c r="E32" s="1">
        <f>IFERROR(__xludf.DUMMYFUNCTION("""COMPUTED_VALUE"""),95.0)</f>
        <v>95</v>
      </c>
      <c r="F32" s="1">
        <f>IFERROR(__xludf.DUMMYFUNCTION("""COMPUTED_VALUE"""),84.0)</f>
        <v>84</v>
      </c>
      <c r="G32" s="1">
        <f>IFERROR(__xludf.DUMMYFUNCTION("""COMPUTED_VALUE"""),44.0)</f>
        <v>44</v>
      </c>
      <c r="H32" s="1">
        <f>IFERROR(__xludf.DUMMYFUNCTION("""COMPUTED_VALUE"""),28.0)</f>
        <v>28</v>
      </c>
      <c r="I32" s="1">
        <f>IFERROR(__xludf.DUMMYFUNCTION("""COMPUTED_VALUE"""),49.0)</f>
        <v>49</v>
      </c>
      <c r="J32" s="1">
        <f>IFERROR(__xludf.DUMMYFUNCTION("""COMPUTED_VALUE"""),300.0)</f>
        <v>300</v>
      </c>
      <c r="K32" s="1">
        <f>IFERROR(__xludf.DUMMYFUNCTION("""COMPUTED_VALUE"""),60.0)</f>
        <v>60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>
        <f>IFERROR(__xludf.DUMMYFUNCTION("""COMPUTED_VALUE"""),48.0)</f>
        <v>48</v>
      </c>
      <c r="E33" s="1">
        <f>IFERROR(__xludf.DUMMYFUNCTION("""COMPUTED_VALUE"""),51.0)</f>
        <v>51</v>
      </c>
      <c r="F33" s="1">
        <f>IFERROR(__xludf.DUMMYFUNCTION("""COMPUTED_VALUE"""),51.0)</f>
        <v>51</v>
      </c>
      <c r="G33" s="1">
        <f>IFERROR(__xludf.DUMMYFUNCTION("""COMPUTED_VALUE"""),37.0)</f>
        <v>37</v>
      </c>
      <c r="H33" s="1">
        <f>IFERROR(__xludf.DUMMYFUNCTION("""COMPUTED_VALUE"""),27.0)</f>
        <v>27</v>
      </c>
      <c r="I33" s="1">
        <f>IFERROR(__xludf.DUMMYFUNCTION("""COMPUTED_VALUE"""),99.0)</f>
        <v>99</v>
      </c>
      <c r="J33" s="1">
        <f>IFERROR(__xludf.DUMMYFUNCTION("""COMPUTED_VALUE"""),265.0)</f>
        <v>265</v>
      </c>
      <c r="K33" s="1">
        <f>IFERROR(__xludf.DUMMYFUNCTION("""COMPUTED_VALUE"""),53.0)</f>
        <v>53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>
        <f>IFERROR(__xludf.DUMMYFUNCTION("""COMPUTED_VALUE"""),43.0)</f>
        <v>43</v>
      </c>
      <c r="E34" s="1">
        <f>IFERROR(__xludf.DUMMYFUNCTION("""COMPUTED_VALUE"""),52.0)</f>
        <v>52</v>
      </c>
      <c r="F34" s="1">
        <f>IFERROR(__xludf.DUMMYFUNCTION("""COMPUTED_VALUE"""),24.0)</f>
        <v>24</v>
      </c>
      <c r="G34" s="1">
        <f>IFERROR(__xludf.DUMMYFUNCTION("""COMPUTED_VALUE"""),73.0)</f>
        <v>73</v>
      </c>
      <c r="H34" s="1">
        <f>IFERROR(__xludf.DUMMYFUNCTION("""COMPUTED_VALUE"""),90.0)</f>
        <v>90</v>
      </c>
      <c r="I34" s="1">
        <f>IFERROR(__xludf.DUMMYFUNCTION("""COMPUTED_VALUE"""),92.0)</f>
        <v>92</v>
      </c>
      <c r="J34" s="1">
        <f>IFERROR(__xludf.DUMMYFUNCTION("""COMPUTED_VALUE"""),331.0)</f>
        <v>331</v>
      </c>
      <c r="K34" s="1">
        <f>IFERROR(__xludf.DUMMYFUNCTION("""COMPUTED_VALUE"""),66.2)</f>
        <v>66.2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>
        <f>IFERROR(__xludf.DUMMYFUNCTION("""COMPUTED_VALUE"""),17.0)</f>
        <v>17</v>
      </c>
      <c r="E35" s="1">
        <f>IFERROR(__xludf.DUMMYFUNCTION("""COMPUTED_VALUE"""),95.0)</f>
        <v>95</v>
      </c>
      <c r="F35" s="1">
        <f>IFERROR(__xludf.DUMMYFUNCTION("""COMPUTED_VALUE"""),31.0)</f>
        <v>31</v>
      </c>
      <c r="G35" s="1">
        <f>IFERROR(__xludf.DUMMYFUNCTION("""COMPUTED_VALUE"""),26.0)</f>
        <v>26</v>
      </c>
      <c r="H35" s="1">
        <f>IFERROR(__xludf.DUMMYFUNCTION("""COMPUTED_VALUE"""),33.0)</f>
        <v>33</v>
      </c>
      <c r="I35" s="1">
        <f>IFERROR(__xludf.DUMMYFUNCTION("""COMPUTED_VALUE"""),26.0)</f>
        <v>26</v>
      </c>
      <c r="J35" s="1">
        <f>IFERROR(__xludf.DUMMYFUNCTION("""COMPUTED_VALUE"""),211.0)</f>
        <v>211</v>
      </c>
      <c r="K35" s="1">
        <f>IFERROR(__xludf.DUMMYFUNCTION("""COMPUTED_VALUE"""),42.199999999999996)</f>
        <v>42.2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>
        <f>IFERROR(__xludf.DUMMYFUNCTION("""COMPUTED_VALUE"""),75.0)</f>
        <v>75</v>
      </c>
      <c r="E36" s="1">
        <f>IFERROR(__xludf.DUMMYFUNCTION("""COMPUTED_VALUE"""),53.0)</f>
        <v>53</v>
      </c>
      <c r="F36" s="1">
        <f>IFERROR(__xludf.DUMMYFUNCTION("""COMPUTED_VALUE"""),41.0)</f>
        <v>41</v>
      </c>
      <c r="G36" s="1">
        <f>IFERROR(__xludf.DUMMYFUNCTION("""COMPUTED_VALUE"""),42.0)</f>
        <v>42</v>
      </c>
      <c r="H36" s="1">
        <f>IFERROR(__xludf.DUMMYFUNCTION("""COMPUTED_VALUE"""),78.0)</f>
        <v>78</v>
      </c>
      <c r="I36" s="1">
        <f>IFERROR(__xludf.DUMMYFUNCTION("""COMPUTED_VALUE"""),38.0)</f>
        <v>38</v>
      </c>
      <c r="J36" s="1">
        <f>IFERROR(__xludf.DUMMYFUNCTION("""COMPUTED_VALUE"""),252.0)</f>
        <v>252</v>
      </c>
      <c r="K36" s="1">
        <f>IFERROR(__xludf.DUMMYFUNCTION("""COMPUTED_VALUE"""),50.4)</f>
        <v>50.4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>
        <f>IFERROR(__xludf.DUMMYFUNCTION("""COMPUTED_VALUE"""),55.0)</f>
        <v>55</v>
      </c>
      <c r="E37" s="1">
        <f>IFERROR(__xludf.DUMMYFUNCTION("""COMPUTED_VALUE"""),30.0)</f>
        <v>30</v>
      </c>
      <c r="F37" s="1">
        <f>IFERROR(__xludf.DUMMYFUNCTION("""COMPUTED_VALUE"""),88.0)</f>
        <v>88</v>
      </c>
      <c r="G37" s="1">
        <f>IFERROR(__xludf.DUMMYFUNCTION("""COMPUTED_VALUE"""),83.0)</f>
        <v>83</v>
      </c>
      <c r="H37" s="1">
        <f>IFERROR(__xludf.DUMMYFUNCTION("""COMPUTED_VALUE"""),83.0)</f>
        <v>83</v>
      </c>
      <c r="I37" s="1">
        <f>IFERROR(__xludf.DUMMYFUNCTION("""COMPUTED_VALUE"""),72.0)</f>
        <v>72</v>
      </c>
      <c r="J37" s="1">
        <f>IFERROR(__xludf.DUMMYFUNCTION("""COMPUTED_VALUE"""),356.0)</f>
        <v>356</v>
      </c>
      <c r="K37" s="1">
        <f>IFERROR(__xludf.DUMMYFUNCTION("""COMPUTED_VALUE"""),71.2)</f>
        <v>71.2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>
        <f>IFERROR(__xludf.DUMMYFUNCTION("""COMPUTED_VALUE"""),87.0)</f>
        <v>87</v>
      </c>
      <c r="E38" s="1">
        <f>IFERROR(__xludf.DUMMYFUNCTION("""COMPUTED_VALUE"""),58.0)</f>
        <v>58</v>
      </c>
      <c r="F38" s="1">
        <f>IFERROR(__xludf.DUMMYFUNCTION("""COMPUTED_VALUE"""),90.0)</f>
        <v>90</v>
      </c>
      <c r="G38" s="1">
        <f>IFERROR(__xludf.DUMMYFUNCTION("""COMPUTED_VALUE"""),47.0)</f>
        <v>47</v>
      </c>
      <c r="H38" s="1">
        <f>IFERROR(__xludf.DUMMYFUNCTION("""COMPUTED_VALUE"""),31.0)</f>
        <v>31</v>
      </c>
      <c r="I38" s="1">
        <f>IFERROR(__xludf.DUMMYFUNCTION("""COMPUTED_VALUE"""),94.0)</f>
        <v>94</v>
      </c>
      <c r="J38" s="1">
        <f>IFERROR(__xludf.DUMMYFUNCTION("""COMPUTED_VALUE"""),320.0)</f>
        <v>320</v>
      </c>
      <c r="K38" s="1">
        <f>IFERROR(__xludf.DUMMYFUNCTION("""COMPUTED_VALUE"""),64.0)</f>
        <v>64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>
        <f>IFERROR(__xludf.DUMMYFUNCTION("""COMPUTED_VALUE"""),39.0)</f>
        <v>39</v>
      </c>
      <c r="E39" s="1">
        <f>IFERROR(__xludf.DUMMYFUNCTION("""COMPUTED_VALUE"""),63.0)</f>
        <v>63</v>
      </c>
      <c r="F39" s="1">
        <f>IFERROR(__xludf.DUMMYFUNCTION("""COMPUTED_VALUE"""),81.0)</f>
        <v>81</v>
      </c>
      <c r="G39" s="1">
        <f>IFERROR(__xludf.DUMMYFUNCTION("""COMPUTED_VALUE"""),84.0)</f>
        <v>84</v>
      </c>
      <c r="H39" s="1">
        <f>IFERROR(__xludf.DUMMYFUNCTION("""COMPUTED_VALUE"""),51.0)</f>
        <v>51</v>
      </c>
      <c r="I39" s="1">
        <f>IFERROR(__xludf.DUMMYFUNCTION("""COMPUTED_VALUE"""),96.0)</f>
        <v>96</v>
      </c>
      <c r="J39" s="1">
        <f>IFERROR(__xludf.DUMMYFUNCTION("""COMPUTED_VALUE"""),375.0)</f>
        <v>375</v>
      </c>
      <c r="K39" s="1">
        <f>IFERROR(__xludf.DUMMYFUNCTION("""COMPUTED_VALUE"""),75.0)</f>
        <v>75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>
        <f>IFERROR(__xludf.DUMMYFUNCTION("""COMPUTED_VALUE"""),93.0)</f>
        <v>93</v>
      </c>
      <c r="E40" s="1">
        <f>IFERROR(__xludf.DUMMYFUNCTION("""COMPUTED_VALUE"""),65.0)</f>
        <v>65</v>
      </c>
      <c r="F40" s="1">
        <f>IFERROR(__xludf.DUMMYFUNCTION("""COMPUTED_VALUE"""),77.0)</f>
        <v>77</v>
      </c>
      <c r="G40" s="1">
        <f>IFERROR(__xludf.DUMMYFUNCTION("""COMPUTED_VALUE"""),91.0)</f>
        <v>91</v>
      </c>
      <c r="H40" s="1">
        <f>IFERROR(__xludf.DUMMYFUNCTION("""COMPUTED_VALUE"""),38.0)</f>
        <v>38</v>
      </c>
      <c r="I40" s="1">
        <f>IFERROR(__xludf.DUMMYFUNCTION("""COMPUTED_VALUE"""),33.0)</f>
        <v>33</v>
      </c>
      <c r="J40" s="1">
        <f>IFERROR(__xludf.DUMMYFUNCTION("""COMPUTED_VALUE"""),304.0)</f>
        <v>304</v>
      </c>
      <c r="K40" s="1">
        <f>IFERROR(__xludf.DUMMYFUNCTION("""COMPUTED_VALUE"""),60.8)</f>
        <v>60.8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>
        <f>IFERROR(__xludf.DUMMYFUNCTION("""COMPUTED_VALUE"""),64.0)</f>
        <v>64</v>
      </c>
      <c r="E41" s="1">
        <f>IFERROR(__xludf.DUMMYFUNCTION("""COMPUTED_VALUE"""),68.0)</f>
        <v>68</v>
      </c>
      <c r="F41" s="1">
        <f>IFERROR(__xludf.DUMMYFUNCTION("""COMPUTED_VALUE"""),35.0)</f>
        <v>35</v>
      </c>
      <c r="G41" s="1">
        <f>IFERROR(__xludf.DUMMYFUNCTION("""COMPUTED_VALUE"""),46.0)</f>
        <v>46</v>
      </c>
      <c r="H41" s="1">
        <f>IFERROR(__xludf.DUMMYFUNCTION("""COMPUTED_VALUE"""),29.0)</f>
        <v>29</v>
      </c>
      <c r="I41" s="1">
        <f>IFERROR(__xludf.DUMMYFUNCTION("""COMPUTED_VALUE"""),32.0)</f>
        <v>32</v>
      </c>
      <c r="J41" s="1">
        <f>IFERROR(__xludf.DUMMYFUNCTION("""COMPUTED_VALUE"""),210.0)</f>
        <v>210</v>
      </c>
      <c r="K41" s="1">
        <f>IFERROR(__xludf.DUMMYFUNCTION("""COMPUTED_VALUE"""),42.0)</f>
        <v>42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>
        <f>IFERROR(__xludf.DUMMYFUNCTION("""COMPUTED_VALUE"""),94.0)</f>
        <v>94</v>
      </c>
      <c r="E42" s="1">
        <f>IFERROR(__xludf.DUMMYFUNCTION("""COMPUTED_VALUE"""),36.0)</f>
        <v>36</v>
      </c>
      <c r="F42" s="1">
        <f>IFERROR(__xludf.DUMMYFUNCTION("""COMPUTED_VALUE"""),25.0)</f>
        <v>25</v>
      </c>
      <c r="G42" s="1">
        <f>IFERROR(__xludf.DUMMYFUNCTION("""COMPUTED_VALUE"""),49.0)</f>
        <v>49</v>
      </c>
      <c r="H42" s="1">
        <f>IFERROR(__xludf.DUMMYFUNCTION("""COMPUTED_VALUE"""),53.0)</f>
        <v>53</v>
      </c>
      <c r="I42" s="1">
        <f>IFERROR(__xludf.DUMMYFUNCTION("""COMPUTED_VALUE"""),40.0)</f>
        <v>40</v>
      </c>
      <c r="J42" s="1">
        <f>IFERROR(__xludf.DUMMYFUNCTION("""COMPUTED_VALUE"""),203.0)</f>
        <v>203</v>
      </c>
      <c r="K42" s="1">
        <f>IFERROR(__xludf.DUMMYFUNCTION("""COMPUTED_VALUE"""),40.6)</f>
        <v>40.6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>
        <f>IFERROR(__xludf.DUMMYFUNCTION("""COMPUTED_VALUE"""),58.0)</f>
        <v>58</v>
      </c>
      <c r="E43" s="1">
        <f>IFERROR(__xludf.DUMMYFUNCTION("""COMPUTED_VALUE"""),39.0)</f>
        <v>39</v>
      </c>
      <c r="F43" s="1">
        <f>IFERROR(__xludf.DUMMYFUNCTION("""COMPUTED_VALUE"""),88.0)</f>
        <v>88</v>
      </c>
      <c r="G43" s="1">
        <f>IFERROR(__xludf.DUMMYFUNCTION("""COMPUTED_VALUE"""),62.0)</f>
        <v>62</v>
      </c>
      <c r="H43" s="1">
        <f>IFERROR(__xludf.DUMMYFUNCTION("""COMPUTED_VALUE"""),48.0)</f>
        <v>48</v>
      </c>
      <c r="I43" s="1">
        <f>IFERROR(__xludf.DUMMYFUNCTION("""COMPUTED_VALUE"""),30.0)</f>
        <v>30</v>
      </c>
      <c r="J43" s="1">
        <f>IFERROR(__xludf.DUMMYFUNCTION("""COMPUTED_VALUE"""),267.0)</f>
        <v>267</v>
      </c>
      <c r="K43" s="1">
        <f>IFERROR(__xludf.DUMMYFUNCTION("""COMPUTED_VALUE"""),53.400000000000006)</f>
        <v>53.4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>
        <f>IFERROR(__xludf.DUMMYFUNCTION("""COMPUTED_VALUE"""),48.0)</f>
        <v>48</v>
      </c>
      <c r="E44" s="1">
        <f>IFERROR(__xludf.DUMMYFUNCTION("""COMPUTED_VALUE"""),86.0)</f>
        <v>86</v>
      </c>
      <c r="F44" s="1">
        <f>IFERROR(__xludf.DUMMYFUNCTION("""COMPUTED_VALUE"""),83.0)</f>
        <v>83</v>
      </c>
      <c r="G44" s="1">
        <f>IFERROR(__xludf.DUMMYFUNCTION("""COMPUTED_VALUE"""),65.0)</f>
        <v>65</v>
      </c>
      <c r="H44" s="1">
        <f>IFERROR(__xludf.DUMMYFUNCTION("""COMPUTED_VALUE"""),92.0)</f>
        <v>92</v>
      </c>
      <c r="I44" s="1">
        <f>IFERROR(__xludf.DUMMYFUNCTION("""COMPUTED_VALUE"""),85.0)</f>
        <v>85</v>
      </c>
      <c r="J44" s="1">
        <f>IFERROR(__xludf.DUMMYFUNCTION("""COMPUTED_VALUE"""),411.0)</f>
        <v>411</v>
      </c>
      <c r="K44" s="1">
        <f>IFERROR(__xludf.DUMMYFUNCTION("""COMPUTED_VALUE"""),82.19999999999999)</f>
        <v>82.2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>
        <f>IFERROR(__xludf.DUMMYFUNCTION("""COMPUTED_VALUE"""),74.0)</f>
        <v>74</v>
      </c>
      <c r="E45" s="1">
        <f>IFERROR(__xludf.DUMMYFUNCTION("""COMPUTED_VALUE"""),53.0)</f>
        <v>53</v>
      </c>
      <c r="F45" s="1">
        <f>IFERROR(__xludf.DUMMYFUNCTION("""COMPUTED_VALUE"""),25.0)</f>
        <v>25</v>
      </c>
      <c r="G45" s="1">
        <f>IFERROR(__xludf.DUMMYFUNCTION("""COMPUTED_VALUE"""),46.0)</f>
        <v>46</v>
      </c>
      <c r="H45" s="1">
        <f>IFERROR(__xludf.DUMMYFUNCTION("""COMPUTED_VALUE"""),28.0)</f>
        <v>28</v>
      </c>
      <c r="I45" s="1">
        <f>IFERROR(__xludf.DUMMYFUNCTION("""COMPUTED_VALUE"""),94.0)</f>
        <v>94</v>
      </c>
      <c r="J45" s="1">
        <f>IFERROR(__xludf.DUMMYFUNCTION("""COMPUTED_VALUE"""),246.0)</f>
        <v>246</v>
      </c>
      <c r="K45" s="1">
        <f>IFERROR(__xludf.DUMMYFUNCTION("""COMPUTED_VALUE"""),49.2)</f>
        <v>49.2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>
        <f>IFERROR(__xludf.DUMMYFUNCTION("""COMPUTED_VALUE"""),21.0)</f>
        <v>21</v>
      </c>
      <c r="E46" s="1">
        <f>IFERROR(__xludf.DUMMYFUNCTION("""COMPUTED_VALUE"""),83.0)</f>
        <v>83</v>
      </c>
      <c r="F46" s="1">
        <f>IFERROR(__xludf.DUMMYFUNCTION("""COMPUTED_VALUE"""),70.0)</f>
        <v>70</v>
      </c>
      <c r="G46" s="1">
        <f>IFERROR(__xludf.DUMMYFUNCTION("""COMPUTED_VALUE"""),33.0)</f>
        <v>33</v>
      </c>
      <c r="H46" s="1">
        <f>IFERROR(__xludf.DUMMYFUNCTION("""COMPUTED_VALUE"""),68.0)</f>
        <v>68</v>
      </c>
      <c r="I46" s="1">
        <f>IFERROR(__xludf.DUMMYFUNCTION("""COMPUTED_VALUE"""),95.0)</f>
        <v>95</v>
      </c>
      <c r="J46" s="1">
        <f>IFERROR(__xludf.DUMMYFUNCTION("""COMPUTED_VALUE"""),349.0)</f>
        <v>349</v>
      </c>
      <c r="K46" s="1">
        <f>IFERROR(__xludf.DUMMYFUNCTION("""COMPUTED_VALUE"""),69.8)</f>
        <v>69.8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>
        <f>IFERROR(__xludf.DUMMYFUNCTION("""COMPUTED_VALUE"""),55.0)</f>
        <v>55</v>
      </c>
      <c r="E47" s="1">
        <f>IFERROR(__xludf.DUMMYFUNCTION("""COMPUTED_VALUE"""),91.0)</f>
        <v>91</v>
      </c>
      <c r="F47" s="1">
        <f>IFERROR(__xludf.DUMMYFUNCTION("""COMPUTED_VALUE"""),74.0)</f>
        <v>74</v>
      </c>
      <c r="G47" s="1">
        <f>IFERROR(__xludf.DUMMYFUNCTION("""COMPUTED_VALUE"""),35.0)</f>
        <v>35</v>
      </c>
      <c r="H47" s="1">
        <f>IFERROR(__xludf.DUMMYFUNCTION("""COMPUTED_VALUE"""),27.0)</f>
        <v>27</v>
      </c>
      <c r="I47" s="1">
        <f>IFERROR(__xludf.DUMMYFUNCTION("""COMPUTED_VALUE"""),34.0)</f>
        <v>34</v>
      </c>
      <c r="J47" s="1">
        <f>IFERROR(__xludf.DUMMYFUNCTION("""COMPUTED_VALUE"""),261.0)</f>
        <v>261</v>
      </c>
      <c r="K47" s="1">
        <f>IFERROR(__xludf.DUMMYFUNCTION("""COMPUTED_VALUE"""),52.2)</f>
        <v>52.2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>
        <f>IFERROR(__xludf.DUMMYFUNCTION("""COMPUTED_VALUE"""),69.0)</f>
        <v>69</v>
      </c>
      <c r="E48" s="1">
        <f>IFERROR(__xludf.DUMMYFUNCTION("""COMPUTED_VALUE"""),69.0)</f>
        <v>69</v>
      </c>
      <c r="F48" s="1">
        <f>IFERROR(__xludf.DUMMYFUNCTION("""COMPUTED_VALUE"""),32.0)</f>
        <v>32</v>
      </c>
      <c r="G48" s="1">
        <f>IFERROR(__xludf.DUMMYFUNCTION("""COMPUTED_VALUE"""),97.0)</f>
        <v>97</v>
      </c>
      <c r="H48" s="1">
        <f>IFERROR(__xludf.DUMMYFUNCTION("""COMPUTED_VALUE"""),79.0)</f>
        <v>79</v>
      </c>
      <c r="I48" s="1">
        <f>IFERROR(__xludf.DUMMYFUNCTION("""COMPUTED_VALUE"""),21.0)</f>
        <v>21</v>
      </c>
      <c r="J48" s="1">
        <f>IFERROR(__xludf.DUMMYFUNCTION("""COMPUTED_VALUE"""),298.0)</f>
        <v>298</v>
      </c>
      <c r="K48" s="1">
        <f>IFERROR(__xludf.DUMMYFUNCTION("""COMPUTED_VALUE"""),59.599999999999994)</f>
        <v>59.6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>
        <f>IFERROR(__xludf.DUMMYFUNCTION("""COMPUTED_VALUE"""),43.0)</f>
        <v>43</v>
      </c>
      <c r="E49" s="1">
        <f>IFERROR(__xludf.DUMMYFUNCTION("""COMPUTED_VALUE"""),77.0)</f>
        <v>77</v>
      </c>
      <c r="F49" s="1">
        <f>IFERROR(__xludf.DUMMYFUNCTION("""COMPUTED_VALUE"""),56.0)</f>
        <v>56</v>
      </c>
      <c r="G49" s="1">
        <f>IFERROR(__xludf.DUMMYFUNCTION("""COMPUTED_VALUE"""),72.0)</f>
        <v>72</v>
      </c>
      <c r="H49" s="1">
        <f>IFERROR(__xludf.DUMMYFUNCTION("""COMPUTED_VALUE"""),88.0)</f>
        <v>88</v>
      </c>
      <c r="I49" s="1">
        <f>IFERROR(__xludf.DUMMYFUNCTION("""COMPUTED_VALUE"""),37.0)</f>
        <v>37</v>
      </c>
      <c r="J49" s="1">
        <f>IFERROR(__xludf.DUMMYFUNCTION("""COMPUTED_VALUE"""),330.0)</f>
        <v>330</v>
      </c>
      <c r="K49" s="1">
        <f>IFERROR(__xludf.DUMMYFUNCTION("""COMPUTED_VALUE"""),66.0)</f>
        <v>66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>
        <f>IFERROR(__xludf.DUMMYFUNCTION("""COMPUTED_VALUE"""),52.0)</f>
        <v>52</v>
      </c>
      <c r="E50" s="1">
        <f>IFERROR(__xludf.DUMMYFUNCTION("""COMPUTED_VALUE"""),59.0)</f>
        <v>59</v>
      </c>
      <c r="F50" s="1">
        <f>IFERROR(__xludf.DUMMYFUNCTION("""COMPUTED_VALUE"""),95.0)</f>
        <v>95</v>
      </c>
      <c r="G50" s="1">
        <f>IFERROR(__xludf.DUMMYFUNCTION("""COMPUTED_VALUE"""),22.0)</f>
        <v>22</v>
      </c>
      <c r="H50" s="1">
        <f>IFERROR(__xludf.DUMMYFUNCTION("""COMPUTED_VALUE"""),34.0)</f>
        <v>34</v>
      </c>
      <c r="I50" s="1">
        <f>IFERROR(__xludf.DUMMYFUNCTION("""COMPUTED_VALUE"""),66.0)</f>
        <v>66</v>
      </c>
      <c r="J50" s="1">
        <f>IFERROR(__xludf.DUMMYFUNCTION("""COMPUTED_VALUE"""),276.0)</f>
        <v>276</v>
      </c>
      <c r="K50" s="1">
        <f>IFERROR(__xludf.DUMMYFUNCTION("""COMPUTED_VALUE"""),55.2)</f>
        <v>55.2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>
        <f>IFERROR(__xludf.DUMMYFUNCTION("""COMPUTED_VALUE"""),27.0)</f>
        <v>27</v>
      </c>
      <c r="E51" s="1">
        <f>IFERROR(__xludf.DUMMYFUNCTION("""COMPUTED_VALUE"""),69.0)</f>
        <v>69</v>
      </c>
      <c r="F51" s="1">
        <f>IFERROR(__xludf.DUMMYFUNCTION("""COMPUTED_VALUE"""),97.0)</f>
        <v>97</v>
      </c>
      <c r="G51" s="1">
        <f>IFERROR(__xludf.DUMMYFUNCTION("""COMPUTED_VALUE"""),67.0)</f>
        <v>67</v>
      </c>
      <c r="H51" s="1">
        <f>IFERROR(__xludf.DUMMYFUNCTION("""COMPUTED_VALUE"""),40.0)</f>
        <v>40</v>
      </c>
      <c r="I51" s="1">
        <f>IFERROR(__xludf.DUMMYFUNCTION("""COMPUTED_VALUE"""),94.0)</f>
        <v>94</v>
      </c>
      <c r="J51" s="1">
        <f>IFERROR(__xludf.DUMMYFUNCTION("""COMPUTED_VALUE"""),367.0)</f>
        <v>367</v>
      </c>
      <c r="K51" s="1">
        <f>IFERROR(__xludf.DUMMYFUNCTION("""COMPUTED_VALUE"""),73.4)</f>
        <v>73.4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>
        <f>IFERROR(__xludf.DUMMYFUNCTION("""COMPUTED_VALUE"""),65.0)</f>
        <v>65</v>
      </c>
      <c r="E52" s="1">
        <f>IFERROR(__xludf.DUMMYFUNCTION("""COMPUTED_VALUE"""),45.0)</f>
        <v>45</v>
      </c>
      <c r="F52" s="1">
        <f>IFERROR(__xludf.DUMMYFUNCTION("""COMPUTED_VALUE"""),21.0)</f>
        <v>21</v>
      </c>
      <c r="G52" s="1">
        <f>IFERROR(__xludf.DUMMYFUNCTION("""COMPUTED_VALUE"""),26.0)</f>
        <v>26</v>
      </c>
      <c r="H52" s="1">
        <f>IFERROR(__xludf.DUMMYFUNCTION("""COMPUTED_VALUE"""),54.0)</f>
        <v>54</v>
      </c>
      <c r="I52" s="1">
        <f>IFERROR(__xludf.DUMMYFUNCTION("""COMPUTED_VALUE"""),63.0)</f>
        <v>63</v>
      </c>
      <c r="J52" s="1">
        <f>IFERROR(__xludf.DUMMYFUNCTION("""COMPUTED_VALUE"""),209.0)</f>
        <v>209</v>
      </c>
      <c r="K52" s="1">
        <f>IFERROR(__xludf.DUMMYFUNCTION("""COMPUTED_VALUE"""),41.8)</f>
        <v>41.8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>
        <f>IFERROR(__xludf.DUMMYFUNCTION("""COMPUTED_VALUE"""),25.0)</f>
        <v>25</v>
      </c>
      <c r="E53" s="1">
        <f>IFERROR(__xludf.DUMMYFUNCTION("""COMPUTED_VALUE"""),90.0)</f>
        <v>90</v>
      </c>
      <c r="F53" s="1">
        <f>IFERROR(__xludf.DUMMYFUNCTION("""COMPUTED_VALUE"""),95.0)</f>
        <v>95</v>
      </c>
      <c r="G53" s="1">
        <f>IFERROR(__xludf.DUMMYFUNCTION("""COMPUTED_VALUE"""),83.0)</f>
        <v>83</v>
      </c>
      <c r="H53" s="1">
        <f>IFERROR(__xludf.DUMMYFUNCTION("""COMPUTED_VALUE"""),32.0)</f>
        <v>32</v>
      </c>
      <c r="I53" s="1">
        <f>IFERROR(__xludf.DUMMYFUNCTION("""COMPUTED_VALUE"""),78.0)</f>
        <v>78</v>
      </c>
      <c r="J53" s="1">
        <f>IFERROR(__xludf.DUMMYFUNCTION("""COMPUTED_VALUE"""),378.0)</f>
        <v>378</v>
      </c>
      <c r="K53" s="1">
        <f>IFERROR(__xludf.DUMMYFUNCTION("""COMPUTED_VALUE"""),75.6)</f>
        <v>75.6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>
        <f>IFERROR(__xludf.DUMMYFUNCTION("""COMPUTED_VALUE"""),57.0)</f>
        <v>57</v>
      </c>
      <c r="E54" s="1">
        <f>IFERROR(__xludf.DUMMYFUNCTION("""COMPUTED_VALUE"""),56.0)</f>
        <v>56</v>
      </c>
      <c r="F54" s="1">
        <f>IFERROR(__xludf.DUMMYFUNCTION("""COMPUTED_VALUE"""),25.0)</f>
        <v>25</v>
      </c>
      <c r="G54" s="1">
        <f>IFERROR(__xludf.DUMMYFUNCTION("""COMPUTED_VALUE"""),23.0)</f>
        <v>23</v>
      </c>
      <c r="H54" s="1">
        <f>IFERROR(__xludf.DUMMYFUNCTION("""COMPUTED_VALUE"""),88.0)</f>
        <v>88</v>
      </c>
      <c r="I54" s="1">
        <f>IFERROR(__xludf.DUMMYFUNCTION("""COMPUTED_VALUE"""),45.0)</f>
        <v>45</v>
      </c>
      <c r="J54" s="1">
        <f>IFERROR(__xludf.DUMMYFUNCTION("""COMPUTED_VALUE"""),237.0)</f>
        <v>237</v>
      </c>
      <c r="K54" s="1">
        <f>IFERROR(__xludf.DUMMYFUNCTION("""COMPUTED_VALUE"""),47.4)</f>
        <v>47.4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>
        <f>IFERROR(__xludf.DUMMYFUNCTION("""COMPUTED_VALUE"""),34.0)</f>
        <v>34</v>
      </c>
      <c r="E55" s="1">
        <f>IFERROR(__xludf.DUMMYFUNCTION("""COMPUTED_VALUE"""),48.0)</f>
        <v>48</v>
      </c>
      <c r="F55" s="1">
        <f>IFERROR(__xludf.DUMMYFUNCTION("""COMPUTED_VALUE"""),38.0)</f>
        <v>38</v>
      </c>
      <c r="G55" s="1">
        <f>IFERROR(__xludf.DUMMYFUNCTION("""COMPUTED_VALUE"""),34.0)</f>
        <v>34</v>
      </c>
      <c r="H55" s="1">
        <f>IFERROR(__xludf.DUMMYFUNCTION("""COMPUTED_VALUE"""),41.0)</f>
        <v>41</v>
      </c>
      <c r="I55" s="1">
        <f>IFERROR(__xludf.DUMMYFUNCTION("""COMPUTED_VALUE"""),70.0)</f>
        <v>70</v>
      </c>
      <c r="J55" s="1">
        <f>IFERROR(__xludf.DUMMYFUNCTION("""COMPUTED_VALUE"""),231.0)</f>
        <v>231</v>
      </c>
      <c r="K55" s="1">
        <f>IFERROR(__xludf.DUMMYFUNCTION("""COMPUTED_VALUE"""),46.2)</f>
        <v>46.2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>
        <f>IFERROR(__xludf.DUMMYFUNCTION("""COMPUTED_VALUE"""),42.0)</f>
        <v>42</v>
      </c>
      <c r="E56" s="1">
        <f>IFERROR(__xludf.DUMMYFUNCTION("""COMPUTED_VALUE"""),44.0)</f>
        <v>44</v>
      </c>
      <c r="F56" s="1">
        <f>IFERROR(__xludf.DUMMYFUNCTION("""COMPUTED_VALUE"""),93.0)</f>
        <v>93</v>
      </c>
      <c r="G56" s="1">
        <f>IFERROR(__xludf.DUMMYFUNCTION("""COMPUTED_VALUE"""),56.0)</f>
        <v>56</v>
      </c>
      <c r="H56" s="1">
        <f>IFERROR(__xludf.DUMMYFUNCTION("""COMPUTED_VALUE"""),33.0)</f>
        <v>33</v>
      </c>
      <c r="I56" s="1">
        <f>IFERROR(__xludf.DUMMYFUNCTION("""COMPUTED_VALUE"""),81.0)</f>
        <v>81</v>
      </c>
      <c r="J56" s="1">
        <f>IFERROR(__xludf.DUMMYFUNCTION("""COMPUTED_VALUE"""),307.0)</f>
        <v>307</v>
      </c>
      <c r="K56" s="1">
        <f>IFERROR(__xludf.DUMMYFUNCTION("""COMPUTED_VALUE"""),61.4)</f>
        <v>61.4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>
        <f>IFERROR(__xludf.DUMMYFUNCTION("""COMPUTED_VALUE"""),98.0)</f>
        <v>98</v>
      </c>
      <c r="E57" s="1">
        <f>IFERROR(__xludf.DUMMYFUNCTION("""COMPUTED_VALUE"""),23.0)</f>
        <v>23</v>
      </c>
      <c r="F57" s="1">
        <f>IFERROR(__xludf.DUMMYFUNCTION("""COMPUTED_VALUE"""),73.0)</f>
        <v>73</v>
      </c>
      <c r="G57" s="1">
        <f>IFERROR(__xludf.DUMMYFUNCTION("""COMPUTED_VALUE"""),85.0)</f>
        <v>85</v>
      </c>
      <c r="H57" s="1">
        <f>IFERROR(__xludf.DUMMYFUNCTION("""COMPUTED_VALUE"""),55.0)</f>
        <v>55</v>
      </c>
      <c r="I57" s="1">
        <f>IFERROR(__xludf.DUMMYFUNCTION("""COMPUTED_VALUE"""),57.0)</f>
        <v>57</v>
      </c>
      <c r="J57" s="1">
        <f>IFERROR(__xludf.DUMMYFUNCTION("""COMPUTED_VALUE"""),293.0)</f>
        <v>293</v>
      </c>
      <c r="K57" s="1">
        <f>IFERROR(__xludf.DUMMYFUNCTION("""COMPUTED_VALUE"""),58.599999999999994)</f>
        <v>58.6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>
        <f>IFERROR(__xludf.DUMMYFUNCTION("""COMPUTED_VALUE"""),80.0)</f>
        <v>80</v>
      </c>
      <c r="E58" s="1">
        <f>IFERROR(__xludf.DUMMYFUNCTION("""COMPUTED_VALUE"""),59.0)</f>
        <v>59</v>
      </c>
      <c r="F58" s="1">
        <f>IFERROR(__xludf.DUMMYFUNCTION("""COMPUTED_VALUE"""),42.0)</f>
        <v>42</v>
      </c>
      <c r="G58" s="1">
        <f>IFERROR(__xludf.DUMMYFUNCTION("""COMPUTED_VALUE"""),80.0)</f>
        <v>80</v>
      </c>
      <c r="H58" s="1">
        <f>IFERROR(__xludf.DUMMYFUNCTION("""COMPUTED_VALUE"""),76.0)</f>
        <v>76</v>
      </c>
      <c r="I58" s="1">
        <f>IFERROR(__xludf.DUMMYFUNCTION("""COMPUTED_VALUE"""),48.0)</f>
        <v>48</v>
      </c>
      <c r="J58" s="1">
        <f>IFERROR(__xludf.DUMMYFUNCTION("""COMPUTED_VALUE"""),305.0)</f>
        <v>305</v>
      </c>
      <c r="K58" s="1">
        <f>IFERROR(__xludf.DUMMYFUNCTION("""COMPUTED_VALUE"""),61.0)</f>
        <v>61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>
        <f>IFERROR(__xludf.DUMMYFUNCTION("""COMPUTED_VALUE"""),42.0)</f>
        <v>42</v>
      </c>
      <c r="E59" s="1">
        <f>IFERROR(__xludf.DUMMYFUNCTION("""COMPUTED_VALUE"""),60.0)</f>
        <v>60</v>
      </c>
      <c r="F59" s="1">
        <f>IFERROR(__xludf.DUMMYFUNCTION("""COMPUTED_VALUE"""),31.0)</f>
        <v>31</v>
      </c>
      <c r="G59" s="1">
        <f>IFERROR(__xludf.DUMMYFUNCTION("""COMPUTED_VALUE"""),68.0)</f>
        <v>68</v>
      </c>
      <c r="H59" s="1">
        <f>IFERROR(__xludf.DUMMYFUNCTION("""COMPUTED_VALUE"""),39.0)</f>
        <v>39</v>
      </c>
      <c r="I59" s="1">
        <f>IFERROR(__xludf.DUMMYFUNCTION("""COMPUTED_VALUE"""),42.0)</f>
        <v>42</v>
      </c>
      <c r="J59" s="1">
        <f>IFERROR(__xludf.DUMMYFUNCTION("""COMPUTED_VALUE"""),240.0)</f>
        <v>240</v>
      </c>
      <c r="K59" s="1">
        <f>IFERROR(__xludf.DUMMYFUNCTION("""COMPUTED_VALUE"""),48.0)</f>
        <v>48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>
        <f>IFERROR(__xludf.DUMMYFUNCTION("""COMPUTED_VALUE"""),79.0)</f>
        <v>79</v>
      </c>
      <c r="E60" s="1">
        <f>IFERROR(__xludf.DUMMYFUNCTION("""COMPUTED_VALUE"""),99.0)</f>
        <v>99</v>
      </c>
      <c r="F60" s="1">
        <f>IFERROR(__xludf.DUMMYFUNCTION("""COMPUTED_VALUE"""),39.0)</f>
        <v>39</v>
      </c>
      <c r="G60" s="1">
        <f>IFERROR(__xludf.DUMMYFUNCTION("""COMPUTED_VALUE"""),90.0)</f>
        <v>90</v>
      </c>
      <c r="H60" s="1">
        <f>IFERROR(__xludf.DUMMYFUNCTION("""COMPUTED_VALUE"""),21.0)</f>
        <v>21</v>
      </c>
      <c r="I60" s="1">
        <f>IFERROR(__xludf.DUMMYFUNCTION("""COMPUTED_VALUE"""),93.0)</f>
        <v>93</v>
      </c>
      <c r="J60" s="1">
        <f>IFERROR(__xludf.DUMMYFUNCTION("""COMPUTED_VALUE"""),342.0)</f>
        <v>342</v>
      </c>
      <c r="K60" s="1">
        <f>IFERROR(__xludf.DUMMYFUNCTION("""COMPUTED_VALUE"""),68.4)</f>
        <v>68.4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>
        <f>IFERROR(__xludf.DUMMYFUNCTION("""COMPUTED_VALUE"""),64.0)</f>
        <v>64</v>
      </c>
      <c r="E61" s="1">
        <f>IFERROR(__xludf.DUMMYFUNCTION("""COMPUTED_VALUE"""),96.0)</f>
        <v>96</v>
      </c>
      <c r="F61" s="1">
        <f>IFERROR(__xludf.DUMMYFUNCTION("""COMPUTED_VALUE"""),57.0)</f>
        <v>57</v>
      </c>
      <c r="G61" s="1">
        <f>IFERROR(__xludf.DUMMYFUNCTION("""COMPUTED_VALUE"""),64.0)</f>
        <v>64</v>
      </c>
      <c r="H61" s="1">
        <f>IFERROR(__xludf.DUMMYFUNCTION("""COMPUTED_VALUE"""),44.0)</f>
        <v>44</v>
      </c>
      <c r="I61" s="1">
        <f>IFERROR(__xludf.DUMMYFUNCTION("""COMPUTED_VALUE"""),39.0)</f>
        <v>39</v>
      </c>
      <c r="J61" s="1">
        <f>IFERROR(__xludf.DUMMYFUNCTION("""COMPUTED_VALUE"""),300.0)</f>
        <v>300</v>
      </c>
      <c r="K61" s="1">
        <f>IFERROR(__xludf.DUMMYFUNCTION("""COMPUTED_VALUE"""),60.0)</f>
        <v>60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>
        <f>IFERROR(__xludf.DUMMYFUNCTION("""COMPUTED_VALUE"""),64.0)</f>
        <v>64</v>
      </c>
      <c r="E62" s="1">
        <f>IFERROR(__xludf.DUMMYFUNCTION("""COMPUTED_VALUE"""),40.0)</f>
        <v>40</v>
      </c>
      <c r="F62" s="1">
        <f>IFERROR(__xludf.DUMMYFUNCTION("""COMPUTED_VALUE"""),26.0)</f>
        <v>26</v>
      </c>
      <c r="G62" s="1">
        <f>IFERROR(__xludf.DUMMYFUNCTION("""COMPUTED_VALUE"""),85.0)</f>
        <v>85</v>
      </c>
      <c r="H62" s="1">
        <f>IFERROR(__xludf.DUMMYFUNCTION("""COMPUTED_VALUE"""),29.0)</f>
        <v>29</v>
      </c>
      <c r="I62" s="1">
        <f>IFERROR(__xludf.DUMMYFUNCTION("""COMPUTED_VALUE"""),84.0)</f>
        <v>84</v>
      </c>
      <c r="J62" s="1">
        <f>IFERROR(__xludf.DUMMYFUNCTION("""COMPUTED_VALUE"""),264.0)</f>
        <v>264</v>
      </c>
      <c r="K62" s="1">
        <f>IFERROR(__xludf.DUMMYFUNCTION("""COMPUTED_VALUE"""),52.800000000000004)</f>
        <v>52.8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>
        <f>IFERROR(__xludf.DUMMYFUNCTION("""COMPUTED_VALUE"""),100.0)</f>
        <v>100</v>
      </c>
      <c r="E63" s="1">
        <f>IFERROR(__xludf.DUMMYFUNCTION("""COMPUTED_VALUE"""),69.0)</f>
        <v>69</v>
      </c>
      <c r="F63" s="1">
        <f>IFERROR(__xludf.DUMMYFUNCTION("""COMPUTED_VALUE"""),94.0)</f>
        <v>94</v>
      </c>
      <c r="G63" s="1">
        <f>IFERROR(__xludf.DUMMYFUNCTION("""COMPUTED_VALUE"""),93.0)</f>
        <v>93</v>
      </c>
      <c r="H63" s="1">
        <f>IFERROR(__xludf.DUMMYFUNCTION("""COMPUTED_VALUE"""),86.0)</f>
        <v>86</v>
      </c>
      <c r="I63" s="1">
        <f>IFERROR(__xludf.DUMMYFUNCTION("""COMPUTED_VALUE"""),23.0)</f>
        <v>23</v>
      </c>
      <c r="J63" s="1">
        <f>IFERROR(__xludf.DUMMYFUNCTION("""COMPUTED_VALUE"""),365.0)</f>
        <v>365</v>
      </c>
      <c r="K63" s="1">
        <f>IFERROR(__xludf.DUMMYFUNCTION("""COMPUTED_VALUE"""),73.0)</f>
        <v>73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>
        <f>IFERROR(__xludf.DUMMYFUNCTION("""COMPUTED_VALUE"""),64.0)</f>
        <v>64</v>
      </c>
      <c r="E64" s="1">
        <f>IFERROR(__xludf.DUMMYFUNCTION("""COMPUTED_VALUE"""),38.0)</f>
        <v>38</v>
      </c>
      <c r="F64" s="1">
        <f>IFERROR(__xludf.DUMMYFUNCTION("""COMPUTED_VALUE"""),37.0)</f>
        <v>37</v>
      </c>
      <c r="G64" s="1">
        <f>IFERROR(__xludf.DUMMYFUNCTION("""COMPUTED_VALUE"""),92.0)</f>
        <v>92</v>
      </c>
      <c r="H64" s="1">
        <f>IFERROR(__xludf.DUMMYFUNCTION("""COMPUTED_VALUE"""),69.0)</f>
        <v>69</v>
      </c>
      <c r="I64" s="1">
        <f>IFERROR(__xludf.DUMMYFUNCTION("""COMPUTED_VALUE"""),49.0)</f>
        <v>49</v>
      </c>
      <c r="J64" s="1">
        <f>IFERROR(__xludf.DUMMYFUNCTION("""COMPUTED_VALUE"""),285.0)</f>
        <v>285</v>
      </c>
      <c r="K64" s="1">
        <f>IFERROR(__xludf.DUMMYFUNCTION("""COMPUTED_VALUE"""),56.99999999999999)</f>
        <v>57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>
        <f>IFERROR(__xludf.DUMMYFUNCTION("""COMPUTED_VALUE"""),100.0)</f>
        <v>100</v>
      </c>
      <c r="E65" s="1">
        <f>IFERROR(__xludf.DUMMYFUNCTION("""COMPUTED_VALUE"""),63.0)</f>
        <v>63</v>
      </c>
      <c r="F65" s="1">
        <f>IFERROR(__xludf.DUMMYFUNCTION("""COMPUTED_VALUE"""),43.0)</f>
        <v>43</v>
      </c>
      <c r="G65" s="1">
        <f>IFERROR(__xludf.DUMMYFUNCTION("""COMPUTED_VALUE"""),23.0)</f>
        <v>23</v>
      </c>
      <c r="H65" s="1">
        <f>IFERROR(__xludf.DUMMYFUNCTION("""COMPUTED_VALUE"""),65.0)</f>
        <v>65</v>
      </c>
      <c r="I65" s="1">
        <f>IFERROR(__xludf.DUMMYFUNCTION("""COMPUTED_VALUE"""),62.0)</f>
        <v>62</v>
      </c>
      <c r="J65" s="1">
        <f>IFERROR(__xludf.DUMMYFUNCTION("""COMPUTED_VALUE"""),256.0)</f>
        <v>256</v>
      </c>
      <c r="K65" s="1">
        <f>IFERROR(__xludf.DUMMYFUNCTION("""COMPUTED_VALUE"""),51.2)</f>
        <v>51.2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>
        <f>IFERROR(__xludf.DUMMYFUNCTION("""COMPUTED_VALUE"""),54.0)</f>
        <v>54</v>
      </c>
      <c r="E66" s="1">
        <f>IFERROR(__xludf.DUMMYFUNCTION("""COMPUTED_VALUE"""),66.0)</f>
        <v>66</v>
      </c>
      <c r="F66" s="1">
        <f>IFERROR(__xludf.DUMMYFUNCTION("""COMPUTED_VALUE"""),50.0)</f>
        <v>50</v>
      </c>
      <c r="G66" s="1">
        <f>IFERROR(__xludf.DUMMYFUNCTION("""COMPUTED_VALUE"""),87.0)</f>
        <v>87</v>
      </c>
      <c r="H66" s="1">
        <f>IFERROR(__xludf.DUMMYFUNCTION("""COMPUTED_VALUE"""),99.0)</f>
        <v>99</v>
      </c>
      <c r="I66" s="1">
        <f>IFERROR(__xludf.DUMMYFUNCTION("""COMPUTED_VALUE"""),71.0)</f>
        <v>71</v>
      </c>
      <c r="J66" s="1">
        <f>IFERROR(__xludf.DUMMYFUNCTION("""COMPUTED_VALUE"""),373.0)</f>
        <v>373</v>
      </c>
      <c r="K66" s="1">
        <f>IFERROR(__xludf.DUMMYFUNCTION("""COMPUTED_VALUE"""),74.6)</f>
        <v>74.6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>
        <f>IFERROR(__xludf.DUMMYFUNCTION("""COMPUTED_VALUE"""),100.0)</f>
        <v>100</v>
      </c>
      <c r="E67" s="1">
        <f>IFERROR(__xludf.DUMMYFUNCTION("""COMPUTED_VALUE"""),32.0)</f>
        <v>32</v>
      </c>
      <c r="F67" s="1">
        <f>IFERROR(__xludf.DUMMYFUNCTION("""COMPUTED_VALUE"""),61.0)</f>
        <v>61</v>
      </c>
      <c r="G67" s="1">
        <f>IFERROR(__xludf.DUMMYFUNCTION("""COMPUTED_VALUE"""),50.0)</f>
        <v>50</v>
      </c>
      <c r="H67" s="1">
        <f>IFERROR(__xludf.DUMMYFUNCTION("""COMPUTED_VALUE"""),95.0)</f>
        <v>95</v>
      </c>
      <c r="I67" s="1">
        <f>IFERROR(__xludf.DUMMYFUNCTION("""COMPUTED_VALUE"""),28.0)</f>
        <v>28</v>
      </c>
      <c r="J67" s="1">
        <f>IFERROR(__xludf.DUMMYFUNCTION("""COMPUTED_VALUE"""),266.0)</f>
        <v>266</v>
      </c>
      <c r="K67" s="1">
        <f>IFERROR(__xludf.DUMMYFUNCTION("""COMPUTED_VALUE"""),53.2)</f>
        <v>53.2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>
        <f>IFERROR(__xludf.DUMMYFUNCTION("""COMPUTED_VALUE"""),60.0)</f>
        <v>60</v>
      </c>
      <c r="E68" s="1">
        <f>IFERROR(__xludf.DUMMYFUNCTION("""COMPUTED_VALUE"""),88.0)</f>
        <v>88</v>
      </c>
      <c r="F68" s="1">
        <f>IFERROR(__xludf.DUMMYFUNCTION("""COMPUTED_VALUE"""),89.0)</f>
        <v>89</v>
      </c>
      <c r="G68" s="1">
        <f>IFERROR(__xludf.DUMMYFUNCTION("""COMPUTED_VALUE"""),59.0)</f>
        <v>59</v>
      </c>
      <c r="H68" s="1">
        <f>IFERROR(__xludf.DUMMYFUNCTION("""COMPUTED_VALUE"""),64.0)</f>
        <v>64</v>
      </c>
      <c r="I68" s="1">
        <f>IFERROR(__xludf.DUMMYFUNCTION("""COMPUTED_VALUE"""),54.0)</f>
        <v>54</v>
      </c>
      <c r="J68" s="1">
        <f>IFERROR(__xludf.DUMMYFUNCTION("""COMPUTED_VALUE"""),354.0)</f>
        <v>354</v>
      </c>
      <c r="K68" s="1">
        <f>IFERROR(__xludf.DUMMYFUNCTION("""COMPUTED_VALUE"""),70.8)</f>
        <v>70.8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>
        <f>IFERROR(__xludf.DUMMYFUNCTION("""COMPUTED_VALUE"""),85.0)</f>
        <v>85</v>
      </c>
      <c r="E69" s="1">
        <f>IFERROR(__xludf.DUMMYFUNCTION("""COMPUTED_VALUE"""),20.0)</f>
        <v>20</v>
      </c>
      <c r="F69" s="1">
        <f>IFERROR(__xludf.DUMMYFUNCTION("""COMPUTED_VALUE"""),42.0)</f>
        <v>42</v>
      </c>
      <c r="G69" s="1">
        <f>IFERROR(__xludf.DUMMYFUNCTION("""COMPUTED_VALUE"""),84.0)</f>
        <v>84</v>
      </c>
      <c r="H69" s="1">
        <f>IFERROR(__xludf.DUMMYFUNCTION("""COMPUTED_VALUE"""),83.0)</f>
        <v>83</v>
      </c>
      <c r="I69" s="1">
        <f>IFERROR(__xludf.DUMMYFUNCTION("""COMPUTED_VALUE"""),97.0)</f>
        <v>97</v>
      </c>
      <c r="J69" s="1">
        <f>IFERROR(__xludf.DUMMYFUNCTION("""COMPUTED_VALUE"""),326.0)</f>
        <v>326</v>
      </c>
      <c r="K69" s="1">
        <f>IFERROR(__xludf.DUMMYFUNCTION("""COMPUTED_VALUE"""),65.2)</f>
        <v>65.2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>
        <f>IFERROR(__xludf.DUMMYFUNCTION("""COMPUTED_VALUE"""),67.0)</f>
        <v>67</v>
      </c>
      <c r="E70" s="1">
        <f>IFERROR(__xludf.DUMMYFUNCTION("""COMPUTED_VALUE"""),30.0)</f>
        <v>30</v>
      </c>
      <c r="F70" s="1">
        <f>IFERROR(__xludf.DUMMYFUNCTION("""COMPUTED_VALUE"""),86.0)</f>
        <v>86</v>
      </c>
      <c r="G70" s="1">
        <f>IFERROR(__xludf.DUMMYFUNCTION("""COMPUTED_VALUE"""),47.0)</f>
        <v>47</v>
      </c>
      <c r="H70" s="1">
        <f>IFERROR(__xludf.DUMMYFUNCTION("""COMPUTED_VALUE"""),75.0)</f>
        <v>75</v>
      </c>
      <c r="I70" s="1">
        <f>IFERROR(__xludf.DUMMYFUNCTION("""COMPUTED_VALUE"""),58.0)</f>
        <v>58</v>
      </c>
      <c r="J70" s="1">
        <f>IFERROR(__xludf.DUMMYFUNCTION("""COMPUTED_VALUE"""),296.0)</f>
        <v>296</v>
      </c>
      <c r="K70" s="1">
        <f>IFERROR(__xludf.DUMMYFUNCTION("""COMPUTED_VALUE"""),59.199999999999996)</f>
        <v>59.2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>
        <f>IFERROR(__xludf.DUMMYFUNCTION("""COMPUTED_VALUE"""),25.0)</f>
        <v>25</v>
      </c>
      <c r="E71" s="1">
        <f>IFERROR(__xludf.DUMMYFUNCTION("""COMPUTED_VALUE"""),90.0)</f>
        <v>90</v>
      </c>
      <c r="F71" s="1">
        <f>IFERROR(__xludf.DUMMYFUNCTION("""COMPUTED_VALUE"""),81.0)</f>
        <v>81</v>
      </c>
      <c r="G71" s="1">
        <f>IFERROR(__xludf.DUMMYFUNCTION("""COMPUTED_VALUE"""),22.0)</f>
        <v>22</v>
      </c>
      <c r="H71" s="1">
        <f>IFERROR(__xludf.DUMMYFUNCTION("""COMPUTED_VALUE"""),76.0)</f>
        <v>76</v>
      </c>
      <c r="I71" s="1">
        <f>IFERROR(__xludf.DUMMYFUNCTION("""COMPUTED_VALUE"""),92.0)</f>
        <v>92</v>
      </c>
      <c r="J71" s="1">
        <f>IFERROR(__xludf.DUMMYFUNCTION("""COMPUTED_VALUE"""),361.0)</f>
        <v>361</v>
      </c>
      <c r="K71" s="1">
        <f>IFERROR(__xludf.DUMMYFUNCTION("""COMPUTED_VALUE"""),72.2)</f>
        <v>72.2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>
        <f>IFERROR(__xludf.DUMMYFUNCTION("""COMPUTED_VALUE"""),21.0)</f>
        <v>21</v>
      </c>
      <c r="E72" s="1">
        <f>IFERROR(__xludf.DUMMYFUNCTION("""COMPUTED_VALUE"""),28.0)</f>
        <v>28</v>
      </c>
      <c r="F72" s="1">
        <f>IFERROR(__xludf.DUMMYFUNCTION("""COMPUTED_VALUE"""),71.0)</f>
        <v>71</v>
      </c>
      <c r="G72" s="1">
        <f>IFERROR(__xludf.DUMMYFUNCTION("""COMPUTED_VALUE"""),91.0)</f>
        <v>91</v>
      </c>
      <c r="H72" s="1">
        <f>IFERROR(__xludf.DUMMYFUNCTION("""COMPUTED_VALUE"""),61.0)</f>
        <v>61</v>
      </c>
      <c r="I72" s="1">
        <f>IFERROR(__xludf.DUMMYFUNCTION("""COMPUTED_VALUE"""),83.0)</f>
        <v>83</v>
      </c>
      <c r="J72" s="1">
        <f>IFERROR(__xludf.DUMMYFUNCTION("""COMPUTED_VALUE"""),334.0)</f>
        <v>334</v>
      </c>
      <c r="K72" s="1">
        <f>IFERROR(__xludf.DUMMYFUNCTION("""COMPUTED_VALUE"""),66.8)</f>
        <v>66.8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>
        <f>IFERROR(__xludf.DUMMYFUNCTION("""COMPUTED_VALUE"""),68.0)</f>
        <v>68</v>
      </c>
      <c r="E73" s="1">
        <f>IFERROR(__xludf.DUMMYFUNCTION("""COMPUTED_VALUE"""),41.0)</f>
        <v>41</v>
      </c>
      <c r="F73" s="1">
        <f>IFERROR(__xludf.DUMMYFUNCTION("""COMPUTED_VALUE"""),56.0)</f>
        <v>56</v>
      </c>
      <c r="G73" s="1">
        <f>IFERROR(__xludf.DUMMYFUNCTION("""COMPUTED_VALUE"""),96.0)</f>
        <v>96</v>
      </c>
      <c r="H73" s="1">
        <f>IFERROR(__xludf.DUMMYFUNCTION("""COMPUTED_VALUE"""),21.0)</f>
        <v>21</v>
      </c>
      <c r="I73" s="1">
        <f>IFERROR(__xludf.DUMMYFUNCTION("""COMPUTED_VALUE"""),57.0)</f>
        <v>57</v>
      </c>
      <c r="J73" s="1">
        <f>IFERROR(__xludf.DUMMYFUNCTION("""COMPUTED_VALUE"""),271.0)</f>
        <v>271</v>
      </c>
      <c r="K73" s="1">
        <f>IFERROR(__xludf.DUMMYFUNCTION("""COMPUTED_VALUE"""),54.2)</f>
        <v>54.2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>
        <f>IFERROR(__xludf.DUMMYFUNCTION("""COMPUTED_VALUE"""),58.0)</f>
        <v>58</v>
      </c>
      <c r="E74" s="1">
        <f>IFERROR(__xludf.DUMMYFUNCTION("""COMPUTED_VALUE"""),65.0)</f>
        <v>65</v>
      </c>
      <c r="F74" s="1">
        <f>IFERROR(__xludf.DUMMYFUNCTION("""COMPUTED_VALUE"""),61.0)</f>
        <v>61</v>
      </c>
      <c r="G74" s="1">
        <f>IFERROR(__xludf.DUMMYFUNCTION("""COMPUTED_VALUE"""),95.0)</f>
        <v>95</v>
      </c>
      <c r="H74" s="1">
        <f>IFERROR(__xludf.DUMMYFUNCTION("""COMPUTED_VALUE"""),83.0)</f>
        <v>83</v>
      </c>
      <c r="I74" s="1">
        <f>IFERROR(__xludf.DUMMYFUNCTION("""COMPUTED_VALUE"""),32.0)</f>
        <v>32</v>
      </c>
      <c r="J74" s="1">
        <f>IFERROR(__xludf.DUMMYFUNCTION("""COMPUTED_VALUE"""),336.0)</f>
        <v>336</v>
      </c>
      <c r="K74" s="1">
        <f>IFERROR(__xludf.DUMMYFUNCTION("""COMPUTED_VALUE"""),67.2)</f>
        <v>67.2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>
        <f>IFERROR(__xludf.DUMMYFUNCTION("""COMPUTED_VALUE"""),10.0)</f>
        <v>10</v>
      </c>
      <c r="E75" s="1">
        <f>IFERROR(__xludf.DUMMYFUNCTION("""COMPUTED_VALUE"""),43.0)</f>
        <v>43</v>
      </c>
      <c r="F75" s="1">
        <f>IFERROR(__xludf.DUMMYFUNCTION("""COMPUTED_VALUE"""),23.0)</f>
        <v>23</v>
      </c>
      <c r="G75" s="1">
        <f>IFERROR(__xludf.DUMMYFUNCTION("""COMPUTED_VALUE"""),35.0)</f>
        <v>35</v>
      </c>
      <c r="H75" s="1">
        <f>IFERROR(__xludf.DUMMYFUNCTION("""COMPUTED_VALUE"""),87.0)</f>
        <v>87</v>
      </c>
      <c r="I75" s="1">
        <f>IFERROR(__xludf.DUMMYFUNCTION("""COMPUTED_VALUE"""),90.0)</f>
        <v>90</v>
      </c>
      <c r="J75" s="1">
        <f>IFERROR(__xludf.DUMMYFUNCTION("""COMPUTED_VALUE"""),278.0)</f>
        <v>278</v>
      </c>
      <c r="K75" s="1">
        <f>IFERROR(__xludf.DUMMYFUNCTION("""COMPUTED_VALUE"""),55.60000000000001)</f>
        <v>55.6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>
        <f>IFERROR(__xludf.DUMMYFUNCTION("""COMPUTED_VALUE"""),73.0)</f>
        <v>73</v>
      </c>
      <c r="E76" s="1">
        <f>IFERROR(__xludf.DUMMYFUNCTION("""COMPUTED_VALUE"""),56.0)</f>
        <v>56</v>
      </c>
      <c r="F76" s="1">
        <f>IFERROR(__xludf.DUMMYFUNCTION("""COMPUTED_VALUE"""),32.0)</f>
        <v>32</v>
      </c>
      <c r="G76" s="1">
        <f>IFERROR(__xludf.DUMMYFUNCTION("""COMPUTED_VALUE"""),94.0)</f>
        <v>94</v>
      </c>
      <c r="H76" s="1">
        <f>IFERROR(__xludf.DUMMYFUNCTION("""COMPUTED_VALUE"""),59.0)</f>
        <v>59</v>
      </c>
      <c r="I76" s="1">
        <f>IFERROR(__xludf.DUMMYFUNCTION("""COMPUTED_VALUE"""),66.0)</f>
        <v>66</v>
      </c>
      <c r="J76" s="1">
        <f>IFERROR(__xludf.DUMMYFUNCTION("""COMPUTED_VALUE"""),307.0)</f>
        <v>307</v>
      </c>
      <c r="K76" s="1">
        <f>IFERROR(__xludf.DUMMYFUNCTION("""COMPUTED_VALUE"""),61.4)</f>
        <v>61.4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>
        <f>IFERROR(__xludf.DUMMYFUNCTION("""COMPUTED_VALUE"""),71.0)</f>
        <v>71</v>
      </c>
      <c r="E77" s="1">
        <f>IFERROR(__xludf.DUMMYFUNCTION("""COMPUTED_VALUE"""),93.0)</f>
        <v>93</v>
      </c>
      <c r="F77" s="1">
        <f>IFERROR(__xludf.DUMMYFUNCTION("""COMPUTED_VALUE"""),64.0)</f>
        <v>64</v>
      </c>
      <c r="G77" s="1">
        <f>IFERROR(__xludf.DUMMYFUNCTION("""COMPUTED_VALUE"""),90.0)</f>
        <v>90</v>
      </c>
      <c r="H77" s="1">
        <f>IFERROR(__xludf.DUMMYFUNCTION("""COMPUTED_VALUE"""),43.0)</f>
        <v>43</v>
      </c>
      <c r="I77" s="1">
        <f>IFERROR(__xludf.DUMMYFUNCTION("""COMPUTED_VALUE"""),73.0)</f>
        <v>73</v>
      </c>
      <c r="J77" s="1">
        <f>IFERROR(__xludf.DUMMYFUNCTION("""COMPUTED_VALUE"""),363.0)</f>
        <v>363</v>
      </c>
      <c r="K77" s="1">
        <f>IFERROR(__xludf.DUMMYFUNCTION("""COMPUTED_VALUE"""),72.6)</f>
        <v>72.6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>
        <f>IFERROR(__xludf.DUMMYFUNCTION("""COMPUTED_VALUE"""),43.0)</f>
        <v>43</v>
      </c>
      <c r="E78" s="1">
        <f>IFERROR(__xludf.DUMMYFUNCTION("""COMPUTED_VALUE"""),79.0)</f>
        <v>79</v>
      </c>
      <c r="F78" s="1">
        <f>IFERROR(__xludf.DUMMYFUNCTION("""COMPUTED_VALUE"""),55.0)</f>
        <v>55</v>
      </c>
      <c r="G78" s="1">
        <f>IFERROR(__xludf.DUMMYFUNCTION("""COMPUTED_VALUE"""),86.0)</f>
        <v>86</v>
      </c>
      <c r="H78" s="1">
        <f>IFERROR(__xludf.DUMMYFUNCTION("""COMPUTED_VALUE"""),98.0)</f>
        <v>98</v>
      </c>
      <c r="I78" s="1">
        <f>IFERROR(__xludf.DUMMYFUNCTION("""COMPUTED_VALUE"""),72.0)</f>
        <v>72</v>
      </c>
      <c r="J78" s="1">
        <f>IFERROR(__xludf.DUMMYFUNCTION("""COMPUTED_VALUE"""),390.0)</f>
        <v>390</v>
      </c>
      <c r="K78" s="1">
        <f>IFERROR(__xludf.DUMMYFUNCTION("""COMPUTED_VALUE"""),78.0)</f>
        <v>78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>
        <f>IFERROR(__xludf.DUMMYFUNCTION("""COMPUTED_VALUE"""),53.0)</f>
        <v>53</v>
      </c>
      <c r="E79" s="1">
        <f>IFERROR(__xludf.DUMMYFUNCTION("""COMPUTED_VALUE"""),77.0)</f>
        <v>77</v>
      </c>
      <c r="F79" s="1">
        <f>IFERROR(__xludf.DUMMYFUNCTION("""COMPUTED_VALUE"""),62.0)</f>
        <v>62</v>
      </c>
      <c r="G79" s="1">
        <f>IFERROR(__xludf.DUMMYFUNCTION("""COMPUTED_VALUE"""),26.0)</f>
        <v>26</v>
      </c>
      <c r="H79" s="1">
        <f>IFERROR(__xludf.DUMMYFUNCTION("""COMPUTED_VALUE"""),67.0)</f>
        <v>67</v>
      </c>
      <c r="I79" s="1">
        <f>IFERROR(__xludf.DUMMYFUNCTION("""COMPUTED_VALUE"""),64.0)</f>
        <v>64</v>
      </c>
      <c r="J79" s="1">
        <f>IFERROR(__xludf.DUMMYFUNCTION("""COMPUTED_VALUE"""),296.0)</f>
        <v>296</v>
      </c>
      <c r="K79" s="1">
        <f>IFERROR(__xludf.DUMMYFUNCTION("""COMPUTED_VALUE"""),59.199999999999996)</f>
        <v>59.2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>
        <f>IFERROR(__xludf.DUMMYFUNCTION("""COMPUTED_VALUE"""),79.0)</f>
        <v>79</v>
      </c>
      <c r="E80" s="1">
        <f>IFERROR(__xludf.DUMMYFUNCTION("""COMPUTED_VALUE"""),86.0)</f>
        <v>86</v>
      </c>
      <c r="F80" s="1">
        <f>IFERROR(__xludf.DUMMYFUNCTION("""COMPUTED_VALUE"""),45.0)</f>
        <v>45</v>
      </c>
      <c r="G80" s="1">
        <f>IFERROR(__xludf.DUMMYFUNCTION("""COMPUTED_VALUE"""),42.0)</f>
        <v>42</v>
      </c>
      <c r="H80" s="1">
        <f>IFERROR(__xludf.DUMMYFUNCTION("""COMPUTED_VALUE"""),29.0)</f>
        <v>29</v>
      </c>
      <c r="I80" s="1">
        <f>IFERROR(__xludf.DUMMYFUNCTION("""COMPUTED_VALUE"""),22.0)</f>
        <v>22</v>
      </c>
      <c r="J80" s="1">
        <f>IFERROR(__xludf.DUMMYFUNCTION("""COMPUTED_VALUE"""),224.0)</f>
        <v>224</v>
      </c>
      <c r="K80" s="1">
        <f>IFERROR(__xludf.DUMMYFUNCTION("""COMPUTED_VALUE"""),44.800000000000004)</f>
        <v>44.8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>
        <f>IFERROR(__xludf.DUMMYFUNCTION("""COMPUTED_VALUE"""),97.0)</f>
        <v>97</v>
      </c>
      <c r="E81" s="1">
        <f>IFERROR(__xludf.DUMMYFUNCTION("""COMPUTED_VALUE"""),51.0)</f>
        <v>51</v>
      </c>
      <c r="F81" s="1">
        <f>IFERROR(__xludf.DUMMYFUNCTION("""COMPUTED_VALUE"""),59.0)</f>
        <v>59</v>
      </c>
      <c r="G81" s="1">
        <f>IFERROR(__xludf.DUMMYFUNCTION("""COMPUTED_VALUE"""),47.0)</f>
        <v>47</v>
      </c>
      <c r="H81" s="1">
        <f>IFERROR(__xludf.DUMMYFUNCTION("""COMPUTED_VALUE"""),98.0)</f>
        <v>98</v>
      </c>
      <c r="I81" s="1">
        <f>IFERROR(__xludf.DUMMYFUNCTION("""COMPUTED_VALUE"""),82.0)</f>
        <v>82</v>
      </c>
      <c r="J81" s="1">
        <f>IFERROR(__xludf.DUMMYFUNCTION("""COMPUTED_VALUE"""),337.0)</f>
        <v>337</v>
      </c>
      <c r="K81" s="1">
        <f>IFERROR(__xludf.DUMMYFUNCTION("""COMPUTED_VALUE"""),67.4)</f>
        <v>67.4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>
        <f>IFERROR(__xludf.DUMMYFUNCTION("""COMPUTED_VALUE"""),99.0)</f>
        <v>99</v>
      </c>
      <c r="E82" s="1">
        <f>IFERROR(__xludf.DUMMYFUNCTION("""COMPUTED_VALUE"""),97.0)</f>
        <v>97</v>
      </c>
      <c r="F82" s="1">
        <f>IFERROR(__xludf.DUMMYFUNCTION("""COMPUTED_VALUE"""),52.0)</f>
        <v>52</v>
      </c>
      <c r="G82" s="1">
        <f>IFERROR(__xludf.DUMMYFUNCTION("""COMPUTED_VALUE"""),31.0)</f>
        <v>31</v>
      </c>
      <c r="H82" s="1">
        <f>IFERROR(__xludf.DUMMYFUNCTION("""COMPUTED_VALUE"""),77.0)</f>
        <v>77</v>
      </c>
      <c r="I82" s="1">
        <f>IFERROR(__xludf.DUMMYFUNCTION("""COMPUTED_VALUE"""),38.0)</f>
        <v>38</v>
      </c>
      <c r="J82" s="1">
        <f>IFERROR(__xludf.DUMMYFUNCTION("""COMPUTED_VALUE"""),295.0)</f>
        <v>295</v>
      </c>
      <c r="K82" s="1">
        <f>IFERROR(__xludf.DUMMYFUNCTION("""COMPUTED_VALUE"""),59.0)</f>
        <v>59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>
        <f>IFERROR(__xludf.DUMMYFUNCTION("""COMPUTED_VALUE"""),31.0)</f>
        <v>31</v>
      </c>
      <c r="E83" s="1">
        <f>IFERROR(__xludf.DUMMYFUNCTION("""COMPUTED_VALUE"""),33.0)</f>
        <v>33</v>
      </c>
      <c r="F83" s="1">
        <f>IFERROR(__xludf.DUMMYFUNCTION("""COMPUTED_VALUE"""),79.0)</f>
        <v>79</v>
      </c>
      <c r="G83" s="1">
        <f>IFERROR(__xludf.DUMMYFUNCTION("""COMPUTED_VALUE"""),40.0)</f>
        <v>40</v>
      </c>
      <c r="H83" s="1">
        <f>IFERROR(__xludf.DUMMYFUNCTION("""COMPUTED_VALUE"""),51.0)</f>
        <v>51</v>
      </c>
      <c r="I83" s="1">
        <f>IFERROR(__xludf.DUMMYFUNCTION("""COMPUTED_VALUE"""),65.0)</f>
        <v>65</v>
      </c>
      <c r="J83" s="1">
        <f>IFERROR(__xludf.DUMMYFUNCTION("""COMPUTED_VALUE"""),268.0)</f>
        <v>268</v>
      </c>
      <c r="K83" s="1">
        <f>IFERROR(__xludf.DUMMYFUNCTION("""COMPUTED_VALUE"""),53.6)</f>
        <v>53.6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>
        <f>IFERROR(__xludf.DUMMYFUNCTION("""COMPUTED_VALUE"""),37.0)</f>
        <v>37</v>
      </c>
      <c r="E84" s="1">
        <f>IFERROR(__xludf.DUMMYFUNCTION("""COMPUTED_VALUE"""),55.0)</f>
        <v>55</v>
      </c>
      <c r="F84" s="1">
        <f>IFERROR(__xludf.DUMMYFUNCTION("""COMPUTED_VALUE"""),37.0)</f>
        <v>37</v>
      </c>
      <c r="G84" s="1">
        <f>IFERROR(__xludf.DUMMYFUNCTION("""COMPUTED_VALUE"""),72.0)</f>
        <v>72</v>
      </c>
      <c r="H84" s="1">
        <f>IFERROR(__xludf.DUMMYFUNCTION("""COMPUTED_VALUE"""),81.0)</f>
        <v>81</v>
      </c>
      <c r="I84" s="1">
        <f>IFERROR(__xludf.DUMMYFUNCTION("""COMPUTED_VALUE"""),64.0)</f>
        <v>64</v>
      </c>
      <c r="J84" s="1">
        <f>IFERROR(__xludf.DUMMYFUNCTION("""COMPUTED_VALUE"""),309.0)</f>
        <v>309</v>
      </c>
      <c r="K84" s="1">
        <f>IFERROR(__xludf.DUMMYFUNCTION("""COMPUTED_VALUE"""),61.8)</f>
        <v>61.8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>
        <f>IFERROR(__xludf.DUMMYFUNCTION("""COMPUTED_VALUE"""),23.0)</f>
        <v>23</v>
      </c>
      <c r="E85" s="1">
        <f>IFERROR(__xludf.DUMMYFUNCTION("""COMPUTED_VALUE"""),39.0)</f>
        <v>39</v>
      </c>
      <c r="F85" s="1">
        <f>IFERROR(__xludf.DUMMYFUNCTION("""COMPUTED_VALUE"""),95.0)</f>
        <v>95</v>
      </c>
      <c r="G85" s="1">
        <f>IFERROR(__xludf.DUMMYFUNCTION("""COMPUTED_VALUE"""),66.0)</f>
        <v>66</v>
      </c>
      <c r="H85" s="1">
        <f>IFERROR(__xludf.DUMMYFUNCTION("""COMPUTED_VALUE"""),45.0)</f>
        <v>45</v>
      </c>
      <c r="I85" s="1">
        <f>IFERROR(__xludf.DUMMYFUNCTION("""COMPUTED_VALUE"""),80.0)</f>
        <v>80</v>
      </c>
      <c r="J85" s="1">
        <f>IFERROR(__xludf.DUMMYFUNCTION("""COMPUTED_VALUE"""),325.0)</f>
        <v>325</v>
      </c>
      <c r="K85" s="1">
        <f>IFERROR(__xludf.DUMMYFUNCTION("""COMPUTED_VALUE"""),65.0)</f>
        <v>65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>
        <f>IFERROR(__xludf.DUMMYFUNCTION("""COMPUTED_VALUE"""),11.0)</f>
        <v>11</v>
      </c>
      <c r="E86" s="1">
        <f>IFERROR(__xludf.DUMMYFUNCTION("""COMPUTED_VALUE"""),35.0)</f>
        <v>35</v>
      </c>
      <c r="F86" s="1">
        <f>IFERROR(__xludf.DUMMYFUNCTION("""COMPUTED_VALUE"""),87.0)</f>
        <v>87</v>
      </c>
      <c r="G86" s="1">
        <f>IFERROR(__xludf.DUMMYFUNCTION("""COMPUTED_VALUE"""),55.0)</f>
        <v>55</v>
      </c>
      <c r="H86" s="1">
        <f>IFERROR(__xludf.DUMMYFUNCTION("""COMPUTED_VALUE"""),35.0)</f>
        <v>35</v>
      </c>
      <c r="I86" s="1">
        <f>IFERROR(__xludf.DUMMYFUNCTION("""COMPUTED_VALUE"""),48.0)</f>
        <v>48</v>
      </c>
      <c r="J86" s="1">
        <f>IFERROR(__xludf.DUMMYFUNCTION("""COMPUTED_VALUE"""),260.0)</f>
        <v>260</v>
      </c>
      <c r="K86" s="1">
        <f>IFERROR(__xludf.DUMMYFUNCTION("""COMPUTED_VALUE"""),52.0)</f>
        <v>52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>
        <f>IFERROR(__xludf.DUMMYFUNCTION("""COMPUTED_VALUE"""),16.0)</f>
        <v>16</v>
      </c>
      <c r="E87" s="1">
        <f>IFERROR(__xludf.DUMMYFUNCTION("""COMPUTED_VALUE"""),92.0)</f>
        <v>92</v>
      </c>
      <c r="F87" s="1">
        <f>IFERROR(__xludf.DUMMYFUNCTION("""COMPUTED_VALUE"""),39.0)</f>
        <v>39</v>
      </c>
      <c r="G87" s="1">
        <f>IFERROR(__xludf.DUMMYFUNCTION("""COMPUTED_VALUE"""),56.0)</f>
        <v>56</v>
      </c>
      <c r="H87" s="1">
        <f>IFERROR(__xludf.DUMMYFUNCTION("""COMPUTED_VALUE"""),55.0)</f>
        <v>55</v>
      </c>
      <c r="I87" s="1">
        <f>IFERROR(__xludf.DUMMYFUNCTION("""COMPUTED_VALUE"""),59.0)</f>
        <v>59</v>
      </c>
      <c r="J87" s="1">
        <f>IFERROR(__xludf.DUMMYFUNCTION("""COMPUTED_VALUE"""),301.0)</f>
        <v>301</v>
      </c>
      <c r="K87" s="1">
        <f>IFERROR(__xludf.DUMMYFUNCTION("""COMPUTED_VALUE"""),60.199999999999996)</f>
        <v>60.2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>
        <f>IFERROR(__xludf.DUMMYFUNCTION("""COMPUTED_VALUE"""),32.0)</f>
        <v>32</v>
      </c>
      <c r="E88" s="1">
        <f>IFERROR(__xludf.DUMMYFUNCTION("""COMPUTED_VALUE"""),78.0)</f>
        <v>78</v>
      </c>
      <c r="F88" s="1">
        <f>IFERROR(__xludf.DUMMYFUNCTION("""COMPUTED_VALUE"""),52.0)</f>
        <v>52</v>
      </c>
      <c r="G88" s="1">
        <f>IFERROR(__xludf.DUMMYFUNCTION("""COMPUTED_VALUE"""),48.0)</f>
        <v>48</v>
      </c>
      <c r="H88" s="1">
        <f>IFERROR(__xludf.DUMMYFUNCTION("""COMPUTED_VALUE"""),61.0)</f>
        <v>61</v>
      </c>
      <c r="I88" s="1">
        <f>IFERROR(__xludf.DUMMYFUNCTION("""COMPUTED_VALUE"""),38.0)</f>
        <v>38</v>
      </c>
      <c r="J88" s="1">
        <f>IFERROR(__xludf.DUMMYFUNCTION("""COMPUTED_VALUE"""),277.0)</f>
        <v>277</v>
      </c>
      <c r="K88" s="1">
        <f>IFERROR(__xludf.DUMMYFUNCTION("""COMPUTED_VALUE"""),55.400000000000006)</f>
        <v>55.4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>
        <f>IFERROR(__xludf.DUMMYFUNCTION("""COMPUTED_VALUE"""),72.0)</f>
        <v>72</v>
      </c>
      <c r="E89" s="1">
        <f>IFERROR(__xludf.DUMMYFUNCTION("""COMPUTED_VALUE"""),37.0)</f>
        <v>37</v>
      </c>
      <c r="F89" s="1">
        <f>IFERROR(__xludf.DUMMYFUNCTION("""COMPUTED_VALUE"""),31.0)</f>
        <v>31</v>
      </c>
      <c r="G89" s="1">
        <f>IFERROR(__xludf.DUMMYFUNCTION("""COMPUTED_VALUE"""),31.0)</f>
        <v>31</v>
      </c>
      <c r="H89" s="1">
        <f>IFERROR(__xludf.DUMMYFUNCTION("""COMPUTED_VALUE"""),48.0)</f>
        <v>48</v>
      </c>
      <c r="I89" s="1">
        <f>IFERROR(__xludf.DUMMYFUNCTION("""COMPUTED_VALUE"""),76.0)</f>
        <v>76</v>
      </c>
      <c r="J89" s="1">
        <f>IFERROR(__xludf.DUMMYFUNCTION("""COMPUTED_VALUE"""),223.0)</f>
        <v>223</v>
      </c>
      <c r="K89" s="1">
        <f>IFERROR(__xludf.DUMMYFUNCTION("""COMPUTED_VALUE"""),44.6)</f>
        <v>44.6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>
        <f>IFERROR(__xludf.DUMMYFUNCTION("""COMPUTED_VALUE"""),87.0)</f>
        <v>87</v>
      </c>
      <c r="E90" s="1">
        <f>IFERROR(__xludf.DUMMYFUNCTION("""COMPUTED_VALUE"""),67.0)</f>
        <v>67</v>
      </c>
      <c r="F90" s="1">
        <f>IFERROR(__xludf.DUMMYFUNCTION("""COMPUTED_VALUE"""),29.0)</f>
        <v>29</v>
      </c>
      <c r="G90" s="1">
        <f>IFERROR(__xludf.DUMMYFUNCTION("""COMPUTED_VALUE"""),97.0)</f>
        <v>97</v>
      </c>
      <c r="H90" s="1">
        <f>IFERROR(__xludf.DUMMYFUNCTION("""COMPUTED_VALUE"""),81.0)</f>
        <v>81</v>
      </c>
      <c r="I90" s="1">
        <f>IFERROR(__xludf.DUMMYFUNCTION("""COMPUTED_VALUE"""),67.0)</f>
        <v>67</v>
      </c>
      <c r="J90" s="1">
        <f>IFERROR(__xludf.DUMMYFUNCTION("""COMPUTED_VALUE"""),341.0)</f>
        <v>341</v>
      </c>
      <c r="K90" s="1">
        <f>IFERROR(__xludf.DUMMYFUNCTION("""COMPUTED_VALUE"""),68.2)</f>
        <v>68.2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>
        <f>IFERROR(__xludf.DUMMYFUNCTION("""COMPUTED_VALUE"""),49.0)</f>
        <v>49</v>
      </c>
      <c r="E91" s="1">
        <f>IFERROR(__xludf.DUMMYFUNCTION("""COMPUTED_VALUE"""),23.0)</f>
        <v>23</v>
      </c>
      <c r="F91" s="1">
        <f>IFERROR(__xludf.DUMMYFUNCTION("""COMPUTED_VALUE"""),62.0)</f>
        <v>62</v>
      </c>
      <c r="G91" s="1">
        <f>IFERROR(__xludf.DUMMYFUNCTION("""COMPUTED_VALUE"""),84.0)</f>
        <v>84</v>
      </c>
      <c r="H91" s="1">
        <f>IFERROR(__xludf.DUMMYFUNCTION("""COMPUTED_VALUE"""),90.0)</f>
        <v>90</v>
      </c>
      <c r="I91" s="1">
        <f>IFERROR(__xludf.DUMMYFUNCTION("""COMPUTED_VALUE"""),36.0)</f>
        <v>36</v>
      </c>
      <c r="J91" s="1">
        <f>IFERROR(__xludf.DUMMYFUNCTION("""COMPUTED_VALUE"""),295.0)</f>
        <v>295</v>
      </c>
      <c r="K91" s="1">
        <f>IFERROR(__xludf.DUMMYFUNCTION("""COMPUTED_VALUE"""),59.0)</f>
        <v>59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>
        <f>IFERROR(__xludf.DUMMYFUNCTION("""COMPUTED_VALUE"""),76.0)</f>
        <v>76</v>
      </c>
      <c r="E92" s="1">
        <f>IFERROR(__xludf.DUMMYFUNCTION("""COMPUTED_VALUE"""),33.0)</f>
        <v>33</v>
      </c>
      <c r="F92" s="1">
        <f>IFERROR(__xludf.DUMMYFUNCTION("""COMPUTED_VALUE"""),47.0)</f>
        <v>47</v>
      </c>
      <c r="G92" s="1">
        <f>IFERROR(__xludf.DUMMYFUNCTION("""COMPUTED_VALUE"""),53.0)</f>
        <v>53</v>
      </c>
      <c r="H92" s="1">
        <f>IFERROR(__xludf.DUMMYFUNCTION("""COMPUTED_VALUE"""),75.0)</f>
        <v>75</v>
      </c>
      <c r="I92" s="1">
        <f>IFERROR(__xludf.DUMMYFUNCTION("""COMPUTED_VALUE"""),40.0)</f>
        <v>40</v>
      </c>
      <c r="J92" s="1">
        <f>IFERROR(__xludf.DUMMYFUNCTION("""COMPUTED_VALUE"""),248.0)</f>
        <v>248</v>
      </c>
      <c r="K92" s="1">
        <f>IFERROR(__xludf.DUMMYFUNCTION("""COMPUTED_VALUE"""),49.6)</f>
        <v>49.6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>
        <f>IFERROR(__xludf.DUMMYFUNCTION("""COMPUTED_VALUE"""),23.0)</f>
        <v>23</v>
      </c>
      <c r="E93" s="1">
        <f>IFERROR(__xludf.DUMMYFUNCTION("""COMPUTED_VALUE"""),64.0)</f>
        <v>64</v>
      </c>
      <c r="F93" s="1">
        <f>IFERROR(__xludf.DUMMYFUNCTION("""COMPUTED_VALUE"""),50.0)</f>
        <v>50</v>
      </c>
      <c r="G93" s="1">
        <f>IFERROR(__xludf.DUMMYFUNCTION("""COMPUTED_VALUE"""),75.0)</f>
        <v>75</v>
      </c>
      <c r="H93" s="1">
        <f>IFERROR(__xludf.DUMMYFUNCTION("""COMPUTED_VALUE"""),56.0)</f>
        <v>56</v>
      </c>
      <c r="I93" s="1">
        <f>IFERROR(__xludf.DUMMYFUNCTION("""COMPUTED_VALUE"""),71.0)</f>
        <v>71</v>
      </c>
      <c r="J93" s="1">
        <f>IFERROR(__xludf.DUMMYFUNCTION("""COMPUTED_VALUE"""),316.0)</f>
        <v>316</v>
      </c>
      <c r="K93" s="1">
        <f>IFERROR(__xludf.DUMMYFUNCTION("""COMPUTED_VALUE"""),63.2)</f>
        <v>63.2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>
        <f>IFERROR(__xludf.DUMMYFUNCTION("""COMPUTED_VALUE"""),31.0)</f>
        <v>31</v>
      </c>
      <c r="E94" s="1">
        <f>IFERROR(__xludf.DUMMYFUNCTION("""COMPUTED_VALUE"""),32.0)</f>
        <v>32</v>
      </c>
      <c r="F94" s="1">
        <f>IFERROR(__xludf.DUMMYFUNCTION("""COMPUTED_VALUE"""),56.0)</f>
        <v>56</v>
      </c>
      <c r="G94" s="1">
        <f>IFERROR(__xludf.DUMMYFUNCTION("""COMPUTED_VALUE"""),31.0)</f>
        <v>31</v>
      </c>
      <c r="H94" s="1">
        <f>IFERROR(__xludf.DUMMYFUNCTION("""COMPUTED_VALUE"""),53.0)</f>
        <v>53</v>
      </c>
      <c r="I94" s="1">
        <f>IFERROR(__xludf.DUMMYFUNCTION("""COMPUTED_VALUE"""),98.0)</f>
        <v>98</v>
      </c>
      <c r="J94" s="1">
        <f>IFERROR(__xludf.DUMMYFUNCTION("""COMPUTED_VALUE"""),270.0)</f>
        <v>270</v>
      </c>
      <c r="K94" s="1">
        <f>IFERROR(__xludf.DUMMYFUNCTION("""COMPUTED_VALUE"""),54.0)</f>
        <v>54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>
        <f>IFERROR(__xludf.DUMMYFUNCTION("""COMPUTED_VALUE"""),92.0)</f>
        <v>92</v>
      </c>
      <c r="E95" s="1">
        <f>IFERROR(__xludf.DUMMYFUNCTION("""COMPUTED_VALUE"""),23.0)</f>
        <v>23</v>
      </c>
      <c r="F95" s="1">
        <f>IFERROR(__xludf.DUMMYFUNCTION("""COMPUTED_VALUE"""),51.0)</f>
        <v>51</v>
      </c>
      <c r="G95" s="1">
        <f>IFERROR(__xludf.DUMMYFUNCTION("""COMPUTED_VALUE"""),35.0)</f>
        <v>35</v>
      </c>
      <c r="H95" s="1">
        <f>IFERROR(__xludf.DUMMYFUNCTION("""COMPUTED_VALUE"""),20.0)</f>
        <v>20</v>
      </c>
      <c r="I95" s="1">
        <f>IFERROR(__xludf.DUMMYFUNCTION("""COMPUTED_VALUE"""),54.0)</f>
        <v>54</v>
      </c>
      <c r="J95" s="1">
        <f>IFERROR(__xludf.DUMMYFUNCTION("""COMPUTED_VALUE"""),183.0)</f>
        <v>183</v>
      </c>
      <c r="K95" s="1">
        <f>IFERROR(__xludf.DUMMYFUNCTION("""COMPUTED_VALUE"""),36.6)</f>
        <v>36.6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>
        <f>IFERROR(__xludf.DUMMYFUNCTION("""COMPUTED_VALUE"""),24.0)</f>
        <v>24</v>
      </c>
      <c r="E96" s="1">
        <f>IFERROR(__xludf.DUMMYFUNCTION("""COMPUTED_VALUE"""),29.0)</f>
        <v>29</v>
      </c>
      <c r="F96" s="1">
        <f>IFERROR(__xludf.DUMMYFUNCTION("""COMPUTED_VALUE"""),65.0)</f>
        <v>65</v>
      </c>
      <c r="G96" s="1">
        <f>IFERROR(__xludf.DUMMYFUNCTION("""COMPUTED_VALUE"""),97.0)</f>
        <v>97</v>
      </c>
      <c r="H96" s="1">
        <f>IFERROR(__xludf.DUMMYFUNCTION("""COMPUTED_VALUE"""),40.0)</f>
        <v>40</v>
      </c>
      <c r="I96" s="1">
        <f>IFERROR(__xludf.DUMMYFUNCTION("""COMPUTED_VALUE"""),23.0)</f>
        <v>23</v>
      </c>
      <c r="J96" s="1">
        <f>IFERROR(__xludf.DUMMYFUNCTION("""COMPUTED_VALUE"""),254.0)</f>
        <v>254</v>
      </c>
      <c r="K96" s="1">
        <f>IFERROR(__xludf.DUMMYFUNCTION("""COMPUTED_VALUE"""),50.8)</f>
        <v>50.8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>
        <f>IFERROR(__xludf.DUMMYFUNCTION("""COMPUTED_VALUE"""),98.0)</f>
        <v>98</v>
      </c>
      <c r="E97" s="1">
        <f>IFERROR(__xludf.DUMMYFUNCTION("""COMPUTED_VALUE"""),50.0)</f>
        <v>50</v>
      </c>
      <c r="F97" s="1">
        <f>IFERROR(__xludf.DUMMYFUNCTION("""COMPUTED_VALUE"""),30.0)</f>
        <v>30</v>
      </c>
      <c r="G97" s="1">
        <f>IFERROR(__xludf.DUMMYFUNCTION("""COMPUTED_VALUE"""),21.0)</f>
        <v>21</v>
      </c>
      <c r="H97" s="1">
        <f>IFERROR(__xludf.DUMMYFUNCTION("""COMPUTED_VALUE"""),77.0)</f>
        <v>77</v>
      </c>
      <c r="I97" s="1">
        <f>IFERROR(__xludf.DUMMYFUNCTION("""COMPUTED_VALUE"""),83.0)</f>
        <v>83</v>
      </c>
      <c r="J97" s="1">
        <f>IFERROR(__xludf.DUMMYFUNCTION("""COMPUTED_VALUE"""),261.0)</f>
        <v>261</v>
      </c>
      <c r="K97" s="1">
        <f>IFERROR(__xludf.DUMMYFUNCTION("""COMPUTED_VALUE"""),52.2)</f>
        <v>52.2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>
        <f>IFERROR(__xludf.DUMMYFUNCTION("""COMPUTED_VALUE"""),70.0)</f>
        <v>70</v>
      </c>
      <c r="E98" s="1">
        <f>IFERROR(__xludf.DUMMYFUNCTION("""COMPUTED_VALUE"""),94.0)</f>
        <v>94</v>
      </c>
      <c r="F98" s="1">
        <f>IFERROR(__xludf.DUMMYFUNCTION("""COMPUTED_VALUE"""),69.0)</f>
        <v>69</v>
      </c>
      <c r="G98" s="1">
        <f>IFERROR(__xludf.DUMMYFUNCTION("""COMPUTED_VALUE"""),23.0)</f>
        <v>23</v>
      </c>
      <c r="H98" s="1">
        <f>IFERROR(__xludf.DUMMYFUNCTION("""COMPUTED_VALUE"""),67.0)</f>
        <v>67</v>
      </c>
      <c r="I98" s="1">
        <f>IFERROR(__xludf.DUMMYFUNCTION("""COMPUTED_VALUE"""),70.0)</f>
        <v>70</v>
      </c>
      <c r="J98" s="1">
        <f>IFERROR(__xludf.DUMMYFUNCTION("""COMPUTED_VALUE"""),323.0)</f>
        <v>323</v>
      </c>
      <c r="K98" s="1">
        <f>IFERROR(__xludf.DUMMYFUNCTION("""COMPUTED_VALUE"""),64.60000000000001)</f>
        <v>64.6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>
        <f>IFERROR(__xludf.DUMMYFUNCTION("""COMPUTED_VALUE"""),81.0)</f>
        <v>81</v>
      </c>
      <c r="E99" s="1">
        <f>IFERROR(__xludf.DUMMYFUNCTION("""COMPUTED_VALUE"""),44.0)</f>
        <v>44</v>
      </c>
      <c r="F99" s="1">
        <f>IFERROR(__xludf.DUMMYFUNCTION("""COMPUTED_VALUE"""),88.0)</f>
        <v>88</v>
      </c>
      <c r="G99" s="1">
        <f>IFERROR(__xludf.DUMMYFUNCTION("""COMPUTED_VALUE"""),21.0)</f>
        <v>21</v>
      </c>
      <c r="H99" s="1">
        <f>IFERROR(__xludf.DUMMYFUNCTION("""COMPUTED_VALUE"""),62.0)</f>
        <v>62</v>
      </c>
      <c r="I99" s="1">
        <f>IFERROR(__xludf.DUMMYFUNCTION("""COMPUTED_VALUE"""),20.0)</f>
        <v>20</v>
      </c>
      <c r="J99" s="1">
        <f>IFERROR(__xludf.DUMMYFUNCTION("""COMPUTED_VALUE"""),235.0)</f>
        <v>235</v>
      </c>
      <c r="K99" s="1">
        <f>IFERROR(__xludf.DUMMYFUNCTION("""COMPUTED_VALUE"""),47.0)</f>
        <v>47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>
        <f>IFERROR(__xludf.DUMMYFUNCTION("""COMPUTED_VALUE"""),100.0)</f>
        <v>100</v>
      </c>
      <c r="E100" s="1">
        <f>IFERROR(__xludf.DUMMYFUNCTION("""COMPUTED_VALUE"""),24.0)</f>
        <v>24</v>
      </c>
      <c r="F100" s="1">
        <f>IFERROR(__xludf.DUMMYFUNCTION("""COMPUTED_VALUE"""),72.0)</f>
        <v>72</v>
      </c>
      <c r="G100" s="1">
        <f>IFERROR(__xludf.DUMMYFUNCTION("""COMPUTED_VALUE"""),71.0)</f>
        <v>71</v>
      </c>
      <c r="H100" s="1">
        <f>IFERROR(__xludf.DUMMYFUNCTION("""COMPUTED_VALUE"""),47.0)</f>
        <v>47</v>
      </c>
      <c r="I100" s="1">
        <f>IFERROR(__xludf.DUMMYFUNCTION("""COMPUTED_VALUE"""),74.0)</f>
        <v>74</v>
      </c>
      <c r="J100" s="1">
        <f>IFERROR(__xludf.DUMMYFUNCTION("""COMPUTED_VALUE"""),288.0)</f>
        <v>288</v>
      </c>
      <c r="K100" s="1">
        <f>IFERROR(__xludf.DUMMYFUNCTION("""COMPUTED_VALUE"""),57.599999999999994)</f>
        <v>57.6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>
        <f>IFERROR(__xludf.DUMMYFUNCTION("""COMPUTED_VALUE"""),78.0)</f>
        <v>78</v>
      </c>
      <c r="E101" s="1">
        <f>IFERROR(__xludf.DUMMYFUNCTION("""COMPUTED_VALUE"""),59.0)</f>
        <v>59</v>
      </c>
      <c r="F101" s="1">
        <f>IFERROR(__xludf.DUMMYFUNCTION("""COMPUTED_VALUE"""),53.0)</f>
        <v>53</v>
      </c>
      <c r="G101" s="1">
        <f>IFERROR(__xludf.DUMMYFUNCTION("""COMPUTED_VALUE"""),75.0)</f>
        <v>75</v>
      </c>
      <c r="H101" s="1">
        <f>IFERROR(__xludf.DUMMYFUNCTION("""COMPUTED_VALUE"""),33.0)</f>
        <v>33</v>
      </c>
      <c r="I101" s="1">
        <f>IFERROR(__xludf.DUMMYFUNCTION("""COMPUTED_VALUE"""),50.0)</f>
        <v>50</v>
      </c>
      <c r="J101" s="1">
        <f>IFERROR(__xludf.DUMMYFUNCTION("""COMPUTED_VALUE"""),270.0)</f>
        <v>270</v>
      </c>
      <c r="K101" s="1">
        <f>IFERROR(__xludf.DUMMYFUNCTION("""COMPUTED_VALUE"""),54.0)</f>
        <v>54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>
        <f>IFERROR(__xludf.DUMMYFUNCTION("""COMPUTED_VALUE"""),44.0)</f>
        <v>44</v>
      </c>
      <c r="E102" s="1">
        <f>IFERROR(__xludf.DUMMYFUNCTION("""COMPUTED_VALUE"""),47.0)</f>
        <v>47</v>
      </c>
      <c r="F102" s="1">
        <f>IFERROR(__xludf.DUMMYFUNCTION("""COMPUTED_VALUE"""),49.0)</f>
        <v>49</v>
      </c>
      <c r="G102" s="1">
        <f>IFERROR(__xludf.DUMMYFUNCTION("""COMPUTED_VALUE"""),34.0)</f>
        <v>34</v>
      </c>
      <c r="H102" s="1">
        <f>IFERROR(__xludf.DUMMYFUNCTION("""COMPUTED_VALUE"""),41.0)</f>
        <v>41</v>
      </c>
      <c r="I102" s="1">
        <f>IFERROR(__xludf.DUMMYFUNCTION("""COMPUTED_VALUE"""),63.0)</f>
        <v>63</v>
      </c>
      <c r="J102" s="1">
        <f>IFERROR(__xludf.DUMMYFUNCTION("""COMPUTED_VALUE"""),234.0)</f>
        <v>234</v>
      </c>
      <c r="K102" s="1">
        <f>IFERROR(__xludf.DUMMYFUNCTION("""COMPUTED_VALUE"""),46.800000000000004)</f>
        <v>46.8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>
        <f>IFERROR(__xludf.DUMMYFUNCTION("""COMPUTED_VALUE"""),21.0)</f>
        <v>21</v>
      </c>
      <c r="E103" s="1">
        <f>IFERROR(__xludf.DUMMYFUNCTION("""COMPUTED_VALUE"""),79.0)</f>
        <v>79</v>
      </c>
      <c r="F103" s="1">
        <f>IFERROR(__xludf.DUMMYFUNCTION("""COMPUTED_VALUE"""),24.0)</f>
        <v>24</v>
      </c>
      <c r="G103" s="1">
        <f>IFERROR(__xludf.DUMMYFUNCTION("""COMPUTED_VALUE"""),88.0)</f>
        <v>88</v>
      </c>
      <c r="H103" s="1">
        <f>IFERROR(__xludf.DUMMYFUNCTION("""COMPUTED_VALUE"""),89.0)</f>
        <v>89</v>
      </c>
      <c r="I103" s="1">
        <f>IFERROR(__xludf.DUMMYFUNCTION("""COMPUTED_VALUE"""),84.0)</f>
        <v>84</v>
      </c>
      <c r="J103" s="1">
        <f>IFERROR(__xludf.DUMMYFUNCTION("""COMPUTED_VALUE"""),364.0)</f>
        <v>364</v>
      </c>
      <c r="K103" s="1">
        <f>IFERROR(__xludf.DUMMYFUNCTION("""COMPUTED_VALUE"""),72.8)</f>
        <v>72.8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>
        <f>IFERROR(__xludf.DUMMYFUNCTION("""COMPUTED_VALUE"""),14.0)</f>
        <v>14</v>
      </c>
      <c r="E104" s="1">
        <f>IFERROR(__xludf.DUMMYFUNCTION("""COMPUTED_VALUE"""),54.0)</f>
        <v>54</v>
      </c>
      <c r="F104" s="1">
        <f>IFERROR(__xludf.DUMMYFUNCTION("""COMPUTED_VALUE"""),77.0)</f>
        <v>77</v>
      </c>
      <c r="G104" s="1">
        <f>IFERROR(__xludf.DUMMYFUNCTION("""COMPUTED_VALUE"""),31.0)</f>
        <v>31</v>
      </c>
      <c r="H104" s="1">
        <f>IFERROR(__xludf.DUMMYFUNCTION("""COMPUTED_VALUE"""),83.0)</f>
        <v>83</v>
      </c>
      <c r="I104" s="1">
        <f>IFERROR(__xludf.DUMMYFUNCTION("""COMPUTED_VALUE"""),24.0)</f>
        <v>24</v>
      </c>
      <c r="J104" s="1">
        <f>IFERROR(__xludf.DUMMYFUNCTION("""COMPUTED_VALUE"""),269.0)</f>
        <v>269</v>
      </c>
      <c r="K104" s="1">
        <f>IFERROR(__xludf.DUMMYFUNCTION("""COMPUTED_VALUE"""),53.800000000000004)</f>
        <v>53.8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>
        <f>IFERROR(__xludf.DUMMYFUNCTION("""COMPUTED_VALUE"""),68.0)</f>
        <v>68</v>
      </c>
      <c r="E105" s="1">
        <f>IFERROR(__xludf.DUMMYFUNCTION("""COMPUTED_VALUE"""),66.0)</f>
        <v>66</v>
      </c>
      <c r="F105" s="1">
        <f>IFERROR(__xludf.DUMMYFUNCTION("""COMPUTED_VALUE"""),65.0)</f>
        <v>65</v>
      </c>
      <c r="G105" s="1">
        <f>IFERROR(__xludf.DUMMYFUNCTION("""COMPUTED_VALUE"""),26.0)</f>
        <v>26</v>
      </c>
      <c r="H105" s="1">
        <f>IFERROR(__xludf.DUMMYFUNCTION("""COMPUTED_VALUE"""),78.0)</f>
        <v>78</v>
      </c>
      <c r="I105" s="1">
        <f>IFERROR(__xludf.DUMMYFUNCTION("""COMPUTED_VALUE"""),81.0)</f>
        <v>81</v>
      </c>
      <c r="J105" s="1">
        <f>IFERROR(__xludf.DUMMYFUNCTION("""COMPUTED_VALUE"""),316.0)</f>
        <v>316</v>
      </c>
      <c r="K105" s="1">
        <f>IFERROR(__xludf.DUMMYFUNCTION("""COMPUTED_VALUE"""),63.2)</f>
        <v>63.2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>
        <f>IFERROR(__xludf.DUMMYFUNCTION("""COMPUTED_VALUE"""),14.0)</f>
        <v>14</v>
      </c>
      <c r="E106" s="1">
        <f>IFERROR(__xludf.DUMMYFUNCTION("""COMPUTED_VALUE"""),45.0)</f>
        <v>45</v>
      </c>
      <c r="F106" s="1">
        <f>IFERROR(__xludf.DUMMYFUNCTION("""COMPUTED_VALUE"""),96.0)</f>
        <v>96</v>
      </c>
      <c r="G106" s="1">
        <f>IFERROR(__xludf.DUMMYFUNCTION("""COMPUTED_VALUE"""),23.0)</f>
        <v>23</v>
      </c>
      <c r="H106" s="1">
        <f>IFERROR(__xludf.DUMMYFUNCTION("""COMPUTED_VALUE"""),39.0)</f>
        <v>39</v>
      </c>
      <c r="I106" s="1">
        <f>IFERROR(__xludf.DUMMYFUNCTION("""COMPUTED_VALUE"""),89.0)</f>
        <v>89</v>
      </c>
      <c r="J106" s="1">
        <f>IFERROR(__xludf.DUMMYFUNCTION("""COMPUTED_VALUE"""),292.0)</f>
        <v>292</v>
      </c>
      <c r="K106" s="1">
        <f>IFERROR(__xludf.DUMMYFUNCTION("""COMPUTED_VALUE"""),58.4)</f>
        <v>58.4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>
        <f>IFERROR(__xludf.DUMMYFUNCTION("""COMPUTED_VALUE"""),23.0)</f>
        <v>23</v>
      </c>
      <c r="E107" s="1">
        <f>IFERROR(__xludf.DUMMYFUNCTION("""COMPUTED_VALUE"""),62.0)</f>
        <v>62</v>
      </c>
      <c r="F107" s="1">
        <f>IFERROR(__xludf.DUMMYFUNCTION("""COMPUTED_VALUE"""),84.0)</f>
        <v>84</v>
      </c>
      <c r="G107" s="1">
        <f>IFERROR(__xludf.DUMMYFUNCTION("""COMPUTED_VALUE"""),79.0)</f>
        <v>79</v>
      </c>
      <c r="H107" s="1">
        <f>IFERROR(__xludf.DUMMYFUNCTION("""COMPUTED_VALUE"""),89.0)</f>
        <v>89</v>
      </c>
      <c r="I107" s="1">
        <f>IFERROR(__xludf.DUMMYFUNCTION("""COMPUTED_VALUE"""),94.0)</f>
        <v>94</v>
      </c>
      <c r="J107" s="1">
        <f>IFERROR(__xludf.DUMMYFUNCTION("""COMPUTED_VALUE"""),408.0)</f>
        <v>408</v>
      </c>
      <c r="K107" s="1">
        <f>IFERROR(__xludf.DUMMYFUNCTION("""COMPUTED_VALUE"""),81.6)</f>
        <v>81.6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>
        <f>IFERROR(__xludf.DUMMYFUNCTION("""COMPUTED_VALUE"""),27.0)</f>
        <v>27</v>
      </c>
      <c r="E108" s="1">
        <f>IFERROR(__xludf.DUMMYFUNCTION("""COMPUTED_VALUE"""),93.0)</f>
        <v>93</v>
      </c>
      <c r="F108" s="1">
        <f>IFERROR(__xludf.DUMMYFUNCTION("""COMPUTED_VALUE"""),66.0)</f>
        <v>66</v>
      </c>
      <c r="G108" s="1">
        <f>IFERROR(__xludf.DUMMYFUNCTION("""COMPUTED_VALUE"""),56.0)</f>
        <v>56</v>
      </c>
      <c r="H108" s="1">
        <f>IFERROR(__xludf.DUMMYFUNCTION("""COMPUTED_VALUE"""),61.0)</f>
        <v>61</v>
      </c>
      <c r="I108" s="1">
        <f>IFERROR(__xludf.DUMMYFUNCTION("""COMPUTED_VALUE"""),68.0)</f>
        <v>68</v>
      </c>
      <c r="J108" s="1">
        <f>IFERROR(__xludf.DUMMYFUNCTION("""COMPUTED_VALUE"""),344.0)</f>
        <v>344</v>
      </c>
      <c r="K108" s="1">
        <f>IFERROR(__xludf.DUMMYFUNCTION("""COMPUTED_VALUE"""),68.8)</f>
        <v>68.8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>
        <f>IFERROR(__xludf.DUMMYFUNCTION("""COMPUTED_VALUE"""),23.0)</f>
        <v>23</v>
      </c>
      <c r="E109" s="1">
        <f>IFERROR(__xludf.DUMMYFUNCTION("""COMPUTED_VALUE"""),74.0)</f>
        <v>74</v>
      </c>
      <c r="F109" s="1">
        <f>IFERROR(__xludf.DUMMYFUNCTION("""COMPUTED_VALUE"""),21.0)</f>
        <v>21</v>
      </c>
      <c r="G109" s="1">
        <f>IFERROR(__xludf.DUMMYFUNCTION("""COMPUTED_VALUE"""),60.0)</f>
        <v>60</v>
      </c>
      <c r="H109" s="1">
        <f>IFERROR(__xludf.DUMMYFUNCTION("""COMPUTED_VALUE"""),51.0)</f>
        <v>51</v>
      </c>
      <c r="I109" s="1">
        <f>IFERROR(__xludf.DUMMYFUNCTION("""COMPUTED_VALUE"""),52.0)</f>
        <v>52</v>
      </c>
      <c r="J109" s="1">
        <f>IFERROR(__xludf.DUMMYFUNCTION("""COMPUTED_VALUE"""),258.0)</f>
        <v>258</v>
      </c>
      <c r="K109" s="1">
        <f>IFERROR(__xludf.DUMMYFUNCTION("""COMPUTED_VALUE"""),51.6)</f>
        <v>51.6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>
        <f>IFERROR(__xludf.DUMMYFUNCTION("""COMPUTED_VALUE"""),32.0)</f>
        <v>32</v>
      </c>
      <c r="E110" s="1">
        <f>IFERROR(__xludf.DUMMYFUNCTION("""COMPUTED_VALUE"""),25.0)</f>
        <v>25</v>
      </c>
      <c r="F110" s="1">
        <f>IFERROR(__xludf.DUMMYFUNCTION("""COMPUTED_VALUE"""),33.0)</f>
        <v>33</v>
      </c>
      <c r="G110" s="1">
        <f>IFERROR(__xludf.DUMMYFUNCTION("""COMPUTED_VALUE"""),73.0)</f>
        <v>73</v>
      </c>
      <c r="H110" s="1">
        <f>IFERROR(__xludf.DUMMYFUNCTION("""COMPUTED_VALUE"""),65.0)</f>
        <v>65</v>
      </c>
      <c r="I110" s="1">
        <f>IFERROR(__xludf.DUMMYFUNCTION("""COMPUTED_VALUE"""),39.0)</f>
        <v>39</v>
      </c>
      <c r="J110" s="1">
        <f>IFERROR(__xludf.DUMMYFUNCTION("""COMPUTED_VALUE"""),235.0)</f>
        <v>235</v>
      </c>
      <c r="K110" s="1">
        <f>IFERROR(__xludf.DUMMYFUNCTION("""COMPUTED_VALUE"""),47.0)</f>
        <v>47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>
        <f>IFERROR(__xludf.DUMMYFUNCTION("""COMPUTED_VALUE"""),11.0)</f>
        <v>11</v>
      </c>
      <c r="E111" s="1">
        <f>IFERROR(__xludf.DUMMYFUNCTION("""COMPUTED_VALUE"""),84.0)</f>
        <v>84</v>
      </c>
      <c r="F111" s="1">
        <f>IFERROR(__xludf.DUMMYFUNCTION("""COMPUTED_VALUE"""),26.0)</f>
        <v>26</v>
      </c>
      <c r="G111" s="1">
        <f>IFERROR(__xludf.DUMMYFUNCTION("""COMPUTED_VALUE"""),26.0)</f>
        <v>26</v>
      </c>
      <c r="H111" s="1">
        <f>IFERROR(__xludf.DUMMYFUNCTION("""COMPUTED_VALUE"""),25.0)</f>
        <v>25</v>
      </c>
      <c r="I111" s="1">
        <f>IFERROR(__xludf.DUMMYFUNCTION("""COMPUTED_VALUE"""),98.0)</f>
        <v>98</v>
      </c>
      <c r="J111" s="1">
        <f>IFERROR(__xludf.DUMMYFUNCTION("""COMPUTED_VALUE"""),259.0)</f>
        <v>259</v>
      </c>
      <c r="K111" s="1">
        <f>IFERROR(__xludf.DUMMYFUNCTION("""COMPUTED_VALUE"""),51.800000000000004)</f>
        <v>51.8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>
        <f>IFERROR(__xludf.DUMMYFUNCTION("""COMPUTED_VALUE"""),96.0)</f>
        <v>96</v>
      </c>
      <c r="E112" s="1">
        <f>IFERROR(__xludf.DUMMYFUNCTION("""COMPUTED_VALUE"""),65.0)</f>
        <v>65</v>
      </c>
      <c r="F112" s="1">
        <f>IFERROR(__xludf.DUMMYFUNCTION("""COMPUTED_VALUE"""),21.0)</f>
        <v>21</v>
      </c>
      <c r="G112" s="1">
        <f>IFERROR(__xludf.DUMMYFUNCTION("""COMPUTED_VALUE"""),93.0)</f>
        <v>93</v>
      </c>
      <c r="H112" s="1">
        <f>IFERROR(__xludf.DUMMYFUNCTION("""COMPUTED_VALUE"""),85.0)</f>
        <v>85</v>
      </c>
      <c r="I112" s="1">
        <f>IFERROR(__xludf.DUMMYFUNCTION("""COMPUTED_VALUE"""),99.0)</f>
        <v>99</v>
      </c>
      <c r="J112" s="1">
        <f>IFERROR(__xludf.DUMMYFUNCTION("""COMPUTED_VALUE"""),363.0)</f>
        <v>363</v>
      </c>
      <c r="K112" s="1">
        <f>IFERROR(__xludf.DUMMYFUNCTION("""COMPUTED_VALUE"""),72.6)</f>
        <v>72.6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>
        <f>IFERROR(__xludf.DUMMYFUNCTION("""COMPUTED_VALUE"""),14.0)</f>
        <v>14</v>
      </c>
      <c r="E113" s="1">
        <f>IFERROR(__xludf.DUMMYFUNCTION("""COMPUTED_VALUE"""),22.0)</f>
        <v>22</v>
      </c>
      <c r="F113" s="1">
        <f>IFERROR(__xludf.DUMMYFUNCTION("""COMPUTED_VALUE"""),22.0)</f>
        <v>22</v>
      </c>
      <c r="G113" s="1">
        <f>IFERROR(__xludf.DUMMYFUNCTION("""COMPUTED_VALUE"""),53.0)</f>
        <v>53</v>
      </c>
      <c r="H113" s="1">
        <f>IFERROR(__xludf.DUMMYFUNCTION("""COMPUTED_VALUE"""),89.0)</f>
        <v>89</v>
      </c>
      <c r="I113" s="1">
        <f>IFERROR(__xludf.DUMMYFUNCTION("""COMPUTED_VALUE"""),35.0)</f>
        <v>35</v>
      </c>
      <c r="J113" s="1">
        <f>IFERROR(__xludf.DUMMYFUNCTION("""COMPUTED_VALUE"""),221.0)</f>
        <v>221</v>
      </c>
      <c r="K113" s="1">
        <f>IFERROR(__xludf.DUMMYFUNCTION("""COMPUTED_VALUE"""),44.2)</f>
        <v>44.2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>
        <f>IFERROR(__xludf.DUMMYFUNCTION("""COMPUTED_VALUE"""),69.0)</f>
        <v>69</v>
      </c>
      <c r="E114" s="1">
        <f>IFERROR(__xludf.DUMMYFUNCTION("""COMPUTED_VALUE"""),30.0)</f>
        <v>30</v>
      </c>
      <c r="F114" s="1">
        <f>IFERROR(__xludf.DUMMYFUNCTION("""COMPUTED_VALUE"""),56.0)</f>
        <v>56</v>
      </c>
      <c r="G114" s="1">
        <f>IFERROR(__xludf.DUMMYFUNCTION("""COMPUTED_VALUE"""),98.0)</f>
        <v>98</v>
      </c>
      <c r="H114" s="1">
        <f>IFERROR(__xludf.DUMMYFUNCTION("""COMPUTED_VALUE"""),92.0)</f>
        <v>92</v>
      </c>
      <c r="I114" s="1">
        <f>IFERROR(__xludf.DUMMYFUNCTION("""COMPUTED_VALUE"""),73.0)</f>
        <v>73</v>
      </c>
      <c r="J114" s="1">
        <f>IFERROR(__xludf.DUMMYFUNCTION("""COMPUTED_VALUE"""),349.0)</f>
        <v>349</v>
      </c>
      <c r="K114" s="1">
        <f>IFERROR(__xludf.DUMMYFUNCTION("""COMPUTED_VALUE"""),69.8)</f>
        <v>69.8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>
        <f>IFERROR(__xludf.DUMMYFUNCTION("""COMPUTED_VALUE"""),34.0)</f>
        <v>34</v>
      </c>
      <c r="E115" s="1">
        <f>IFERROR(__xludf.DUMMYFUNCTION("""COMPUTED_VALUE"""),93.0)</f>
        <v>93</v>
      </c>
      <c r="F115" s="1">
        <f>IFERROR(__xludf.DUMMYFUNCTION("""COMPUTED_VALUE"""),85.0)</f>
        <v>85</v>
      </c>
      <c r="G115" s="1">
        <f>IFERROR(__xludf.DUMMYFUNCTION("""COMPUTED_VALUE"""),63.0)</f>
        <v>63</v>
      </c>
      <c r="H115" s="1">
        <f>IFERROR(__xludf.DUMMYFUNCTION("""COMPUTED_VALUE"""),57.0)</f>
        <v>57</v>
      </c>
      <c r="I115" s="1">
        <f>IFERROR(__xludf.DUMMYFUNCTION("""COMPUTED_VALUE"""),44.0)</f>
        <v>44</v>
      </c>
      <c r="J115" s="1">
        <f>IFERROR(__xludf.DUMMYFUNCTION("""COMPUTED_VALUE"""),342.0)</f>
        <v>342</v>
      </c>
      <c r="K115" s="1">
        <f>IFERROR(__xludf.DUMMYFUNCTION("""COMPUTED_VALUE"""),68.4)</f>
        <v>68.4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>
        <f>IFERROR(__xludf.DUMMYFUNCTION("""COMPUTED_VALUE"""),61.0)</f>
        <v>61</v>
      </c>
      <c r="E116" s="1">
        <f>IFERROR(__xludf.DUMMYFUNCTION("""COMPUTED_VALUE"""),53.0)</f>
        <v>53</v>
      </c>
      <c r="F116" s="1">
        <f>IFERROR(__xludf.DUMMYFUNCTION("""COMPUTED_VALUE"""),63.0)</f>
        <v>63</v>
      </c>
      <c r="G116" s="1">
        <f>IFERROR(__xludf.DUMMYFUNCTION("""COMPUTED_VALUE"""),45.0)</f>
        <v>45</v>
      </c>
      <c r="H116" s="1">
        <f>IFERROR(__xludf.DUMMYFUNCTION("""COMPUTED_VALUE"""),48.0)</f>
        <v>48</v>
      </c>
      <c r="I116" s="1">
        <f>IFERROR(__xludf.DUMMYFUNCTION("""COMPUTED_VALUE"""),55.0)</f>
        <v>55</v>
      </c>
      <c r="J116" s="1">
        <f>IFERROR(__xludf.DUMMYFUNCTION("""COMPUTED_VALUE"""),264.0)</f>
        <v>264</v>
      </c>
      <c r="K116" s="1">
        <f>IFERROR(__xludf.DUMMYFUNCTION("""COMPUTED_VALUE"""),52.800000000000004)</f>
        <v>52.8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>
        <f>IFERROR(__xludf.DUMMYFUNCTION("""COMPUTED_VALUE"""),32.0)</f>
        <v>32</v>
      </c>
      <c r="E117" s="1">
        <f>IFERROR(__xludf.DUMMYFUNCTION("""COMPUTED_VALUE"""),30.0)</f>
        <v>30</v>
      </c>
      <c r="F117" s="1">
        <f>IFERROR(__xludf.DUMMYFUNCTION("""COMPUTED_VALUE"""),24.0)</f>
        <v>24</v>
      </c>
      <c r="G117" s="1">
        <f>IFERROR(__xludf.DUMMYFUNCTION("""COMPUTED_VALUE"""),85.0)</f>
        <v>85</v>
      </c>
      <c r="H117" s="1">
        <f>IFERROR(__xludf.DUMMYFUNCTION("""COMPUTED_VALUE"""),99.0)</f>
        <v>99</v>
      </c>
      <c r="I117" s="1">
        <f>IFERROR(__xludf.DUMMYFUNCTION("""COMPUTED_VALUE"""),26.0)</f>
        <v>26</v>
      </c>
      <c r="J117" s="1">
        <f>IFERROR(__xludf.DUMMYFUNCTION("""COMPUTED_VALUE"""),264.0)</f>
        <v>264</v>
      </c>
      <c r="K117" s="1">
        <f>IFERROR(__xludf.DUMMYFUNCTION("""COMPUTED_VALUE"""),52.800000000000004)</f>
        <v>52.8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>
        <f>IFERROR(__xludf.DUMMYFUNCTION("""COMPUTED_VALUE"""),70.0)</f>
        <v>70</v>
      </c>
      <c r="E118" s="1">
        <f>IFERROR(__xludf.DUMMYFUNCTION("""COMPUTED_VALUE"""),55.0)</f>
        <v>55</v>
      </c>
      <c r="F118" s="1">
        <f>IFERROR(__xludf.DUMMYFUNCTION("""COMPUTED_VALUE"""),30.0)</f>
        <v>30</v>
      </c>
      <c r="G118" s="1">
        <f>IFERROR(__xludf.DUMMYFUNCTION("""COMPUTED_VALUE"""),68.0)</f>
        <v>68</v>
      </c>
      <c r="H118" s="1">
        <f>IFERROR(__xludf.DUMMYFUNCTION("""COMPUTED_VALUE"""),45.0)</f>
        <v>45</v>
      </c>
      <c r="I118" s="1">
        <f>IFERROR(__xludf.DUMMYFUNCTION("""COMPUTED_VALUE"""),84.0)</f>
        <v>84</v>
      </c>
      <c r="J118" s="1">
        <f>IFERROR(__xludf.DUMMYFUNCTION("""COMPUTED_VALUE"""),282.0)</f>
        <v>282</v>
      </c>
      <c r="K118" s="1">
        <f>IFERROR(__xludf.DUMMYFUNCTION("""COMPUTED_VALUE"""),56.39999999999999)</f>
        <v>56.4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>
        <f>IFERROR(__xludf.DUMMYFUNCTION("""COMPUTED_VALUE"""),77.0)</f>
        <v>77</v>
      </c>
      <c r="E119" s="1">
        <f>IFERROR(__xludf.DUMMYFUNCTION("""COMPUTED_VALUE"""),54.0)</f>
        <v>54</v>
      </c>
      <c r="F119" s="1">
        <f>IFERROR(__xludf.DUMMYFUNCTION("""COMPUTED_VALUE"""),33.0)</f>
        <v>33</v>
      </c>
      <c r="G119" s="1">
        <f>IFERROR(__xludf.DUMMYFUNCTION("""COMPUTED_VALUE"""),86.0)</f>
        <v>86</v>
      </c>
      <c r="H119" s="1">
        <f>IFERROR(__xludf.DUMMYFUNCTION("""COMPUTED_VALUE"""),52.0)</f>
        <v>52</v>
      </c>
      <c r="I119" s="1">
        <f>IFERROR(__xludf.DUMMYFUNCTION("""COMPUTED_VALUE"""),76.0)</f>
        <v>76</v>
      </c>
      <c r="J119" s="1">
        <f>IFERROR(__xludf.DUMMYFUNCTION("""COMPUTED_VALUE"""),301.0)</f>
        <v>301</v>
      </c>
      <c r="K119" s="1">
        <f>IFERROR(__xludf.DUMMYFUNCTION("""COMPUTED_VALUE"""),60.199999999999996)</f>
        <v>60.2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>
        <f>IFERROR(__xludf.DUMMYFUNCTION("""COMPUTED_VALUE"""),59.0)</f>
        <v>59</v>
      </c>
      <c r="E120" s="1">
        <f>IFERROR(__xludf.DUMMYFUNCTION("""COMPUTED_VALUE"""),45.0)</f>
        <v>45</v>
      </c>
      <c r="F120" s="1">
        <f>IFERROR(__xludf.DUMMYFUNCTION("""COMPUTED_VALUE"""),33.0)</f>
        <v>33</v>
      </c>
      <c r="G120" s="1">
        <f>IFERROR(__xludf.DUMMYFUNCTION("""COMPUTED_VALUE"""),25.0)</f>
        <v>25</v>
      </c>
      <c r="H120" s="1">
        <f>IFERROR(__xludf.DUMMYFUNCTION("""COMPUTED_VALUE"""),97.0)</f>
        <v>97</v>
      </c>
      <c r="I120" s="1">
        <f>IFERROR(__xludf.DUMMYFUNCTION("""COMPUTED_VALUE"""),83.0)</f>
        <v>83</v>
      </c>
      <c r="J120" s="1">
        <f>IFERROR(__xludf.DUMMYFUNCTION("""COMPUTED_VALUE"""),283.0)</f>
        <v>283</v>
      </c>
      <c r="K120" s="1">
        <f>IFERROR(__xludf.DUMMYFUNCTION("""COMPUTED_VALUE"""),56.599999999999994)</f>
        <v>56.6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>
        <f>IFERROR(__xludf.DUMMYFUNCTION("""COMPUTED_VALUE"""),14.0)</f>
        <v>14</v>
      </c>
      <c r="E121" s="1">
        <f>IFERROR(__xludf.DUMMYFUNCTION("""COMPUTED_VALUE"""),95.0)</f>
        <v>95</v>
      </c>
      <c r="F121" s="1">
        <f>IFERROR(__xludf.DUMMYFUNCTION("""COMPUTED_VALUE"""),68.0)</f>
        <v>68</v>
      </c>
      <c r="G121" s="1">
        <f>IFERROR(__xludf.DUMMYFUNCTION("""COMPUTED_VALUE"""),46.0)</f>
        <v>46</v>
      </c>
      <c r="H121" s="1">
        <f>IFERROR(__xludf.DUMMYFUNCTION("""COMPUTED_VALUE"""),30.0)</f>
        <v>30</v>
      </c>
      <c r="I121" s="1">
        <f>IFERROR(__xludf.DUMMYFUNCTION("""COMPUTED_VALUE"""),72.0)</f>
        <v>72</v>
      </c>
      <c r="J121" s="1">
        <f>IFERROR(__xludf.DUMMYFUNCTION("""COMPUTED_VALUE"""),311.0)</f>
        <v>311</v>
      </c>
      <c r="K121" s="1">
        <f>IFERROR(__xludf.DUMMYFUNCTION("""COMPUTED_VALUE"""),62.2)</f>
        <v>62.2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>
        <f>IFERROR(__xludf.DUMMYFUNCTION("""COMPUTED_VALUE"""),63.0)</f>
        <v>63</v>
      </c>
      <c r="E122" s="1">
        <f>IFERROR(__xludf.DUMMYFUNCTION("""COMPUTED_VALUE"""),81.0)</f>
        <v>81</v>
      </c>
      <c r="F122" s="1">
        <f>IFERROR(__xludf.DUMMYFUNCTION("""COMPUTED_VALUE"""),85.0)</f>
        <v>85</v>
      </c>
      <c r="G122" s="1">
        <f>IFERROR(__xludf.DUMMYFUNCTION("""COMPUTED_VALUE"""),93.0)</f>
        <v>93</v>
      </c>
      <c r="H122" s="1">
        <f>IFERROR(__xludf.DUMMYFUNCTION("""COMPUTED_VALUE"""),91.0)</f>
        <v>91</v>
      </c>
      <c r="I122" s="1">
        <f>IFERROR(__xludf.DUMMYFUNCTION("""COMPUTED_VALUE"""),30.0)</f>
        <v>30</v>
      </c>
      <c r="J122" s="1">
        <f>IFERROR(__xludf.DUMMYFUNCTION("""COMPUTED_VALUE"""),380.0)</f>
        <v>380</v>
      </c>
      <c r="K122" s="1">
        <f>IFERROR(__xludf.DUMMYFUNCTION("""COMPUTED_VALUE"""),76.0)</f>
        <v>76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>
        <f>IFERROR(__xludf.DUMMYFUNCTION("""COMPUTED_VALUE"""),61.0)</f>
        <v>61</v>
      </c>
      <c r="E123" s="1">
        <f>IFERROR(__xludf.DUMMYFUNCTION("""COMPUTED_VALUE"""),77.0)</f>
        <v>77</v>
      </c>
      <c r="F123" s="1">
        <f>IFERROR(__xludf.DUMMYFUNCTION("""COMPUTED_VALUE"""),66.0)</f>
        <v>66</v>
      </c>
      <c r="G123" s="1">
        <f>IFERROR(__xludf.DUMMYFUNCTION("""COMPUTED_VALUE"""),65.0)</f>
        <v>65</v>
      </c>
      <c r="H123" s="1">
        <f>IFERROR(__xludf.DUMMYFUNCTION("""COMPUTED_VALUE"""),47.0)</f>
        <v>47</v>
      </c>
      <c r="I123" s="1">
        <f>IFERROR(__xludf.DUMMYFUNCTION("""COMPUTED_VALUE"""),32.0)</f>
        <v>32</v>
      </c>
      <c r="J123" s="1">
        <f>IFERROR(__xludf.DUMMYFUNCTION("""COMPUTED_VALUE"""),287.0)</f>
        <v>287</v>
      </c>
      <c r="K123" s="1">
        <f>IFERROR(__xludf.DUMMYFUNCTION("""COMPUTED_VALUE"""),57.4)</f>
        <v>57.4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>
        <f>IFERROR(__xludf.DUMMYFUNCTION("""COMPUTED_VALUE"""),46.0)</f>
        <v>46</v>
      </c>
      <c r="E124" s="1">
        <f>IFERROR(__xludf.DUMMYFUNCTION("""COMPUTED_VALUE"""),43.0)</f>
        <v>43</v>
      </c>
      <c r="F124" s="1">
        <f>IFERROR(__xludf.DUMMYFUNCTION("""COMPUTED_VALUE"""),59.0)</f>
        <v>59</v>
      </c>
      <c r="G124" s="1">
        <f>IFERROR(__xludf.DUMMYFUNCTION("""COMPUTED_VALUE"""),43.0)</f>
        <v>43</v>
      </c>
      <c r="H124" s="1">
        <f>IFERROR(__xludf.DUMMYFUNCTION("""COMPUTED_VALUE"""),20.0)</f>
        <v>20</v>
      </c>
      <c r="I124" s="1">
        <f>IFERROR(__xludf.DUMMYFUNCTION("""COMPUTED_VALUE"""),64.0)</f>
        <v>64</v>
      </c>
      <c r="J124" s="1">
        <f>IFERROR(__xludf.DUMMYFUNCTION("""COMPUTED_VALUE"""),229.0)</f>
        <v>229</v>
      </c>
      <c r="K124" s="1">
        <f>IFERROR(__xludf.DUMMYFUNCTION("""COMPUTED_VALUE"""),45.800000000000004)</f>
        <v>45.8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>
        <f>IFERROR(__xludf.DUMMYFUNCTION("""COMPUTED_VALUE"""),39.0)</f>
        <v>39</v>
      </c>
      <c r="E125" s="1">
        <f>IFERROR(__xludf.DUMMYFUNCTION("""COMPUTED_VALUE"""),48.0)</f>
        <v>48</v>
      </c>
      <c r="F125" s="1">
        <f>IFERROR(__xludf.DUMMYFUNCTION("""COMPUTED_VALUE"""),85.0)</f>
        <v>85</v>
      </c>
      <c r="G125" s="1">
        <f>IFERROR(__xludf.DUMMYFUNCTION("""COMPUTED_VALUE"""),61.0)</f>
        <v>61</v>
      </c>
      <c r="H125" s="1">
        <f>IFERROR(__xludf.DUMMYFUNCTION("""COMPUTED_VALUE"""),62.0)</f>
        <v>62</v>
      </c>
      <c r="I125" s="1">
        <f>IFERROR(__xludf.DUMMYFUNCTION("""COMPUTED_VALUE"""),34.0)</f>
        <v>34</v>
      </c>
      <c r="J125" s="1">
        <f>IFERROR(__xludf.DUMMYFUNCTION("""COMPUTED_VALUE"""),290.0)</f>
        <v>290</v>
      </c>
      <c r="K125" s="1">
        <f>IFERROR(__xludf.DUMMYFUNCTION("""COMPUTED_VALUE"""),57.99999999999999)</f>
        <v>58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>
        <f>IFERROR(__xludf.DUMMYFUNCTION("""COMPUTED_VALUE"""),40.0)</f>
        <v>40</v>
      </c>
      <c r="E126" s="1">
        <f>IFERROR(__xludf.DUMMYFUNCTION("""COMPUTED_VALUE"""),75.0)</f>
        <v>75</v>
      </c>
      <c r="F126" s="1">
        <f>IFERROR(__xludf.DUMMYFUNCTION("""COMPUTED_VALUE"""),21.0)</f>
        <v>21</v>
      </c>
      <c r="G126" s="1">
        <f>IFERROR(__xludf.DUMMYFUNCTION("""COMPUTED_VALUE"""),36.0)</f>
        <v>36</v>
      </c>
      <c r="H126" s="1">
        <f>IFERROR(__xludf.DUMMYFUNCTION("""COMPUTED_VALUE"""),36.0)</f>
        <v>36</v>
      </c>
      <c r="I126" s="1">
        <f>IFERROR(__xludf.DUMMYFUNCTION("""COMPUTED_VALUE"""),49.0)</f>
        <v>49</v>
      </c>
      <c r="J126" s="1">
        <f>IFERROR(__xludf.DUMMYFUNCTION("""COMPUTED_VALUE"""),217.0)</f>
        <v>217</v>
      </c>
      <c r="K126" s="1">
        <f>IFERROR(__xludf.DUMMYFUNCTION("""COMPUTED_VALUE"""),43.4)</f>
        <v>43.4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>
        <f>IFERROR(__xludf.DUMMYFUNCTION("""COMPUTED_VALUE"""),39.0)</f>
        <v>39</v>
      </c>
      <c r="E127" s="1">
        <f>IFERROR(__xludf.DUMMYFUNCTION("""COMPUTED_VALUE"""),35.0)</f>
        <v>35</v>
      </c>
      <c r="F127" s="1">
        <f>IFERROR(__xludf.DUMMYFUNCTION("""COMPUTED_VALUE"""),29.0)</f>
        <v>29</v>
      </c>
      <c r="G127" s="1">
        <f>IFERROR(__xludf.DUMMYFUNCTION("""COMPUTED_VALUE"""),80.0)</f>
        <v>80</v>
      </c>
      <c r="H127" s="1">
        <f>IFERROR(__xludf.DUMMYFUNCTION("""COMPUTED_VALUE"""),30.0)</f>
        <v>30</v>
      </c>
      <c r="I127" s="1">
        <f>IFERROR(__xludf.DUMMYFUNCTION("""COMPUTED_VALUE"""),51.0)</f>
        <v>51</v>
      </c>
      <c r="J127" s="1">
        <f>IFERROR(__xludf.DUMMYFUNCTION("""COMPUTED_VALUE"""),225.0)</f>
        <v>225</v>
      </c>
      <c r="K127" s="1">
        <f>IFERROR(__xludf.DUMMYFUNCTION("""COMPUTED_VALUE"""),45.0)</f>
        <v>45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>
        <f>IFERROR(__xludf.DUMMYFUNCTION("""COMPUTED_VALUE"""),22.0)</f>
        <v>22</v>
      </c>
      <c r="E128" s="1">
        <f>IFERROR(__xludf.DUMMYFUNCTION("""COMPUTED_VALUE"""),34.0)</f>
        <v>34</v>
      </c>
      <c r="F128" s="1">
        <f>IFERROR(__xludf.DUMMYFUNCTION("""COMPUTED_VALUE"""),70.0)</f>
        <v>70</v>
      </c>
      <c r="G128" s="1">
        <f>IFERROR(__xludf.DUMMYFUNCTION("""COMPUTED_VALUE"""),88.0)</f>
        <v>88</v>
      </c>
      <c r="H128" s="1">
        <f>IFERROR(__xludf.DUMMYFUNCTION("""COMPUTED_VALUE"""),73.0)</f>
        <v>73</v>
      </c>
      <c r="I128" s="1">
        <f>IFERROR(__xludf.DUMMYFUNCTION("""COMPUTED_VALUE"""),89.0)</f>
        <v>89</v>
      </c>
      <c r="J128" s="1">
        <f>IFERROR(__xludf.DUMMYFUNCTION("""COMPUTED_VALUE"""),354.0)</f>
        <v>354</v>
      </c>
      <c r="K128" s="1">
        <f>IFERROR(__xludf.DUMMYFUNCTION("""COMPUTED_VALUE"""),70.8)</f>
        <v>70.8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>
        <f>IFERROR(__xludf.DUMMYFUNCTION("""COMPUTED_VALUE"""),64.0)</f>
        <v>64</v>
      </c>
      <c r="E129" s="1">
        <f>IFERROR(__xludf.DUMMYFUNCTION("""COMPUTED_VALUE"""),32.0)</f>
        <v>32</v>
      </c>
      <c r="F129" s="1">
        <f>IFERROR(__xludf.DUMMYFUNCTION("""COMPUTED_VALUE"""),22.0)</f>
        <v>22</v>
      </c>
      <c r="G129" s="1">
        <f>IFERROR(__xludf.DUMMYFUNCTION("""COMPUTED_VALUE"""),93.0)</f>
        <v>93</v>
      </c>
      <c r="H129" s="1">
        <f>IFERROR(__xludf.DUMMYFUNCTION("""COMPUTED_VALUE"""),34.0)</f>
        <v>34</v>
      </c>
      <c r="I129" s="1">
        <f>IFERROR(__xludf.DUMMYFUNCTION("""COMPUTED_VALUE"""),65.0)</f>
        <v>65</v>
      </c>
      <c r="J129" s="1">
        <f>IFERROR(__xludf.DUMMYFUNCTION("""COMPUTED_VALUE"""),246.0)</f>
        <v>246</v>
      </c>
      <c r="K129" s="1">
        <f>IFERROR(__xludf.DUMMYFUNCTION("""COMPUTED_VALUE"""),49.2)</f>
        <v>49.2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>
        <f>IFERROR(__xludf.DUMMYFUNCTION("""COMPUTED_VALUE"""),77.0)</f>
        <v>77</v>
      </c>
      <c r="E130" s="1">
        <f>IFERROR(__xludf.DUMMYFUNCTION("""COMPUTED_VALUE"""),47.0)</f>
        <v>47</v>
      </c>
      <c r="F130" s="1">
        <f>IFERROR(__xludf.DUMMYFUNCTION("""COMPUTED_VALUE"""),43.0)</f>
        <v>43</v>
      </c>
      <c r="G130" s="1">
        <f>IFERROR(__xludf.DUMMYFUNCTION("""COMPUTED_VALUE"""),34.0)</f>
        <v>34</v>
      </c>
      <c r="H130" s="1">
        <f>IFERROR(__xludf.DUMMYFUNCTION("""COMPUTED_VALUE"""),63.0)</f>
        <v>63</v>
      </c>
      <c r="I130" s="1">
        <f>IFERROR(__xludf.DUMMYFUNCTION("""COMPUTED_VALUE"""),73.0)</f>
        <v>73</v>
      </c>
      <c r="J130" s="1">
        <f>IFERROR(__xludf.DUMMYFUNCTION("""COMPUTED_VALUE"""),260.0)</f>
        <v>260</v>
      </c>
      <c r="K130" s="1">
        <f>IFERROR(__xludf.DUMMYFUNCTION("""COMPUTED_VALUE"""),52.0)</f>
        <v>52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>
        <f>IFERROR(__xludf.DUMMYFUNCTION("""COMPUTED_VALUE"""),73.0)</f>
        <v>73</v>
      </c>
      <c r="E131" s="1">
        <f>IFERROR(__xludf.DUMMYFUNCTION("""COMPUTED_VALUE"""),80.0)</f>
        <v>80</v>
      </c>
      <c r="F131" s="1">
        <f>IFERROR(__xludf.DUMMYFUNCTION("""COMPUTED_VALUE"""),49.0)</f>
        <v>49</v>
      </c>
      <c r="G131" s="1">
        <f>IFERROR(__xludf.DUMMYFUNCTION("""COMPUTED_VALUE"""),47.0)</f>
        <v>47</v>
      </c>
      <c r="H131" s="1">
        <f>IFERROR(__xludf.DUMMYFUNCTION("""COMPUTED_VALUE"""),42.0)</f>
        <v>42</v>
      </c>
      <c r="I131" s="1">
        <f>IFERROR(__xludf.DUMMYFUNCTION("""COMPUTED_VALUE"""),58.0)</f>
        <v>58</v>
      </c>
      <c r="J131" s="1">
        <f>IFERROR(__xludf.DUMMYFUNCTION("""COMPUTED_VALUE"""),276.0)</f>
        <v>276</v>
      </c>
      <c r="K131" s="1">
        <f>IFERROR(__xludf.DUMMYFUNCTION("""COMPUTED_VALUE"""),55.2)</f>
        <v>55.2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>
        <f>IFERROR(__xludf.DUMMYFUNCTION("""COMPUTED_VALUE"""),75.0)</f>
        <v>75</v>
      </c>
      <c r="E132" s="1">
        <f>IFERROR(__xludf.DUMMYFUNCTION("""COMPUTED_VALUE"""),72.0)</f>
        <v>72</v>
      </c>
      <c r="F132" s="1">
        <f>IFERROR(__xludf.DUMMYFUNCTION("""COMPUTED_VALUE"""),86.0)</f>
        <v>86</v>
      </c>
      <c r="G132" s="1">
        <f>IFERROR(__xludf.DUMMYFUNCTION("""COMPUTED_VALUE"""),54.0)</f>
        <v>54</v>
      </c>
      <c r="H132" s="1">
        <f>IFERROR(__xludf.DUMMYFUNCTION("""COMPUTED_VALUE"""),94.0)</f>
        <v>94</v>
      </c>
      <c r="I132" s="1">
        <f>IFERROR(__xludf.DUMMYFUNCTION("""COMPUTED_VALUE"""),72.0)</f>
        <v>72</v>
      </c>
      <c r="J132" s="1">
        <f>IFERROR(__xludf.DUMMYFUNCTION("""COMPUTED_VALUE"""),378.0)</f>
        <v>378</v>
      </c>
      <c r="K132" s="1">
        <f>IFERROR(__xludf.DUMMYFUNCTION("""COMPUTED_VALUE"""),75.6)</f>
        <v>75.6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>
        <f>IFERROR(__xludf.DUMMYFUNCTION("""COMPUTED_VALUE"""),86.0)</f>
        <v>86</v>
      </c>
      <c r="E133" s="1">
        <f>IFERROR(__xludf.DUMMYFUNCTION("""COMPUTED_VALUE"""),70.0)</f>
        <v>70</v>
      </c>
      <c r="F133" s="1">
        <f>IFERROR(__xludf.DUMMYFUNCTION("""COMPUTED_VALUE"""),65.0)</f>
        <v>65</v>
      </c>
      <c r="G133" s="1">
        <f>IFERROR(__xludf.DUMMYFUNCTION("""COMPUTED_VALUE"""),31.0)</f>
        <v>31</v>
      </c>
      <c r="H133" s="1">
        <f>IFERROR(__xludf.DUMMYFUNCTION("""COMPUTED_VALUE"""),88.0)</f>
        <v>88</v>
      </c>
      <c r="I133" s="1">
        <f>IFERROR(__xludf.DUMMYFUNCTION("""COMPUTED_VALUE"""),38.0)</f>
        <v>38</v>
      </c>
      <c r="J133" s="1">
        <f>IFERROR(__xludf.DUMMYFUNCTION("""COMPUTED_VALUE"""),292.0)</f>
        <v>292</v>
      </c>
      <c r="K133" s="1">
        <f>IFERROR(__xludf.DUMMYFUNCTION("""COMPUTED_VALUE"""),58.4)</f>
        <v>58.4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>
        <f>IFERROR(__xludf.DUMMYFUNCTION("""COMPUTED_VALUE"""),33.0)</f>
        <v>33</v>
      </c>
      <c r="E134" s="1">
        <f>IFERROR(__xludf.DUMMYFUNCTION("""COMPUTED_VALUE"""),70.0)</f>
        <v>70</v>
      </c>
      <c r="F134" s="1">
        <f>IFERROR(__xludf.DUMMYFUNCTION("""COMPUTED_VALUE"""),71.0)</f>
        <v>71</v>
      </c>
      <c r="G134" s="1">
        <f>IFERROR(__xludf.DUMMYFUNCTION("""COMPUTED_VALUE"""),55.0)</f>
        <v>55</v>
      </c>
      <c r="H134" s="1">
        <f>IFERROR(__xludf.DUMMYFUNCTION("""COMPUTED_VALUE"""),53.0)</f>
        <v>53</v>
      </c>
      <c r="I134" s="1">
        <f>IFERROR(__xludf.DUMMYFUNCTION("""COMPUTED_VALUE"""),80.0)</f>
        <v>80</v>
      </c>
      <c r="J134" s="1">
        <f>IFERROR(__xludf.DUMMYFUNCTION("""COMPUTED_VALUE"""),329.0)</f>
        <v>329</v>
      </c>
      <c r="K134" s="1">
        <f>IFERROR(__xludf.DUMMYFUNCTION("""COMPUTED_VALUE"""),65.8)</f>
        <v>65.8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>
        <f>IFERROR(__xludf.DUMMYFUNCTION("""COMPUTED_VALUE"""),29.0)</f>
        <v>29</v>
      </c>
      <c r="E135" s="1">
        <f>IFERROR(__xludf.DUMMYFUNCTION("""COMPUTED_VALUE"""),39.0)</f>
        <v>39</v>
      </c>
      <c r="F135" s="1">
        <f>IFERROR(__xludf.DUMMYFUNCTION("""COMPUTED_VALUE"""),94.0)</f>
        <v>94</v>
      </c>
      <c r="G135" s="1">
        <f>IFERROR(__xludf.DUMMYFUNCTION("""COMPUTED_VALUE"""),30.0)</f>
        <v>30</v>
      </c>
      <c r="H135" s="1">
        <f>IFERROR(__xludf.DUMMYFUNCTION("""COMPUTED_VALUE"""),53.0)</f>
        <v>53</v>
      </c>
      <c r="I135" s="1">
        <f>IFERROR(__xludf.DUMMYFUNCTION("""COMPUTED_VALUE"""),90.0)</f>
        <v>90</v>
      </c>
      <c r="J135" s="1">
        <f>IFERROR(__xludf.DUMMYFUNCTION("""COMPUTED_VALUE"""),306.0)</f>
        <v>306</v>
      </c>
      <c r="K135" s="1">
        <f>IFERROR(__xludf.DUMMYFUNCTION("""COMPUTED_VALUE"""),61.199999999999996)</f>
        <v>61.2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>
        <f>IFERROR(__xludf.DUMMYFUNCTION("""COMPUTED_VALUE"""),81.0)</f>
        <v>81</v>
      </c>
      <c r="E136" s="1">
        <f>IFERROR(__xludf.DUMMYFUNCTION("""COMPUTED_VALUE"""),85.0)</f>
        <v>85</v>
      </c>
      <c r="F136" s="1">
        <f>IFERROR(__xludf.DUMMYFUNCTION("""COMPUTED_VALUE"""),63.0)</f>
        <v>63</v>
      </c>
      <c r="G136" s="1">
        <f>IFERROR(__xludf.DUMMYFUNCTION("""COMPUTED_VALUE"""),56.0)</f>
        <v>56</v>
      </c>
      <c r="H136" s="1">
        <f>IFERROR(__xludf.DUMMYFUNCTION("""COMPUTED_VALUE"""),85.0)</f>
        <v>85</v>
      </c>
      <c r="I136" s="1">
        <f>IFERROR(__xludf.DUMMYFUNCTION("""COMPUTED_VALUE"""),46.0)</f>
        <v>46</v>
      </c>
      <c r="J136" s="1">
        <f>IFERROR(__xludf.DUMMYFUNCTION("""COMPUTED_VALUE"""),335.0)</f>
        <v>335</v>
      </c>
      <c r="K136" s="1">
        <f>IFERROR(__xludf.DUMMYFUNCTION("""COMPUTED_VALUE"""),67.0)</f>
        <v>67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>
        <f>IFERROR(__xludf.DUMMYFUNCTION("""COMPUTED_VALUE"""),97.0)</f>
        <v>97</v>
      </c>
      <c r="E137" s="1">
        <f>IFERROR(__xludf.DUMMYFUNCTION("""COMPUTED_VALUE"""),98.0)</f>
        <v>98</v>
      </c>
      <c r="F137" s="1">
        <f>IFERROR(__xludf.DUMMYFUNCTION("""COMPUTED_VALUE"""),39.0)</f>
        <v>39</v>
      </c>
      <c r="G137" s="1">
        <f>IFERROR(__xludf.DUMMYFUNCTION("""COMPUTED_VALUE"""),79.0)</f>
        <v>79</v>
      </c>
      <c r="H137" s="1">
        <f>IFERROR(__xludf.DUMMYFUNCTION("""COMPUTED_VALUE"""),43.0)</f>
        <v>43</v>
      </c>
      <c r="I137" s="1">
        <f>IFERROR(__xludf.DUMMYFUNCTION("""COMPUTED_VALUE"""),94.0)</f>
        <v>94</v>
      </c>
      <c r="J137" s="1">
        <f>IFERROR(__xludf.DUMMYFUNCTION("""COMPUTED_VALUE"""),353.0)</f>
        <v>353</v>
      </c>
      <c r="K137" s="1">
        <f>IFERROR(__xludf.DUMMYFUNCTION("""COMPUTED_VALUE"""),70.6)</f>
        <v>70.6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>
        <f>IFERROR(__xludf.DUMMYFUNCTION("""COMPUTED_VALUE"""),80.0)</f>
        <v>80</v>
      </c>
      <c r="E138" s="1">
        <f>IFERROR(__xludf.DUMMYFUNCTION("""COMPUTED_VALUE"""),35.0)</f>
        <v>35</v>
      </c>
      <c r="F138" s="1">
        <f>IFERROR(__xludf.DUMMYFUNCTION("""COMPUTED_VALUE"""),51.0)</f>
        <v>51</v>
      </c>
      <c r="G138" s="1">
        <f>IFERROR(__xludf.DUMMYFUNCTION("""COMPUTED_VALUE"""),50.0)</f>
        <v>50</v>
      </c>
      <c r="H138" s="1">
        <f>IFERROR(__xludf.DUMMYFUNCTION("""COMPUTED_VALUE"""),54.0)</f>
        <v>54</v>
      </c>
      <c r="I138" s="1">
        <f>IFERROR(__xludf.DUMMYFUNCTION("""COMPUTED_VALUE"""),48.0)</f>
        <v>48</v>
      </c>
      <c r="J138" s="1">
        <f>IFERROR(__xludf.DUMMYFUNCTION("""COMPUTED_VALUE"""),238.0)</f>
        <v>238</v>
      </c>
      <c r="K138" s="1">
        <f>IFERROR(__xludf.DUMMYFUNCTION("""COMPUTED_VALUE"""),47.599999999999994)</f>
        <v>47.6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>
        <f>IFERROR(__xludf.DUMMYFUNCTION("""COMPUTED_VALUE"""),35.0)</f>
        <v>35</v>
      </c>
      <c r="E139" s="1">
        <f>IFERROR(__xludf.DUMMYFUNCTION("""COMPUTED_VALUE"""),66.0)</f>
        <v>66</v>
      </c>
      <c r="F139" s="1">
        <f>IFERROR(__xludf.DUMMYFUNCTION("""COMPUTED_VALUE"""),84.0)</f>
        <v>84</v>
      </c>
      <c r="G139" s="1">
        <f>IFERROR(__xludf.DUMMYFUNCTION("""COMPUTED_VALUE"""),24.0)</f>
        <v>24</v>
      </c>
      <c r="H139" s="1">
        <f>IFERROR(__xludf.DUMMYFUNCTION("""COMPUTED_VALUE"""),41.0)</f>
        <v>41</v>
      </c>
      <c r="I139" s="1">
        <f>IFERROR(__xludf.DUMMYFUNCTION("""COMPUTED_VALUE"""),29.0)</f>
        <v>29</v>
      </c>
      <c r="J139" s="1">
        <f>IFERROR(__xludf.DUMMYFUNCTION("""COMPUTED_VALUE"""),244.0)</f>
        <v>244</v>
      </c>
      <c r="K139" s="1">
        <f>IFERROR(__xludf.DUMMYFUNCTION("""COMPUTED_VALUE"""),48.8)</f>
        <v>48.8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>
        <f>IFERROR(__xludf.DUMMYFUNCTION("""COMPUTED_VALUE"""),98.0)</f>
        <v>98</v>
      </c>
      <c r="E140" s="1">
        <f>IFERROR(__xludf.DUMMYFUNCTION("""COMPUTED_VALUE"""),91.0)</f>
        <v>91</v>
      </c>
      <c r="F140" s="1">
        <f>IFERROR(__xludf.DUMMYFUNCTION("""COMPUTED_VALUE"""),34.0)</f>
        <v>34</v>
      </c>
      <c r="G140" s="1">
        <f>IFERROR(__xludf.DUMMYFUNCTION("""COMPUTED_VALUE"""),99.0)</f>
        <v>99</v>
      </c>
      <c r="H140" s="1">
        <f>IFERROR(__xludf.DUMMYFUNCTION("""COMPUTED_VALUE"""),40.0)</f>
        <v>40</v>
      </c>
      <c r="I140" s="1">
        <f>IFERROR(__xludf.DUMMYFUNCTION("""COMPUTED_VALUE"""),90.0)</f>
        <v>90</v>
      </c>
      <c r="J140" s="1">
        <f>IFERROR(__xludf.DUMMYFUNCTION("""COMPUTED_VALUE"""),354.0)</f>
        <v>354</v>
      </c>
      <c r="K140" s="1">
        <f>IFERROR(__xludf.DUMMYFUNCTION("""COMPUTED_VALUE"""),70.8)</f>
        <v>70.8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>
        <f>IFERROR(__xludf.DUMMYFUNCTION("""COMPUTED_VALUE"""),80.0)</f>
        <v>80</v>
      </c>
      <c r="E141" s="1">
        <f>IFERROR(__xludf.DUMMYFUNCTION("""COMPUTED_VALUE"""),85.0)</f>
        <v>85</v>
      </c>
      <c r="F141" s="1">
        <f>IFERROR(__xludf.DUMMYFUNCTION("""COMPUTED_VALUE"""),84.0)</f>
        <v>84</v>
      </c>
      <c r="G141" s="1">
        <f>IFERROR(__xludf.DUMMYFUNCTION("""COMPUTED_VALUE"""),84.0)</f>
        <v>84</v>
      </c>
      <c r="H141" s="1">
        <f>IFERROR(__xludf.DUMMYFUNCTION("""COMPUTED_VALUE"""),22.0)</f>
        <v>22</v>
      </c>
      <c r="I141" s="1">
        <f>IFERROR(__xludf.DUMMYFUNCTION("""COMPUTED_VALUE"""),57.0)</f>
        <v>57</v>
      </c>
      <c r="J141" s="1">
        <f>IFERROR(__xludf.DUMMYFUNCTION("""COMPUTED_VALUE"""),332.0)</f>
        <v>332</v>
      </c>
      <c r="K141" s="1">
        <f>IFERROR(__xludf.DUMMYFUNCTION("""COMPUTED_VALUE"""),66.4)</f>
        <v>66.4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>
        <f>IFERROR(__xludf.DUMMYFUNCTION("""COMPUTED_VALUE"""),91.0)</f>
        <v>91</v>
      </c>
      <c r="E142" s="1">
        <f>IFERROR(__xludf.DUMMYFUNCTION("""COMPUTED_VALUE"""),99.0)</f>
        <v>99</v>
      </c>
      <c r="F142" s="1">
        <f>IFERROR(__xludf.DUMMYFUNCTION("""COMPUTED_VALUE"""),88.0)</f>
        <v>88</v>
      </c>
      <c r="G142" s="1">
        <f>IFERROR(__xludf.DUMMYFUNCTION("""COMPUTED_VALUE"""),68.0)</f>
        <v>68</v>
      </c>
      <c r="H142" s="1">
        <f>IFERROR(__xludf.DUMMYFUNCTION("""COMPUTED_VALUE"""),52.0)</f>
        <v>52</v>
      </c>
      <c r="I142" s="1">
        <f>IFERROR(__xludf.DUMMYFUNCTION("""COMPUTED_VALUE"""),41.0)</f>
        <v>41</v>
      </c>
      <c r="J142" s="1">
        <f>IFERROR(__xludf.DUMMYFUNCTION("""COMPUTED_VALUE"""),348.0)</f>
        <v>348</v>
      </c>
      <c r="K142" s="1">
        <f>IFERROR(__xludf.DUMMYFUNCTION("""COMPUTED_VALUE"""),69.6)</f>
        <v>69.6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>
        <f>IFERROR(__xludf.DUMMYFUNCTION("""COMPUTED_VALUE"""),92.0)</f>
        <v>92</v>
      </c>
      <c r="E143" s="1">
        <f>IFERROR(__xludf.DUMMYFUNCTION("""COMPUTED_VALUE"""),23.0)</f>
        <v>23</v>
      </c>
      <c r="F143" s="1">
        <f>IFERROR(__xludf.DUMMYFUNCTION("""COMPUTED_VALUE"""),26.0)</f>
        <v>26</v>
      </c>
      <c r="G143" s="1">
        <f>IFERROR(__xludf.DUMMYFUNCTION("""COMPUTED_VALUE"""),57.0)</f>
        <v>57</v>
      </c>
      <c r="H143" s="1">
        <f>IFERROR(__xludf.DUMMYFUNCTION("""COMPUTED_VALUE"""),82.0)</f>
        <v>82</v>
      </c>
      <c r="I143" s="1">
        <f>IFERROR(__xludf.DUMMYFUNCTION("""COMPUTED_VALUE"""),68.0)</f>
        <v>68</v>
      </c>
      <c r="J143" s="1">
        <f>IFERROR(__xludf.DUMMYFUNCTION("""COMPUTED_VALUE"""),256.0)</f>
        <v>256</v>
      </c>
      <c r="K143" s="1">
        <f>IFERROR(__xludf.DUMMYFUNCTION("""COMPUTED_VALUE"""),51.2)</f>
        <v>51.2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>
        <f>IFERROR(__xludf.DUMMYFUNCTION("""COMPUTED_VALUE"""),92.0)</f>
        <v>92</v>
      </c>
      <c r="E144" s="1">
        <f>IFERROR(__xludf.DUMMYFUNCTION("""COMPUTED_VALUE"""),83.0)</f>
        <v>83</v>
      </c>
      <c r="F144" s="1">
        <f>IFERROR(__xludf.DUMMYFUNCTION("""COMPUTED_VALUE"""),38.0)</f>
        <v>38</v>
      </c>
      <c r="G144" s="1">
        <f>IFERROR(__xludf.DUMMYFUNCTION("""COMPUTED_VALUE"""),23.0)</f>
        <v>23</v>
      </c>
      <c r="H144" s="1">
        <f>IFERROR(__xludf.DUMMYFUNCTION("""COMPUTED_VALUE"""),96.0)</f>
        <v>96</v>
      </c>
      <c r="I144" s="1">
        <f>IFERROR(__xludf.DUMMYFUNCTION("""COMPUTED_VALUE"""),37.0)</f>
        <v>37</v>
      </c>
      <c r="J144" s="1">
        <f>IFERROR(__xludf.DUMMYFUNCTION("""COMPUTED_VALUE"""),277.0)</f>
        <v>277</v>
      </c>
      <c r="K144" s="1">
        <f>IFERROR(__xludf.DUMMYFUNCTION("""COMPUTED_VALUE"""),55.400000000000006)</f>
        <v>55.4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>
        <f>IFERROR(__xludf.DUMMYFUNCTION("""COMPUTED_VALUE"""),51.0)</f>
        <v>51</v>
      </c>
      <c r="E145" s="1">
        <f>IFERROR(__xludf.DUMMYFUNCTION("""COMPUTED_VALUE"""),72.0)</f>
        <v>72</v>
      </c>
      <c r="F145" s="1">
        <f>IFERROR(__xludf.DUMMYFUNCTION("""COMPUTED_VALUE"""),63.0)</f>
        <v>63</v>
      </c>
      <c r="G145" s="1">
        <f>IFERROR(__xludf.DUMMYFUNCTION("""COMPUTED_VALUE"""),73.0)</f>
        <v>73</v>
      </c>
      <c r="H145" s="1">
        <f>IFERROR(__xludf.DUMMYFUNCTION("""COMPUTED_VALUE"""),74.0)</f>
        <v>74</v>
      </c>
      <c r="I145" s="1">
        <f>IFERROR(__xludf.DUMMYFUNCTION("""COMPUTED_VALUE"""),77.0)</f>
        <v>77</v>
      </c>
      <c r="J145" s="1">
        <f>IFERROR(__xludf.DUMMYFUNCTION("""COMPUTED_VALUE"""),359.0)</f>
        <v>359</v>
      </c>
      <c r="K145" s="1">
        <f>IFERROR(__xludf.DUMMYFUNCTION("""COMPUTED_VALUE"""),71.8)</f>
        <v>71.8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>
        <f>IFERROR(__xludf.DUMMYFUNCTION("""COMPUTED_VALUE"""),99.0)</f>
        <v>99</v>
      </c>
      <c r="E146" s="1">
        <f>IFERROR(__xludf.DUMMYFUNCTION("""COMPUTED_VALUE"""),63.0)</f>
        <v>63</v>
      </c>
      <c r="F146" s="1">
        <f>IFERROR(__xludf.DUMMYFUNCTION("""COMPUTED_VALUE"""),48.0)</f>
        <v>48</v>
      </c>
      <c r="G146" s="1">
        <f>IFERROR(__xludf.DUMMYFUNCTION("""COMPUTED_VALUE"""),50.0)</f>
        <v>50</v>
      </c>
      <c r="H146" s="1">
        <f>IFERROR(__xludf.DUMMYFUNCTION("""COMPUTED_VALUE"""),96.0)</f>
        <v>96</v>
      </c>
      <c r="I146" s="1">
        <f>IFERROR(__xludf.DUMMYFUNCTION("""COMPUTED_VALUE"""),94.0)</f>
        <v>94</v>
      </c>
      <c r="J146" s="1">
        <f>IFERROR(__xludf.DUMMYFUNCTION("""COMPUTED_VALUE"""),351.0)</f>
        <v>351</v>
      </c>
      <c r="K146" s="1">
        <f>IFERROR(__xludf.DUMMYFUNCTION("""COMPUTED_VALUE"""),70.19999999999999)</f>
        <v>70.2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>
        <f>IFERROR(__xludf.DUMMYFUNCTION("""COMPUTED_VALUE"""),51.0)</f>
        <v>51</v>
      </c>
      <c r="E147" s="1">
        <f>IFERROR(__xludf.DUMMYFUNCTION("""COMPUTED_VALUE"""),25.0)</f>
        <v>25</v>
      </c>
      <c r="F147" s="1">
        <f>IFERROR(__xludf.DUMMYFUNCTION("""COMPUTED_VALUE"""),93.0)</f>
        <v>93</v>
      </c>
      <c r="G147" s="1">
        <f>IFERROR(__xludf.DUMMYFUNCTION("""COMPUTED_VALUE"""),65.0)</f>
        <v>65</v>
      </c>
      <c r="H147" s="1">
        <f>IFERROR(__xludf.DUMMYFUNCTION("""COMPUTED_VALUE"""),66.0)</f>
        <v>66</v>
      </c>
      <c r="I147" s="1">
        <f>IFERROR(__xludf.DUMMYFUNCTION("""COMPUTED_VALUE"""),38.0)</f>
        <v>38</v>
      </c>
      <c r="J147" s="1">
        <f>IFERROR(__xludf.DUMMYFUNCTION("""COMPUTED_VALUE"""),287.0)</f>
        <v>287</v>
      </c>
      <c r="K147" s="1">
        <f>IFERROR(__xludf.DUMMYFUNCTION("""COMPUTED_VALUE"""),57.4)</f>
        <v>57.4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>
        <f>IFERROR(__xludf.DUMMYFUNCTION("""COMPUTED_VALUE"""),99.0)</f>
        <v>99</v>
      </c>
      <c r="E148" s="1">
        <f>IFERROR(__xludf.DUMMYFUNCTION("""COMPUTED_VALUE"""),68.0)</f>
        <v>68</v>
      </c>
      <c r="F148" s="1">
        <f>IFERROR(__xludf.DUMMYFUNCTION("""COMPUTED_VALUE"""),76.0)</f>
        <v>76</v>
      </c>
      <c r="G148" s="1">
        <f>IFERROR(__xludf.DUMMYFUNCTION("""COMPUTED_VALUE"""),91.0)</f>
        <v>91</v>
      </c>
      <c r="H148" s="1">
        <f>IFERROR(__xludf.DUMMYFUNCTION("""COMPUTED_VALUE"""),46.0)</f>
        <v>46</v>
      </c>
      <c r="I148" s="1">
        <f>IFERROR(__xludf.DUMMYFUNCTION("""COMPUTED_VALUE"""),28.0)</f>
        <v>28</v>
      </c>
      <c r="J148" s="1">
        <f>IFERROR(__xludf.DUMMYFUNCTION("""COMPUTED_VALUE"""),309.0)</f>
        <v>309</v>
      </c>
      <c r="K148" s="1">
        <f>IFERROR(__xludf.DUMMYFUNCTION("""COMPUTED_VALUE"""),61.8)</f>
        <v>61.8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>
        <f>IFERROR(__xludf.DUMMYFUNCTION("""COMPUTED_VALUE"""),59.0)</f>
        <v>59</v>
      </c>
      <c r="E149" s="1">
        <f>IFERROR(__xludf.DUMMYFUNCTION("""COMPUTED_VALUE"""),66.0)</f>
        <v>66</v>
      </c>
      <c r="F149" s="1">
        <f>IFERROR(__xludf.DUMMYFUNCTION("""COMPUTED_VALUE"""),35.0)</f>
        <v>35</v>
      </c>
      <c r="G149" s="1">
        <f>IFERROR(__xludf.DUMMYFUNCTION("""COMPUTED_VALUE"""),58.0)</f>
        <v>58</v>
      </c>
      <c r="H149" s="1">
        <f>IFERROR(__xludf.DUMMYFUNCTION("""COMPUTED_VALUE"""),28.0)</f>
        <v>28</v>
      </c>
      <c r="I149" s="1">
        <f>IFERROR(__xludf.DUMMYFUNCTION("""COMPUTED_VALUE"""),43.0)</f>
        <v>43</v>
      </c>
      <c r="J149" s="1">
        <f>IFERROR(__xludf.DUMMYFUNCTION("""COMPUTED_VALUE"""),230.0)</f>
        <v>230</v>
      </c>
      <c r="K149" s="1">
        <f>IFERROR(__xludf.DUMMYFUNCTION("""COMPUTED_VALUE"""),46.0)</f>
        <v>46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>
        <f>IFERROR(__xludf.DUMMYFUNCTION("""COMPUTED_VALUE"""),61.0)</f>
        <v>61</v>
      </c>
      <c r="E150" s="1">
        <f>IFERROR(__xludf.DUMMYFUNCTION("""COMPUTED_VALUE"""),71.0)</f>
        <v>71</v>
      </c>
      <c r="F150" s="1">
        <f>IFERROR(__xludf.DUMMYFUNCTION("""COMPUTED_VALUE"""),76.0)</f>
        <v>76</v>
      </c>
      <c r="G150" s="1">
        <f>IFERROR(__xludf.DUMMYFUNCTION("""COMPUTED_VALUE"""),89.0)</f>
        <v>89</v>
      </c>
      <c r="H150" s="1">
        <f>IFERROR(__xludf.DUMMYFUNCTION("""COMPUTED_VALUE"""),64.0)</f>
        <v>64</v>
      </c>
      <c r="I150" s="1">
        <f>IFERROR(__xludf.DUMMYFUNCTION("""COMPUTED_VALUE"""),42.0)</f>
        <v>42</v>
      </c>
      <c r="J150" s="1">
        <f>IFERROR(__xludf.DUMMYFUNCTION("""COMPUTED_VALUE"""),342.0)</f>
        <v>342</v>
      </c>
      <c r="K150" s="1">
        <f>IFERROR(__xludf.DUMMYFUNCTION("""COMPUTED_VALUE"""),68.4)</f>
        <v>68.4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>
        <f>IFERROR(__xludf.DUMMYFUNCTION("""COMPUTED_VALUE"""),91.0)</f>
        <v>91</v>
      </c>
      <c r="E151" s="1">
        <f>IFERROR(__xludf.DUMMYFUNCTION("""COMPUTED_VALUE"""),89.0)</f>
        <v>89</v>
      </c>
      <c r="F151" s="1">
        <f>IFERROR(__xludf.DUMMYFUNCTION("""COMPUTED_VALUE"""),86.0)</f>
        <v>86</v>
      </c>
      <c r="G151" s="1">
        <f>IFERROR(__xludf.DUMMYFUNCTION("""COMPUTED_VALUE"""),95.0)</f>
        <v>95</v>
      </c>
      <c r="H151" s="1">
        <f>IFERROR(__xludf.DUMMYFUNCTION("""COMPUTED_VALUE"""),67.0)</f>
        <v>67</v>
      </c>
      <c r="I151" s="1">
        <f>IFERROR(__xludf.DUMMYFUNCTION("""COMPUTED_VALUE"""),79.0)</f>
        <v>79</v>
      </c>
      <c r="J151" s="1">
        <f>IFERROR(__xludf.DUMMYFUNCTION("""COMPUTED_VALUE"""),416.0)</f>
        <v>416</v>
      </c>
      <c r="K151" s="1">
        <f>IFERROR(__xludf.DUMMYFUNCTION("""COMPUTED_VALUE"""),83.2)</f>
        <v>83.2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>
        <f>IFERROR(__xludf.DUMMYFUNCTION("""COMPUTED_VALUE"""),73.0)</f>
        <v>73</v>
      </c>
      <c r="E152" s="1">
        <f>IFERROR(__xludf.DUMMYFUNCTION("""COMPUTED_VALUE"""),61.0)</f>
        <v>61</v>
      </c>
      <c r="F152" s="1">
        <f>IFERROR(__xludf.DUMMYFUNCTION("""COMPUTED_VALUE"""),81.0)</f>
        <v>81</v>
      </c>
      <c r="G152" s="1">
        <f>IFERROR(__xludf.DUMMYFUNCTION("""COMPUTED_VALUE"""),91.0)</f>
        <v>91</v>
      </c>
      <c r="H152" s="1">
        <f>IFERROR(__xludf.DUMMYFUNCTION("""COMPUTED_VALUE"""),45.0)</f>
        <v>45</v>
      </c>
      <c r="I152" s="1">
        <f>IFERROR(__xludf.DUMMYFUNCTION("""COMPUTED_VALUE"""),54.0)</f>
        <v>54</v>
      </c>
      <c r="J152" s="1">
        <f>IFERROR(__xludf.DUMMYFUNCTION("""COMPUTED_VALUE"""),332.0)</f>
        <v>332</v>
      </c>
      <c r="K152" s="1">
        <f>IFERROR(__xludf.DUMMYFUNCTION("""COMPUTED_VALUE"""),66.4)</f>
        <v>66.4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>
        <f>IFERROR(__xludf.DUMMYFUNCTION("""COMPUTED_VALUE"""),25.0)</f>
        <v>25</v>
      </c>
      <c r="E153" s="1">
        <f>IFERROR(__xludf.DUMMYFUNCTION("""COMPUTED_VALUE"""),65.0)</f>
        <v>65</v>
      </c>
      <c r="F153" s="1">
        <f>IFERROR(__xludf.DUMMYFUNCTION("""COMPUTED_VALUE"""),86.0)</f>
        <v>86</v>
      </c>
      <c r="G153" s="1">
        <f>IFERROR(__xludf.DUMMYFUNCTION("""COMPUTED_VALUE"""),44.0)</f>
        <v>44</v>
      </c>
      <c r="H153" s="1">
        <f>IFERROR(__xludf.DUMMYFUNCTION("""COMPUTED_VALUE"""),89.0)</f>
        <v>89</v>
      </c>
      <c r="I153" s="1">
        <f>IFERROR(__xludf.DUMMYFUNCTION("""COMPUTED_VALUE"""),71.0)</f>
        <v>71</v>
      </c>
      <c r="J153" s="1">
        <f>IFERROR(__xludf.DUMMYFUNCTION("""COMPUTED_VALUE"""),355.0)</f>
        <v>355</v>
      </c>
      <c r="K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>
        <f>IFERROR(__xludf.DUMMYFUNCTION("""COMPUTED_VALUE"""),99.0)</f>
        <v>99</v>
      </c>
      <c r="E154" s="1">
        <f>IFERROR(__xludf.DUMMYFUNCTION("""COMPUTED_VALUE"""),81.0)</f>
        <v>81</v>
      </c>
      <c r="F154" s="1">
        <f>IFERROR(__xludf.DUMMYFUNCTION("""COMPUTED_VALUE"""),36.0)</f>
        <v>36</v>
      </c>
      <c r="G154" s="1">
        <f>IFERROR(__xludf.DUMMYFUNCTION("""COMPUTED_VALUE"""),41.0)</f>
        <v>41</v>
      </c>
      <c r="H154" s="1">
        <f>IFERROR(__xludf.DUMMYFUNCTION("""COMPUTED_VALUE"""),95.0)</f>
        <v>95</v>
      </c>
      <c r="I154" s="1">
        <f>IFERROR(__xludf.DUMMYFUNCTION("""COMPUTED_VALUE"""),55.0)</f>
        <v>55</v>
      </c>
      <c r="J154" s="1">
        <f>IFERROR(__xludf.DUMMYFUNCTION("""COMPUTED_VALUE"""),308.0)</f>
        <v>308</v>
      </c>
      <c r="K154" s="1">
        <f>IFERROR(__xludf.DUMMYFUNCTION("""COMPUTED_VALUE"""),61.6)</f>
        <v>61.6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>
        <f>IFERROR(__xludf.DUMMYFUNCTION("""COMPUTED_VALUE"""),49.0)</f>
        <v>49</v>
      </c>
      <c r="E155" s="1">
        <f>IFERROR(__xludf.DUMMYFUNCTION("""COMPUTED_VALUE"""),59.0)</f>
        <v>59</v>
      </c>
      <c r="F155" s="1">
        <f>IFERROR(__xludf.DUMMYFUNCTION("""COMPUTED_VALUE"""),82.0)</f>
        <v>82</v>
      </c>
      <c r="G155" s="1">
        <f>IFERROR(__xludf.DUMMYFUNCTION("""COMPUTED_VALUE"""),37.0)</f>
        <v>37</v>
      </c>
      <c r="H155" s="1">
        <f>IFERROR(__xludf.DUMMYFUNCTION("""COMPUTED_VALUE"""),69.0)</f>
        <v>69</v>
      </c>
      <c r="I155" s="1">
        <f>IFERROR(__xludf.DUMMYFUNCTION("""COMPUTED_VALUE"""),76.0)</f>
        <v>76</v>
      </c>
      <c r="J155" s="1">
        <f>IFERROR(__xludf.DUMMYFUNCTION("""COMPUTED_VALUE"""),323.0)</f>
        <v>323</v>
      </c>
      <c r="K155" s="1">
        <f>IFERROR(__xludf.DUMMYFUNCTION("""COMPUTED_VALUE"""),64.60000000000001)</f>
        <v>64.6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>
        <f>IFERROR(__xludf.DUMMYFUNCTION("""COMPUTED_VALUE"""),47.0)</f>
        <v>47</v>
      </c>
      <c r="E156" s="1">
        <f>IFERROR(__xludf.DUMMYFUNCTION("""COMPUTED_VALUE"""),51.0)</f>
        <v>51</v>
      </c>
      <c r="F156" s="1">
        <f>IFERROR(__xludf.DUMMYFUNCTION("""COMPUTED_VALUE"""),48.0)</f>
        <v>48</v>
      </c>
      <c r="G156" s="1">
        <f>IFERROR(__xludf.DUMMYFUNCTION("""COMPUTED_VALUE"""),25.0)</f>
        <v>25</v>
      </c>
      <c r="H156" s="1">
        <f>IFERROR(__xludf.DUMMYFUNCTION("""COMPUTED_VALUE"""),63.0)</f>
        <v>63</v>
      </c>
      <c r="I156" s="1">
        <f>IFERROR(__xludf.DUMMYFUNCTION("""COMPUTED_VALUE"""),21.0)</f>
        <v>21</v>
      </c>
      <c r="J156" s="1">
        <f>IFERROR(__xludf.DUMMYFUNCTION("""COMPUTED_VALUE"""),208.0)</f>
        <v>208</v>
      </c>
      <c r="K156" s="1">
        <f>IFERROR(__xludf.DUMMYFUNCTION("""COMPUTED_VALUE"""),41.6)</f>
        <v>41.6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>
        <f>IFERROR(__xludf.DUMMYFUNCTION("""COMPUTED_VALUE"""),96.0)</f>
        <v>96</v>
      </c>
      <c r="E157" s="1">
        <f>IFERROR(__xludf.DUMMYFUNCTION("""COMPUTED_VALUE"""),37.0)</f>
        <v>37</v>
      </c>
      <c r="F157" s="1">
        <f>IFERROR(__xludf.DUMMYFUNCTION("""COMPUTED_VALUE"""),66.0)</f>
        <v>66</v>
      </c>
      <c r="G157" s="1">
        <f>IFERROR(__xludf.DUMMYFUNCTION("""COMPUTED_VALUE"""),59.0)</f>
        <v>59</v>
      </c>
      <c r="H157" s="1">
        <f>IFERROR(__xludf.DUMMYFUNCTION("""COMPUTED_VALUE"""),29.0)</f>
        <v>29</v>
      </c>
      <c r="I157" s="1">
        <f>IFERROR(__xludf.DUMMYFUNCTION("""COMPUTED_VALUE"""),80.0)</f>
        <v>80</v>
      </c>
      <c r="J157" s="1">
        <f>IFERROR(__xludf.DUMMYFUNCTION("""COMPUTED_VALUE"""),271.0)</f>
        <v>271</v>
      </c>
      <c r="K157" s="1">
        <f>IFERROR(__xludf.DUMMYFUNCTION("""COMPUTED_VALUE"""),54.2)</f>
        <v>54.2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>
        <f>IFERROR(__xludf.DUMMYFUNCTION("""COMPUTED_VALUE"""),60.0)</f>
        <v>60</v>
      </c>
      <c r="E158" s="1">
        <f>IFERROR(__xludf.DUMMYFUNCTION("""COMPUTED_VALUE"""),66.0)</f>
        <v>66</v>
      </c>
      <c r="F158" s="1">
        <f>IFERROR(__xludf.DUMMYFUNCTION("""COMPUTED_VALUE"""),50.0)</f>
        <v>50</v>
      </c>
      <c r="G158" s="1">
        <f>IFERROR(__xludf.DUMMYFUNCTION("""COMPUTED_VALUE"""),31.0)</f>
        <v>31</v>
      </c>
      <c r="H158" s="1">
        <f>IFERROR(__xludf.DUMMYFUNCTION("""COMPUTED_VALUE"""),31.0)</f>
        <v>31</v>
      </c>
      <c r="I158" s="1">
        <f>IFERROR(__xludf.DUMMYFUNCTION("""COMPUTED_VALUE"""),92.0)</f>
        <v>92</v>
      </c>
      <c r="J158" s="1">
        <f>IFERROR(__xludf.DUMMYFUNCTION("""COMPUTED_VALUE"""),270.0)</f>
        <v>270</v>
      </c>
      <c r="K158" s="1">
        <f>IFERROR(__xludf.DUMMYFUNCTION("""COMPUTED_VALUE"""),54.0)</f>
        <v>54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>
        <f>IFERROR(__xludf.DUMMYFUNCTION("""COMPUTED_VALUE"""),16.0)</f>
        <v>16</v>
      </c>
      <c r="E159" s="1">
        <f>IFERROR(__xludf.DUMMYFUNCTION("""COMPUTED_VALUE"""),36.0)</f>
        <v>36</v>
      </c>
      <c r="F159" s="1">
        <f>IFERROR(__xludf.DUMMYFUNCTION("""COMPUTED_VALUE"""),59.0)</f>
        <v>59</v>
      </c>
      <c r="G159" s="1">
        <f>IFERROR(__xludf.DUMMYFUNCTION("""COMPUTED_VALUE"""),24.0)</f>
        <v>24</v>
      </c>
      <c r="H159" s="1">
        <f>IFERROR(__xludf.DUMMYFUNCTION("""COMPUTED_VALUE"""),94.0)</f>
        <v>94</v>
      </c>
      <c r="I159" s="1">
        <f>IFERROR(__xludf.DUMMYFUNCTION("""COMPUTED_VALUE"""),36.0)</f>
        <v>36</v>
      </c>
      <c r="J159" s="1">
        <f>IFERROR(__xludf.DUMMYFUNCTION("""COMPUTED_VALUE"""),249.0)</f>
        <v>249</v>
      </c>
      <c r="K159" s="1">
        <f>IFERROR(__xludf.DUMMYFUNCTION("""COMPUTED_VALUE"""),49.8)</f>
        <v>49.8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>
        <f>IFERROR(__xludf.DUMMYFUNCTION("""COMPUTED_VALUE"""),73.0)</f>
        <v>73</v>
      </c>
      <c r="E160" s="1">
        <f>IFERROR(__xludf.DUMMYFUNCTION("""COMPUTED_VALUE"""),82.0)</f>
        <v>82</v>
      </c>
      <c r="F160" s="1">
        <f>IFERROR(__xludf.DUMMYFUNCTION("""COMPUTED_VALUE"""),64.0)</f>
        <v>64</v>
      </c>
      <c r="G160" s="1">
        <f>IFERROR(__xludf.DUMMYFUNCTION("""COMPUTED_VALUE"""),78.0)</f>
        <v>78</v>
      </c>
      <c r="H160" s="1">
        <f>IFERROR(__xludf.DUMMYFUNCTION("""COMPUTED_VALUE"""),66.0)</f>
        <v>66</v>
      </c>
      <c r="I160" s="1">
        <f>IFERROR(__xludf.DUMMYFUNCTION("""COMPUTED_VALUE"""),29.0)</f>
        <v>29</v>
      </c>
      <c r="J160" s="1">
        <f>IFERROR(__xludf.DUMMYFUNCTION("""COMPUTED_VALUE"""),319.0)</f>
        <v>319</v>
      </c>
      <c r="K160" s="1">
        <f>IFERROR(__xludf.DUMMYFUNCTION("""COMPUTED_VALUE"""),63.800000000000004)</f>
        <v>63.8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>
        <f>IFERROR(__xludf.DUMMYFUNCTION("""COMPUTED_VALUE"""),45.0)</f>
        <v>45</v>
      </c>
      <c r="E161" s="1">
        <f>IFERROR(__xludf.DUMMYFUNCTION("""COMPUTED_VALUE"""),27.0)</f>
        <v>27</v>
      </c>
      <c r="F161" s="1">
        <f>IFERROR(__xludf.DUMMYFUNCTION("""COMPUTED_VALUE"""),28.0)</f>
        <v>28</v>
      </c>
      <c r="G161" s="1">
        <f>IFERROR(__xludf.DUMMYFUNCTION("""COMPUTED_VALUE"""),70.0)</f>
        <v>70</v>
      </c>
      <c r="H161" s="1">
        <f>IFERROR(__xludf.DUMMYFUNCTION("""COMPUTED_VALUE"""),42.0)</f>
        <v>42</v>
      </c>
      <c r="I161" s="1">
        <f>IFERROR(__xludf.DUMMYFUNCTION("""COMPUTED_VALUE"""),26.0)</f>
        <v>26</v>
      </c>
      <c r="J161" s="1">
        <f>IFERROR(__xludf.DUMMYFUNCTION("""COMPUTED_VALUE"""),193.0)</f>
        <v>193</v>
      </c>
      <c r="K161" s="1">
        <f>IFERROR(__xludf.DUMMYFUNCTION("""COMPUTED_VALUE"""),38.6)</f>
        <v>38.6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>
        <f>IFERROR(__xludf.DUMMYFUNCTION("""COMPUTED_VALUE"""),73.0)</f>
        <v>73</v>
      </c>
      <c r="E162" s="1">
        <f>IFERROR(__xludf.DUMMYFUNCTION("""COMPUTED_VALUE"""),51.0)</f>
        <v>51</v>
      </c>
      <c r="F162" s="1">
        <f>IFERROR(__xludf.DUMMYFUNCTION("""COMPUTED_VALUE"""),34.0)</f>
        <v>34</v>
      </c>
      <c r="G162" s="1">
        <f>IFERROR(__xludf.DUMMYFUNCTION("""COMPUTED_VALUE"""),50.0)</f>
        <v>50</v>
      </c>
      <c r="H162" s="1">
        <f>IFERROR(__xludf.DUMMYFUNCTION("""COMPUTED_VALUE"""),46.0)</f>
        <v>46</v>
      </c>
      <c r="I162" s="1">
        <f>IFERROR(__xludf.DUMMYFUNCTION("""COMPUTED_VALUE"""),48.0)</f>
        <v>48</v>
      </c>
      <c r="J162" s="1">
        <f>IFERROR(__xludf.DUMMYFUNCTION("""COMPUTED_VALUE"""),229.0)</f>
        <v>229</v>
      </c>
      <c r="K162" s="1">
        <f>IFERROR(__xludf.DUMMYFUNCTION("""COMPUTED_VALUE"""),45.800000000000004)</f>
        <v>45.8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>
        <f>IFERROR(__xludf.DUMMYFUNCTION("""COMPUTED_VALUE"""),22.0)</f>
        <v>22</v>
      </c>
      <c r="E163" s="1">
        <f>IFERROR(__xludf.DUMMYFUNCTION("""COMPUTED_VALUE"""),36.0)</f>
        <v>36</v>
      </c>
      <c r="F163" s="1">
        <f>IFERROR(__xludf.DUMMYFUNCTION("""COMPUTED_VALUE"""),45.0)</f>
        <v>45</v>
      </c>
      <c r="G163" s="1">
        <f>IFERROR(__xludf.DUMMYFUNCTION("""COMPUTED_VALUE"""),43.0)</f>
        <v>43</v>
      </c>
      <c r="H163" s="1">
        <f>IFERROR(__xludf.DUMMYFUNCTION("""COMPUTED_VALUE"""),80.0)</f>
        <v>80</v>
      </c>
      <c r="I163" s="1">
        <f>IFERROR(__xludf.DUMMYFUNCTION("""COMPUTED_VALUE"""),99.0)</f>
        <v>99</v>
      </c>
      <c r="J163" s="1">
        <f>IFERROR(__xludf.DUMMYFUNCTION("""COMPUTED_VALUE"""),303.0)</f>
        <v>303</v>
      </c>
      <c r="K163" s="1">
        <f>IFERROR(__xludf.DUMMYFUNCTION("""COMPUTED_VALUE"""),60.6)</f>
        <v>60.6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>
        <f>IFERROR(__xludf.DUMMYFUNCTION("""COMPUTED_VALUE"""),79.0)</f>
        <v>79</v>
      </c>
      <c r="E164" s="1">
        <f>IFERROR(__xludf.DUMMYFUNCTION("""COMPUTED_VALUE"""),23.0)</f>
        <v>23</v>
      </c>
      <c r="F164" s="1">
        <f>IFERROR(__xludf.DUMMYFUNCTION("""COMPUTED_VALUE"""),34.0)</f>
        <v>34</v>
      </c>
      <c r="G164" s="1">
        <f>IFERROR(__xludf.DUMMYFUNCTION("""COMPUTED_VALUE"""),42.0)</f>
        <v>42</v>
      </c>
      <c r="H164" s="1">
        <f>IFERROR(__xludf.DUMMYFUNCTION("""COMPUTED_VALUE"""),67.0)</f>
        <v>67</v>
      </c>
      <c r="I164" s="1">
        <f>IFERROR(__xludf.DUMMYFUNCTION("""COMPUTED_VALUE"""),71.0)</f>
        <v>71</v>
      </c>
      <c r="J164" s="1">
        <f>IFERROR(__xludf.DUMMYFUNCTION("""COMPUTED_VALUE"""),237.0)</f>
        <v>237</v>
      </c>
      <c r="K164" s="1">
        <f>IFERROR(__xludf.DUMMYFUNCTION("""COMPUTED_VALUE"""),47.4)</f>
        <v>47.4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>
        <f>IFERROR(__xludf.DUMMYFUNCTION("""COMPUTED_VALUE"""),34.0)</f>
        <v>34</v>
      </c>
      <c r="E165" s="1">
        <f>IFERROR(__xludf.DUMMYFUNCTION("""COMPUTED_VALUE"""),25.0)</f>
        <v>25</v>
      </c>
      <c r="F165" s="1">
        <f>IFERROR(__xludf.DUMMYFUNCTION("""COMPUTED_VALUE"""),90.0)</f>
        <v>90</v>
      </c>
      <c r="G165" s="1">
        <f>IFERROR(__xludf.DUMMYFUNCTION("""COMPUTED_VALUE"""),49.0)</f>
        <v>49</v>
      </c>
      <c r="H165" s="1">
        <f>IFERROR(__xludf.DUMMYFUNCTION("""COMPUTED_VALUE"""),96.0)</f>
        <v>96</v>
      </c>
      <c r="I165" s="1">
        <f>IFERROR(__xludf.DUMMYFUNCTION("""COMPUTED_VALUE"""),74.0)</f>
        <v>74</v>
      </c>
      <c r="J165" s="1">
        <f>IFERROR(__xludf.DUMMYFUNCTION("""COMPUTED_VALUE"""),334.0)</f>
        <v>334</v>
      </c>
      <c r="K165" s="1">
        <f>IFERROR(__xludf.DUMMYFUNCTION("""COMPUTED_VALUE"""),66.8)</f>
        <v>66.8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>
        <f>IFERROR(__xludf.DUMMYFUNCTION("""COMPUTED_VALUE"""),66.0)</f>
        <v>66</v>
      </c>
      <c r="E166" s="1">
        <f>IFERROR(__xludf.DUMMYFUNCTION("""COMPUTED_VALUE"""),71.0)</f>
        <v>71</v>
      </c>
      <c r="F166" s="1">
        <f>IFERROR(__xludf.DUMMYFUNCTION("""COMPUTED_VALUE"""),40.0)</f>
        <v>40</v>
      </c>
      <c r="G166" s="1">
        <f>IFERROR(__xludf.DUMMYFUNCTION("""COMPUTED_VALUE"""),32.0)</f>
        <v>32</v>
      </c>
      <c r="H166" s="1">
        <f>IFERROR(__xludf.DUMMYFUNCTION("""COMPUTED_VALUE"""),66.0)</f>
        <v>66</v>
      </c>
      <c r="I166" s="1">
        <f>IFERROR(__xludf.DUMMYFUNCTION("""COMPUTED_VALUE"""),28.0)</f>
        <v>28</v>
      </c>
      <c r="J166" s="1">
        <f>IFERROR(__xludf.DUMMYFUNCTION("""COMPUTED_VALUE"""),237.0)</f>
        <v>237</v>
      </c>
      <c r="K166" s="1">
        <f>IFERROR(__xludf.DUMMYFUNCTION("""COMPUTED_VALUE"""),47.4)</f>
        <v>47.4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>
        <f>IFERROR(__xludf.DUMMYFUNCTION("""COMPUTED_VALUE"""),62.0)</f>
        <v>62</v>
      </c>
      <c r="E167" s="1">
        <f>IFERROR(__xludf.DUMMYFUNCTION("""COMPUTED_VALUE"""),96.0)</f>
        <v>96</v>
      </c>
      <c r="F167" s="1">
        <f>IFERROR(__xludf.DUMMYFUNCTION("""COMPUTED_VALUE"""),72.0)</f>
        <v>72</v>
      </c>
      <c r="G167" s="1">
        <f>IFERROR(__xludf.DUMMYFUNCTION("""COMPUTED_VALUE"""),52.0)</f>
        <v>52</v>
      </c>
      <c r="H167" s="1">
        <f>IFERROR(__xludf.DUMMYFUNCTION("""COMPUTED_VALUE"""),67.0)</f>
        <v>67</v>
      </c>
      <c r="I167" s="1">
        <f>IFERROR(__xludf.DUMMYFUNCTION("""COMPUTED_VALUE"""),36.0)</f>
        <v>36</v>
      </c>
      <c r="J167" s="1">
        <f>IFERROR(__xludf.DUMMYFUNCTION("""COMPUTED_VALUE"""),323.0)</f>
        <v>323</v>
      </c>
      <c r="K167" s="1">
        <f>IFERROR(__xludf.DUMMYFUNCTION("""COMPUTED_VALUE"""),64.60000000000001)</f>
        <v>64.6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>
        <f>IFERROR(__xludf.DUMMYFUNCTION("""COMPUTED_VALUE"""),24.0)</f>
        <v>24</v>
      </c>
      <c r="E168" s="1">
        <f>IFERROR(__xludf.DUMMYFUNCTION("""COMPUTED_VALUE"""),76.0)</f>
        <v>76</v>
      </c>
      <c r="F168" s="1">
        <f>IFERROR(__xludf.DUMMYFUNCTION("""COMPUTED_VALUE"""),36.0)</f>
        <v>36</v>
      </c>
      <c r="G168" s="1">
        <f>IFERROR(__xludf.DUMMYFUNCTION("""COMPUTED_VALUE"""),51.0)</f>
        <v>51</v>
      </c>
      <c r="H168" s="1">
        <f>IFERROR(__xludf.DUMMYFUNCTION("""COMPUTED_VALUE"""),99.0)</f>
        <v>99</v>
      </c>
      <c r="I168" s="1">
        <f>IFERROR(__xludf.DUMMYFUNCTION("""COMPUTED_VALUE"""),69.0)</f>
        <v>69</v>
      </c>
      <c r="J168" s="1">
        <f>IFERROR(__xludf.DUMMYFUNCTION("""COMPUTED_VALUE"""),331.0)</f>
        <v>331</v>
      </c>
      <c r="K168" s="1">
        <f>IFERROR(__xludf.DUMMYFUNCTION("""COMPUTED_VALUE"""),66.2)</f>
        <v>66.2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>
        <f>IFERROR(__xludf.DUMMYFUNCTION("""COMPUTED_VALUE"""),96.0)</f>
        <v>96</v>
      </c>
      <c r="E169" s="1">
        <f>IFERROR(__xludf.DUMMYFUNCTION("""COMPUTED_VALUE"""),31.0)</f>
        <v>31</v>
      </c>
      <c r="F169" s="1">
        <f>IFERROR(__xludf.DUMMYFUNCTION("""COMPUTED_VALUE"""),31.0)</f>
        <v>31</v>
      </c>
      <c r="G169" s="1">
        <f>IFERROR(__xludf.DUMMYFUNCTION("""COMPUTED_VALUE"""),86.0)</f>
        <v>86</v>
      </c>
      <c r="H169" s="1">
        <f>IFERROR(__xludf.DUMMYFUNCTION("""COMPUTED_VALUE"""),86.0)</f>
        <v>86</v>
      </c>
      <c r="I169" s="1">
        <f>IFERROR(__xludf.DUMMYFUNCTION("""COMPUTED_VALUE"""),97.0)</f>
        <v>97</v>
      </c>
      <c r="J169" s="1">
        <f>IFERROR(__xludf.DUMMYFUNCTION("""COMPUTED_VALUE"""),331.0)</f>
        <v>331</v>
      </c>
      <c r="K169" s="1">
        <f>IFERROR(__xludf.DUMMYFUNCTION("""COMPUTED_VALUE"""),66.2)</f>
        <v>66.2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>
        <f>IFERROR(__xludf.DUMMYFUNCTION("""COMPUTED_VALUE"""),51.0)</f>
        <v>51</v>
      </c>
      <c r="E170" s="1">
        <f>IFERROR(__xludf.DUMMYFUNCTION("""COMPUTED_VALUE"""),59.0)</f>
        <v>59</v>
      </c>
      <c r="F170" s="1">
        <f>IFERROR(__xludf.DUMMYFUNCTION("""COMPUTED_VALUE"""),83.0)</f>
        <v>83</v>
      </c>
      <c r="G170" s="1">
        <f>IFERROR(__xludf.DUMMYFUNCTION("""COMPUTED_VALUE"""),38.0)</f>
        <v>38</v>
      </c>
      <c r="H170" s="1">
        <f>IFERROR(__xludf.DUMMYFUNCTION("""COMPUTED_VALUE"""),24.0)</f>
        <v>24</v>
      </c>
      <c r="I170" s="1">
        <f>IFERROR(__xludf.DUMMYFUNCTION("""COMPUTED_VALUE"""),22.0)</f>
        <v>22</v>
      </c>
      <c r="J170" s="1">
        <f>IFERROR(__xludf.DUMMYFUNCTION("""COMPUTED_VALUE"""),226.0)</f>
        <v>226</v>
      </c>
      <c r="K170" s="1">
        <f>IFERROR(__xludf.DUMMYFUNCTION("""COMPUTED_VALUE"""),45.2)</f>
        <v>45.2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>
        <f>IFERROR(__xludf.DUMMYFUNCTION("""COMPUTED_VALUE"""),75.0)</f>
        <v>75</v>
      </c>
      <c r="E171" s="1">
        <f>IFERROR(__xludf.DUMMYFUNCTION("""COMPUTED_VALUE"""),61.0)</f>
        <v>61</v>
      </c>
      <c r="F171" s="1">
        <f>IFERROR(__xludf.DUMMYFUNCTION("""COMPUTED_VALUE"""),96.0)</f>
        <v>96</v>
      </c>
      <c r="G171" s="1">
        <f>IFERROR(__xludf.DUMMYFUNCTION("""COMPUTED_VALUE"""),31.0)</f>
        <v>31</v>
      </c>
      <c r="H171" s="1">
        <f>IFERROR(__xludf.DUMMYFUNCTION("""COMPUTED_VALUE"""),24.0)</f>
        <v>24</v>
      </c>
      <c r="I171" s="1">
        <f>IFERROR(__xludf.DUMMYFUNCTION("""COMPUTED_VALUE"""),84.0)</f>
        <v>84</v>
      </c>
      <c r="J171" s="1">
        <f>IFERROR(__xludf.DUMMYFUNCTION("""COMPUTED_VALUE"""),296.0)</f>
        <v>296</v>
      </c>
      <c r="K171" s="1">
        <f>IFERROR(__xludf.DUMMYFUNCTION("""COMPUTED_VALUE"""),59.199999999999996)</f>
        <v>59.2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>
        <f>IFERROR(__xludf.DUMMYFUNCTION("""COMPUTED_VALUE"""),31.0)</f>
        <v>31</v>
      </c>
      <c r="E172" s="1">
        <f>IFERROR(__xludf.DUMMYFUNCTION("""COMPUTED_VALUE"""),64.0)</f>
        <v>64</v>
      </c>
      <c r="F172" s="1">
        <f>IFERROR(__xludf.DUMMYFUNCTION("""COMPUTED_VALUE"""),64.0)</f>
        <v>64</v>
      </c>
      <c r="G172" s="1">
        <f>IFERROR(__xludf.DUMMYFUNCTION("""COMPUTED_VALUE"""),60.0)</f>
        <v>60</v>
      </c>
      <c r="H172" s="1">
        <f>IFERROR(__xludf.DUMMYFUNCTION("""COMPUTED_VALUE"""),35.0)</f>
        <v>35</v>
      </c>
      <c r="I172" s="1">
        <f>IFERROR(__xludf.DUMMYFUNCTION("""COMPUTED_VALUE"""),83.0)</f>
        <v>83</v>
      </c>
      <c r="J172" s="1">
        <f>IFERROR(__xludf.DUMMYFUNCTION("""COMPUTED_VALUE"""),306.0)</f>
        <v>306</v>
      </c>
      <c r="K172" s="1">
        <f>IFERROR(__xludf.DUMMYFUNCTION("""COMPUTED_VALUE"""),61.199999999999996)</f>
        <v>61.2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>
        <f>IFERROR(__xludf.DUMMYFUNCTION("""COMPUTED_VALUE"""),19.0)</f>
        <v>19</v>
      </c>
      <c r="E173" s="1">
        <f>IFERROR(__xludf.DUMMYFUNCTION("""COMPUTED_VALUE"""),59.0)</f>
        <v>59</v>
      </c>
      <c r="F173" s="1">
        <f>IFERROR(__xludf.DUMMYFUNCTION("""COMPUTED_VALUE"""),66.0)</f>
        <v>66</v>
      </c>
      <c r="G173" s="1">
        <f>IFERROR(__xludf.DUMMYFUNCTION("""COMPUTED_VALUE"""),70.0)</f>
        <v>70</v>
      </c>
      <c r="H173" s="1">
        <f>IFERROR(__xludf.DUMMYFUNCTION("""COMPUTED_VALUE"""),48.0)</f>
        <v>48</v>
      </c>
      <c r="I173" s="1">
        <f>IFERROR(__xludf.DUMMYFUNCTION("""COMPUTED_VALUE"""),26.0)</f>
        <v>26</v>
      </c>
      <c r="J173" s="1">
        <f>IFERROR(__xludf.DUMMYFUNCTION("""COMPUTED_VALUE"""),269.0)</f>
        <v>269</v>
      </c>
      <c r="K173" s="1">
        <f>IFERROR(__xludf.DUMMYFUNCTION("""COMPUTED_VALUE"""),53.800000000000004)</f>
        <v>53.8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>
        <f>IFERROR(__xludf.DUMMYFUNCTION("""COMPUTED_VALUE"""),10.0)</f>
        <v>10</v>
      </c>
      <c r="E174" s="1">
        <f>IFERROR(__xludf.DUMMYFUNCTION("""COMPUTED_VALUE"""),71.0)</f>
        <v>71</v>
      </c>
      <c r="F174" s="1">
        <f>IFERROR(__xludf.DUMMYFUNCTION("""COMPUTED_VALUE"""),87.0)</f>
        <v>87</v>
      </c>
      <c r="G174" s="1">
        <f>IFERROR(__xludf.DUMMYFUNCTION("""COMPUTED_VALUE"""),69.0)</f>
        <v>69</v>
      </c>
      <c r="H174" s="1">
        <f>IFERROR(__xludf.DUMMYFUNCTION("""COMPUTED_VALUE"""),74.0)</f>
        <v>74</v>
      </c>
      <c r="I174" s="1">
        <f>IFERROR(__xludf.DUMMYFUNCTION("""COMPUTED_VALUE"""),26.0)</f>
        <v>26</v>
      </c>
      <c r="J174" s="1">
        <f>IFERROR(__xludf.DUMMYFUNCTION("""COMPUTED_VALUE"""),327.0)</f>
        <v>327</v>
      </c>
      <c r="K174" s="1">
        <f>IFERROR(__xludf.DUMMYFUNCTION("""COMPUTED_VALUE"""),65.4)</f>
        <v>65.4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>
        <f>IFERROR(__xludf.DUMMYFUNCTION("""COMPUTED_VALUE"""),90.0)</f>
        <v>90</v>
      </c>
      <c r="E175" s="1">
        <f>IFERROR(__xludf.DUMMYFUNCTION("""COMPUTED_VALUE"""),71.0)</f>
        <v>71</v>
      </c>
      <c r="F175" s="1">
        <f>IFERROR(__xludf.DUMMYFUNCTION("""COMPUTED_VALUE"""),90.0)</f>
        <v>90</v>
      </c>
      <c r="G175" s="1">
        <f>IFERROR(__xludf.DUMMYFUNCTION("""COMPUTED_VALUE"""),30.0)</f>
        <v>30</v>
      </c>
      <c r="H175" s="1">
        <f>IFERROR(__xludf.DUMMYFUNCTION("""COMPUTED_VALUE"""),70.0)</f>
        <v>70</v>
      </c>
      <c r="I175" s="1">
        <f>IFERROR(__xludf.DUMMYFUNCTION("""COMPUTED_VALUE"""),88.0)</f>
        <v>88</v>
      </c>
      <c r="J175" s="1">
        <f>IFERROR(__xludf.DUMMYFUNCTION("""COMPUTED_VALUE"""),349.0)</f>
        <v>349</v>
      </c>
      <c r="K175" s="1">
        <f>IFERROR(__xludf.DUMMYFUNCTION("""COMPUTED_VALUE"""),69.8)</f>
        <v>69.8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>
        <f>IFERROR(__xludf.DUMMYFUNCTION("""COMPUTED_VALUE"""),26.0)</f>
        <v>26</v>
      </c>
      <c r="E176" s="1">
        <f>IFERROR(__xludf.DUMMYFUNCTION("""COMPUTED_VALUE"""),23.0)</f>
        <v>23</v>
      </c>
      <c r="F176" s="1">
        <f>IFERROR(__xludf.DUMMYFUNCTION("""COMPUTED_VALUE"""),33.0)</f>
        <v>33</v>
      </c>
      <c r="G176" s="1">
        <f>IFERROR(__xludf.DUMMYFUNCTION("""COMPUTED_VALUE"""),23.0)</f>
        <v>23</v>
      </c>
      <c r="H176" s="1">
        <f>IFERROR(__xludf.DUMMYFUNCTION("""COMPUTED_VALUE"""),65.0)</f>
        <v>65</v>
      </c>
      <c r="I176" s="1">
        <f>IFERROR(__xludf.DUMMYFUNCTION("""COMPUTED_VALUE"""),79.0)</f>
        <v>79</v>
      </c>
      <c r="J176" s="1">
        <f>IFERROR(__xludf.DUMMYFUNCTION("""COMPUTED_VALUE"""),223.0)</f>
        <v>223</v>
      </c>
      <c r="K176" s="1">
        <f>IFERROR(__xludf.DUMMYFUNCTION("""COMPUTED_VALUE"""),44.6)</f>
        <v>44.6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>
        <f>IFERROR(__xludf.DUMMYFUNCTION("""COMPUTED_VALUE"""),20.0)</f>
        <v>20</v>
      </c>
      <c r="E177" s="1">
        <f>IFERROR(__xludf.DUMMYFUNCTION("""COMPUTED_VALUE"""),22.0)</f>
        <v>22</v>
      </c>
      <c r="F177" s="1">
        <f>IFERROR(__xludf.DUMMYFUNCTION("""COMPUTED_VALUE"""),76.0)</f>
        <v>76</v>
      </c>
      <c r="G177" s="1">
        <f>IFERROR(__xludf.DUMMYFUNCTION("""COMPUTED_VALUE"""),92.0)</f>
        <v>92</v>
      </c>
      <c r="H177" s="1">
        <f>IFERROR(__xludf.DUMMYFUNCTION("""COMPUTED_VALUE"""),92.0)</f>
        <v>92</v>
      </c>
      <c r="I177" s="1">
        <f>IFERROR(__xludf.DUMMYFUNCTION("""COMPUTED_VALUE"""),41.0)</f>
        <v>41</v>
      </c>
      <c r="J177" s="1">
        <f>IFERROR(__xludf.DUMMYFUNCTION("""COMPUTED_VALUE"""),323.0)</f>
        <v>323</v>
      </c>
      <c r="K177" s="1">
        <f>IFERROR(__xludf.DUMMYFUNCTION("""COMPUTED_VALUE"""),64.60000000000001)</f>
        <v>64.6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>
        <f>IFERROR(__xludf.DUMMYFUNCTION("""COMPUTED_VALUE"""),14.0)</f>
        <v>14</v>
      </c>
      <c r="E178" s="1">
        <f>IFERROR(__xludf.DUMMYFUNCTION("""COMPUTED_VALUE"""),60.0)</f>
        <v>60</v>
      </c>
      <c r="F178" s="1">
        <f>IFERROR(__xludf.DUMMYFUNCTION("""COMPUTED_VALUE"""),50.0)</f>
        <v>50</v>
      </c>
      <c r="G178" s="1">
        <f>IFERROR(__xludf.DUMMYFUNCTION("""COMPUTED_VALUE"""),78.0)</f>
        <v>78</v>
      </c>
      <c r="H178" s="1">
        <f>IFERROR(__xludf.DUMMYFUNCTION("""COMPUTED_VALUE"""),37.0)</f>
        <v>37</v>
      </c>
      <c r="I178" s="1">
        <f>IFERROR(__xludf.DUMMYFUNCTION("""COMPUTED_VALUE"""),56.0)</f>
        <v>56</v>
      </c>
      <c r="J178" s="1">
        <f>IFERROR(__xludf.DUMMYFUNCTION("""COMPUTED_VALUE"""),281.0)</f>
        <v>281</v>
      </c>
      <c r="K178" s="1">
        <f>IFERROR(__xludf.DUMMYFUNCTION("""COMPUTED_VALUE"""),56.2)</f>
        <v>56.2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>
        <f>IFERROR(__xludf.DUMMYFUNCTION("""COMPUTED_VALUE"""),71.0)</f>
        <v>71</v>
      </c>
      <c r="E179" s="1">
        <f>IFERROR(__xludf.DUMMYFUNCTION("""COMPUTED_VALUE"""),49.0)</f>
        <v>49</v>
      </c>
      <c r="F179" s="1">
        <f>IFERROR(__xludf.DUMMYFUNCTION("""COMPUTED_VALUE"""),76.0)</f>
        <v>76</v>
      </c>
      <c r="G179" s="1">
        <f>IFERROR(__xludf.DUMMYFUNCTION("""COMPUTED_VALUE"""),61.0)</f>
        <v>61</v>
      </c>
      <c r="H179" s="1">
        <f>IFERROR(__xludf.DUMMYFUNCTION("""COMPUTED_VALUE"""),94.0)</f>
        <v>94</v>
      </c>
      <c r="I179" s="1">
        <f>IFERROR(__xludf.DUMMYFUNCTION("""COMPUTED_VALUE"""),27.0)</f>
        <v>27</v>
      </c>
      <c r="J179" s="1">
        <f>IFERROR(__xludf.DUMMYFUNCTION("""COMPUTED_VALUE"""),307.0)</f>
        <v>307</v>
      </c>
      <c r="K179" s="1">
        <f>IFERROR(__xludf.DUMMYFUNCTION("""COMPUTED_VALUE"""),61.4)</f>
        <v>61.4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>
        <f>IFERROR(__xludf.DUMMYFUNCTION("""COMPUTED_VALUE"""),89.0)</f>
        <v>89</v>
      </c>
      <c r="E180" s="1">
        <f>IFERROR(__xludf.DUMMYFUNCTION("""COMPUTED_VALUE"""),43.0)</f>
        <v>43</v>
      </c>
      <c r="F180" s="1">
        <f>IFERROR(__xludf.DUMMYFUNCTION("""COMPUTED_VALUE"""),85.0)</f>
        <v>85</v>
      </c>
      <c r="G180" s="1">
        <f>IFERROR(__xludf.DUMMYFUNCTION("""COMPUTED_VALUE"""),91.0)</f>
        <v>91</v>
      </c>
      <c r="H180" s="1">
        <f>IFERROR(__xludf.DUMMYFUNCTION("""COMPUTED_VALUE"""),92.0)</f>
        <v>92</v>
      </c>
      <c r="I180" s="1">
        <f>IFERROR(__xludf.DUMMYFUNCTION("""COMPUTED_VALUE"""),62.0)</f>
        <v>62</v>
      </c>
      <c r="J180" s="1">
        <f>IFERROR(__xludf.DUMMYFUNCTION("""COMPUTED_VALUE"""),373.0)</f>
        <v>373</v>
      </c>
      <c r="K180" s="1">
        <f>IFERROR(__xludf.DUMMYFUNCTION("""COMPUTED_VALUE"""),74.6)</f>
        <v>74.6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>
        <f>IFERROR(__xludf.DUMMYFUNCTION("""COMPUTED_VALUE"""),10.0)</f>
        <v>10</v>
      </c>
      <c r="E181" s="1">
        <f>IFERROR(__xludf.DUMMYFUNCTION("""COMPUTED_VALUE"""),52.0)</f>
        <v>52</v>
      </c>
      <c r="F181" s="1">
        <f>IFERROR(__xludf.DUMMYFUNCTION("""COMPUTED_VALUE"""),94.0)</f>
        <v>94</v>
      </c>
      <c r="G181" s="1">
        <f>IFERROR(__xludf.DUMMYFUNCTION("""COMPUTED_VALUE"""),62.0)</f>
        <v>62</v>
      </c>
      <c r="H181" s="1">
        <f>IFERROR(__xludf.DUMMYFUNCTION("""COMPUTED_VALUE"""),74.0)</f>
        <v>74</v>
      </c>
      <c r="I181" s="1">
        <f>IFERROR(__xludf.DUMMYFUNCTION("""COMPUTED_VALUE"""),42.0)</f>
        <v>42</v>
      </c>
      <c r="J181" s="1">
        <f>IFERROR(__xludf.DUMMYFUNCTION("""COMPUTED_VALUE"""),324.0)</f>
        <v>324</v>
      </c>
      <c r="K181" s="1">
        <f>IFERROR(__xludf.DUMMYFUNCTION("""COMPUTED_VALUE"""),64.8)</f>
        <v>64.8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>
        <f>IFERROR(__xludf.DUMMYFUNCTION("""COMPUTED_VALUE"""),38.0)</f>
        <v>38</v>
      </c>
      <c r="E182" s="1">
        <f>IFERROR(__xludf.DUMMYFUNCTION("""COMPUTED_VALUE"""),97.0)</f>
        <v>97</v>
      </c>
      <c r="F182" s="1">
        <f>IFERROR(__xludf.DUMMYFUNCTION("""COMPUTED_VALUE"""),87.0)</f>
        <v>87</v>
      </c>
      <c r="G182" s="1">
        <f>IFERROR(__xludf.DUMMYFUNCTION("""COMPUTED_VALUE"""),20.0)</f>
        <v>20</v>
      </c>
      <c r="H182" s="1">
        <f>IFERROR(__xludf.DUMMYFUNCTION("""COMPUTED_VALUE"""),41.0)</f>
        <v>41</v>
      </c>
      <c r="I182" s="1">
        <f>IFERROR(__xludf.DUMMYFUNCTION("""COMPUTED_VALUE"""),73.0)</f>
        <v>73</v>
      </c>
      <c r="J182" s="1">
        <f>IFERROR(__xludf.DUMMYFUNCTION("""COMPUTED_VALUE"""),318.0)</f>
        <v>318</v>
      </c>
      <c r="K182" s="1">
        <f>IFERROR(__xludf.DUMMYFUNCTION("""COMPUTED_VALUE"""),63.6)</f>
        <v>63.6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>
        <f>IFERROR(__xludf.DUMMYFUNCTION("""COMPUTED_VALUE"""),21.0)</f>
        <v>21</v>
      </c>
      <c r="E183" s="1">
        <f>IFERROR(__xludf.DUMMYFUNCTION("""COMPUTED_VALUE"""),91.0)</f>
        <v>91</v>
      </c>
      <c r="F183" s="1">
        <f>IFERROR(__xludf.DUMMYFUNCTION("""COMPUTED_VALUE"""),66.0)</f>
        <v>66</v>
      </c>
      <c r="G183" s="1">
        <f>IFERROR(__xludf.DUMMYFUNCTION("""COMPUTED_VALUE"""),56.0)</f>
        <v>56</v>
      </c>
      <c r="H183" s="1">
        <f>IFERROR(__xludf.DUMMYFUNCTION("""COMPUTED_VALUE"""),87.0)</f>
        <v>87</v>
      </c>
      <c r="I183" s="1">
        <f>IFERROR(__xludf.DUMMYFUNCTION("""COMPUTED_VALUE"""),39.0)</f>
        <v>39</v>
      </c>
      <c r="J183" s="1">
        <f>IFERROR(__xludf.DUMMYFUNCTION("""COMPUTED_VALUE"""),339.0)</f>
        <v>339</v>
      </c>
      <c r="K183" s="1">
        <f>IFERROR(__xludf.DUMMYFUNCTION("""COMPUTED_VALUE"""),67.80000000000001)</f>
        <v>67.8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>
        <f>IFERROR(__xludf.DUMMYFUNCTION("""COMPUTED_VALUE"""),18.0)</f>
        <v>18</v>
      </c>
      <c r="E184" s="1">
        <f>IFERROR(__xludf.DUMMYFUNCTION("""COMPUTED_VALUE"""),53.0)</f>
        <v>53</v>
      </c>
      <c r="F184" s="1">
        <f>IFERROR(__xludf.DUMMYFUNCTION("""COMPUTED_VALUE"""),49.0)</f>
        <v>49</v>
      </c>
      <c r="G184" s="1">
        <f>IFERROR(__xludf.DUMMYFUNCTION("""COMPUTED_VALUE"""),46.0)</f>
        <v>46</v>
      </c>
      <c r="H184" s="1">
        <f>IFERROR(__xludf.DUMMYFUNCTION("""COMPUTED_VALUE"""),60.0)</f>
        <v>60</v>
      </c>
      <c r="I184" s="1">
        <f>IFERROR(__xludf.DUMMYFUNCTION("""COMPUTED_VALUE"""),63.0)</f>
        <v>63</v>
      </c>
      <c r="J184" s="1">
        <f>IFERROR(__xludf.DUMMYFUNCTION("""COMPUTED_VALUE"""),271.0)</f>
        <v>271</v>
      </c>
      <c r="K184" s="1">
        <f>IFERROR(__xludf.DUMMYFUNCTION("""COMPUTED_VALUE"""),54.2)</f>
        <v>54.2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>
        <f>IFERROR(__xludf.DUMMYFUNCTION("""COMPUTED_VALUE"""),24.0)</f>
        <v>24</v>
      </c>
      <c r="E185" s="1">
        <f>IFERROR(__xludf.DUMMYFUNCTION("""COMPUTED_VALUE"""),81.0)</f>
        <v>81</v>
      </c>
      <c r="F185" s="1">
        <f>IFERROR(__xludf.DUMMYFUNCTION("""COMPUTED_VALUE"""),72.0)</f>
        <v>72</v>
      </c>
      <c r="G185" s="1">
        <f>IFERROR(__xludf.DUMMYFUNCTION("""COMPUTED_VALUE"""),47.0)</f>
        <v>47</v>
      </c>
      <c r="H185" s="1">
        <f>IFERROR(__xludf.DUMMYFUNCTION("""COMPUTED_VALUE"""),73.0)</f>
        <v>73</v>
      </c>
      <c r="I185" s="1">
        <f>IFERROR(__xludf.DUMMYFUNCTION("""COMPUTED_VALUE"""),31.0)</f>
        <v>31</v>
      </c>
      <c r="J185" s="1">
        <f>IFERROR(__xludf.DUMMYFUNCTION("""COMPUTED_VALUE"""),304.0)</f>
        <v>304</v>
      </c>
      <c r="K185" s="1">
        <f>IFERROR(__xludf.DUMMYFUNCTION("""COMPUTED_VALUE"""),60.8)</f>
        <v>60.8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>
        <f>IFERROR(__xludf.DUMMYFUNCTION("""COMPUTED_VALUE"""),32.0)</f>
        <v>32</v>
      </c>
      <c r="E186" s="1">
        <f>IFERROR(__xludf.DUMMYFUNCTION("""COMPUTED_VALUE"""),73.0)</f>
        <v>73</v>
      </c>
      <c r="F186" s="1">
        <f>IFERROR(__xludf.DUMMYFUNCTION("""COMPUTED_VALUE"""),32.0)</f>
        <v>32</v>
      </c>
      <c r="G186" s="1">
        <f>IFERROR(__xludf.DUMMYFUNCTION("""COMPUTED_VALUE"""),21.0)</f>
        <v>21</v>
      </c>
      <c r="H186" s="1">
        <f>IFERROR(__xludf.DUMMYFUNCTION("""COMPUTED_VALUE"""),77.0)</f>
        <v>77</v>
      </c>
      <c r="I186" s="1">
        <f>IFERROR(__xludf.DUMMYFUNCTION("""COMPUTED_VALUE"""),62.0)</f>
        <v>62</v>
      </c>
      <c r="J186" s="1">
        <f>IFERROR(__xludf.DUMMYFUNCTION("""COMPUTED_VALUE"""),265.0)</f>
        <v>265</v>
      </c>
      <c r="K186" s="1">
        <f>IFERROR(__xludf.DUMMYFUNCTION("""COMPUTED_VALUE"""),53.0)</f>
        <v>53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>
        <f>IFERROR(__xludf.DUMMYFUNCTION("""COMPUTED_VALUE"""),63.0)</f>
        <v>63</v>
      </c>
      <c r="E187" s="1">
        <f>IFERROR(__xludf.DUMMYFUNCTION("""COMPUTED_VALUE"""),24.0)</f>
        <v>24</v>
      </c>
      <c r="F187" s="1">
        <f>IFERROR(__xludf.DUMMYFUNCTION("""COMPUTED_VALUE"""),31.0)</f>
        <v>31</v>
      </c>
      <c r="G187" s="1">
        <f>IFERROR(__xludf.DUMMYFUNCTION("""COMPUTED_VALUE"""),22.0)</f>
        <v>22</v>
      </c>
      <c r="H187" s="1">
        <f>IFERROR(__xludf.DUMMYFUNCTION("""COMPUTED_VALUE"""),26.0)</f>
        <v>26</v>
      </c>
      <c r="I187" s="1">
        <f>IFERROR(__xludf.DUMMYFUNCTION("""COMPUTED_VALUE"""),25.0)</f>
        <v>25</v>
      </c>
      <c r="J187" s="1">
        <f>IFERROR(__xludf.DUMMYFUNCTION("""COMPUTED_VALUE"""),128.0)</f>
        <v>128</v>
      </c>
      <c r="K187" s="1">
        <f>IFERROR(__xludf.DUMMYFUNCTION("""COMPUTED_VALUE"""),25.6)</f>
        <v>25.6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>
        <f>IFERROR(__xludf.DUMMYFUNCTION("""COMPUTED_VALUE"""),81.0)</f>
        <v>81</v>
      </c>
      <c r="E188" s="1">
        <f>IFERROR(__xludf.DUMMYFUNCTION("""COMPUTED_VALUE"""),64.0)</f>
        <v>64</v>
      </c>
      <c r="F188" s="1">
        <f>IFERROR(__xludf.DUMMYFUNCTION("""COMPUTED_VALUE"""),94.0)</f>
        <v>94</v>
      </c>
      <c r="G188" s="1">
        <f>IFERROR(__xludf.DUMMYFUNCTION("""COMPUTED_VALUE"""),96.0)</f>
        <v>96</v>
      </c>
      <c r="H188" s="1">
        <f>IFERROR(__xludf.DUMMYFUNCTION("""COMPUTED_VALUE"""),62.0)</f>
        <v>62</v>
      </c>
      <c r="I188" s="1">
        <f>IFERROR(__xludf.DUMMYFUNCTION("""COMPUTED_VALUE"""),60.0)</f>
        <v>60</v>
      </c>
      <c r="J188" s="1">
        <f>IFERROR(__xludf.DUMMYFUNCTION("""COMPUTED_VALUE"""),376.0)</f>
        <v>376</v>
      </c>
      <c r="K188" s="1">
        <f>IFERROR(__xludf.DUMMYFUNCTION("""COMPUTED_VALUE"""),75.2)</f>
        <v>75.2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>
        <f>IFERROR(__xludf.DUMMYFUNCTION("""COMPUTED_VALUE"""),89.0)</f>
        <v>89</v>
      </c>
      <c r="E189" s="1">
        <f>IFERROR(__xludf.DUMMYFUNCTION("""COMPUTED_VALUE"""),93.0)</f>
        <v>93</v>
      </c>
      <c r="F189" s="1">
        <f>IFERROR(__xludf.DUMMYFUNCTION("""COMPUTED_VALUE"""),40.0)</f>
        <v>40</v>
      </c>
      <c r="G189" s="1">
        <f>IFERROR(__xludf.DUMMYFUNCTION("""COMPUTED_VALUE"""),22.0)</f>
        <v>22</v>
      </c>
      <c r="H189" s="1">
        <f>IFERROR(__xludf.DUMMYFUNCTION("""COMPUTED_VALUE"""),34.0)</f>
        <v>34</v>
      </c>
      <c r="I189" s="1">
        <f>IFERROR(__xludf.DUMMYFUNCTION("""COMPUTED_VALUE"""),61.0)</f>
        <v>61</v>
      </c>
      <c r="J189" s="1">
        <f>IFERROR(__xludf.DUMMYFUNCTION("""COMPUTED_VALUE"""),250.0)</f>
        <v>250</v>
      </c>
      <c r="K189" s="1">
        <f>IFERROR(__xludf.DUMMYFUNCTION("""COMPUTED_VALUE"""),50.0)</f>
        <v>50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>
        <f>IFERROR(__xludf.DUMMYFUNCTION("""COMPUTED_VALUE"""),19.0)</f>
        <v>19</v>
      </c>
      <c r="E190" s="1">
        <f>IFERROR(__xludf.DUMMYFUNCTION("""COMPUTED_VALUE"""),48.0)</f>
        <v>48</v>
      </c>
      <c r="F190" s="1">
        <f>IFERROR(__xludf.DUMMYFUNCTION("""COMPUTED_VALUE"""),20.0)</f>
        <v>20</v>
      </c>
      <c r="G190" s="1">
        <f>IFERROR(__xludf.DUMMYFUNCTION("""COMPUTED_VALUE"""),77.0)</f>
        <v>77</v>
      </c>
      <c r="H190" s="1">
        <f>IFERROR(__xludf.DUMMYFUNCTION("""COMPUTED_VALUE"""),24.0)</f>
        <v>24</v>
      </c>
      <c r="I190" s="1">
        <f>IFERROR(__xludf.DUMMYFUNCTION("""COMPUTED_VALUE"""),72.0)</f>
        <v>72</v>
      </c>
      <c r="J190" s="1">
        <f>IFERROR(__xludf.DUMMYFUNCTION("""COMPUTED_VALUE"""),241.0)</f>
        <v>241</v>
      </c>
      <c r="K190" s="1">
        <f>IFERROR(__xludf.DUMMYFUNCTION("""COMPUTED_VALUE"""),48.199999999999996)</f>
        <v>48.2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>
        <f>IFERROR(__xludf.DUMMYFUNCTION("""COMPUTED_VALUE"""),11.0)</f>
        <v>11</v>
      </c>
      <c r="E191" s="1">
        <f>IFERROR(__xludf.DUMMYFUNCTION("""COMPUTED_VALUE"""),59.0)</f>
        <v>59</v>
      </c>
      <c r="F191" s="1">
        <f>IFERROR(__xludf.DUMMYFUNCTION("""COMPUTED_VALUE"""),43.0)</f>
        <v>43</v>
      </c>
      <c r="G191" s="1">
        <f>IFERROR(__xludf.DUMMYFUNCTION("""COMPUTED_VALUE"""),67.0)</f>
        <v>67</v>
      </c>
      <c r="H191" s="1">
        <f>IFERROR(__xludf.DUMMYFUNCTION("""COMPUTED_VALUE"""),35.0)</f>
        <v>35</v>
      </c>
      <c r="I191" s="1">
        <f>IFERROR(__xludf.DUMMYFUNCTION("""COMPUTED_VALUE"""),64.0)</f>
        <v>64</v>
      </c>
      <c r="J191" s="1">
        <f>IFERROR(__xludf.DUMMYFUNCTION("""COMPUTED_VALUE"""),268.0)</f>
        <v>268</v>
      </c>
      <c r="K191" s="1">
        <f>IFERROR(__xludf.DUMMYFUNCTION("""COMPUTED_VALUE"""),53.6)</f>
        <v>53.6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>
        <f>IFERROR(__xludf.DUMMYFUNCTION("""COMPUTED_VALUE"""),84.0)</f>
        <v>84</v>
      </c>
      <c r="E192" s="1">
        <f>IFERROR(__xludf.DUMMYFUNCTION("""COMPUTED_VALUE"""),97.0)</f>
        <v>97</v>
      </c>
      <c r="F192" s="1">
        <f>IFERROR(__xludf.DUMMYFUNCTION("""COMPUTED_VALUE"""),72.0)</f>
        <v>72</v>
      </c>
      <c r="G192" s="1">
        <f>IFERROR(__xludf.DUMMYFUNCTION("""COMPUTED_VALUE"""),67.0)</f>
        <v>67</v>
      </c>
      <c r="H192" s="1">
        <f>IFERROR(__xludf.DUMMYFUNCTION("""COMPUTED_VALUE"""),89.0)</f>
        <v>89</v>
      </c>
      <c r="I192" s="1">
        <f>IFERROR(__xludf.DUMMYFUNCTION("""COMPUTED_VALUE"""),58.0)</f>
        <v>58</v>
      </c>
      <c r="J192" s="1">
        <f>IFERROR(__xludf.DUMMYFUNCTION("""COMPUTED_VALUE"""),383.0)</f>
        <v>383</v>
      </c>
      <c r="K192" s="1">
        <f>IFERROR(__xludf.DUMMYFUNCTION("""COMPUTED_VALUE"""),76.6)</f>
        <v>76.6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>
        <f>IFERROR(__xludf.DUMMYFUNCTION("""COMPUTED_VALUE"""),21.0)</f>
        <v>21</v>
      </c>
      <c r="E193" s="1">
        <f>IFERROR(__xludf.DUMMYFUNCTION("""COMPUTED_VALUE"""),48.0)</f>
        <v>48</v>
      </c>
      <c r="F193" s="1">
        <f>IFERROR(__xludf.DUMMYFUNCTION("""COMPUTED_VALUE"""),80.0)</f>
        <v>80</v>
      </c>
      <c r="G193" s="1">
        <f>IFERROR(__xludf.DUMMYFUNCTION("""COMPUTED_VALUE"""),70.0)</f>
        <v>70</v>
      </c>
      <c r="H193" s="1">
        <f>IFERROR(__xludf.DUMMYFUNCTION("""COMPUTED_VALUE"""),37.0)</f>
        <v>37</v>
      </c>
      <c r="I193" s="1">
        <f>IFERROR(__xludf.DUMMYFUNCTION("""COMPUTED_VALUE"""),94.0)</f>
        <v>94</v>
      </c>
      <c r="J193" s="1">
        <f>IFERROR(__xludf.DUMMYFUNCTION("""COMPUTED_VALUE"""),329.0)</f>
        <v>329</v>
      </c>
      <c r="K193" s="1">
        <f>IFERROR(__xludf.DUMMYFUNCTION("""COMPUTED_VALUE"""),65.8)</f>
        <v>65.8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>
        <f>IFERROR(__xludf.DUMMYFUNCTION("""COMPUTED_VALUE"""),86.0)</f>
        <v>86</v>
      </c>
      <c r="E194" s="1">
        <f>IFERROR(__xludf.DUMMYFUNCTION("""COMPUTED_VALUE"""),58.0)</f>
        <v>58</v>
      </c>
      <c r="F194" s="1">
        <f>IFERROR(__xludf.DUMMYFUNCTION("""COMPUTED_VALUE"""),61.0)</f>
        <v>61</v>
      </c>
      <c r="G194" s="1">
        <f>IFERROR(__xludf.DUMMYFUNCTION("""COMPUTED_VALUE"""),27.0)</f>
        <v>27</v>
      </c>
      <c r="H194" s="1">
        <f>IFERROR(__xludf.DUMMYFUNCTION("""COMPUTED_VALUE"""),29.0)</f>
        <v>29</v>
      </c>
      <c r="I194" s="1">
        <f>IFERROR(__xludf.DUMMYFUNCTION("""COMPUTED_VALUE"""),84.0)</f>
        <v>84</v>
      </c>
      <c r="J194" s="1">
        <f>IFERROR(__xludf.DUMMYFUNCTION("""COMPUTED_VALUE"""),259.0)</f>
        <v>259</v>
      </c>
      <c r="K194" s="1">
        <f>IFERROR(__xludf.DUMMYFUNCTION("""COMPUTED_VALUE"""),51.800000000000004)</f>
        <v>51.8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>
        <f>IFERROR(__xludf.DUMMYFUNCTION("""COMPUTED_VALUE"""),18.0)</f>
        <v>18</v>
      </c>
      <c r="E195" s="1">
        <f>IFERROR(__xludf.DUMMYFUNCTION("""COMPUTED_VALUE"""),76.0)</f>
        <v>76</v>
      </c>
      <c r="F195" s="1">
        <f>IFERROR(__xludf.DUMMYFUNCTION("""COMPUTED_VALUE"""),79.0)</f>
        <v>79</v>
      </c>
      <c r="G195" s="1">
        <f>IFERROR(__xludf.DUMMYFUNCTION("""COMPUTED_VALUE"""),58.0)</f>
        <v>58</v>
      </c>
      <c r="H195" s="1">
        <f>IFERROR(__xludf.DUMMYFUNCTION("""COMPUTED_VALUE"""),23.0)</f>
        <v>23</v>
      </c>
      <c r="I195" s="1">
        <f>IFERROR(__xludf.DUMMYFUNCTION("""COMPUTED_VALUE"""),41.0)</f>
        <v>41</v>
      </c>
      <c r="J195" s="1">
        <f>IFERROR(__xludf.DUMMYFUNCTION("""COMPUTED_VALUE"""),277.0)</f>
        <v>277</v>
      </c>
      <c r="K195" s="1">
        <f>IFERROR(__xludf.DUMMYFUNCTION("""COMPUTED_VALUE"""),55.400000000000006)</f>
        <v>55.4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>
        <f>IFERROR(__xludf.DUMMYFUNCTION("""COMPUTED_VALUE"""),72.0)</f>
        <v>72</v>
      </c>
      <c r="E196" s="1">
        <f>IFERROR(__xludf.DUMMYFUNCTION("""COMPUTED_VALUE"""),54.0)</f>
        <v>54</v>
      </c>
      <c r="F196" s="1">
        <f>IFERROR(__xludf.DUMMYFUNCTION("""COMPUTED_VALUE"""),45.0)</f>
        <v>45</v>
      </c>
      <c r="G196" s="1">
        <f>IFERROR(__xludf.DUMMYFUNCTION("""COMPUTED_VALUE"""),60.0)</f>
        <v>60</v>
      </c>
      <c r="H196" s="1">
        <f>IFERROR(__xludf.DUMMYFUNCTION("""COMPUTED_VALUE"""),61.0)</f>
        <v>61</v>
      </c>
      <c r="I196" s="1">
        <f>IFERROR(__xludf.DUMMYFUNCTION("""COMPUTED_VALUE"""),98.0)</f>
        <v>98</v>
      </c>
      <c r="J196" s="1">
        <f>IFERROR(__xludf.DUMMYFUNCTION("""COMPUTED_VALUE"""),318.0)</f>
        <v>318</v>
      </c>
      <c r="K196" s="1">
        <f>IFERROR(__xludf.DUMMYFUNCTION("""COMPUTED_VALUE"""),63.6)</f>
        <v>63.6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>
        <f>IFERROR(__xludf.DUMMYFUNCTION("""COMPUTED_VALUE"""),14.0)</f>
        <v>14</v>
      </c>
      <c r="E197" s="1">
        <f>IFERROR(__xludf.DUMMYFUNCTION("""COMPUTED_VALUE"""),55.0)</f>
        <v>55</v>
      </c>
      <c r="F197" s="1">
        <f>IFERROR(__xludf.DUMMYFUNCTION("""COMPUTED_VALUE"""),83.0)</f>
        <v>83</v>
      </c>
      <c r="G197" s="1">
        <f>IFERROR(__xludf.DUMMYFUNCTION("""COMPUTED_VALUE"""),61.0)</f>
        <v>61</v>
      </c>
      <c r="H197" s="1">
        <f>IFERROR(__xludf.DUMMYFUNCTION("""COMPUTED_VALUE"""),64.0)</f>
        <v>64</v>
      </c>
      <c r="I197" s="1">
        <f>IFERROR(__xludf.DUMMYFUNCTION("""COMPUTED_VALUE"""),82.0)</f>
        <v>82</v>
      </c>
      <c r="J197" s="1">
        <f>IFERROR(__xludf.DUMMYFUNCTION("""COMPUTED_VALUE"""),345.0)</f>
        <v>345</v>
      </c>
      <c r="K197" s="1">
        <f>IFERROR(__xludf.DUMMYFUNCTION("""COMPUTED_VALUE"""),69.0)</f>
        <v>69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>
        <f>IFERROR(__xludf.DUMMYFUNCTION("""COMPUTED_VALUE"""),13.0)</f>
        <v>13</v>
      </c>
      <c r="E198" s="1">
        <f>IFERROR(__xludf.DUMMYFUNCTION("""COMPUTED_VALUE"""),87.0)</f>
        <v>87</v>
      </c>
      <c r="F198" s="1">
        <f>IFERROR(__xludf.DUMMYFUNCTION("""COMPUTED_VALUE"""),83.0)</f>
        <v>83</v>
      </c>
      <c r="G198" s="1">
        <f>IFERROR(__xludf.DUMMYFUNCTION("""COMPUTED_VALUE"""),52.0)</f>
        <v>52</v>
      </c>
      <c r="H198" s="1">
        <f>IFERROR(__xludf.DUMMYFUNCTION("""COMPUTED_VALUE"""),70.0)</f>
        <v>70</v>
      </c>
      <c r="I198" s="1">
        <f>IFERROR(__xludf.DUMMYFUNCTION("""COMPUTED_VALUE"""),83.0)</f>
        <v>83</v>
      </c>
      <c r="J198" s="1">
        <f>IFERROR(__xludf.DUMMYFUNCTION("""COMPUTED_VALUE"""),375.0)</f>
        <v>375</v>
      </c>
      <c r="K198" s="1">
        <f>IFERROR(__xludf.DUMMYFUNCTION("""COMPUTED_VALUE"""),75.0)</f>
        <v>75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>
        <f>IFERROR(__xludf.DUMMYFUNCTION("""COMPUTED_VALUE"""),27.0)</f>
        <v>27</v>
      </c>
      <c r="E199" s="1">
        <f>IFERROR(__xludf.DUMMYFUNCTION("""COMPUTED_VALUE"""),27.0)</f>
        <v>27</v>
      </c>
      <c r="F199" s="1">
        <f>IFERROR(__xludf.DUMMYFUNCTION("""COMPUTED_VALUE"""),63.0)</f>
        <v>63</v>
      </c>
      <c r="G199" s="1">
        <f>IFERROR(__xludf.DUMMYFUNCTION("""COMPUTED_VALUE"""),60.0)</f>
        <v>60</v>
      </c>
      <c r="H199" s="1">
        <f>IFERROR(__xludf.DUMMYFUNCTION("""COMPUTED_VALUE"""),43.0)</f>
        <v>43</v>
      </c>
      <c r="I199" s="1">
        <f>IFERROR(__xludf.DUMMYFUNCTION("""COMPUTED_VALUE"""),88.0)</f>
        <v>88</v>
      </c>
      <c r="J199" s="1">
        <f>IFERROR(__xludf.DUMMYFUNCTION("""COMPUTED_VALUE"""),281.0)</f>
        <v>281</v>
      </c>
      <c r="K199" s="1">
        <f>IFERROR(__xludf.DUMMYFUNCTION("""COMPUTED_VALUE"""),56.2)</f>
        <v>56.2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>
        <f>IFERROR(__xludf.DUMMYFUNCTION("""COMPUTED_VALUE"""),99.0)</f>
        <v>99</v>
      </c>
      <c r="E200" s="1">
        <f>IFERROR(__xludf.DUMMYFUNCTION("""COMPUTED_VALUE"""),80.0)</f>
        <v>80</v>
      </c>
      <c r="F200" s="1">
        <f>IFERROR(__xludf.DUMMYFUNCTION("""COMPUTED_VALUE"""),49.0)</f>
        <v>49</v>
      </c>
      <c r="G200" s="1">
        <f>IFERROR(__xludf.DUMMYFUNCTION("""COMPUTED_VALUE"""),37.0)</f>
        <v>37</v>
      </c>
      <c r="H200" s="1">
        <f>IFERROR(__xludf.DUMMYFUNCTION("""COMPUTED_VALUE"""),57.0)</f>
        <v>57</v>
      </c>
      <c r="I200" s="1">
        <f>IFERROR(__xludf.DUMMYFUNCTION("""COMPUTED_VALUE"""),73.0)</f>
        <v>73</v>
      </c>
      <c r="J200" s="1">
        <f>IFERROR(__xludf.DUMMYFUNCTION("""COMPUTED_VALUE"""),296.0)</f>
        <v>296</v>
      </c>
      <c r="K200" s="1">
        <f>IFERROR(__xludf.DUMMYFUNCTION("""COMPUTED_VALUE"""),59.199999999999996)</f>
        <v>59.2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>
        <f>IFERROR(__xludf.DUMMYFUNCTION("""COMPUTED_VALUE"""),84.0)</f>
        <v>84</v>
      </c>
      <c r="E201" s="1">
        <f>IFERROR(__xludf.DUMMYFUNCTION("""COMPUTED_VALUE"""),93.0)</f>
        <v>93</v>
      </c>
      <c r="F201" s="1">
        <f>IFERROR(__xludf.DUMMYFUNCTION("""COMPUTED_VALUE"""),24.0)</f>
        <v>24</v>
      </c>
      <c r="G201" s="1">
        <f>IFERROR(__xludf.DUMMYFUNCTION("""COMPUTED_VALUE"""),24.0)</f>
        <v>24</v>
      </c>
      <c r="H201" s="1">
        <f>IFERROR(__xludf.DUMMYFUNCTION("""COMPUTED_VALUE"""),86.0)</f>
        <v>86</v>
      </c>
      <c r="I201" s="1">
        <f>IFERROR(__xludf.DUMMYFUNCTION("""COMPUTED_VALUE"""),30.0)</f>
        <v>30</v>
      </c>
      <c r="J201" s="1">
        <f>IFERROR(__xludf.DUMMYFUNCTION("""COMPUTED_VALUE"""),257.0)</f>
        <v>257</v>
      </c>
      <c r="K201" s="1">
        <f>IFERROR(__xludf.DUMMYFUNCTION("""COMPUTED_VALUE"""),51.4)</f>
        <v>51.4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>
        <f>IFERROR(__xludf.DUMMYFUNCTION("""COMPUTED_VALUE"""),94.0)</f>
        <v>94</v>
      </c>
      <c r="E202" s="1">
        <f>IFERROR(__xludf.DUMMYFUNCTION("""COMPUTED_VALUE"""),58.0)</f>
        <v>58</v>
      </c>
      <c r="F202" s="1">
        <f>IFERROR(__xludf.DUMMYFUNCTION("""COMPUTED_VALUE"""),92.0)</f>
        <v>92</v>
      </c>
      <c r="G202" s="1">
        <f>IFERROR(__xludf.DUMMYFUNCTION("""COMPUTED_VALUE"""),73.0)</f>
        <v>73</v>
      </c>
      <c r="H202" s="1">
        <f>IFERROR(__xludf.DUMMYFUNCTION("""COMPUTED_VALUE"""),24.0)</f>
        <v>24</v>
      </c>
      <c r="I202" s="1">
        <f>IFERROR(__xludf.DUMMYFUNCTION("""COMPUTED_VALUE"""),67.0)</f>
        <v>67</v>
      </c>
      <c r="J202" s="1">
        <f>IFERROR(__xludf.DUMMYFUNCTION("""COMPUTED_VALUE"""),314.0)</f>
        <v>314</v>
      </c>
      <c r="K202" s="1">
        <f>IFERROR(__xludf.DUMMYFUNCTION("""COMPUTED_VALUE"""),62.8)</f>
        <v>62.8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>
        <f>IFERROR(__xludf.DUMMYFUNCTION("""COMPUTED_VALUE"""),73.0)</f>
        <v>73</v>
      </c>
      <c r="E203" s="1">
        <f>IFERROR(__xludf.DUMMYFUNCTION("""COMPUTED_VALUE"""),74.0)</f>
        <v>74</v>
      </c>
      <c r="F203" s="1">
        <f>IFERROR(__xludf.DUMMYFUNCTION("""COMPUTED_VALUE"""),67.0)</f>
        <v>67</v>
      </c>
      <c r="G203" s="1">
        <f>IFERROR(__xludf.DUMMYFUNCTION("""COMPUTED_VALUE"""),96.0)</f>
        <v>96</v>
      </c>
      <c r="H203" s="1">
        <f>IFERROR(__xludf.DUMMYFUNCTION("""COMPUTED_VALUE"""),73.0)</f>
        <v>73</v>
      </c>
      <c r="I203" s="1">
        <f>IFERROR(__xludf.DUMMYFUNCTION("""COMPUTED_VALUE"""),23.0)</f>
        <v>23</v>
      </c>
      <c r="J203" s="1">
        <f>IFERROR(__xludf.DUMMYFUNCTION("""COMPUTED_VALUE"""),333.0)</f>
        <v>333</v>
      </c>
      <c r="K203" s="1">
        <f>IFERROR(__xludf.DUMMYFUNCTION("""COMPUTED_VALUE"""),66.60000000000001)</f>
        <v>66.6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>
        <f>IFERROR(__xludf.DUMMYFUNCTION("""COMPUTED_VALUE"""),71.0)</f>
        <v>71</v>
      </c>
      <c r="E204" s="1">
        <f>IFERROR(__xludf.DUMMYFUNCTION("""COMPUTED_VALUE"""),72.0)</f>
        <v>72</v>
      </c>
      <c r="F204" s="1">
        <f>IFERROR(__xludf.DUMMYFUNCTION("""COMPUTED_VALUE"""),65.0)</f>
        <v>65</v>
      </c>
      <c r="G204" s="1">
        <f>IFERROR(__xludf.DUMMYFUNCTION("""COMPUTED_VALUE"""),52.0)</f>
        <v>52</v>
      </c>
      <c r="H204" s="1">
        <f>IFERROR(__xludf.DUMMYFUNCTION("""COMPUTED_VALUE"""),45.0)</f>
        <v>45</v>
      </c>
      <c r="I204" s="1">
        <f>IFERROR(__xludf.DUMMYFUNCTION("""COMPUTED_VALUE"""),98.0)</f>
        <v>98</v>
      </c>
      <c r="J204" s="1">
        <f>IFERROR(__xludf.DUMMYFUNCTION("""COMPUTED_VALUE"""),332.0)</f>
        <v>332</v>
      </c>
      <c r="K204" s="1">
        <f>IFERROR(__xludf.DUMMYFUNCTION("""COMPUTED_VALUE"""),66.4)</f>
        <v>66.4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>
        <f>IFERROR(__xludf.DUMMYFUNCTION("""COMPUTED_VALUE"""),29.0)</f>
        <v>29</v>
      </c>
      <c r="E205" s="1">
        <f>IFERROR(__xludf.DUMMYFUNCTION("""COMPUTED_VALUE"""),98.0)</f>
        <v>98</v>
      </c>
      <c r="F205" s="1">
        <f>IFERROR(__xludf.DUMMYFUNCTION("""COMPUTED_VALUE"""),74.0)</f>
        <v>74</v>
      </c>
      <c r="G205" s="1">
        <f>IFERROR(__xludf.DUMMYFUNCTION("""COMPUTED_VALUE"""),58.0)</f>
        <v>58</v>
      </c>
      <c r="H205" s="1">
        <f>IFERROR(__xludf.DUMMYFUNCTION("""COMPUTED_VALUE"""),20.0)</f>
        <v>20</v>
      </c>
      <c r="I205" s="1">
        <f>IFERROR(__xludf.DUMMYFUNCTION("""COMPUTED_VALUE"""),24.0)</f>
        <v>24</v>
      </c>
      <c r="J205" s="1">
        <f>IFERROR(__xludf.DUMMYFUNCTION("""COMPUTED_VALUE"""),274.0)</f>
        <v>274</v>
      </c>
      <c r="K205" s="1">
        <f>IFERROR(__xludf.DUMMYFUNCTION("""COMPUTED_VALUE"""),54.800000000000004)</f>
        <v>54.8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>
        <f>IFERROR(__xludf.DUMMYFUNCTION("""COMPUTED_VALUE"""),23.0)</f>
        <v>23</v>
      </c>
      <c r="E206" s="1">
        <f>IFERROR(__xludf.DUMMYFUNCTION("""COMPUTED_VALUE"""),28.0)</f>
        <v>28</v>
      </c>
      <c r="F206" s="1">
        <f>IFERROR(__xludf.DUMMYFUNCTION("""COMPUTED_VALUE"""),99.0)</f>
        <v>99</v>
      </c>
      <c r="G206" s="1">
        <f>IFERROR(__xludf.DUMMYFUNCTION("""COMPUTED_VALUE"""),34.0)</f>
        <v>34</v>
      </c>
      <c r="H206" s="1">
        <f>IFERROR(__xludf.DUMMYFUNCTION("""COMPUTED_VALUE"""),92.0)</f>
        <v>92</v>
      </c>
      <c r="I206" s="1">
        <f>IFERROR(__xludf.DUMMYFUNCTION("""COMPUTED_VALUE"""),55.0)</f>
        <v>55</v>
      </c>
      <c r="J206" s="1">
        <f>IFERROR(__xludf.DUMMYFUNCTION("""COMPUTED_VALUE"""),308.0)</f>
        <v>308</v>
      </c>
      <c r="K206" s="1">
        <f>IFERROR(__xludf.DUMMYFUNCTION("""COMPUTED_VALUE"""),61.6)</f>
        <v>61.6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>
        <f>IFERROR(__xludf.DUMMYFUNCTION("""COMPUTED_VALUE"""),99.0)</f>
        <v>99</v>
      </c>
      <c r="E207" s="1">
        <f>IFERROR(__xludf.DUMMYFUNCTION("""COMPUTED_VALUE"""),59.0)</f>
        <v>59</v>
      </c>
      <c r="F207" s="1">
        <f>IFERROR(__xludf.DUMMYFUNCTION("""COMPUTED_VALUE"""),39.0)</f>
        <v>39</v>
      </c>
      <c r="G207" s="1">
        <f>IFERROR(__xludf.DUMMYFUNCTION("""COMPUTED_VALUE"""),82.0)</f>
        <v>82</v>
      </c>
      <c r="H207" s="1">
        <f>IFERROR(__xludf.DUMMYFUNCTION("""COMPUTED_VALUE"""),32.0)</f>
        <v>32</v>
      </c>
      <c r="I207" s="1">
        <f>IFERROR(__xludf.DUMMYFUNCTION("""COMPUTED_VALUE"""),61.0)</f>
        <v>61</v>
      </c>
      <c r="J207" s="1">
        <f>IFERROR(__xludf.DUMMYFUNCTION("""COMPUTED_VALUE"""),273.0)</f>
        <v>273</v>
      </c>
      <c r="K207" s="1">
        <f>IFERROR(__xludf.DUMMYFUNCTION("""COMPUTED_VALUE"""),54.6)</f>
        <v>54.6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>
        <f>IFERROR(__xludf.DUMMYFUNCTION("""COMPUTED_VALUE"""),99.0)</f>
        <v>99</v>
      </c>
      <c r="E208" s="1">
        <f>IFERROR(__xludf.DUMMYFUNCTION("""COMPUTED_VALUE"""),95.0)</f>
        <v>95</v>
      </c>
      <c r="F208" s="1">
        <f>IFERROR(__xludf.DUMMYFUNCTION("""COMPUTED_VALUE"""),92.0)</f>
        <v>92</v>
      </c>
      <c r="G208" s="1">
        <f>IFERROR(__xludf.DUMMYFUNCTION("""COMPUTED_VALUE"""),58.0)</f>
        <v>58</v>
      </c>
      <c r="H208" s="1">
        <f>IFERROR(__xludf.DUMMYFUNCTION("""COMPUTED_VALUE"""),38.0)</f>
        <v>38</v>
      </c>
      <c r="I208" s="1">
        <f>IFERROR(__xludf.DUMMYFUNCTION("""COMPUTED_VALUE"""),36.0)</f>
        <v>36</v>
      </c>
      <c r="J208" s="1">
        <f>IFERROR(__xludf.DUMMYFUNCTION("""COMPUTED_VALUE"""),319.0)</f>
        <v>319</v>
      </c>
      <c r="K208" s="1">
        <f>IFERROR(__xludf.DUMMYFUNCTION("""COMPUTED_VALUE"""),63.800000000000004)</f>
        <v>63.8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>
        <f>IFERROR(__xludf.DUMMYFUNCTION("""COMPUTED_VALUE"""),36.0)</f>
        <v>36</v>
      </c>
      <c r="E209" s="1">
        <f>IFERROR(__xludf.DUMMYFUNCTION("""COMPUTED_VALUE"""),77.0)</f>
        <v>77</v>
      </c>
      <c r="F209" s="1">
        <f>IFERROR(__xludf.DUMMYFUNCTION("""COMPUTED_VALUE"""),62.0)</f>
        <v>62</v>
      </c>
      <c r="G209" s="1">
        <f>IFERROR(__xludf.DUMMYFUNCTION("""COMPUTED_VALUE"""),23.0)</f>
        <v>23</v>
      </c>
      <c r="H209" s="1">
        <f>IFERROR(__xludf.DUMMYFUNCTION("""COMPUTED_VALUE"""),92.0)</f>
        <v>92</v>
      </c>
      <c r="I209" s="1">
        <f>IFERROR(__xludf.DUMMYFUNCTION("""COMPUTED_VALUE"""),32.0)</f>
        <v>32</v>
      </c>
      <c r="J209" s="1">
        <f>IFERROR(__xludf.DUMMYFUNCTION("""COMPUTED_VALUE"""),286.0)</f>
        <v>286</v>
      </c>
      <c r="K209" s="1">
        <f>IFERROR(__xludf.DUMMYFUNCTION("""COMPUTED_VALUE"""),57.199999999999996)</f>
        <v>57.2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>
        <f>IFERROR(__xludf.DUMMYFUNCTION("""COMPUTED_VALUE"""),59.0)</f>
        <v>59</v>
      </c>
      <c r="E210" s="1">
        <f>IFERROR(__xludf.DUMMYFUNCTION("""COMPUTED_VALUE"""),94.0)</f>
        <v>94</v>
      </c>
      <c r="F210" s="1">
        <f>IFERROR(__xludf.DUMMYFUNCTION("""COMPUTED_VALUE"""),24.0)</f>
        <v>24</v>
      </c>
      <c r="G210" s="1">
        <f>IFERROR(__xludf.DUMMYFUNCTION("""COMPUTED_VALUE"""),52.0)</f>
        <v>52</v>
      </c>
      <c r="H210" s="1">
        <f>IFERROR(__xludf.DUMMYFUNCTION("""COMPUTED_VALUE"""),73.0)</f>
        <v>73</v>
      </c>
      <c r="I210" s="1">
        <f>IFERROR(__xludf.DUMMYFUNCTION("""COMPUTED_VALUE"""),69.0)</f>
        <v>69</v>
      </c>
      <c r="J210" s="1">
        <f>IFERROR(__xludf.DUMMYFUNCTION("""COMPUTED_VALUE"""),312.0)</f>
        <v>312</v>
      </c>
      <c r="K210" s="1">
        <f>IFERROR(__xludf.DUMMYFUNCTION("""COMPUTED_VALUE"""),62.4)</f>
        <v>62.4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>
        <f>IFERROR(__xludf.DUMMYFUNCTION("""COMPUTED_VALUE"""),78.0)</f>
        <v>78</v>
      </c>
      <c r="E211" s="1">
        <f>IFERROR(__xludf.DUMMYFUNCTION("""COMPUTED_VALUE"""),36.0)</f>
        <v>36</v>
      </c>
      <c r="F211" s="1">
        <f>IFERROR(__xludf.DUMMYFUNCTION("""COMPUTED_VALUE"""),62.0)</f>
        <v>62</v>
      </c>
      <c r="G211" s="1">
        <f>IFERROR(__xludf.DUMMYFUNCTION("""COMPUTED_VALUE"""),35.0)</f>
        <v>35</v>
      </c>
      <c r="H211" s="1">
        <f>IFERROR(__xludf.DUMMYFUNCTION("""COMPUTED_VALUE"""),20.0)</f>
        <v>20</v>
      </c>
      <c r="I211" s="1">
        <f>IFERROR(__xludf.DUMMYFUNCTION("""COMPUTED_VALUE"""),93.0)</f>
        <v>93</v>
      </c>
      <c r="J211" s="1">
        <f>IFERROR(__xludf.DUMMYFUNCTION("""COMPUTED_VALUE"""),246.0)</f>
        <v>246</v>
      </c>
      <c r="K211" s="1">
        <f>IFERROR(__xludf.DUMMYFUNCTION("""COMPUTED_VALUE"""),49.2)</f>
        <v>49.2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>
        <f>IFERROR(__xludf.DUMMYFUNCTION("""COMPUTED_VALUE"""),28.0)</f>
        <v>28</v>
      </c>
      <c r="E212" s="1">
        <f>IFERROR(__xludf.DUMMYFUNCTION("""COMPUTED_VALUE"""),45.0)</f>
        <v>45</v>
      </c>
      <c r="F212" s="1">
        <f>IFERROR(__xludf.DUMMYFUNCTION("""COMPUTED_VALUE"""),67.0)</f>
        <v>67</v>
      </c>
      <c r="G212" s="1">
        <f>IFERROR(__xludf.DUMMYFUNCTION("""COMPUTED_VALUE"""),97.0)</f>
        <v>97</v>
      </c>
      <c r="H212" s="1">
        <f>IFERROR(__xludf.DUMMYFUNCTION("""COMPUTED_VALUE"""),78.0)</f>
        <v>78</v>
      </c>
      <c r="I212" s="1">
        <f>IFERROR(__xludf.DUMMYFUNCTION("""COMPUTED_VALUE"""),38.0)</f>
        <v>38</v>
      </c>
      <c r="J212" s="1">
        <f>IFERROR(__xludf.DUMMYFUNCTION("""COMPUTED_VALUE"""),325.0)</f>
        <v>325</v>
      </c>
      <c r="K212" s="1">
        <f>IFERROR(__xludf.DUMMYFUNCTION("""COMPUTED_VALUE"""),65.0)</f>
        <v>65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>
        <f>IFERROR(__xludf.DUMMYFUNCTION("""COMPUTED_VALUE"""),60.0)</f>
        <v>60</v>
      </c>
      <c r="E213" s="1">
        <f>IFERROR(__xludf.DUMMYFUNCTION("""COMPUTED_VALUE"""),81.0)</f>
        <v>81</v>
      </c>
      <c r="F213" s="1">
        <f>IFERROR(__xludf.DUMMYFUNCTION("""COMPUTED_VALUE"""),98.0)</f>
        <v>98</v>
      </c>
      <c r="G213" s="1">
        <f>IFERROR(__xludf.DUMMYFUNCTION("""COMPUTED_VALUE"""),70.0)</f>
        <v>70</v>
      </c>
      <c r="H213" s="1">
        <f>IFERROR(__xludf.DUMMYFUNCTION("""COMPUTED_VALUE"""),72.0)</f>
        <v>72</v>
      </c>
      <c r="I213" s="1">
        <f>IFERROR(__xludf.DUMMYFUNCTION("""COMPUTED_VALUE"""),65.0)</f>
        <v>65</v>
      </c>
      <c r="J213" s="1">
        <f>IFERROR(__xludf.DUMMYFUNCTION("""COMPUTED_VALUE"""),386.0)</f>
        <v>386</v>
      </c>
      <c r="K213" s="1">
        <f>IFERROR(__xludf.DUMMYFUNCTION("""COMPUTED_VALUE"""),77.2)</f>
        <v>77.2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>
        <f>IFERROR(__xludf.DUMMYFUNCTION("""COMPUTED_VALUE"""),96.0)</f>
        <v>96</v>
      </c>
      <c r="E214" s="1">
        <f>IFERROR(__xludf.DUMMYFUNCTION("""COMPUTED_VALUE"""),84.0)</f>
        <v>84</v>
      </c>
      <c r="F214" s="1">
        <f>IFERROR(__xludf.DUMMYFUNCTION("""COMPUTED_VALUE"""),23.0)</f>
        <v>23</v>
      </c>
      <c r="G214" s="1">
        <f>IFERROR(__xludf.DUMMYFUNCTION("""COMPUTED_VALUE"""),27.0)</f>
        <v>27</v>
      </c>
      <c r="H214" s="1">
        <f>IFERROR(__xludf.DUMMYFUNCTION("""COMPUTED_VALUE"""),30.0)</f>
        <v>30</v>
      </c>
      <c r="I214" s="1">
        <f>IFERROR(__xludf.DUMMYFUNCTION("""COMPUTED_VALUE"""),83.0)</f>
        <v>83</v>
      </c>
      <c r="J214" s="1">
        <f>IFERROR(__xludf.DUMMYFUNCTION("""COMPUTED_VALUE"""),247.0)</f>
        <v>247</v>
      </c>
      <c r="K214" s="1">
        <f>IFERROR(__xludf.DUMMYFUNCTION("""COMPUTED_VALUE"""),49.4)</f>
        <v>49.4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>
        <f>IFERROR(__xludf.DUMMYFUNCTION("""COMPUTED_VALUE"""),90.0)</f>
        <v>90</v>
      </c>
      <c r="E215" s="1">
        <f>IFERROR(__xludf.DUMMYFUNCTION("""COMPUTED_VALUE"""),45.0)</f>
        <v>45</v>
      </c>
      <c r="F215" s="1">
        <f>IFERROR(__xludf.DUMMYFUNCTION("""COMPUTED_VALUE"""),94.0)</f>
        <v>94</v>
      </c>
      <c r="G215" s="1">
        <f>IFERROR(__xludf.DUMMYFUNCTION("""COMPUTED_VALUE"""),64.0)</f>
        <v>64</v>
      </c>
      <c r="H215" s="1">
        <f>IFERROR(__xludf.DUMMYFUNCTION("""COMPUTED_VALUE"""),97.0)</f>
        <v>97</v>
      </c>
      <c r="I215" s="1">
        <f>IFERROR(__xludf.DUMMYFUNCTION("""COMPUTED_VALUE"""),59.0)</f>
        <v>59</v>
      </c>
      <c r="J215" s="1">
        <f>IFERROR(__xludf.DUMMYFUNCTION("""COMPUTED_VALUE"""),359.0)</f>
        <v>359</v>
      </c>
      <c r="K215" s="1">
        <f>IFERROR(__xludf.DUMMYFUNCTION("""COMPUTED_VALUE"""),71.8)</f>
        <v>71.8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>
        <f>IFERROR(__xludf.DUMMYFUNCTION("""COMPUTED_VALUE"""),18.0)</f>
        <v>18</v>
      </c>
      <c r="E216" s="1">
        <f>IFERROR(__xludf.DUMMYFUNCTION("""COMPUTED_VALUE"""),53.0)</f>
        <v>53</v>
      </c>
      <c r="F216" s="1">
        <f>IFERROR(__xludf.DUMMYFUNCTION("""COMPUTED_VALUE"""),28.0)</f>
        <v>28</v>
      </c>
      <c r="G216" s="1">
        <f>IFERROR(__xludf.DUMMYFUNCTION("""COMPUTED_VALUE"""),71.0)</f>
        <v>71</v>
      </c>
      <c r="H216" s="1">
        <f>IFERROR(__xludf.DUMMYFUNCTION("""COMPUTED_VALUE"""),70.0)</f>
        <v>70</v>
      </c>
      <c r="I216" s="1">
        <f>IFERROR(__xludf.DUMMYFUNCTION("""COMPUTED_VALUE"""),36.0)</f>
        <v>36</v>
      </c>
      <c r="J216" s="1">
        <f>IFERROR(__xludf.DUMMYFUNCTION("""COMPUTED_VALUE"""),258.0)</f>
        <v>258</v>
      </c>
      <c r="K216" s="1">
        <f>IFERROR(__xludf.DUMMYFUNCTION("""COMPUTED_VALUE"""),51.6)</f>
        <v>51.6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>
        <f>IFERROR(__xludf.DUMMYFUNCTION("""COMPUTED_VALUE"""),65.0)</f>
        <v>65</v>
      </c>
      <c r="E217" s="1">
        <f>IFERROR(__xludf.DUMMYFUNCTION("""COMPUTED_VALUE"""),62.0)</f>
        <v>62</v>
      </c>
      <c r="F217" s="1">
        <f>IFERROR(__xludf.DUMMYFUNCTION("""COMPUTED_VALUE"""),60.0)</f>
        <v>60</v>
      </c>
      <c r="G217" s="1">
        <f>IFERROR(__xludf.DUMMYFUNCTION("""COMPUTED_VALUE"""),65.0)</f>
        <v>65</v>
      </c>
      <c r="H217" s="1">
        <f>IFERROR(__xludf.DUMMYFUNCTION("""COMPUTED_VALUE"""),65.0)</f>
        <v>65</v>
      </c>
      <c r="I217" s="1">
        <f>IFERROR(__xludf.DUMMYFUNCTION("""COMPUTED_VALUE"""),96.0)</f>
        <v>96</v>
      </c>
      <c r="J217" s="1">
        <f>IFERROR(__xludf.DUMMYFUNCTION("""COMPUTED_VALUE"""),348.0)</f>
        <v>348</v>
      </c>
      <c r="K217" s="1">
        <f>IFERROR(__xludf.DUMMYFUNCTION("""COMPUTED_VALUE"""),69.6)</f>
        <v>69.6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>
        <f>IFERROR(__xludf.DUMMYFUNCTION("""COMPUTED_VALUE"""),41.0)</f>
        <v>41</v>
      </c>
      <c r="E218" s="1">
        <f>IFERROR(__xludf.DUMMYFUNCTION("""COMPUTED_VALUE"""),78.0)</f>
        <v>78</v>
      </c>
      <c r="F218" s="1">
        <f>IFERROR(__xludf.DUMMYFUNCTION("""COMPUTED_VALUE"""),95.0)</f>
        <v>95</v>
      </c>
      <c r="G218" s="1">
        <f>IFERROR(__xludf.DUMMYFUNCTION("""COMPUTED_VALUE"""),77.0)</f>
        <v>77</v>
      </c>
      <c r="H218" s="1">
        <f>IFERROR(__xludf.DUMMYFUNCTION("""COMPUTED_VALUE"""),51.0)</f>
        <v>51</v>
      </c>
      <c r="I218" s="1">
        <f>IFERROR(__xludf.DUMMYFUNCTION("""COMPUTED_VALUE"""),38.0)</f>
        <v>38</v>
      </c>
      <c r="J218" s="1">
        <f>IFERROR(__xludf.DUMMYFUNCTION("""COMPUTED_VALUE"""),339.0)</f>
        <v>339</v>
      </c>
      <c r="K218" s="1">
        <f>IFERROR(__xludf.DUMMYFUNCTION("""COMPUTED_VALUE"""),67.80000000000001)</f>
        <v>67.8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>
        <f>IFERROR(__xludf.DUMMYFUNCTION("""COMPUTED_VALUE"""),65.0)</f>
        <v>65</v>
      </c>
      <c r="E219" s="1">
        <f>IFERROR(__xludf.DUMMYFUNCTION("""COMPUTED_VALUE"""),29.0)</f>
        <v>29</v>
      </c>
      <c r="F219" s="1">
        <f>IFERROR(__xludf.DUMMYFUNCTION("""COMPUTED_VALUE"""),61.0)</f>
        <v>61</v>
      </c>
      <c r="G219" s="1">
        <f>IFERROR(__xludf.DUMMYFUNCTION("""COMPUTED_VALUE"""),92.0)</f>
        <v>92</v>
      </c>
      <c r="H219" s="1">
        <f>IFERROR(__xludf.DUMMYFUNCTION("""COMPUTED_VALUE"""),45.0)</f>
        <v>45</v>
      </c>
      <c r="I219" s="1">
        <f>IFERROR(__xludf.DUMMYFUNCTION("""COMPUTED_VALUE"""),33.0)</f>
        <v>33</v>
      </c>
      <c r="J219" s="1">
        <f>IFERROR(__xludf.DUMMYFUNCTION("""COMPUTED_VALUE"""),260.0)</f>
        <v>260</v>
      </c>
      <c r="K219" s="1">
        <f>IFERROR(__xludf.DUMMYFUNCTION("""COMPUTED_VALUE"""),52.0)</f>
        <v>52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>
        <f>IFERROR(__xludf.DUMMYFUNCTION("""COMPUTED_VALUE"""),53.0)</f>
        <v>53</v>
      </c>
      <c r="E220" s="1">
        <f>IFERROR(__xludf.DUMMYFUNCTION("""COMPUTED_VALUE"""),63.0)</f>
        <v>63</v>
      </c>
      <c r="F220" s="1">
        <f>IFERROR(__xludf.DUMMYFUNCTION("""COMPUTED_VALUE"""),81.0)</f>
        <v>81</v>
      </c>
      <c r="G220" s="1">
        <f>IFERROR(__xludf.DUMMYFUNCTION("""COMPUTED_VALUE"""),87.0)</f>
        <v>87</v>
      </c>
      <c r="H220" s="1">
        <f>IFERROR(__xludf.DUMMYFUNCTION("""COMPUTED_VALUE"""),23.0)</f>
        <v>23</v>
      </c>
      <c r="I220" s="1">
        <f>IFERROR(__xludf.DUMMYFUNCTION("""COMPUTED_VALUE"""),74.0)</f>
        <v>74</v>
      </c>
      <c r="J220" s="1">
        <f>IFERROR(__xludf.DUMMYFUNCTION("""COMPUTED_VALUE"""),328.0)</f>
        <v>328</v>
      </c>
      <c r="K220" s="1">
        <f>IFERROR(__xludf.DUMMYFUNCTION("""COMPUTED_VALUE"""),65.60000000000001)</f>
        <v>65.6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>
        <f>IFERROR(__xludf.DUMMYFUNCTION("""COMPUTED_VALUE"""),25.0)</f>
        <v>25</v>
      </c>
      <c r="E221" s="1">
        <f>IFERROR(__xludf.DUMMYFUNCTION("""COMPUTED_VALUE"""),93.0)</f>
        <v>93</v>
      </c>
      <c r="F221" s="1">
        <f>IFERROR(__xludf.DUMMYFUNCTION("""COMPUTED_VALUE"""),23.0)</f>
        <v>23</v>
      </c>
      <c r="G221" s="1">
        <f>IFERROR(__xludf.DUMMYFUNCTION("""COMPUTED_VALUE"""),32.0)</f>
        <v>32</v>
      </c>
      <c r="H221" s="1">
        <f>IFERROR(__xludf.DUMMYFUNCTION("""COMPUTED_VALUE"""),74.0)</f>
        <v>74</v>
      </c>
      <c r="I221" s="1">
        <f>IFERROR(__xludf.DUMMYFUNCTION("""COMPUTED_VALUE"""),88.0)</f>
        <v>88</v>
      </c>
      <c r="J221" s="1">
        <f>IFERROR(__xludf.DUMMYFUNCTION("""COMPUTED_VALUE"""),310.0)</f>
        <v>310</v>
      </c>
      <c r="K221" s="1">
        <f>IFERROR(__xludf.DUMMYFUNCTION("""COMPUTED_VALUE"""),62.0)</f>
        <v>62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>
        <f>IFERROR(__xludf.DUMMYFUNCTION("""COMPUTED_VALUE"""),40.0)</f>
        <v>40</v>
      </c>
      <c r="E222" s="1">
        <f>IFERROR(__xludf.DUMMYFUNCTION("""COMPUTED_VALUE"""),45.0)</f>
        <v>45</v>
      </c>
      <c r="F222" s="1">
        <f>IFERROR(__xludf.DUMMYFUNCTION("""COMPUTED_VALUE"""),65.0)</f>
        <v>65</v>
      </c>
      <c r="G222" s="1">
        <f>IFERROR(__xludf.DUMMYFUNCTION("""COMPUTED_VALUE"""),76.0)</f>
        <v>76</v>
      </c>
      <c r="H222" s="1">
        <f>IFERROR(__xludf.DUMMYFUNCTION("""COMPUTED_VALUE"""),22.0)</f>
        <v>22</v>
      </c>
      <c r="I222" s="1">
        <f>IFERROR(__xludf.DUMMYFUNCTION("""COMPUTED_VALUE"""),62.0)</f>
        <v>62</v>
      </c>
      <c r="J222" s="1">
        <f>IFERROR(__xludf.DUMMYFUNCTION("""COMPUTED_VALUE"""),270.0)</f>
        <v>270</v>
      </c>
      <c r="K222" s="1">
        <f>IFERROR(__xludf.DUMMYFUNCTION("""COMPUTED_VALUE"""),54.0)</f>
        <v>54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>
        <f>IFERROR(__xludf.DUMMYFUNCTION("""COMPUTED_VALUE"""),58.0)</f>
        <v>58</v>
      </c>
      <c r="E223" s="1">
        <f>IFERROR(__xludf.DUMMYFUNCTION("""COMPUTED_VALUE"""),73.0)</f>
        <v>73</v>
      </c>
      <c r="F223" s="1">
        <f>IFERROR(__xludf.DUMMYFUNCTION("""COMPUTED_VALUE"""),79.0)</f>
        <v>79</v>
      </c>
      <c r="G223" s="1">
        <f>IFERROR(__xludf.DUMMYFUNCTION("""COMPUTED_VALUE"""),68.0)</f>
        <v>68</v>
      </c>
      <c r="H223" s="1">
        <f>IFERROR(__xludf.DUMMYFUNCTION("""COMPUTED_VALUE"""),93.0)</f>
        <v>93</v>
      </c>
      <c r="I223" s="1">
        <f>IFERROR(__xludf.DUMMYFUNCTION("""COMPUTED_VALUE"""),70.0)</f>
        <v>70</v>
      </c>
      <c r="J223" s="1">
        <f>IFERROR(__xludf.DUMMYFUNCTION("""COMPUTED_VALUE"""),383.0)</f>
        <v>383</v>
      </c>
      <c r="K223" s="1">
        <f>IFERROR(__xludf.DUMMYFUNCTION("""COMPUTED_VALUE"""),76.6)</f>
        <v>76.6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>
        <f>IFERROR(__xludf.DUMMYFUNCTION("""COMPUTED_VALUE"""),53.0)</f>
        <v>53</v>
      </c>
      <c r="E224" s="1">
        <f>IFERROR(__xludf.DUMMYFUNCTION("""COMPUTED_VALUE"""),87.0)</f>
        <v>87</v>
      </c>
      <c r="F224" s="1">
        <f>IFERROR(__xludf.DUMMYFUNCTION("""COMPUTED_VALUE"""),58.0)</f>
        <v>58</v>
      </c>
      <c r="G224" s="1">
        <f>IFERROR(__xludf.DUMMYFUNCTION("""COMPUTED_VALUE"""),55.0)</f>
        <v>55</v>
      </c>
      <c r="H224" s="1">
        <f>IFERROR(__xludf.DUMMYFUNCTION("""COMPUTED_VALUE"""),82.0)</f>
        <v>82</v>
      </c>
      <c r="I224" s="1">
        <f>IFERROR(__xludf.DUMMYFUNCTION("""COMPUTED_VALUE"""),23.0)</f>
        <v>23</v>
      </c>
      <c r="J224" s="1">
        <f>IFERROR(__xludf.DUMMYFUNCTION("""COMPUTED_VALUE"""),305.0)</f>
        <v>305</v>
      </c>
      <c r="K224" s="1">
        <f>IFERROR(__xludf.DUMMYFUNCTION("""COMPUTED_VALUE"""),61.0)</f>
        <v>61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>
        <f>IFERROR(__xludf.DUMMYFUNCTION("""COMPUTED_VALUE"""),43.0)</f>
        <v>43</v>
      </c>
      <c r="E225" s="1">
        <f>IFERROR(__xludf.DUMMYFUNCTION("""COMPUTED_VALUE"""),37.0)</f>
        <v>37</v>
      </c>
      <c r="F225" s="1">
        <f>IFERROR(__xludf.DUMMYFUNCTION("""COMPUTED_VALUE"""),23.0)</f>
        <v>23</v>
      </c>
      <c r="G225" s="1">
        <f>IFERROR(__xludf.DUMMYFUNCTION("""COMPUTED_VALUE"""),87.0)</f>
        <v>87</v>
      </c>
      <c r="H225" s="1">
        <f>IFERROR(__xludf.DUMMYFUNCTION("""COMPUTED_VALUE"""),99.0)</f>
        <v>99</v>
      </c>
      <c r="I225" s="1">
        <f>IFERROR(__xludf.DUMMYFUNCTION("""COMPUTED_VALUE"""),82.0)</f>
        <v>82</v>
      </c>
      <c r="J225" s="1">
        <f>IFERROR(__xludf.DUMMYFUNCTION("""COMPUTED_VALUE"""),328.0)</f>
        <v>328</v>
      </c>
      <c r="K225" s="1">
        <f>IFERROR(__xludf.DUMMYFUNCTION("""COMPUTED_VALUE"""),65.60000000000001)</f>
        <v>65.6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>
        <f>IFERROR(__xludf.DUMMYFUNCTION("""COMPUTED_VALUE"""),41.0)</f>
        <v>41</v>
      </c>
      <c r="E226" s="1">
        <f>IFERROR(__xludf.DUMMYFUNCTION("""COMPUTED_VALUE"""),68.0)</f>
        <v>68</v>
      </c>
      <c r="F226" s="1">
        <f>IFERROR(__xludf.DUMMYFUNCTION("""COMPUTED_VALUE"""),82.0)</f>
        <v>82</v>
      </c>
      <c r="G226" s="1">
        <f>IFERROR(__xludf.DUMMYFUNCTION("""COMPUTED_VALUE"""),46.0)</f>
        <v>46</v>
      </c>
      <c r="H226" s="1">
        <f>IFERROR(__xludf.DUMMYFUNCTION("""COMPUTED_VALUE"""),60.0)</f>
        <v>60</v>
      </c>
      <c r="I226" s="1">
        <f>IFERROR(__xludf.DUMMYFUNCTION("""COMPUTED_VALUE"""),64.0)</f>
        <v>64</v>
      </c>
      <c r="J226" s="1">
        <f>IFERROR(__xludf.DUMMYFUNCTION("""COMPUTED_VALUE"""),320.0)</f>
        <v>320</v>
      </c>
      <c r="K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>
        <f>IFERROR(__xludf.DUMMYFUNCTION("""COMPUTED_VALUE"""),45.0)</f>
        <v>45</v>
      </c>
      <c r="E227" s="1">
        <f>IFERROR(__xludf.DUMMYFUNCTION("""COMPUTED_VALUE"""),71.0)</f>
        <v>71</v>
      </c>
      <c r="F227" s="1">
        <f>IFERROR(__xludf.DUMMYFUNCTION("""COMPUTED_VALUE"""),86.0)</f>
        <v>86</v>
      </c>
      <c r="G227" s="1">
        <f>IFERROR(__xludf.DUMMYFUNCTION("""COMPUTED_VALUE"""),83.0)</f>
        <v>83</v>
      </c>
      <c r="H227" s="1">
        <f>IFERROR(__xludf.DUMMYFUNCTION("""COMPUTED_VALUE"""),96.0)</f>
        <v>96</v>
      </c>
      <c r="I227" s="1">
        <f>IFERROR(__xludf.DUMMYFUNCTION("""COMPUTED_VALUE"""),93.0)</f>
        <v>93</v>
      </c>
      <c r="J227" s="1">
        <f>IFERROR(__xludf.DUMMYFUNCTION("""COMPUTED_VALUE"""),429.0)</f>
        <v>429</v>
      </c>
      <c r="K227" s="1">
        <f>IFERROR(__xludf.DUMMYFUNCTION("""COMPUTED_VALUE"""),85.8)</f>
        <v>85.8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>
        <f>IFERROR(__xludf.DUMMYFUNCTION("""COMPUTED_VALUE"""),36.0)</f>
        <v>36</v>
      </c>
      <c r="E228" s="1">
        <f>IFERROR(__xludf.DUMMYFUNCTION("""COMPUTED_VALUE"""),80.0)</f>
        <v>80</v>
      </c>
      <c r="F228" s="1">
        <f>IFERROR(__xludf.DUMMYFUNCTION("""COMPUTED_VALUE"""),52.0)</f>
        <v>52</v>
      </c>
      <c r="G228" s="1">
        <f>IFERROR(__xludf.DUMMYFUNCTION("""COMPUTED_VALUE"""),24.0)</f>
        <v>24</v>
      </c>
      <c r="H228" s="1">
        <f>IFERROR(__xludf.DUMMYFUNCTION("""COMPUTED_VALUE"""),22.0)</f>
        <v>22</v>
      </c>
      <c r="I228" s="1">
        <f>IFERROR(__xludf.DUMMYFUNCTION("""COMPUTED_VALUE"""),24.0)</f>
        <v>24</v>
      </c>
      <c r="J228" s="1">
        <f>IFERROR(__xludf.DUMMYFUNCTION("""COMPUTED_VALUE"""),202.0)</f>
        <v>202</v>
      </c>
      <c r="K228" s="1">
        <f>IFERROR(__xludf.DUMMYFUNCTION("""COMPUTED_VALUE"""),40.400000000000006)</f>
        <v>40.4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>
        <f>IFERROR(__xludf.DUMMYFUNCTION("""COMPUTED_VALUE"""),64.0)</f>
        <v>64</v>
      </c>
      <c r="E229" s="1">
        <f>IFERROR(__xludf.DUMMYFUNCTION("""COMPUTED_VALUE"""),70.0)</f>
        <v>70</v>
      </c>
      <c r="F229" s="1">
        <f>IFERROR(__xludf.DUMMYFUNCTION("""COMPUTED_VALUE"""),44.0)</f>
        <v>44</v>
      </c>
      <c r="G229" s="1">
        <f>IFERROR(__xludf.DUMMYFUNCTION("""COMPUTED_VALUE"""),93.0)</f>
        <v>93</v>
      </c>
      <c r="H229" s="1">
        <f>IFERROR(__xludf.DUMMYFUNCTION("""COMPUTED_VALUE"""),29.0)</f>
        <v>29</v>
      </c>
      <c r="I229" s="1">
        <f>IFERROR(__xludf.DUMMYFUNCTION("""COMPUTED_VALUE"""),85.0)</f>
        <v>85</v>
      </c>
      <c r="J229" s="1">
        <f>IFERROR(__xludf.DUMMYFUNCTION("""COMPUTED_VALUE"""),321.0)</f>
        <v>321</v>
      </c>
      <c r="K229" s="1">
        <f>IFERROR(__xludf.DUMMYFUNCTION("""COMPUTED_VALUE"""),64.2)</f>
        <v>64.2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>
        <f>IFERROR(__xludf.DUMMYFUNCTION("""COMPUTED_VALUE"""),20.0)</f>
        <v>20</v>
      </c>
      <c r="E230" s="1">
        <f>IFERROR(__xludf.DUMMYFUNCTION("""COMPUTED_VALUE"""),23.0)</f>
        <v>23</v>
      </c>
      <c r="F230" s="1">
        <f>IFERROR(__xludf.DUMMYFUNCTION("""COMPUTED_VALUE"""),88.0)</f>
        <v>88</v>
      </c>
      <c r="G230" s="1">
        <f>IFERROR(__xludf.DUMMYFUNCTION("""COMPUTED_VALUE"""),43.0)</f>
        <v>43</v>
      </c>
      <c r="H230" s="1">
        <f>IFERROR(__xludf.DUMMYFUNCTION("""COMPUTED_VALUE"""),84.0)</f>
        <v>84</v>
      </c>
      <c r="I230" s="1">
        <f>IFERROR(__xludf.DUMMYFUNCTION("""COMPUTED_VALUE"""),84.0)</f>
        <v>84</v>
      </c>
      <c r="J230" s="1">
        <f>IFERROR(__xludf.DUMMYFUNCTION("""COMPUTED_VALUE"""),322.0)</f>
        <v>322</v>
      </c>
      <c r="K230" s="1">
        <f>IFERROR(__xludf.DUMMYFUNCTION("""COMPUTED_VALUE"""),64.4)</f>
        <v>64.4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>
        <f>IFERROR(__xludf.DUMMYFUNCTION("""COMPUTED_VALUE"""),57.0)</f>
        <v>57</v>
      </c>
      <c r="E231" s="1">
        <f>IFERROR(__xludf.DUMMYFUNCTION("""COMPUTED_VALUE"""),82.0)</f>
        <v>82</v>
      </c>
      <c r="F231" s="1">
        <f>IFERROR(__xludf.DUMMYFUNCTION("""COMPUTED_VALUE"""),54.0)</f>
        <v>54</v>
      </c>
      <c r="G231" s="1">
        <f>IFERROR(__xludf.DUMMYFUNCTION("""COMPUTED_VALUE"""),40.0)</f>
        <v>40</v>
      </c>
      <c r="H231" s="1">
        <f>IFERROR(__xludf.DUMMYFUNCTION("""COMPUTED_VALUE"""),47.0)</f>
        <v>47</v>
      </c>
      <c r="I231" s="1">
        <f>IFERROR(__xludf.DUMMYFUNCTION("""COMPUTED_VALUE"""),30.0)</f>
        <v>30</v>
      </c>
      <c r="J231" s="1">
        <f>IFERROR(__xludf.DUMMYFUNCTION("""COMPUTED_VALUE"""),253.0)</f>
        <v>253</v>
      </c>
      <c r="K231" s="1">
        <f>IFERROR(__xludf.DUMMYFUNCTION("""COMPUTED_VALUE"""),50.6)</f>
        <v>50.6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>
        <f>IFERROR(__xludf.DUMMYFUNCTION("""COMPUTED_VALUE"""),45.0)</f>
        <v>45</v>
      </c>
      <c r="E232" s="1">
        <f>IFERROR(__xludf.DUMMYFUNCTION("""COMPUTED_VALUE"""),86.0)</f>
        <v>86</v>
      </c>
      <c r="F232" s="1">
        <f>IFERROR(__xludf.DUMMYFUNCTION("""COMPUTED_VALUE"""),69.0)</f>
        <v>69</v>
      </c>
      <c r="G232" s="1">
        <f>IFERROR(__xludf.DUMMYFUNCTION("""COMPUTED_VALUE"""),69.0)</f>
        <v>69</v>
      </c>
      <c r="H232" s="1">
        <f>IFERROR(__xludf.DUMMYFUNCTION("""COMPUTED_VALUE"""),31.0)</f>
        <v>31</v>
      </c>
      <c r="I232" s="1">
        <f>IFERROR(__xludf.DUMMYFUNCTION("""COMPUTED_VALUE"""),88.0)</f>
        <v>88</v>
      </c>
      <c r="J232" s="1">
        <f>IFERROR(__xludf.DUMMYFUNCTION("""COMPUTED_VALUE"""),343.0)</f>
        <v>343</v>
      </c>
      <c r="K232" s="1">
        <f>IFERROR(__xludf.DUMMYFUNCTION("""COMPUTED_VALUE"""),68.60000000000001)</f>
        <v>68.6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>
        <f>IFERROR(__xludf.DUMMYFUNCTION("""COMPUTED_VALUE"""),20.0)</f>
        <v>20</v>
      </c>
      <c r="E233" s="1">
        <f>IFERROR(__xludf.DUMMYFUNCTION("""COMPUTED_VALUE"""),83.0)</f>
        <v>83</v>
      </c>
      <c r="F233" s="1">
        <f>IFERROR(__xludf.DUMMYFUNCTION("""COMPUTED_VALUE"""),84.0)</f>
        <v>84</v>
      </c>
      <c r="G233" s="1">
        <f>IFERROR(__xludf.DUMMYFUNCTION("""COMPUTED_VALUE"""),59.0)</f>
        <v>59</v>
      </c>
      <c r="H233" s="1">
        <f>IFERROR(__xludf.DUMMYFUNCTION("""COMPUTED_VALUE"""),45.0)</f>
        <v>45</v>
      </c>
      <c r="I233" s="1">
        <f>IFERROR(__xludf.DUMMYFUNCTION("""COMPUTED_VALUE"""),20.0)</f>
        <v>20</v>
      </c>
      <c r="J233" s="1">
        <f>IFERROR(__xludf.DUMMYFUNCTION("""COMPUTED_VALUE"""),291.0)</f>
        <v>291</v>
      </c>
      <c r="K233" s="1">
        <f>IFERROR(__xludf.DUMMYFUNCTION("""COMPUTED_VALUE"""),58.199999999999996)</f>
        <v>58.2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>
        <f>IFERROR(__xludf.DUMMYFUNCTION("""COMPUTED_VALUE"""),37.0)</f>
        <v>37</v>
      </c>
      <c r="E234" s="1">
        <f>IFERROR(__xludf.DUMMYFUNCTION("""COMPUTED_VALUE"""),28.0)</f>
        <v>28</v>
      </c>
      <c r="F234" s="1">
        <f>IFERROR(__xludf.DUMMYFUNCTION("""COMPUTED_VALUE"""),89.0)</f>
        <v>89</v>
      </c>
      <c r="G234" s="1">
        <f>IFERROR(__xludf.DUMMYFUNCTION("""COMPUTED_VALUE"""),61.0)</f>
        <v>61</v>
      </c>
      <c r="H234" s="1">
        <f>IFERROR(__xludf.DUMMYFUNCTION("""COMPUTED_VALUE"""),66.0)</f>
        <v>66</v>
      </c>
      <c r="I234" s="1">
        <f>IFERROR(__xludf.DUMMYFUNCTION("""COMPUTED_VALUE"""),76.0)</f>
        <v>76</v>
      </c>
      <c r="J234" s="1">
        <f>IFERROR(__xludf.DUMMYFUNCTION("""COMPUTED_VALUE"""),320.0)</f>
        <v>320</v>
      </c>
      <c r="K234" s="1">
        <f>IFERROR(__xludf.DUMMYFUNCTION("""COMPUTED_VALUE"""),64.0)</f>
        <v>64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>
        <f>IFERROR(__xludf.DUMMYFUNCTION("""COMPUTED_VALUE"""),89.0)</f>
        <v>89</v>
      </c>
      <c r="E235" s="1">
        <f>IFERROR(__xludf.DUMMYFUNCTION("""COMPUTED_VALUE"""),67.0)</f>
        <v>67</v>
      </c>
      <c r="F235" s="1">
        <f>IFERROR(__xludf.DUMMYFUNCTION("""COMPUTED_VALUE"""),94.0)</f>
        <v>94</v>
      </c>
      <c r="G235" s="1">
        <f>IFERROR(__xludf.DUMMYFUNCTION("""COMPUTED_VALUE"""),37.0)</f>
        <v>37</v>
      </c>
      <c r="H235" s="1">
        <f>IFERROR(__xludf.DUMMYFUNCTION("""COMPUTED_VALUE"""),65.0)</f>
        <v>65</v>
      </c>
      <c r="I235" s="1">
        <f>IFERROR(__xludf.DUMMYFUNCTION("""COMPUTED_VALUE"""),41.0)</f>
        <v>41</v>
      </c>
      <c r="J235" s="1">
        <f>IFERROR(__xludf.DUMMYFUNCTION("""COMPUTED_VALUE"""),304.0)</f>
        <v>304</v>
      </c>
      <c r="K235" s="1">
        <f>IFERROR(__xludf.DUMMYFUNCTION("""COMPUTED_VALUE"""),60.8)</f>
        <v>60.8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>
        <f>IFERROR(__xludf.DUMMYFUNCTION("""COMPUTED_VALUE"""),28.0)</f>
        <v>28</v>
      </c>
      <c r="E236" s="1">
        <f>IFERROR(__xludf.DUMMYFUNCTION("""COMPUTED_VALUE"""),92.0)</f>
        <v>92</v>
      </c>
      <c r="F236" s="1">
        <f>IFERROR(__xludf.DUMMYFUNCTION("""COMPUTED_VALUE"""),24.0)</f>
        <v>24</v>
      </c>
      <c r="G236" s="1">
        <f>IFERROR(__xludf.DUMMYFUNCTION("""COMPUTED_VALUE"""),72.0)</f>
        <v>72</v>
      </c>
      <c r="H236" s="1">
        <f>IFERROR(__xludf.DUMMYFUNCTION("""COMPUTED_VALUE"""),69.0)</f>
        <v>69</v>
      </c>
      <c r="I236" s="1">
        <f>IFERROR(__xludf.DUMMYFUNCTION("""COMPUTED_VALUE"""),33.0)</f>
        <v>33</v>
      </c>
      <c r="J236" s="1">
        <f>IFERROR(__xludf.DUMMYFUNCTION("""COMPUTED_VALUE"""),290.0)</f>
        <v>290</v>
      </c>
      <c r="K236" s="1">
        <f>IFERROR(__xludf.DUMMYFUNCTION("""COMPUTED_VALUE"""),57.99999999999999)</f>
        <v>58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>
        <f>IFERROR(__xludf.DUMMYFUNCTION("""COMPUTED_VALUE"""),98.0)</f>
        <v>98</v>
      </c>
      <c r="E237" s="1">
        <f>IFERROR(__xludf.DUMMYFUNCTION("""COMPUTED_VALUE"""),41.0)</f>
        <v>41</v>
      </c>
      <c r="F237" s="1">
        <f>IFERROR(__xludf.DUMMYFUNCTION("""COMPUTED_VALUE"""),35.0)</f>
        <v>35</v>
      </c>
      <c r="G237" s="1">
        <f>IFERROR(__xludf.DUMMYFUNCTION("""COMPUTED_VALUE"""),73.0)</f>
        <v>73</v>
      </c>
      <c r="H237" s="1">
        <f>IFERROR(__xludf.DUMMYFUNCTION("""COMPUTED_VALUE"""),94.0)</f>
        <v>94</v>
      </c>
      <c r="I237" s="1">
        <f>IFERROR(__xludf.DUMMYFUNCTION("""COMPUTED_VALUE"""),69.0)</f>
        <v>69</v>
      </c>
      <c r="J237" s="1">
        <f>IFERROR(__xludf.DUMMYFUNCTION("""COMPUTED_VALUE"""),312.0)</f>
        <v>312</v>
      </c>
      <c r="K237" s="1">
        <f>IFERROR(__xludf.DUMMYFUNCTION("""COMPUTED_VALUE"""),62.4)</f>
        <v>62.4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>
        <f>IFERROR(__xludf.DUMMYFUNCTION("""COMPUTED_VALUE"""),11.0)</f>
        <v>11</v>
      </c>
      <c r="E238" s="1">
        <f>IFERROR(__xludf.DUMMYFUNCTION("""COMPUTED_VALUE"""),42.0)</f>
        <v>42</v>
      </c>
      <c r="F238" s="1">
        <f>IFERROR(__xludf.DUMMYFUNCTION("""COMPUTED_VALUE"""),45.0)</f>
        <v>45</v>
      </c>
      <c r="G238" s="1">
        <f>IFERROR(__xludf.DUMMYFUNCTION("""COMPUTED_VALUE"""),28.0)</f>
        <v>28</v>
      </c>
      <c r="H238" s="1">
        <f>IFERROR(__xludf.DUMMYFUNCTION("""COMPUTED_VALUE"""),71.0)</f>
        <v>71</v>
      </c>
      <c r="I238" s="1">
        <f>IFERROR(__xludf.DUMMYFUNCTION("""COMPUTED_VALUE"""),39.0)</f>
        <v>39</v>
      </c>
      <c r="J238" s="1">
        <f>IFERROR(__xludf.DUMMYFUNCTION("""COMPUTED_VALUE"""),225.0)</f>
        <v>225</v>
      </c>
      <c r="K238" s="1">
        <f>IFERROR(__xludf.DUMMYFUNCTION("""COMPUTED_VALUE"""),45.0)</f>
        <v>45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>
        <f>IFERROR(__xludf.DUMMYFUNCTION("""COMPUTED_VALUE"""),68.0)</f>
        <v>68</v>
      </c>
      <c r="E239" s="1">
        <f>IFERROR(__xludf.DUMMYFUNCTION("""COMPUTED_VALUE"""),33.0)</f>
        <v>33</v>
      </c>
      <c r="F239" s="1">
        <f>IFERROR(__xludf.DUMMYFUNCTION("""COMPUTED_VALUE"""),28.0)</f>
        <v>28</v>
      </c>
      <c r="G239" s="1">
        <f>IFERROR(__xludf.DUMMYFUNCTION("""COMPUTED_VALUE"""),87.0)</f>
        <v>87</v>
      </c>
      <c r="H239" s="1">
        <f>IFERROR(__xludf.DUMMYFUNCTION("""COMPUTED_VALUE"""),22.0)</f>
        <v>22</v>
      </c>
      <c r="I239" s="1">
        <f>IFERROR(__xludf.DUMMYFUNCTION("""COMPUTED_VALUE"""),40.0)</f>
        <v>40</v>
      </c>
      <c r="J239" s="1">
        <f>IFERROR(__xludf.DUMMYFUNCTION("""COMPUTED_VALUE"""),210.0)</f>
        <v>210</v>
      </c>
      <c r="K239" s="1">
        <f>IFERROR(__xludf.DUMMYFUNCTION("""COMPUTED_VALUE"""),42.0)</f>
        <v>42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>
        <f>IFERROR(__xludf.DUMMYFUNCTION("""COMPUTED_VALUE"""),15.0)</f>
        <v>15</v>
      </c>
      <c r="E240" s="1">
        <f>IFERROR(__xludf.DUMMYFUNCTION("""COMPUTED_VALUE"""),33.0)</f>
        <v>33</v>
      </c>
      <c r="F240" s="1">
        <f>IFERROR(__xludf.DUMMYFUNCTION("""COMPUTED_VALUE"""),41.0)</f>
        <v>41</v>
      </c>
      <c r="G240" s="1">
        <f>IFERROR(__xludf.DUMMYFUNCTION("""COMPUTED_VALUE"""),74.0)</f>
        <v>74</v>
      </c>
      <c r="H240" s="1">
        <f>IFERROR(__xludf.DUMMYFUNCTION("""COMPUTED_VALUE"""),33.0)</f>
        <v>33</v>
      </c>
      <c r="I240" s="1">
        <f>IFERROR(__xludf.DUMMYFUNCTION("""COMPUTED_VALUE"""),36.0)</f>
        <v>36</v>
      </c>
      <c r="J240" s="1">
        <f>IFERROR(__xludf.DUMMYFUNCTION("""COMPUTED_VALUE"""),217.0)</f>
        <v>217</v>
      </c>
      <c r="K240" s="1">
        <f>IFERROR(__xludf.DUMMYFUNCTION("""COMPUTED_VALUE"""),43.4)</f>
        <v>43.4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>
        <f>IFERROR(__xludf.DUMMYFUNCTION("""COMPUTED_VALUE"""),74.0)</f>
        <v>74</v>
      </c>
      <c r="E241" s="1">
        <f>IFERROR(__xludf.DUMMYFUNCTION("""COMPUTED_VALUE"""),67.0)</f>
        <v>67</v>
      </c>
      <c r="F241" s="1">
        <f>IFERROR(__xludf.DUMMYFUNCTION("""COMPUTED_VALUE"""),43.0)</f>
        <v>43</v>
      </c>
      <c r="G241" s="1">
        <f>IFERROR(__xludf.DUMMYFUNCTION("""COMPUTED_VALUE"""),36.0)</f>
        <v>36</v>
      </c>
      <c r="H241" s="1">
        <f>IFERROR(__xludf.DUMMYFUNCTION("""COMPUTED_VALUE"""),54.0)</f>
        <v>54</v>
      </c>
      <c r="I241" s="1">
        <f>IFERROR(__xludf.DUMMYFUNCTION("""COMPUTED_VALUE"""),46.0)</f>
        <v>46</v>
      </c>
      <c r="J241" s="1">
        <f>IFERROR(__xludf.DUMMYFUNCTION("""COMPUTED_VALUE"""),246.0)</f>
        <v>246</v>
      </c>
      <c r="K241" s="1">
        <f>IFERROR(__xludf.DUMMYFUNCTION("""COMPUTED_VALUE"""),49.2)</f>
        <v>49.2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>
        <f>IFERROR(__xludf.DUMMYFUNCTION("""COMPUTED_VALUE"""),84.0)</f>
        <v>84</v>
      </c>
      <c r="E242" s="1">
        <f>IFERROR(__xludf.DUMMYFUNCTION("""COMPUTED_VALUE"""),62.0)</f>
        <v>62</v>
      </c>
      <c r="F242" s="1">
        <f>IFERROR(__xludf.DUMMYFUNCTION("""COMPUTED_VALUE"""),43.0)</f>
        <v>43</v>
      </c>
      <c r="G242" s="1">
        <f>IFERROR(__xludf.DUMMYFUNCTION("""COMPUTED_VALUE"""),28.0)</f>
        <v>28</v>
      </c>
      <c r="H242" s="1">
        <f>IFERROR(__xludf.DUMMYFUNCTION("""COMPUTED_VALUE"""),80.0)</f>
        <v>80</v>
      </c>
      <c r="I242" s="1">
        <f>IFERROR(__xludf.DUMMYFUNCTION("""COMPUTED_VALUE"""),47.0)</f>
        <v>47</v>
      </c>
      <c r="J242" s="1">
        <f>IFERROR(__xludf.DUMMYFUNCTION("""COMPUTED_VALUE"""),260.0)</f>
        <v>260</v>
      </c>
      <c r="K242" s="1">
        <f>IFERROR(__xludf.DUMMYFUNCTION("""COMPUTED_VALUE"""),52.0)</f>
        <v>52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>
        <f>IFERROR(__xludf.DUMMYFUNCTION("""COMPUTED_VALUE"""),73.0)</f>
        <v>73</v>
      </c>
      <c r="E243" s="1">
        <f>IFERROR(__xludf.DUMMYFUNCTION("""COMPUTED_VALUE"""),77.0)</f>
        <v>77</v>
      </c>
      <c r="F243" s="1">
        <f>IFERROR(__xludf.DUMMYFUNCTION("""COMPUTED_VALUE"""),64.0)</f>
        <v>64</v>
      </c>
      <c r="G243" s="1">
        <f>IFERROR(__xludf.DUMMYFUNCTION("""COMPUTED_VALUE"""),76.0)</f>
        <v>76</v>
      </c>
      <c r="H243" s="1">
        <f>IFERROR(__xludf.DUMMYFUNCTION("""COMPUTED_VALUE"""),56.0)</f>
        <v>56</v>
      </c>
      <c r="I243" s="1">
        <f>IFERROR(__xludf.DUMMYFUNCTION("""COMPUTED_VALUE"""),67.0)</f>
        <v>67</v>
      </c>
      <c r="J243" s="1">
        <f>IFERROR(__xludf.DUMMYFUNCTION("""COMPUTED_VALUE"""),340.0)</f>
        <v>340</v>
      </c>
      <c r="K243" s="1">
        <f>IFERROR(__xludf.DUMMYFUNCTION("""COMPUTED_VALUE"""),68.0)</f>
        <v>68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>
        <f>IFERROR(__xludf.DUMMYFUNCTION("""COMPUTED_VALUE"""),81.0)</f>
        <v>81</v>
      </c>
      <c r="E244" s="1">
        <f>IFERROR(__xludf.DUMMYFUNCTION("""COMPUTED_VALUE"""),50.0)</f>
        <v>50</v>
      </c>
      <c r="F244" s="1">
        <f>IFERROR(__xludf.DUMMYFUNCTION("""COMPUTED_VALUE"""),73.0)</f>
        <v>73</v>
      </c>
      <c r="G244" s="1">
        <f>IFERROR(__xludf.DUMMYFUNCTION("""COMPUTED_VALUE"""),48.0)</f>
        <v>48</v>
      </c>
      <c r="H244" s="1">
        <f>IFERROR(__xludf.DUMMYFUNCTION("""COMPUTED_VALUE"""),25.0)</f>
        <v>25</v>
      </c>
      <c r="I244" s="1">
        <f>IFERROR(__xludf.DUMMYFUNCTION("""COMPUTED_VALUE"""),42.0)</f>
        <v>42</v>
      </c>
      <c r="J244" s="1">
        <f>IFERROR(__xludf.DUMMYFUNCTION("""COMPUTED_VALUE"""),238.0)</f>
        <v>238</v>
      </c>
      <c r="K244" s="1">
        <f>IFERROR(__xludf.DUMMYFUNCTION("""COMPUTED_VALUE"""),47.599999999999994)</f>
        <v>47.6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>
        <f>IFERROR(__xludf.DUMMYFUNCTION("""COMPUTED_VALUE"""),87.0)</f>
        <v>87</v>
      </c>
      <c r="E245" s="1">
        <f>IFERROR(__xludf.DUMMYFUNCTION("""COMPUTED_VALUE"""),20.0)</f>
        <v>20</v>
      </c>
      <c r="F245" s="1">
        <f>IFERROR(__xludf.DUMMYFUNCTION("""COMPUTED_VALUE"""),99.0)</f>
        <v>99</v>
      </c>
      <c r="G245" s="1">
        <f>IFERROR(__xludf.DUMMYFUNCTION("""COMPUTED_VALUE"""),57.0)</f>
        <v>57</v>
      </c>
      <c r="H245" s="1">
        <f>IFERROR(__xludf.DUMMYFUNCTION("""COMPUTED_VALUE"""),58.0)</f>
        <v>58</v>
      </c>
      <c r="I245" s="1">
        <f>IFERROR(__xludf.DUMMYFUNCTION("""COMPUTED_VALUE"""),91.0)</f>
        <v>91</v>
      </c>
      <c r="J245" s="1">
        <f>IFERROR(__xludf.DUMMYFUNCTION("""COMPUTED_VALUE"""),325.0)</f>
        <v>325</v>
      </c>
      <c r="K245" s="1">
        <f>IFERROR(__xludf.DUMMYFUNCTION("""COMPUTED_VALUE"""),65.0)</f>
        <v>65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>
        <f>IFERROR(__xludf.DUMMYFUNCTION("""COMPUTED_VALUE"""),70.0)</f>
        <v>70</v>
      </c>
      <c r="E246" s="1">
        <f>IFERROR(__xludf.DUMMYFUNCTION("""COMPUTED_VALUE"""),81.0)</f>
        <v>81</v>
      </c>
      <c r="F246" s="1">
        <f>IFERROR(__xludf.DUMMYFUNCTION("""COMPUTED_VALUE"""),65.0)</f>
        <v>65</v>
      </c>
      <c r="G246" s="1">
        <f>IFERROR(__xludf.DUMMYFUNCTION("""COMPUTED_VALUE"""),56.0)</f>
        <v>56</v>
      </c>
      <c r="H246" s="1">
        <f>IFERROR(__xludf.DUMMYFUNCTION("""COMPUTED_VALUE"""),25.0)</f>
        <v>25</v>
      </c>
      <c r="I246" s="1">
        <f>IFERROR(__xludf.DUMMYFUNCTION("""COMPUTED_VALUE"""),76.0)</f>
        <v>76</v>
      </c>
      <c r="J246" s="1">
        <f>IFERROR(__xludf.DUMMYFUNCTION("""COMPUTED_VALUE"""),303.0)</f>
        <v>303</v>
      </c>
      <c r="K246" s="1">
        <f>IFERROR(__xludf.DUMMYFUNCTION("""COMPUTED_VALUE"""),60.6)</f>
        <v>60.6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>
        <f>IFERROR(__xludf.DUMMYFUNCTION("""COMPUTED_VALUE"""),42.0)</f>
        <v>42</v>
      </c>
      <c r="E247" s="1">
        <f>IFERROR(__xludf.DUMMYFUNCTION("""COMPUTED_VALUE"""),59.0)</f>
        <v>59</v>
      </c>
      <c r="F247" s="1">
        <f>IFERROR(__xludf.DUMMYFUNCTION("""COMPUTED_VALUE"""),25.0)</f>
        <v>25</v>
      </c>
      <c r="G247" s="1">
        <f>IFERROR(__xludf.DUMMYFUNCTION("""COMPUTED_VALUE"""),37.0)</f>
        <v>37</v>
      </c>
      <c r="H247" s="1">
        <f>IFERROR(__xludf.DUMMYFUNCTION("""COMPUTED_VALUE"""),49.0)</f>
        <v>49</v>
      </c>
      <c r="I247" s="1">
        <f>IFERROR(__xludf.DUMMYFUNCTION("""COMPUTED_VALUE"""),75.0)</f>
        <v>75</v>
      </c>
      <c r="J247" s="1">
        <f>IFERROR(__xludf.DUMMYFUNCTION("""COMPUTED_VALUE"""),245.0)</f>
        <v>245</v>
      </c>
      <c r="K247" s="1">
        <f>IFERROR(__xludf.DUMMYFUNCTION("""COMPUTED_VALUE"""),49.0)</f>
        <v>49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>
        <f>IFERROR(__xludf.DUMMYFUNCTION("""COMPUTED_VALUE"""),43.0)</f>
        <v>43</v>
      </c>
      <c r="E248" s="1">
        <f>IFERROR(__xludf.DUMMYFUNCTION("""COMPUTED_VALUE"""),48.0)</f>
        <v>48</v>
      </c>
      <c r="F248" s="1">
        <f>IFERROR(__xludf.DUMMYFUNCTION("""COMPUTED_VALUE"""),95.0)</f>
        <v>95</v>
      </c>
      <c r="G248" s="1">
        <f>IFERROR(__xludf.DUMMYFUNCTION("""COMPUTED_VALUE"""),85.0)</f>
        <v>85</v>
      </c>
      <c r="H248" s="1">
        <f>IFERROR(__xludf.DUMMYFUNCTION("""COMPUTED_VALUE"""),51.0)</f>
        <v>51</v>
      </c>
      <c r="I248" s="1">
        <f>IFERROR(__xludf.DUMMYFUNCTION("""COMPUTED_VALUE"""),51.0)</f>
        <v>51</v>
      </c>
      <c r="J248" s="1">
        <f>IFERROR(__xludf.DUMMYFUNCTION("""COMPUTED_VALUE"""),330.0)</f>
        <v>330</v>
      </c>
      <c r="K248" s="1">
        <f>IFERROR(__xludf.DUMMYFUNCTION("""COMPUTED_VALUE"""),66.0)</f>
        <v>66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>
        <f>IFERROR(__xludf.DUMMYFUNCTION("""COMPUTED_VALUE"""),85.0)</f>
        <v>85</v>
      </c>
      <c r="E249" s="1">
        <f>IFERROR(__xludf.DUMMYFUNCTION("""COMPUTED_VALUE"""),30.0)</f>
        <v>30</v>
      </c>
      <c r="F249" s="1">
        <f>IFERROR(__xludf.DUMMYFUNCTION("""COMPUTED_VALUE"""),30.0)</f>
        <v>30</v>
      </c>
      <c r="G249" s="1">
        <f>IFERROR(__xludf.DUMMYFUNCTION("""COMPUTED_VALUE"""),63.0)</f>
        <v>63</v>
      </c>
      <c r="H249" s="1">
        <f>IFERROR(__xludf.DUMMYFUNCTION("""COMPUTED_VALUE"""),30.0)</f>
        <v>30</v>
      </c>
      <c r="I249" s="1">
        <f>IFERROR(__xludf.DUMMYFUNCTION("""COMPUTED_VALUE"""),45.0)</f>
        <v>45</v>
      </c>
      <c r="J249" s="1">
        <f>IFERROR(__xludf.DUMMYFUNCTION("""COMPUTED_VALUE"""),198.0)</f>
        <v>198</v>
      </c>
      <c r="K249" s="1">
        <f>IFERROR(__xludf.DUMMYFUNCTION("""COMPUTED_VALUE"""),39.6)</f>
        <v>39.6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>
        <f>IFERROR(__xludf.DUMMYFUNCTION("""COMPUTED_VALUE"""),69.0)</f>
        <v>69</v>
      </c>
      <c r="E250" s="1">
        <f>IFERROR(__xludf.DUMMYFUNCTION("""COMPUTED_VALUE"""),37.0)</f>
        <v>37</v>
      </c>
      <c r="F250" s="1">
        <f>IFERROR(__xludf.DUMMYFUNCTION("""COMPUTED_VALUE"""),94.0)</f>
        <v>94</v>
      </c>
      <c r="G250" s="1">
        <f>IFERROR(__xludf.DUMMYFUNCTION("""COMPUTED_VALUE"""),82.0)</f>
        <v>82</v>
      </c>
      <c r="H250" s="1">
        <f>IFERROR(__xludf.DUMMYFUNCTION("""COMPUTED_VALUE"""),29.0)</f>
        <v>29</v>
      </c>
      <c r="I250" s="1">
        <f>IFERROR(__xludf.DUMMYFUNCTION("""COMPUTED_VALUE"""),28.0)</f>
        <v>28</v>
      </c>
      <c r="J250" s="1">
        <f>IFERROR(__xludf.DUMMYFUNCTION("""COMPUTED_VALUE"""),270.0)</f>
        <v>270</v>
      </c>
      <c r="K250" s="1">
        <f>IFERROR(__xludf.DUMMYFUNCTION("""COMPUTED_VALUE"""),54.0)</f>
        <v>54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>
        <f>IFERROR(__xludf.DUMMYFUNCTION("""COMPUTED_VALUE"""),27.0)</f>
        <v>27</v>
      </c>
      <c r="E251" s="1">
        <f>IFERROR(__xludf.DUMMYFUNCTION("""COMPUTED_VALUE"""),67.0)</f>
        <v>67</v>
      </c>
      <c r="F251" s="1">
        <f>IFERROR(__xludf.DUMMYFUNCTION("""COMPUTED_VALUE"""),55.0)</f>
        <v>55</v>
      </c>
      <c r="G251" s="1">
        <f>IFERROR(__xludf.DUMMYFUNCTION("""COMPUTED_VALUE"""),94.0)</f>
        <v>94</v>
      </c>
      <c r="H251" s="1">
        <f>IFERROR(__xludf.DUMMYFUNCTION("""COMPUTED_VALUE"""),82.0)</f>
        <v>82</v>
      </c>
      <c r="I251" s="1">
        <f>IFERROR(__xludf.DUMMYFUNCTION("""COMPUTED_VALUE"""),20.0)</f>
        <v>20</v>
      </c>
      <c r="J251" s="1">
        <f>IFERROR(__xludf.DUMMYFUNCTION("""COMPUTED_VALUE"""),318.0)</f>
        <v>318</v>
      </c>
      <c r="K251" s="1">
        <f>IFERROR(__xludf.DUMMYFUNCTION("""COMPUTED_VALUE"""),63.6)</f>
        <v>63.6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>
        <f>IFERROR(__xludf.DUMMYFUNCTION("""COMPUTED_VALUE"""),56.0)</f>
        <v>56</v>
      </c>
      <c r="E252" s="1">
        <f>IFERROR(__xludf.DUMMYFUNCTION("""COMPUTED_VALUE"""),35.0)</f>
        <v>35</v>
      </c>
      <c r="F252" s="1">
        <f>IFERROR(__xludf.DUMMYFUNCTION("""COMPUTED_VALUE"""),63.0)</f>
        <v>63</v>
      </c>
      <c r="G252" s="1">
        <f>IFERROR(__xludf.DUMMYFUNCTION("""COMPUTED_VALUE"""),76.0)</f>
        <v>76</v>
      </c>
      <c r="H252" s="1">
        <f>IFERROR(__xludf.DUMMYFUNCTION("""COMPUTED_VALUE"""),80.0)</f>
        <v>80</v>
      </c>
      <c r="I252" s="1">
        <f>IFERROR(__xludf.DUMMYFUNCTION("""COMPUTED_VALUE"""),45.0)</f>
        <v>45</v>
      </c>
      <c r="J252" s="1">
        <f>IFERROR(__xludf.DUMMYFUNCTION("""COMPUTED_VALUE"""),299.0)</f>
        <v>299</v>
      </c>
      <c r="K252" s="1">
        <f>IFERROR(__xludf.DUMMYFUNCTION("""COMPUTED_VALUE"""),59.8)</f>
        <v>59.8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>
        <f>IFERROR(__xludf.DUMMYFUNCTION("""COMPUTED_VALUE"""),25.0)</f>
        <v>25</v>
      </c>
      <c r="E253" s="1">
        <f>IFERROR(__xludf.DUMMYFUNCTION("""COMPUTED_VALUE"""),47.0)</f>
        <v>47</v>
      </c>
      <c r="F253" s="1">
        <f>IFERROR(__xludf.DUMMYFUNCTION("""COMPUTED_VALUE"""),53.0)</f>
        <v>53</v>
      </c>
      <c r="G253" s="1">
        <f>IFERROR(__xludf.DUMMYFUNCTION("""COMPUTED_VALUE"""),74.0)</f>
        <v>74</v>
      </c>
      <c r="H253" s="1">
        <f>IFERROR(__xludf.DUMMYFUNCTION("""COMPUTED_VALUE"""),57.0)</f>
        <v>57</v>
      </c>
      <c r="I253" s="1">
        <f>IFERROR(__xludf.DUMMYFUNCTION("""COMPUTED_VALUE"""),83.0)</f>
        <v>83</v>
      </c>
      <c r="J253" s="1">
        <f>IFERROR(__xludf.DUMMYFUNCTION("""COMPUTED_VALUE"""),314.0)</f>
        <v>314</v>
      </c>
      <c r="K253" s="1">
        <f>IFERROR(__xludf.DUMMYFUNCTION("""COMPUTED_VALUE"""),62.8)</f>
        <v>62.8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>
        <f>IFERROR(__xludf.DUMMYFUNCTION("""COMPUTED_VALUE"""),42.0)</f>
        <v>42</v>
      </c>
      <c r="E254" s="1">
        <f>IFERROR(__xludf.DUMMYFUNCTION("""COMPUTED_VALUE"""),43.0)</f>
        <v>43</v>
      </c>
      <c r="F254" s="1">
        <f>IFERROR(__xludf.DUMMYFUNCTION("""COMPUTED_VALUE"""),49.0)</f>
        <v>49</v>
      </c>
      <c r="G254" s="1">
        <f>IFERROR(__xludf.DUMMYFUNCTION("""COMPUTED_VALUE"""),49.0)</f>
        <v>49</v>
      </c>
      <c r="H254" s="1">
        <f>IFERROR(__xludf.DUMMYFUNCTION("""COMPUTED_VALUE"""),88.0)</f>
        <v>88</v>
      </c>
      <c r="I254" s="1">
        <f>IFERROR(__xludf.DUMMYFUNCTION("""COMPUTED_VALUE"""),96.0)</f>
        <v>96</v>
      </c>
      <c r="J254" s="1">
        <f>IFERROR(__xludf.DUMMYFUNCTION("""COMPUTED_VALUE"""),325.0)</f>
        <v>325</v>
      </c>
      <c r="K254" s="1">
        <f>IFERROR(__xludf.DUMMYFUNCTION("""COMPUTED_VALUE"""),65.0)</f>
        <v>65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>
        <f>IFERROR(__xludf.DUMMYFUNCTION("""COMPUTED_VALUE"""),97.0)</f>
        <v>97</v>
      </c>
      <c r="E255" s="1">
        <f>IFERROR(__xludf.DUMMYFUNCTION("""COMPUTED_VALUE"""),20.0)</f>
        <v>20</v>
      </c>
      <c r="F255" s="1">
        <f>IFERROR(__xludf.DUMMYFUNCTION("""COMPUTED_VALUE"""),64.0)</f>
        <v>64</v>
      </c>
      <c r="G255" s="1">
        <f>IFERROR(__xludf.DUMMYFUNCTION("""COMPUTED_VALUE"""),52.0)</f>
        <v>52</v>
      </c>
      <c r="H255" s="1">
        <f>IFERROR(__xludf.DUMMYFUNCTION("""COMPUTED_VALUE"""),58.0)</f>
        <v>58</v>
      </c>
      <c r="I255" s="1">
        <f>IFERROR(__xludf.DUMMYFUNCTION("""COMPUTED_VALUE"""),20.0)</f>
        <v>20</v>
      </c>
      <c r="J255" s="1">
        <f>IFERROR(__xludf.DUMMYFUNCTION("""COMPUTED_VALUE"""),214.0)</f>
        <v>214</v>
      </c>
      <c r="K255" s="1">
        <f>IFERROR(__xludf.DUMMYFUNCTION("""COMPUTED_VALUE"""),42.8)</f>
        <v>42.8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>
        <f>IFERROR(__xludf.DUMMYFUNCTION("""COMPUTED_VALUE"""),82.0)</f>
        <v>82</v>
      </c>
      <c r="E256" s="1">
        <f>IFERROR(__xludf.DUMMYFUNCTION("""COMPUTED_VALUE"""),86.0)</f>
        <v>86</v>
      </c>
      <c r="F256" s="1">
        <f>IFERROR(__xludf.DUMMYFUNCTION("""COMPUTED_VALUE"""),97.0)</f>
        <v>97</v>
      </c>
      <c r="G256" s="1">
        <f>IFERROR(__xludf.DUMMYFUNCTION("""COMPUTED_VALUE"""),74.0)</f>
        <v>74</v>
      </c>
      <c r="H256" s="1">
        <f>IFERROR(__xludf.DUMMYFUNCTION("""COMPUTED_VALUE"""),41.0)</f>
        <v>41</v>
      </c>
      <c r="I256" s="1">
        <f>IFERROR(__xludf.DUMMYFUNCTION("""COMPUTED_VALUE"""),83.0)</f>
        <v>83</v>
      </c>
      <c r="J256" s="1">
        <f>IFERROR(__xludf.DUMMYFUNCTION("""COMPUTED_VALUE"""),381.0)</f>
        <v>381</v>
      </c>
      <c r="K256" s="1">
        <f>IFERROR(__xludf.DUMMYFUNCTION("""COMPUTED_VALUE"""),76.2)</f>
        <v>76.2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>
        <f>IFERROR(__xludf.DUMMYFUNCTION("""COMPUTED_VALUE"""),75.0)</f>
        <v>75</v>
      </c>
      <c r="E257" s="1">
        <f>IFERROR(__xludf.DUMMYFUNCTION("""COMPUTED_VALUE"""),69.0)</f>
        <v>69</v>
      </c>
      <c r="F257" s="1">
        <f>IFERROR(__xludf.DUMMYFUNCTION("""COMPUTED_VALUE"""),66.0)</f>
        <v>66</v>
      </c>
      <c r="G257" s="1">
        <f>IFERROR(__xludf.DUMMYFUNCTION("""COMPUTED_VALUE"""),87.0)</f>
        <v>87</v>
      </c>
      <c r="H257" s="1">
        <f>IFERROR(__xludf.DUMMYFUNCTION("""COMPUTED_VALUE"""),82.0)</f>
        <v>82</v>
      </c>
      <c r="I257" s="1">
        <f>IFERROR(__xludf.DUMMYFUNCTION("""COMPUTED_VALUE"""),28.0)</f>
        <v>28</v>
      </c>
      <c r="J257" s="1">
        <f>IFERROR(__xludf.DUMMYFUNCTION("""COMPUTED_VALUE"""),332.0)</f>
        <v>332</v>
      </c>
      <c r="K257" s="1">
        <f>IFERROR(__xludf.DUMMYFUNCTION("""COMPUTED_VALUE"""),66.4)</f>
        <v>66.4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>
        <f>IFERROR(__xludf.DUMMYFUNCTION("""COMPUTED_VALUE"""),50.0)</f>
        <v>50</v>
      </c>
      <c r="E258" s="1">
        <f>IFERROR(__xludf.DUMMYFUNCTION("""COMPUTED_VALUE"""),78.0)</f>
        <v>78</v>
      </c>
      <c r="F258" s="1">
        <f>IFERROR(__xludf.DUMMYFUNCTION("""COMPUTED_VALUE"""),73.0)</f>
        <v>73</v>
      </c>
      <c r="G258" s="1">
        <f>IFERROR(__xludf.DUMMYFUNCTION("""COMPUTED_VALUE"""),20.0)</f>
        <v>20</v>
      </c>
      <c r="H258" s="1">
        <f>IFERROR(__xludf.DUMMYFUNCTION("""COMPUTED_VALUE"""),74.0)</f>
        <v>74</v>
      </c>
      <c r="I258" s="1">
        <f>IFERROR(__xludf.DUMMYFUNCTION("""COMPUTED_VALUE"""),42.0)</f>
        <v>42</v>
      </c>
      <c r="J258" s="1">
        <f>IFERROR(__xludf.DUMMYFUNCTION("""COMPUTED_VALUE"""),287.0)</f>
        <v>287</v>
      </c>
      <c r="K258" s="1">
        <f>IFERROR(__xludf.DUMMYFUNCTION("""COMPUTED_VALUE"""),57.4)</f>
        <v>57.4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>
        <f>IFERROR(__xludf.DUMMYFUNCTION("""COMPUTED_VALUE"""),90.0)</f>
        <v>90</v>
      </c>
      <c r="E259" s="1">
        <f>IFERROR(__xludf.DUMMYFUNCTION("""COMPUTED_VALUE"""),72.0)</f>
        <v>72</v>
      </c>
      <c r="F259" s="1">
        <f>IFERROR(__xludf.DUMMYFUNCTION("""COMPUTED_VALUE"""),92.0)</f>
        <v>92</v>
      </c>
      <c r="G259" s="1">
        <f>IFERROR(__xludf.DUMMYFUNCTION("""COMPUTED_VALUE"""),97.0)</f>
        <v>97</v>
      </c>
      <c r="H259" s="1">
        <f>IFERROR(__xludf.DUMMYFUNCTION("""COMPUTED_VALUE"""),28.0)</f>
        <v>28</v>
      </c>
      <c r="I259" s="1">
        <f>IFERROR(__xludf.DUMMYFUNCTION("""COMPUTED_VALUE"""),59.0)</f>
        <v>59</v>
      </c>
      <c r="J259" s="1">
        <f>IFERROR(__xludf.DUMMYFUNCTION("""COMPUTED_VALUE"""),348.0)</f>
        <v>348</v>
      </c>
      <c r="K259" s="1">
        <f>IFERROR(__xludf.DUMMYFUNCTION("""COMPUTED_VALUE"""),69.6)</f>
        <v>69.6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>
        <f>IFERROR(__xludf.DUMMYFUNCTION("""COMPUTED_VALUE"""),71.0)</f>
        <v>71</v>
      </c>
      <c r="E260" s="1">
        <f>IFERROR(__xludf.DUMMYFUNCTION("""COMPUTED_VALUE"""),49.0)</f>
        <v>49</v>
      </c>
      <c r="F260" s="1">
        <f>IFERROR(__xludf.DUMMYFUNCTION("""COMPUTED_VALUE"""),28.0)</f>
        <v>28</v>
      </c>
      <c r="G260" s="1">
        <f>IFERROR(__xludf.DUMMYFUNCTION("""COMPUTED_VALUE"""),97.0)</f>
        <v>97</v>
      </c>
      <c r="H260" s="1">
        <f>IFERROR(__xludf.DUMMYFUNCTION("""COMPUTED_VALUE"""),38.0)</f>
        <v>38</v>
      </c>
      <c r="I260" s="1">
        <f>IFERROR(__xludf.DUMMYFUNCTION("""COMPUTED_VALUE"""),46.0)</f>
        <v>46</v>
      </c>
      <c r="J260" s="1">
        <f>IFERROR(__xludf.DUMMYFUNCTION("""COMPUTED_VALUE"""),258.0)</f>
        <v>258</v>
      </c>
      <c r="K260" s="1">
        <f>IFERROR(__xludf.DUMMYFUNCTION("""COMPUTED_VALUE"""),51.6)</f>
        <v>51.6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>
        <f>IFERROR(__xludf.DUMMYFUNCTION("""COMPUTED_VALUE"""),53.0)</f>
        <v>53</v>
      </c>
      <c r="E261" s="1">
        <f>IFERROR(__xludf.DUMMYFUNCTION("""COMPUTED_VALUE"""),61.0)</f>
        <v>61</v>
      </c>
      <c r="F261" s="1">
        <f>IFERROR(__xludf.DUMMYFUNCTION("""COMPUTED_VALUE"""),56.0)</f>
        <v>56</v>
      </c>
      <c r="G261" s="1">
        <f>IFERROR(__xludf.DUMMYFUNCTION("""COMPUTED_VALUE"""),59.0)</f>
        <v>59</v>
      </c>
      <c r="H261" s="1">
        <f>IFERROR(__xludf.DUMMYFUNCTION("""COMPUTED_VALUE"""),55.0)</f>
        <v>55</v>
      </c>
      <c r="I261" s="1">
        <f>IFERROR(__xludf.DUMMYFUNCTION("""COMPUTED_VALUE"""),72.0)</f>
        <v>72</v>
      </c>
      <c r="J261" s="1">
        <f>IFERROR(__xludf.DUMMYFUNCTION("""COMPUTED_VALUE"""),303.0)</f>
        <v>303</v>
      </c>
      <c r="K261" s="1">
        <f>IFERROR(__xludf.DUMMYFUNCTION("""COMPUTED_VALUE"""),60.6)</f>
        <v>60.6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>
        <f>IFERROR(__xludf.DUMMYFUNCTION("""COMPUTED_VALUE"""),46.0)</f>
        <v>46</v>
      </c>
      <c r="E262" s="1">
        <f>IFERROR(__xludf.DUMMYFUNCTION("""COMPUTED_VALUE"""),24.0)</f>
        <v>24</v>
      </c>
      <c r="F262" s="1">
        <f>IFERROR(__xludf.DUMMYFUNCTION("""COMPUTED_VALUE"""),87.0)</f>
        <v>87</v>
      </c>
      <c r="G262" s="1">
        <f>IFERROR(__xludf.DUMMYFUNCTION("""COMPUTED_VALUE"""),23.0)</f>
        <v>23</v>
      </c>
      <c r="H262" s="1">
        <f>IFERROR(__xludf.DUMMYFUNCTION("""COMPUTED_VALUE"""),77.0)</f>
        <v>77</v>
      </c>
      <c r="I262" s="1">
        <f>IFERROR(__xludf.DUMMYFUNCTION("""COMPUTED_VALUE"""),46.0)</f>
        <v>46</v>
      </c>
      <c r="J262" s="1">
        <f>IFERROR(__xludf.DUMMYFUNCTION("""COMPUTED_VALUE"""),257.0)</f>
        <v>257</v>
      </c>
      <c r="K262" s="1">
        <f>IFERROR(__xludf.DUMMYFUNCTION("""COMPUTED_VALUE"""),51.4)</f>
        <v>51.4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>
        <f>IFERROR(__xludf.DUMMYFUNCTION("""COMPUTED_VALUE"""),15.0)</f>
        <v>15</v>
      </c>
      <c r="E263" s="1">
        <f>IFERROR(__xludf.DUMMYFUNCTION("""COMPUTED_VALUE"""),36.0)</f>
        <v>36</v>
      </c>
      <c r="F263" s="1">
        <f>IFERROR(__xludf.DUMMYFUNCTION("""COMPUTED_VALUE"""),48.0)</f>
        <v>48</v>
      </c>
      <c r="G263" s="1">
        <f>IFERROR(__xludf.DUMMYFUNCTION("""COMPUTED_VALUE"""),30.0)</f>
        <v>30</v>
      </c>
      <c r="H263" s="1">
        <f>IFERROR(__xludf.DUMMYFUNCTION("""COMPUTED_VALUE"""),50.0)</f>
        <v>50</v>
      </c>
      <c r="I263" s="1">
        <f>IFERROR(__xludf.DUMMYFUNCTION("""COMPUTED_VALUE"""),82.0)</f>
        <v>82</v>
      </c>
      <c r="J263" s="1">
        <f>IFERROR(__xludf.DUMMYFUNCTION("""COMPUTED_VALUE"""),246.0)</f>
        <v>246</v>
      </c>
      <c r="K263" s="1">
        <f>IFERROR(__xludf.DUMMYFUNCTION("""COMPUTED_VALUE"""),49.2)</f>
        <v>49.2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>
        <f>IFERROR(__xludf.DUMMYFUNCTION("""COMPUTED_VALUE"""),100.0)</f>
        <v>100</v>
      </c>
      <c r="E264" s="1">
        <f>IFERROR(__xludf.DUMMYFUNCTION("""COMPUTED_VALUE"""),41.0)</f>
        <v>41</v>
      </c>
      <c r="F264" s="1">
        <f>IFERROR(__xludf.DUMMYFUNCTION("""COMPUTED_VALUE"""),81.0)</f>
        <v>81</v>
      </c>
      <c r="G264" s="1">
        <f>IFERROR(__xludf.DUMMYFUNCTION("""COMPUTED_VALUE"""),95.0)</f>
        <v>95</v>
      </c>
      <c r="H264" s="1">
        <f>IFERROR(__xludf.DUMMYFUNCTION("""COMPUTED_VALUE"""),31.0)</f>
        <v>31</v>
      </c>
      <c r="I264" s="1">
        <f>IFERROR(__xludf.DUMMYFUNCTION("""COMPUTED_VALUE"""),62.0)</f>
        <v>62</v>
      </c>
      <c r="J264" s="1">
        <f>IFERROR(__xludf.DUMMYFUNCTION("""COMPUTED_VALUE"""),310.0)</f>
        <v>310</v>
      </c>
      <c r="K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>
        <f>IFERROR(__xludf.DUMMYFUNCTION("""COMPUTED_VALUE"""),33.0)</f>
        <v>33</v>
      </c>
      <c r="E265" s="1">
        <f>IFERROR(__xludf.DUMMYFUNCTION("""COMPUTED_VALUE"""),62.0)</f>
        <v>62</v>
      </c>
      <c r="F265" s="1">
        <f>IFERROR(__xludf.DUMMYFUNCTION("""COMPUTED_VALUE"""),51.0)</f>
        <v>51</v>
      </c>
      <c r="G265" s="1">
        <f>IFERROR(__xludf.DUMMYFUNCTION("""COMPUTED_VALUE"""),75.0)</f>
        <v>75</v>
      </c>
      <c r="H265" s="1">
        <f>IFERROR(__xludf.DUMMYFUNCTION("""COMPUTED_VALUE"""),28.0)</f>
        <v>28</v>
      </c>
      <c r="I265" s="1">
        <f>IFERROR(__xludf.DUMMYFUNCTION("""COMPUTED_VALUE"""),92.0)</f>
        <v>92</v>
      </c>
      <c r="J265" s="1">
        <f>IFERROR(__xludf.DUMMYFUNCTION("""COMPUTED_VALUE"""),308.0)</f>
        <v>308</v>
      </c>
      <c r="K265" s="1">
        <f>IFERROR(__xludf.DUMMYFUNCTION("""COMPUTED_VALUE"""),61.6)</f>
        <v>61.6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>
        <f>IFERROR(__xludf.DUMMYFUNCTION("""COMPUTED_VALUE"""),21.0)</f>
        <v>21</v>
      </c>
      <c r="E266" s="1">
        <f>IFERROR(__xludf.DUMMYFUNCTION("""COMPUTED_VALUE"""),81.0)</f>
        <v>81</v>
      </c>
      <c r="F266" s="1">
        <f>IFERROR(__xludf.DUMMYFUNCTION("""COMPUTED_VALUE"""),20.0)</f>
        <v>20</v>
      </c>
      <c r="G266" s="1">
        <f>IFERROR(__xludf.DUMMYFUNCTION("""COMPUTED_VALUE"""),48.0)</f>
        <v>48</v>
      </c>
      <c r="H266" s="1">
        <f>IFERROR(__xludf.DUMMYFUNCTION("""COMPUTED_VALUE"""),65.0)</f>
        <v>65</v>
      </c>
      <c r="I266" s="1">
        <f>IFERROR(__xludf.DUMMYFUNCTION("""COMPUTED_VALUE"""),67.0)</f>
        <v>67</v>
      </c>
      <c r="J266" s="1">
        <f>IFERROR(__xludf.DUMMYFUNCTION("""COMPUTED_VALUE"""),281.0)</f>
        <v>281</v>
      </c>
      <c r="K266" s="1">
        <f>IFERROR(__xludf.DUMMYFUNCTION("""COMPUTED_VALUE"""),56.2)</f>
        <v>56.2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>
        <f>IFERROR(__xludf.DUMMYFUNCTION("""COMPUTED_VALUE"""),21.0)</f>
        <v>21</v>
      </c>
      <c r="E267" s="1">
        <f>IFERROR(__xludf.DUMMYFUNCTION("""COMPUTED_VALUE"""),32.0)</f>
        <v>32</v>
      </c>
      <c r="F267" s="1">
        <f>IFERROR(__xludf.DUMMYFUNCTION("""COMPUTED_VALUE"""),90.0)</f>
        <v>90</v>
      </c>
      <c r="G267" s="1">
        <f>IFERROR(__xludf.DUMMYFUNCTION("""COMPUTED_VALUE"""),92.0)</f>
        <v>92</v>
      </c>
      <c r="H267" s="1">
        <f>IFERROR(__xludf.DUMMYFUNCTION("""COMPUTED_VALUE"""),24.0)</f>
        <v>24</v>
      </c>
      <c r="I267" s="1">
        <f>IFERROR(__xludf.DUMMYFUNCTION("""COMPUTED_VALUE"""),73.0)</f>
        <v>73</v>
      </c>
      <c r="J267" s="1">
        <f>IFERROR(__xludf.DUMMYFUNCTION("""COMPUTED_VALUE"""),311.0)</f>
        <v>311</v>
      </c>
      <c r="K267" s="1">
        <f>IFERROR(__xludf.DUMMYFUNCTION("""COMPUTED_VALUE"""),62.2)</f>
        <v>62.2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>
        <f>IFERROR(__xludf.DUMMYFUNCTION("""COMPUTED_VALUE"""),57.0)</f>
        <v>57</v>
      </c>
      <c r="E268" s="1">
        <f>IFERROR(__xludf.DUMMYFUNCTION("""COMPUTED_VALUE"""),42.0)</f>
        <v>42</v>
      </c>
      <c r="F268" s="1">
        <f>IFERROR(__xludf.DUMMYFUNCTION("""COMPUTED_VALUE"""),65.0)</f>
        <v>65</v>
      </c>
      <c r="G268" s="1">
        <f>IFERROR(__xludf.DUMMYFUNCTION("""COMPUTED_VALUE"""),69.0)</f>
        <v>69</v>
      </c>
      <c r="H268" s="1">
        <f>IFERROR(__xludf.DUMMYFUNCTION("""COMPUTED_VALUE"""),35.0)</f>
        <v>35</v>
      </c>
      <c r="I268" s="1">
        <f>IFERROR(__xludf.DUMMYFUNCTION("""COMPUTED_VALUE"""),95.0)</f>
        <v>95</v>
      </c>
      <c r="J268" s="1">
        <f>IFERROR(__xludf.DUMMYFUNCTION("""COMPUTED_VALUE"""),306.0)</f>
        <v>306</v>
      </c>
      <c r="K268" s="1">
        <f>IFERROR(__xludf.DUMMYFUNCTION("""COMPUTED_VALUE"""),61.199999999999996)</f>
        <v>61.2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>
        <f>IFERROR(__xludf.DUMMYFUNCTION("""COMPUTED_VALUE"""),70.0)</f>
        <v>70</v>
      </c>
      <c r="E269" s="1">
        <f>IFERROR(__xludf.DUMMYFUNCTION("""COMPUTED_VALUE"""),51.0)</f>
        <v>51</v>
      </c>
      <c r="F269" s="1">
        <f>IFERROR(__xludf.DUMMYFUNCTION("""COMPUTED_VALUE"""),96.0)</f>
        <v>96</v>
      </c>
      <c r="G269" s="1">
        <f>IFERROR(__xludf.DUMMYFUNCTION("""COMPUTED_VALUE"""),65.0)</f>
        <v>65</v>
      </c>
      <c r="H269" s="1">
        <f>IFERROR(__xludf.DUMMYFUNCTION("""COMPUTED_VALUE"""),49.0)</f>
        <v>49</v>
      </c>
      <c r="I269" s="1">
        <f>IFERROR(__xludf.DUMMYFUNCTION("""COMPUTED_VALUE"""),95.0)</f>
        <v>95</v>
      </c>
      <c r="J269" s="1">
        <f>IFERROR(__xludf.DUMMYFUNCTION("""COMPUTED_VALUE"""),356.0)</f>
        <v>356</v>
      </c>
      <c r="K269" s="1">
        <f>IFERROR(__xludf.DUMMYFUNCTION("""COMPUTED_VALUE"""),71.2)</f>
        <v>71.2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>
        <f>IFERROR(__xludf.DUMMYFUNCTION("""COMPUTED_VALUE"""),22.0)</f>
        <v>22</v>
      </c>
      <c r="E270" s="1">
        <f>IFERROR(__xludf.DUMMYFUNCTION("""COMPUTED_VALUE"""),32.0)</f>
        <v>32</v>
      </c>
      <c r="F270" s="1">
        <f>IFERROR(__xludf.DUMMYFUNCTION("""COMPUTED_VALUE"""),47.0)</f>
        <v>47</v>
      </c>
      <c r="G270" s="1">
        <f>IFERROR(__xludf.DUMMYFUNCTION("""COMPUTED_VALUE"""),41.0)</f>
        <v>41</v>
      </c>
      <c r="H270" s="1">
        <f>IFERROR(__xludf.DUMMYFUNCTION("""COMPUTED_VALUE"""),76.0)</f>
        <v>76</v>
      </c>
      <c r="I270" s="1">
        <f>IFERROR(__xludf.DUMMYFUNCTION("""COMPUTED_VALUE"""),26.0)</f>
        <v>26</v>
      </c>
      <c r="J270" s="1">
        <f>IFERROR(__xludf.DUMMYFUNCTION("""COMPUTED_VALUE"""),222.0)</f>
        <v>222</v>
      </c>
      <c r="K270" s="1">
        <f>IFERROR(__xludf.DUMMYFUNCTION("""COMPUTED_VALUE"""),44.4)</f>
        <v>44.4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>
        <f>IFERROR(__xludf.DUMMYFUNCTION("""COMPUTED_VALUE"""),30.0)</f>
        <v>30</v>
      </c>
      <c r="E271" s="1">
        <f>IFERROR(__xludf.DUMMYFUNCTION("""COMPUTED_VALUE"""),88.0)</f>
        <v>88</v>
      </c>
      <c r="F271" s="1">
        <f>IFERROR(__xludf.DUMMYFUNCTION("""COMPUTED_VALUE"""),75.0)</f>
        <v>75</v>
      </c>
      <c r="G271" s="1">
        <f>IFERROR(__xludf.DUMMYFUNCTION("""COMPUTED_VALUE"""),85.0)</f>
        <v>85</v>
      </c>
      <c r="H271" s="1">
        <f>IFERROR(__xludf.DUMMYFUNCTION("""COMPUTED_VALUE"""),93.0)</f>
        <v>93</v>
      </c>
      <c r="I271" s="1">
        <f>IFERROR(__xludf.DUMMYFUNCTION("""COMPUTED_VALUE"""),80.0)</f>
        <v>80</v>
      </c>
      <c r="J271" s="1">
        <f>IFERROR(__xludf.DUMMYFUNCTION("""COMPUTED_VALUE"""),421.0)</f>
        <v>421</v>
      </c>
      <c r="K271" s="1">
        <f>IFERROR(__xludf.DUMMYFUNCTION("""COMPUTED_VALUE"""),84.2)</f>
        <v>84.2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>
        <f>IFERROR(__xludf.DUMMYFUNCTION("""COMPUTED_VALUE"""),58.0)</f>
        <v>58</v>
      </c>
      <c r="E272" s="1">
        <f>IFERROR(__xludf.DUMMYFUNCTION("""COMPUTED_VALUE"""),35.0)</f>
        <v>35</v>
      </c>
      <c r="F272" s="1">
        <f>IFERROR(__xludf.DUMMYFUNCTION("""COMPUTED_VALUE"""),57.0)</f>
        <v>57</v>
      </c>
      <c r="G272" s="1">
        <f>IFERROR(__xludf.DUMMYFUNCTION("""COMPUTED_VALUE"""),40.0)</f>
        <v>40</v>
      </c>
      <c r="H272" s="1">
        <f>IFERROR(__xludf.DUMMYFUNCTION("""COMPUTED_VALUE"""),99.0)</f>
        <v>99</v>
      </c>
      <c r="I272" s="1">
        <f>IFERROR(__xludf.DUMMYFUNCTION("""COMPUTED_VALUE"""),63.0)</f>
        <v>63</v>
      </c>
      <c r="J272" s="1">
        <f>IFERROR(__xludf.DUMMYFUNCTION("""COMPUTED_VALUE"""),294.0)</f>
        <v>294</v>
      </c>
      <c r="K272" s="1">
        <f>IFERROR(__xludf.DUMMYFUNCTION("""COMPUTED_VALUE"""),58.8)</f>
        <v>58.8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>
        <f>IFERROR(__xludf.DUMMYFUNCTION("""COMPUTED_VALUE"""),19.0)</f>
        <v>19</v>
      </c>
      <c r="E273" s="1">
        <f>IFERROR(__xludf.DUMMYFUNCTION("""COMPUTED_VALUE"""),52.0)</f>
        <v>52</v>
      </c>
      <c r="F273" s="1">
        <f>IFERROR(__xludf.DUMMYFUNCTION("""COMPUTED_VALUE"""),83.0)</f>
        <v>83</v>
      </c>
      <c r="G273" s="1">
        <f>IFERROR(__xludf.DUMMYFUNCTION("""COMPUTED_VALUE"""),90.0)</f>
        <v>90</v>
      </c>
      <c r="H273" s="1">
        <f>IFERROR(__xludf.DUMMYFUNCTION("""COMPUTED_VALUE"""),93.0)</f>
        <v>93</v>
      </c>
      <c r="I273" s="1">
        <f>IFERROR(__xludf.DUMMYFUNCTION("""COMPUTED_VALUE"""),54.0)</f>
        <v>54</v>
      </c>
      <c r="J273" s="1">
        <f>IFERROR(__xludf.DUMMYFUNCTION("""COMPUTED_VALUE"""),372.0)</f>
        <v>372</v>
      </c>
      <c r="K273" s="1">
        <f>IFERROR(__xludf.DUMMYFUNCTION("""COMPUTED_VALUE"""),74.4)</f>
        <v>74.4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>
        <f>IFERROR(__xludf.DUMMYFUNCTION("""COMPUTED_VALUE"""),10.0)</f>
        <v>10</v>
      </c>
      <c r="E274" s="1">
        <f>IFERROR(__xludf.DUMMYFUNCTION("""COMPUTED_VALUE"""),47.0)</f>
        <v>47</v>
      </c>
      <c r="F274" s="1">
        <f>IFERROR(__xludf.DUMMYFUNCTION("""COMPUTED_VALUE"""),55.0)</f>
        <v>55</v>
      </c>
      <c r="G274" s="1">
        <f>IFERROR(__xludf.DUMMYFUNCTION("""COMPUTED_VALUE"""),56.0)</f>
        <v>56</v>
      </c>
      <c r="H274" s="1">
        <f>IFERROR(__xludf.DUMMYFUNCTION("""COMPUTED_VALUE"""),98.0)</f>
        <v>98</v>
      </c>
      <c r="I274" s="1">
        <f>IFERROR(__xludf.DUMMYFUNCTION("""COMPUTED_VALUE"""),77.0)</f>
        <v>77</v>
      </c>
      <c r="J274" s="1">
        <f>IFERROR(__xludf.DUMMYFUNCTION("""COMPUTED_VALUE"""),333.0)</f>
        <v>333</v>
      </c>
      <c r="K274" s="1">
        <f>IFERROR(__xludf.DUMMYFUNCTION("""COMPUTED_VALUE"""),66.60000000000001)</f>
        <v>66.6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>
        <f>IFERROR(__xludf.DUMMYFUNCTION("""COMPUTED_VALUE"""),22.0)</f>
        <v>22</v>
      </c>
      <c r="E275" s="1">
        <f>IFERROR(__xludf.DUMMYFUNCTION("""COMPUTED_VALUE"""),36.0)</f>
        <v>36</v>
      </c>
      <c r="F275" s="1">
        <f>IFERROR(__xludf.DUMMYFUNCTION("""COMPUTED_VALUE"""),74.0)</f>
        <v>74</v>
      </c>
      <c r="G275" s="1">
        <f>IFERROR(__xludf.DUMMYFUNCTION("""COMPUTED_VALUE"""),23.0)</f>
        <v>23</v>
      </c>
      <c r="H275" s="1">
        <f>IFERROR(__xludf.DUMMYFUNCTION("""COMPUTED_VALUE"""),37.0)</f>
        <v>37</v>
      </c>
      <c r="I275" s="1">
        <f>IFERROR(__xludf.DUMMYFUNCTION("""COMPUTED_VALUE"""),94.0)</f>
        <v>94</v>
      </c>
      <c r="J275" s="1">
        <f>IFERROR(__xludf.DUMMYFUNCTION("""COMPUTED_VALUE"""),264.0)</f>
        <v>264</v>
      </c>
      <c r="K275" s="1">
        <f>IFERROR(__xludf.DUMMYFUNCTION("""COMPUTED_VALUE"""),52.800000000000004)</f>
        <v>52.8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>
        <f>IFERROR(__xludf.DUMMYFUNCTION("""COMPUTED_VALUE"""),19.0)</f>
        <v>19</v>
      </c>
      <c r="E276" s="1">
        <f>IFERROR(__xludf.DUMMYFUNCTION("""COMPUTED_VALUE"""),56.0)</f>
        <v>56</v>
      </c>
      <c r="F276" s="1">
        <f>IFERROR(__xludf.DUMMYFUNCTION("""COMPUTED_VALUE"""),88.0)</f>
        <v>88</v>
      </c>
      <c r="G276" s="1">
        <f>IFERROR(__xludf.DUMMYFUNCTION("""COMPUTED_VALUE"""),30.0)</f>
        <v>30</v>
      </c>
      <c r="H276" s="1">
        <f>IFERROR(__xludf.DUMMYFUNCTION("""COMPUTED_VALUE"""),54.0)</f>
        <v>54</v>
      </c>
      <c r="I276" s="1">
        <f>IFERROR(__xludf.DUMMYFUNCTION("""COMPUTED_VALUE"""),62.0)</f>
        <v>62</v>
      </c>
      <c r="J276" s="1">
        <f>IFERROR(__xludf.DUMMYFUNCTION("""COMPUTED_VALUE"""),290.0)</f>
        <v>290</v>
      </c>
      <c r="K276" s="1">
        <f>IFERROR(__xludf.DUMMYFUNCTION("""COMPUTED_VALUE"""),57.99999999999999)</f>
        <v>58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>
        <f>IFERROR(__xludf.DUMMYFUNCTION("""COMPUTED_VALUE"""),63.0)</f>
        <v>63</v>
      </c>
      <c r="E277" s="1">
        <f>IFERROR(__xludf.DUMMYFUNCTION("""COMPUTED_VALUE"""),75.0)</f>
        <v>75</v>
      </c>
      <c r="F277" s="1">
        <f>IFERROR(__xludf.DUMMYFUNCTION("""COMPUTED_VALUE"""),55.0)</f>
        <v>55</v>
      </c>
      <c r="G277" s="1">
        <f>IFERROR(__xludf.DUMMYFUNCTION("""COMPUTED_VALUE"""),48.0)</f>
        <v>48</v>
      </c>
      <c r="H277" s="1">
        <f>IFERROR(__xludf.DUMMYFUNCTION("""COMPUTED_VALUE"""),79.0)</f>
        <v>79</v>
      </c>
      <c r="I277" s="1">
        <f>IFERROR(__xludf.DUMMYFUNCTION("""COMPUTED_VALUE"""),78.0)</f>
        <v>78</v>
      </c>
      <c r="J277" s="1">
        <f>IFERROR(__xludf.DUMMYFUNCTION("""COMPUTED_VALUE"""),335.0)</f>
        <v>335</v>
      </c>
      <c r="K277" s="1">
        <f>IFERROR(__xludf.DUMMYFUNCTION("""COMPUTED_VALUE"""),67.0)</f>
        <v>67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>
        <f>IFERROR(__xludf.DUMMYFUNCTION("""COMPUTED_VALUE"""),83.0)</f>
        <v>83</v>
      </c>
      <c r="E278" s="1">
        <f>IFERROR(__xludf.DUMMYFUNCTION("""COMPUTED_VALUE"""),37.0)</f>
        <v>37</v>
      </c>
      <c r="F278" s="1">
        <f>IFERROR(__xludf.DUMMYFUNCTION("""COMPUTED_VALUE"""),28.0)</f>
        <v>28</v>
      </c>
      <c r="G278" s="1">
        <f>IFERROR(__xludf.DUMMYFUNCTION("""COMPUTED_VALUE"""),39.0)</f>
        <v>39</v>
      </c>
      <c r="H278" s="1">
        <f>IFERROR(__xludf.DUMMYFUNCTION("""COMPUTED_VALUE"""),39.0)</f>
        <v>39</v>
      </c>
      <c r="I278" s="1">
        <f>IFERROR(__xludf.DUMMYFUNCTION("""COMPUTED_VALUE"""),38.0)</f>
        <v>38</v>
      </c>
      <c r="J278" s="1">
        <f>IFERROR(__xludf.DUMMYFUNCTION("""COMPUTED_VALUE"""),181.0)</f>
        <v>181</v>
      </c>
      <c r="K278" s="1">
        <f>IFERROR(__xludf.DUMMYFUNCTION("""COMPUTED_VALUE"""),36.199999999999996)</f>
        <v>36.2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>
        <f>IFERROR(__xludf.DUMMYFUNCTION("""COMPUTED_VALUE"""),86.0)</f>
        <v>86</v>
      </c>
      <c r="E279" s="1">
        <f>IFERROR(__xludf.DUMMYFUNCTION("""COMPUTED_VALUE"""),62.0)</f>
        <v>62</v>
      </c>
      <c r="F279" s="1">
        <f>IFERROR(__xludf.DUMMYFUNCTION("""COMPUTED_VALUE"""),68.0)</f>
        <v>68</v>
      </c>
      <c r="G279" s="1">
        <f>IFERROR(__xludf.DUMMYFUNCTION("""COMPUTED_VALUE"""),60.0)</f>
        <v>60</v>
      </c>
      <c r="H279" s="1">
        <f>IFERROR(__xludf.DUMMYFUNCTION("""COMPUTED_VALUE"""),88.0)</f>
        <v>88</v>
      </c>
      <c r="I279" s="1">
        <f>IFERROR(__xludf.DUMMYFUNCTION("""COMPUTED_VALUE"""),25.0)</f>
        <v>25</v>
      </c>
      <c r="J279" s="1">
        <f>IFERROR(__xludf.DUMMYFUNCTION("""COMPUTED_VALUE"""),303.0)</f>
        <v>303</v>
      </c>
      <c r="K279" s="1">
        <f>IFERROR(__xludf.DUMMYFUNCTION("""COMPUTED_VALUE"""),60.6)</f>
        <v>60.6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>
        <f>IFERROR(__xludf.DUMMYFUNCTION("""COMPUTED_VALUE"""),12.0)</f>
        <v>12</v>
      </c>
      <c r="E280" s="1">
        <f>IFERROR(__xludf.DUMMYFUNCTION("""COMPUTED_VALUE"""),93.0)</f>
        <v>93</v>
      </c>
      <c r="F280" s="1">
        <f>IFERROR(__xludf.DUMMYFUNCTION("""COMPUTED_VALUE"""),58.0)</f>
        <v>58</v>
      </c>
      <c r="G280" s="1">
        <f>IFERROR(__xludf.DUMMYFUNCTION("""COMPUTED_VALUE"""),69.0)</f>
        <v>69</v>
      </c>
      <c r="H280" s="1">
        <f>IFERROR(__xludf.DUMMYFUNCTION("""COMPUTED_VALUE"""),20.0)</f>
        <v>20</v>
      </c>
      <c r="I280" s="1">
        <f>IFERROR(__xludf.DUMMYFUNCTION("""COMPUTED_VALUE"""),89.0)</f>
        <v>89</v>
      </c>
      <c r="J280" s="1">
        <f>IFERROR(__xludf.DUMMYFUNCTION("""COMPUTED_VALUE"""),329.0)</f>
        <v>329</v>
      </c>
      <c r="K280" s="1">
        <f>IFERROR(__xludf.DUMMYFUNCTION("""COMPUTED_VALUE"""),65.8)</f>
        <v>65.8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>
        <f>IFERROR(__xludf.DUMMYFUNCTION("""COMPUTED_VALUE"""),80.0)</f>
        <v>80</v>
      </c>
      <c r="E281" s="1">
        <f>IFERROR(__xludf.DUMMYFUNCTION("""COMPUTED_VALUE"""),92.0)</f>
        <v>92</v>
      </c>
      <c r="F281" s="1">
        <f>IFERROR(__xludf.DUMMYFUNCTION("""COMPUTED_VALUE"""),49.0)</f>
        <v>49</v>
      </c>
      <c r="G281" s="1">
        <f>IFERROR(__xludf.DUMMYFUNCTION("""COMPUTED_VALUE"""),21.0)</f>
        <v>21</v>
      </c>
      <c r="H281" s="1">
        <f>IFERROR(__xludf.DUMMYFUNCTION("""COMPUTED_VALUE"""),60.0)</f>
        <v>60</v>
      </c>
      <c r="I281" s="1">
        <f>IFERROR(__xludf.DUMMYFUNCTION("""COMPUTED_VALUE"""),30.0)</f>
        <v>30</v>
      </c>
      <c r="J281" s="1">
        <f>IFERROR(__xludf.DUMMYFUNCTION("""COMPUTED_VALUE"""),252.0)</f>
        <v>252</v>
      </c>
      <c r="K281" s="1">
        <f>IFERROR(__xludf.DUMMYFUNCTION("""COMPUTED_VALUE"""),50.4)</f>
        <v>50.4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>
        <f>IFERROR(__xludf.DUMMYFUNCTION("""COMPUTED_VALUE"""),43.0)</f>
        <v>43</v>
      </c>
      <c r="E282" s="1">
        <f>IFERROR(__xludf.DUMMYFUNCTION("""COMPUTED_VALUE"""),63.0)</f>
        <v>63</v>
      </c>
      <c r="F282" s="1">
        <f>IFERROR(__xludf.DUMMYFUNCTION("""COMPUTED_VALUE"""),23.0)</f>
        <v>23</v>
      </c>
      <c r="G282" s="1">
        <f>IFERROR(__xludf.DUMMYFUNCTION("""COMPUTED_VALUE"""),36.0)</f>
        <v>36</v>
      </c>
      <c r="H282" s="1">
        <f>IFERROR(__xludf.DUMMYFUNCTION("""COMPUTED_VALUE"""),37.0)</f>
        <v>37</v>
      </c>
      <c r="I282" s="1">
        <f>IFERROR(__xludf.DUMMYFUNCTION("""COMPUTED_VALUE"""),56.0)</f>
        <v>56</v>
      </c>
      <c r="J282" s="1">
        <f>IFERROR(__xludf.DUMMYFUNCTION("""COMPUTED_VALUE"""),215.0)</f>
        <v>215</v>
      </c>
      <c r="K282" s="1">
        <f>IFERROR(__xludf.DUMMYFUNCTION("""COMPUTED_VALUE"""),43.0)</f>
        <v>43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>
        <f>IFERROR(__xludf.DUMMYFUNCTION("""COMPUTED_VALUE"""),32.0)</f>
        <v>32</v>
      </c>
      <c r="E283" s="1">
        <f>IFERROR(__xludf.DUMMYFUNCTION("""COMPUTED_VALUE"""),85.0)</f>
        <v>85</v>
      </c>
      <c r="F283" s="1">
        <f>IFERROR(__xludf.DUMMYFUNCTION("""COMPUTED_VALUE"""),59.0)</f>
        <v>59</v>
      </c>
      <c r="G283" s="1">
        <f>IFERROR(__xludf.DUMMYFUNCTION("""COMPUTED_VALUE"""),29.0)</f>
        <v>29</v>
      </c>
      <c r="H283" s="1">
        <f>IFERROR(__xludf.DUMMYFUNCTION("""COMPUTED_VALUE"""),53.0)</f>
        <v>53</v>
      </c>
      <c r="I283" s="1">
        <f>IFERROR(__xludf.DUMMYFUNCTION("""COMPUTED_VALUE"""),81.0)</f>
        <v>81</v>
      </c>
      <c r="J283" s="1">
        <f>IFERROR(__xludf.DUMMYFUNCTION("""COMPUTED_VALUE"""),307.0)</f>
        <v>307</v>
      </c>
      <c r="K283" s="1">
        <f>IFERROR(__xludf.DUMMYFUNCTION("""COMPUTED_VALUE"""),61.4)</f>
        <v>61.4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>
        <f>IFERROR(__xludf.DUMMYFUNCTION("""COMPUTED_VALUE"""),38.0)</f>
        <v>38</v>
      </c>
      <c r="E284" s="1">
        <f>IFERROR(__xludf.DUMMYFUNCTION("""COMPUTED_VALUE"""),58.0)</f>
        <v>58</v>
      </c>
      <c r="F284" s="1">
        <f>IFERROR(__xludf.DUMMYFUNCTION("""COMPUTED_VALUE"""),72.0)</f>
        <v>72</v>
      </c>
      <c r="G284" s="1">
        <f>IFERROR(__xludf.DUMMYFUNCTION("""COMPUTED_VALUE"""),96.0)</f>
        <v>96</v>
      </c>
      <c r="H284" s="1">
        <f>IFERROR(__xludf.DUMMYFUNCTION("""COMPUTED_VALUE"""),30.0)</f>
        <v>30</v>
      </c>
      <c r="I284" s="1">
        <f>IFERROR(__xludf.DUMMYFUNCTION("""COMPUTED_VALUE"""),93.0)</f>
        <v>93</v>
      </c>
      <c r="J284" s="1">
        <f>IFERROR(__xludf.DUMMYFUNCTION("""COMPUTED_VALUE"""),349.0)</f>
        <v>349</v>
      </c>
      <c r="K284" s="1">
        <f>IFERROR(__xludf.DUMMYFUNCTION("""COMPUTED_VALUE"""),69.8)</f>
        <v>69.8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>
        <f>IFERROR(__xludf.DUMMYFUNCTION("""COMPUTED_VALUE"""),12.0)</f>
        <v>12</v>
      </c>
      <c r="E285" s="1">
        <f>IFERROR(__xludf.DUMMYFUNCTION("""COMPUTED_VALUE"""),53.0)</f>
        <v>53</v>
      </c>
      <c r="F285" s="1">
        <f>IFERROR(__xludf.DUMMYFUNCTION("""COMPUTED_VALUE"""),33.0)</f>
        <v>33</v>
      </c>
      <c r="G285" s="1">
        <f>IFERROR(__xludf.DUMMYFUNCTION("""COMPUTED_VALUE"""),54.0)</f>
        <v>54</v>
      </c>
      <c r="H285" s="1">
        <f>IFERROR(__xludf.DUMMYFUNCTION("""COMPUTED_VALUE"""),24.0)</f>
        <v>24</v>
      </c>
      <c r="I285" s="1">
        <f>IFERROR(__xludf.DUMMYFUNCTION("""COMPUTED_VALUE"""),33.0)</f>
        <v>33</v>
      </c>
      <c r="J285" s="1">
        <f>IFERROR(__xludf.DUMMYFUNCTION("""COMPUTED_VALUE"""),197.0)</f>
        <v>197</v>
      </c>
      <c r="K285" s="1">
        <f>IFERROR(__xludf.DUMMYFUNCTION("""COMPUTED_VALUE"""),39.4)</f>
        <v>39.4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>
        <f>IFERROR(__xludf.DUMMYFUNCTION("""COMPUTED_VALUE"""),88.0)</f>
        <v>88</v>
      </c>
      <c r="E286" s="1">
        <f>IFERROR(__xludf.DUMMYFUNCTION("""COMPUTED_VALUE"""),25.0)</f>
        <v>25</v>
      </c>
      <c r="F286" s="1">
        <f>IFERROR(__xludf.DUMMYFUNCTION("""COMPUTED_VALUE"""),87.0)</f>
        <v>87</v>
      </c>
      <c r="G286" s="1">
        <f>IFERROR(__xludf.DUMMYFUNCTION("""COMPUTED_VALUE"""),97.0)</f>
        <v>97</v>
      </c>
      <c r="H286" s="1">
        <f>IFERROR(__xludf.DUMMYFUNCTION("""COMPUTED_VALUE"""),29.0)</f>
        <v>29</v>
      </c>
      <c r="I286" s="1">
        <f>IFERROR(__xludf.DUMMYFUNCTION("""COMPUTED_VALUE"""),49.0)</f>
        <v>49</v>
      </c>
      <c r="J286" s="1">
        <f>IFERROR(__xludf.DUMMYFUNCTION("""COMPUTED_VALUE"""),287.0)</f>
        <v>287</v>
      </c>
      <c r="K286" s="1">
        <f>IFERROR(__xludf.DUMMYFUNCTION("""COMPUTED_VALUE"""),57.4)</f>
        <v>57.4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>
        <f>IFERROR(__xludf.DUMMYFUNCTION("""COMPUTED_VALUE"""),66.0)</f>
        <v>66</v>
      </c>
      <c r="E287" s="1">
        <f>IFERROR(__xludf.DUMMYFUNCTION("""COMPUTED_VALUE"""),77.0)</f>
        <v>77</v>
      </c>
      <c r="F287" s="1">
        <f>IFERROR(__xludf.DUMMYFUNCTION("""COMPUTED_VALUE"""),71.0)</f>
        <v>71</v>
      </c>
      <c r="G287" s="1">
        <f>IFERROR(__xludf.DUMMYFUNCTION("""COMPUTED_VALUE"""),78.0)</f>
        <v>78</v>
      </c>
      <c r="H287" s="1">
        <f>IFERROR(__xludf.DUMMYFUNCTION("""COMPUTED_VALUE"""),88.0)</f>
        <v>88</v>
      </c>
      <c r="I287" s="1">
        <f>IFERROR(__xludf.DUMMYFUNCTION("""COMPUTED_VALUE"""),20.0)</f>
        <v>20</v>
      </c>
      <c r="J287" s="1">
        <f>IFERROR(__xludf.DUMMYFUNCTION("""COMPUTED_VALUE"""),334.0)</f>
        <v>334</v>
      </c>
      <c r="K287" s="1">
        <f>IFERROR(__xludf.DUMMYFUNCTION("""COMPUTED_VALUE"""),66.8)</f>
        <v>66.8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>
        <f>IFERROR(__xludf.DUMMYFUNCTION("""COMPUTED_VALUE"""),75.0)</f>
        <v>75</v>
      </c>
      <c r="E288" s="1">
        <f>IFERROR(__xludf.DUMMYFUNCTION("""COMPUTED_VALUE"""),28.0)</f>
        <v>28</v>
      </c>
      <c r="F288" s="1">
        <f>IFERROR(__xludf.DUMMYFUNCTION("""COMPUTED_VALUE"""),37.0)</f>
        <v>37</v>
      </c>
      <c r="G288" s="1">
        <f>IFERROR(__xludf.DUMMYFUNCTION("""COMPUTED_VALUE"""),40.0)</f>
        <v>40</v>
      </c>
      <c r="H288" s="1">
        <f>IFERROR(__xludf.DUMMYFUNCTION("""COMPUTED_VALUE"""),25.0)</f>
        <v>25</v>
      </c>
      <c r="I288" s="1">
        <f>IFERROR(__xludf.DUMMYFUNCTION("""COMPUTED_VALUE"""),89.0)</f>
        <v>89</v>
      </c>
      <c r="J288" s="1">
        <f>IFERROR(__xludf.DUMMYFUNCTION("""COMPUTED_VALUE"""),219.0)</f>
        <v>219</v>
      </c>
      <c r="K288" s="1">
        <f>IFERROR(__xludf.DUMMYFUNCTION("""COMPUTED_VALUE"""),43.8)</f>
        <v>43.8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>
        <f>IFERROR(__xludf.DUMMYFUNCTION("""COMPUTED_VALUE"""),44.0)</f>
        <v>44</v>
      </c>
      <c r="E289" s="1">
        <f>IFERROR(__xludf.DUMMYFUNCTION("""COMPUTED_VALUE"""),23.0)</f>
        <v>23</v>
      </c>
      <c r="F289" s="1">
        <f>IFERROR(__xludf.DUMMYFUNCTION("""COMPUTED_VALUE"""),83.0)</f>
        <v>83</v>
      </c>
      <c r="G289" s="1">
        <f>IFERROR(__xludf.DUMMYFUNCTION("""COMPUTED_VALUE"""),87.0)</f>
        <v>87</v>
      </c>
      <c r="H289" s="1">
        <f>IFERROR(__xludf.DUMMYFUNCTION("""COMPUTED_VALUE"""),41.0)</f>
        <v>41</v>
      </c>
      <c r="I289" s="1">
        <f>IFERROR(__xludf.DUMMYFUNCTION("""COMPUTED_VALUE"""),55.0)</f>
        <v>55</v>
      </c>
      <c r="J289" s="1">
        <f>IFERROR(__xludf.DUMMYFUNCTION("""COMPUTED_VALUE"""),289.0)</f>
        <v>289</v>
      </c>
      <c r="K289" s="1">
        <f>IFERROR(__xludf.DUMMYFUNCTION("""COMPUTED_VALUE"""),57.8)</f>
        <v>57.8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>
        <f>IFERROR(__xludf.DUMMYFUNCTION("""COMPUTED_VALUE"""),74.0)</f>
        <v>74</v>
      </c>
      <c r="E290" s="1">
        <f>IFERROR(__xludf.DUMMYFUNCTION("""COMPUTED_VALUE"""),81.0)</f>
        <v>81</v>
      </c>
      <c r="F290" s="1">
        <f>IFERROR(__xludf.DUMMYFUNCTION("""COMPUTED_VALUE"""),71.0)</f>
        <v>71</v>
      </c>
      <c r="G290" s="1">
        <f>IFERROR(__xludf.DUMMYFUNCTION("""COMPUTED_VALUE"""),75.0)</f>
        <v>75</v>
      </c>
      <c r="H290" s="1">
        <f>IFERROR(__xludf.DUMMYFUNCTION("""COMPUTED_VALUE"""),81.0)</f>
        <v>81</v>
      </c>
      <c r="I290" s="1">
        <f>IFERROR(__xludf.DUMMYFUNCTION("""COMPUTED_VALUE"""),83.0)</f>
        <v>83</v>
      </c>
      <c r="J290" s="1">
        <f>IFERROR(__xludf.DUMMYFUNCTION("""COMPUTED_VALUE"""),391.0)</f>
        <v>391</v>
      </c>
      <c r="K290" s="1">
        <f>IFERROR(__xludf.DUMMYFUNCTION("""COMPUTED_VALUE"""),78.2)</f>
        <v>78.2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>
        <f>IFERROR(__xludf.DUMMYFUNCTION("""COMPUTED_VALUE"""),92.0)</f>
        <v>92</v>
      </c>
      <c r="E291" s="1">
        <f>IFERROR(__xludf.DUMMYFUNCTION("""COMPUTED_VALUE"""),35.0)</f>
        <v>35</v>
      </c>
      <c r="F291" s="1">
        <f>IFERROR(__xludf.DUMMYFUNCTION("""COMPUTED_VALUE"""),81.0)</f>
        <v>81</v>
      </c>
      <c r="G291" s="1">
        <f>IFERROR(__xludf.DUMMYFUNCTION("""COMPUTED_VALUE"""),46.0)</f>
        <v>46</v>
      </c>
      <c r="H291" s="1">
        <f>IFERROR(__xludf.DUMMYFUNCTION("""COMPUTED_VALUE"""),85.0)</f>
        <v>85</v>
      </c>
      <c r="I291" s="1">
        <f>IFERROR(__xludf.DUMMYFUNCTION("""COMPUTED_VALUE"""),31.0)</f>
        <v>31</v>
      </c>
      <c r="J291" s="1">
        <f>IFERROR(__xludf.DUMMYFUNCTION("""COMPUTED_VALUE"""),278.0)</f>
        <v>278</v>
      </c>
      <c r="K291" s="1">
        <f>IFERROR(__xludf.DUMMYFUNCTION("""COMPUTED_VALUE"""),55.60000000000001)</f>
        <v>55.6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>
        <f>IFERROR(__xludf.DUMMYFUNCTION("""COMPUTED_VALUE"""),28.0)</f>
        <v>28</v>
      </c>
      <c r="E292" s="1">
        <f>IFERROR(__xludf.DUMMYFUNCTION("""COMPUTED_VALUE"""),94.0)</f>
        <v>94</v>
      </c>
      <c r="F292" s="1">
        <f>IFERROR(__xludf.DUMMYFUNCTION("""COMPUTED_VALUE"""),90.0)</f>
        <v>90</v>
      </c>
      <c r="G292" s="1">
        <f>IFERROR(__xludf.DUMMYFUNCTION("""COMPUTED_VALUE"""),91.0)</f>
        <v>91</v>
      </c>
      <c r="H292" s="1">
        <f>IFERROR(__xludf.DUMMYFUNCTION("""COMPUTED_VALUE"""),36.0)</f>
        <v>36</v>
      </c>
      <c r="I292" s="1">
        <f>IFERROR(__xludf.DUMMYFUNCTION("""COMPUTED_VALUE"""),79.0)</f>
        <v>79</v>
      </c>
      <c r="J292" s="1">
        <f>IFERROR(__xludf.DUMMYFUNCTION("""COMPUTED_VALUE"""),390.0)</f>
        <v>390</v>
      </c>
      <c r="K292" s="1">
        <f>IFERROR(__xludf.DUMMYFUNCTION("""COMPUTED_VALUE"""),78.0)</f>
        <v>78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>
        <f>IFERROR(__xludf.DUMMYFUNCTION("""COMPUTED_VALUE"""),87.0)</f>
        <v>87</v>
      </c>
      <c r="E293" s="1">
        <f>IFERROR(__xludf.DUMMYFUNCTION("""COMPUTED_VALUE"""),89.0)</f>
        <v>89</v>
      </c>
      <c r="F293" s="1">
        <f>IFERROR(__xludf.DUMMYFUNCTION("""COMPUTED_VALUE"""),39.0)</f>
        <v>39</v>
      </c>
      <c r="G293" s="1">
        <f>IFERROR(__xludf.DUMMYFUNCTION("""COMPUTED_VALUE"""),60.0)</f>
        <v>60</v>
      </c>
      <c r="H293" s="1">
        <f>IFERROR(__xludf.DUMMYFUNCTION("""COMPUTED_VALUE"""),85.0)</f>
        <v>85</v>
      </c>
      <c r="I293" s="1">
        <f>IFERROR(__xludf.DUMMYFUNCTION("""COMPUTED_VALUE"""),51.0)</f>
        <v>51</v>
      </c>
      <c r="J293" s="1">
        <f>IFERROR(__xludf.DUMMYFUNCTION("""COMPUTED_VALUE"""),324.0)</f>
        <v>324</v>
      </c>
      <c r="K293" s="1">
        <f>IFERROR(__xludf.DUMMYFUNCTION("""COMPUTED_VALUE"""),64.8)</f>
        <v>64.8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>
        <f>IFERROR(__xludf.DUMMYFUNCTION("""COMPUTED_VALUE"""),96.0)</f>
        <v>96</v>
      </c>
      <c r="E294" s="1">
        <f>IFERROR(__xludf.DUMMYFUNCTION("""COMPUTED_VALUE"""),49.0)</f>
        <v>49</v>
      </c>
      <c r="F294" s="1">
        <f>IFERROR(__xludf.DUMMYFUNCTION("""COMPUTED_VALUE"""),65.0)</f>
        <v>65</v>
      </c>
      <c r="G294" s="1">
        <f>IFERROR(__xludf.DUMMYFUNCTION("""COMPUTED_VALUE"""),64.0)</f>
        <v>64</v>
      </c>
      <c r="H294" s="1">
        <f>IFERROR(__xludf.DUMMYFUNCTION("""COMPUTED_VALUE"""),75.0)</f>
        <v>75</v>
      </c>
      <c r="I294" s="1">
        <f>IFERROR(__xludf.DUMMYFUNCTION("""COMPUTED_VALUE"""),39.0)</f>
        <v>39</v>
      </c>
      <c r="J294" s="1">
        <f>IFERROR(__xludf.DUMMYFUNCTION("""COMPUTED_VALUE"""),292.0)</f>
        <v>292</v>
      </c>
      <c r="K294" s="1">
        <f>IFERROR(__xludf.DUMMYFUNCTION("""COMPUTED_VALUE"""),58.4)</f>
        <v>58.4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>
        <f>IFERROR(__xludf.DUMMYFUNCTION("""COMPUTED_VALUE"""),62.0)</f>
        <v>62</v>
      </c>
      <c r="E295" s="1">
        <f>IFERROR(__xludf.DUMMYFUNCTION("""COMPUTED_VALUE"""),98.0)</f>
        <v>98</v>
      </c>
      <c r="F295" s="1">
        <f>IFERROR(__xludf.DUMMYFUNCTION("""COMPUTED_VALUE"""),66.0)</f>
        <v>66</v>
      </c>
      <c r="G295" s="1">
        <f>IFERROR(__xludf.DUMMYFUNCTION("""COMPUTED_VALUE"""),49.0)</f>
        <v>49</v>
      </c>
      <c r="H295" s="1">
        <f>IFERROR(__xludf.DUMMYFUNCTION("""COMPUTED_VALUE"""),24.0)</f>
        <v>24</v>
      </c>
      <c r="I295" s="1">
        <f>IFERROR(__xludf.DUMMYFUNCTION("""COMPUTED_VALUE"""),62.0)</f>
        <v>62</v>
      </c>
      <c r="J295" s="1">
        <f>IFERROR(__xludf.DUMMYFUNCTION("""COMPUTED_VALUE"""),299.0)</f>
        <v>299</v>
      </c>
      <c r="K295" s="1">
        <f>IFERROR(__xludf.DUMMYFUNCTION("""COMPUTED_VALUE"""),59.8)</f>
        <v>59.8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>
        <f>IFERROR(__xludf.DUMMYFUNCTION("""COMPUTED_VALUE"""),83.0)</f>
        <v>83</v>
      </c>
      <c r="E296" s="1">
        <f>IFERROR(__xludf.DUMMYFUNCTION("""COMPUTED_VALUE"""),49.0)</f>
        <v>49</v>
      </c>
      <c r="F296" s="1">
        <f>IFERROR(__xludf.DUMMYFUNCTION("""COMPUTED_VALUE"""),23.0)</f>
        <v>23</v>
      </c>
      <c r="G296" s="1">
        <f>IFERROR(__xludf.DUMMYFUNCTION("""COMPUTED_VALUE"""),85.0)</f>
        <v>85</v>
      </c>
      <c r="H296" s="1">
        <f>IFERROR(__xludf.DUMMYFUNCTION("""COMPUTED_VALUE"""),20.0)</f>
        <v>20</v>
      </c>
      <c r="I296" s="1">
        <f>IFERROR(__xludf.DUMMYFUNCTION("""COMPUTED_VALUE"""),68.0)</f>
        <v>68</v>
      </c>
      <c r="J296" s="1">
        <f>IFERROR(__xludf.DUMMYFUNCTION("""COMPUTED_VALUE"""),245.0)</f>
        <v>245</v>
      </c>
      <c r="K296" s="1">
        <f>IFERROR(__xludf.DUMMYFUNCTION("""COMPUTED_VALUE"""),49.0)</f>
        <v>49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>
        <f>IFERROR(__xludf.DUMMYFUNCTION("""COMPUTED_VALUE"""),10.0)</f>
        <v>10</v>
      </c>
      <c r="E297" s="1">
        <f>IFERROR(__xludf.DUMMYFUNCTION("""COMPUTED_VALUE"""),30.0)</f>
        <v>30</v>
      </c>
      <c r="F297" s="1">
        <f>IFERROR(__xludf.DUMMYFUNCTION("""COMPUTED_VALUE"""),53.0)</f>
        <v>53</v>
      </c>
      <c r="G297" s="1">
        <f>IFERROR(__xludf.DUMMYFUNCTION("""COMPUTED_VALUE"""),39.0)</f>
        <v>39</v>
      </c>
      <c r="H297" s="1">
        <f>IFERROR(__xludf.DUMMYFUNCTION("""COMPUTED_VALUE"""),64.0)</f>
        <v>64</v>
      </c>
      <c r="I297" s="1">
        <f>IFERROR(__xludf.DUMMYFUNCTION("""COMPUTED_VALUE"""),37.0)</f>
        <v>37</v>
      </c>
      <c r="J297" s="1">
        <f>IFERROR(__xludf.DUMMYFUNCTION("""COMPUTED_VALUE"""),223.0)</f>
        <v>223</v>
      </c>
      <c r="K297" s="1">
        <f>IFERROR(__xludf.DUMMYFUNCTION("""COMPUTED_VALUE"""),44.6)</f>
        <v>44.6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>
        <f>IFERROR(__xludf.DUMMYFUNCTION("""COMPUTED_VALUE"""),49.0)</f>
        <v>49</v>
      </c>
      <c r="E298" s="1">
        <f>IFERROR(__xludf.DUMMYFUNCTION("""COMPUTED_VALUE"""),71.0)</f>
        <v>71</v>
      </c>
      <c r="F298" s="1">
        <f>IFERROR(__xludf.DUMMYFUNCTION("""COMPUTED_VALUE"""),23.0)</f>
        <v>23</v>
      </c>
      <c r="G298" s="1">
        <f>IFERROR(__xludf.DUMMYFUNCTION("""COMPUTED_VALUE"""),54.0)</f>
        <v>54</v>
      </c>
      <c r="H298" s="1">
        <f>IFERROR(__xludf.DUMMYFUNCTION("""COMPUTED_VALUE"""),56.0)</f>
        <v>56</v>
      </c>
      <c r="I298" s="1">
        <f>IFERROR(__xludf.DUMMYFUNCTION("""COMPUTED_VALUE"""),28.0)</f>
        <v>28</v>
      </c>
      <c r="J298" s="1">
        <f>IFERROR(__xludf.DUMMYFUNCTION("""COMPUTED_VALUE"""),232.0)</f>
        <v>232</v>
      </c>
      <c r="K298" s="1">
        <f>IFERROR(__xludf.DUMMYFUNCTION("""COMPUTED_VALUE"""),46.400000000000006)</f>
        <v>46.4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>
        <f>IFERROR(__xludf.DUMMYFUNCTION("""COMPUTED_VALUE"""),23.0)</f>
        <v>23</v>
      </c>
      <c r="E299" s="1">
        <f>IFERROR(__xludf.DUMMYFUNCTION("""COMPUTED_VALUE"""),35.0)</f>
        <v>35</v>
      </c>
      <c r="F299" s="1">
        <f>IFERROR(__xludf.DUMMYFUNCTION("""COMPUTED_VALUE"""),97.0)</f>
        <v>97</v>
      </c>
      <c r="G299" s="1">
        <f>IFERROR(__xludf.DUMMYFUNCTION("""COMPUTED_VALUE"""),60.0)</f>
        <v>60</v>
      </c>
      <c r="H299" s="1">
        <f>IFERROR(__xludf.DUMMYFUNCTION("""COMPUTED_VALUE"""),87.0)</f>
        <v>87</v>
      </c>
      <c r="I299" s="1">
        <f>IFERROR(__xludf.DUMMYFUNCTION("""COMPUTED_VALUE"""),67.0)</f>
        <v>67</v>
      </c>
      <c r="J299" s="1">
        <f>IFERROR(__xludf.DUMMYFUNCTION("""COMPUTED_VALUE"""),346.0)</f>
        <v>346</v>
      </c>
      <c r="K299" s="1">
        <f>IFERROR(__xludf.DUMMYFUNCTION("""COMPUTED_VALUE"""),69.19999999999999)</f>
        <v>69.2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>
        <f>IFERROR(__xludf.DUMMYFUNCTION("""COMPUTED_VALUE"""),69.0)</f>
        <v>69</v>
      </c>
      <c r="E300" s="1">
        <f>IFERROR(__xludf.DUMMYFUNCTION("""COMPUTED_VALUE"""),84.0)</f>
        <v>84</v>
      </c>
      <c r="F300" s="1">
        <f>IFERROR(__xludf.DUMMYFUNCTION("""COMPUTED_VALUE"""),45.0)</f>
        <v>45</v>
      </c>
      <c r="G300" s="1">
        <f>IFERROR(__xludf.DUMMYFUNCTION("""COMPUTED_VALUE"""),54.0)</f>
        <v>54</v>
      </c>
      <c r="H300" s="1">
        <f>IFERROR(__xludf.DUMMYFUNCTION("""COMPUTED_VALUE"""),74.0)</f>
        <v>74</v>
      </c>
      <c r="I300" s="1">
        <f>IFERROR(__xludf.DUMMYFUNCTION("""COMPUTED_VALUE"""),35.0)</f>
        <v>35</v>
      </c>
      <c r="J300" s="1">
        <f>IFERROR(__xludf.DUMMYFUNCTION("""COMPUTED_VALUE"""),292.0)</f>
        <v>292</v>
      </c>
      <c r="K300" s="1">
        <f>IFERROR(__xludf.DUMMYFUNCTION("""COMPUTED_VALUE"""),58.4)</f>
        <v>58.4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>
        <f>IFERROR(__xludf.DUMMYFUNCTION("""COMPUTED_VALUE"""),34.0)</f>
        <v>34</v>
      </c>
      <c r="E301" s="1">
        <f>IFERROR(__xludf.DUMMYFUNCTION("""COMPUTED_VALUE"""),50.0)</f>
        <v>50</v>
      </c>
      <c r="F301" s="1">
        <f>IFERROR(__xludf.DUMMYFUNCTION("""COMPUTED_VALUE"""),81.0)</f>
        <v>81</v>
      </c>
      <c r="G301" s="1">
        <f>IFERROR(__xludf.DUMMYFUNCTION("""COMPUTED_VALUE"""),94.0)</f>
        <v>94</v>
      </c>
      <c r="H301" s="1">
        <f>IFERROR(__xludf.DUMMYFUNCTION("""COMPUTED_VALUE"""),71.0)</f>
        <v>71</v>
      </c>
      <c r="I301" s="1">
        <f>IFERROR(__xludf.DUMMYFUNCTION("""COMPUTED_VALUE"""),67.0)</f>
        <v>67</v>
      </c>
      <c r="J301" s="1">
        <f>IFERROR(__xludf.DUMMYFUNCTION("""COMPUTED_VALUE"""),363.0)</f>
        <v>363</v>
      </c>
      <c r="K301" s="1">
        <f>IFERROR(__xludf.DUMMYFUNCTION("""COMPUTED_VALUE"""),72.6)</f>
        <v>72.6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>
        <f>IFERROR(__xludf.DUMMYFUNCTION("""COMPUTED_VALUE"""),85.0)</f>
        <v>85</v>
      </c>
      <c r="E302" s="1">
        <f>IFERROR(__xludf.DUMMYFUNCTION("""COMPUTED_VALUE"""),60.0)</f>
        <v>60</v>
      </c>
      <c r="F302" s="1">
        <f>IFERROR(__xludf.DUMMYFUNCTION("""COMPUTED_VALUE"""),65.0)</f>
        <v>65</v>
      </c>
      <c r="G302" s="1">
        <f>IFERROR(__xludf.DUMMYFUNCTION("""COMPUTED_VALUE"""),93.0)</f>
        <v>93</v>
      </c>
      <c r="H302" s="1">
        <f>IFERROR(__xludf.DUMMYFUNCTION("""COMPUTED_VALUE"""),95.0)</f>
        <v>95</v>
      </c>
      <c r="I302" s="1">
        <f>IFERROR(__xludf.DUMMYFUNCTION("""COMPUTED_VALUE"""),94.0)</f>
        <v>94</v>
      </c>
      <c r="J302" s="1">
        <f>IFERROR(__xludf.DUMMYFUNCTION("""COMPUTED_VALUE"""),407.0)</f>
        <v>407</v>
      </c>
      <c r="K302" s="1">
        <f>IFERROR(__xludf.DUMMYFUNCTION("""COMPUTED_VALUE"""),81.39999999999999)</f>
        <v>81.4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>
        <f>IFERROR(__xludf.DUMMYFUNCTION("""COMPUTED_VALUE"""),52.0)</f>
        <v>52</v>
      </c>
      <c r="E303" s="1">
        <f>IFERROR(__xludf.DUMMYFUNCTION("""COMPUTED_VALUE"""),83.0)</f>
        <v>83</v>
      </c>
      <c r="F303" s="1">
        <f>IFERROR(__xludf.DUMMYFUNCTION("""COMPUTED_VALUE"""),76.0)</f>
        <v>76</v>
      </c>
      <c r="G303" s="1">
        <f>IFERROR(__xludf.DUMMYFUNCTION("""COMPUTED_VALUE"""),52.0)</f>
        <v>52</v>
      </c>
      <c r="H303" s="1">
        <f>IFERROR(__xludf.DUMMYFUNCTION("""COMPUTED_VALUE"""),93.0)</f>
        <v>93</v>
      </c>
      <c r="I303" s="1">
        <f>IFERROR(__xludf.DUMMYFUNCTION("""COMPUTED_VALUE"""),66.0)</f>
        <v>66</v>
      </c>
      <c r="J303" s="1">
        <f>IFERROR(__xludf.DUMMYFUNCTION("""COMPUTED_VALUE"""),370.0)</f>
        <v>370</v>
      </c>
      <c r="K303" s="1">
        <f>IFERROR(__xludf.DUMMYFUNCTION("""COMPUTED_VALUE"""),74.0)</f>
        <v>74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>
        <f>IFERROR(__xludf.DUMMYFUNCTION("""COMPUTED_VALUE"""),63.0)</f>
        <v>63</v>
      </c>
      <c r="E304" s="1">
        <f>IFERROR(__xludf.DUMMYFUNCTION("""COMPUTED_VALUE"""),93.0)</f>
        <v>93</v>
      </c>
      <c r="F304" s="1">
        <f>IFERROR(__xludf.DUMMYFUNCTION("""COMPUTED_VALUE"""),41.0)</f>
        <v>41</v>
      </c>
      <c r="G304" s="1">
        <f>IFERROR(__xludf.DUMMYFUNCTION("""COMPUTED_VALUE"""),85.0)</f>
        <v>85</v>
      </c>
      <c r="H304" s="1">
        <f>IFERROR(__xludf.DUMMYFUNCTION("""COMPUTED_VALUE"""),91.0)</f>
        <v>91</v>
      </c>
      <c r="I304" s="1">
        <f>IFERROR(__xludf.DUMMYFUNCTION("""COMPUTED_VALUE"""),47.0)</f>
        <v>47</v>
      </c>
      <c r="J304" s="1">
        <f>IFERROR(__xludf.DUMMYFUNCTION("""COMPUTED_VALUE"""),357.0)</f>
        <v>357</v>
      </c>
      <c r="K304" s="1">
        <f>IFERROR(__xludf.DUMMYFUNCTION("""COMPUTED_VALUE"""),71.39999999999999)</f>
        <v>71.4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>
        <f>IFERROR(__xludf.DUMMYFUNCTION("""COMPUTED_VALUE"""),22.0)</f>
        <v>22</v>
      </c>
      <c r="E305" s="1">
        <f>IFERROR(__xludf.DUMMYFUNCTION("""COMPUTED_VALUE"""),48.0)</f>
        <v>48</v>
      </c>
      <c r="F305" s="1">
        <f>IFERROR(__xludf.DUMMYFUNCTION("""COMPUTED_VALUE"""),93.0)</f>
        <v>93</v>
      </c>
      <c r="G305" s="1">
        <f>IFERROR(__xludf.DUMMYFUNCTION("""COMPUTED_VALUE"""),63.0)</f>
        <v>63</v>
      </c>
      <c r="H305" s="1">
        <f>IFERROR(__xludf.DUMMYFUNCTION("""COMPUTED_VALUE"""),38.0)</f>
        <v>38</v>
      </c>
      <c r="I305" s="1">
        <f>IFERROR(__xludf.DUMMYFUNCTION("""COMPUTED_VALUE"""),87.0)</f>
        <v>87</v>
      </c>
      <c r="J305" s="1">
        <f>IFERROR(__xludf.DUMMYFUNCTION("""COMPUTED_VALUE"""),329.0)</f>
        <v>329</v>
      </c>
      <c r="K305" s="1">
        <f>IFERROR(__xludf.DUMMYFUNCTION("""COMPUTED_VALUE"""),65.8)</f>
        <v>65.8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>
        <f>IFERROR(__xludf.DUMMYFUNCTION("""COMPUTED_VALUE"""),11.0)</f>
        <v>11</v>
      </c>
      <c r="E306" s="1">
        <f>IFERROR(__xludf.DUMMYFUNCTION("""COMPUTED_VALUE"""),33.0)</f>
        <v>33</v>
      </c>
      <c r="F306" s="1">
        <f>IFERROR(__xludf.DUMMYFUNCTION("""COMPUTED_VALUE"""),41.0)</f>
        <v>41</v>
      </c>
      <c r="G306" s="1">
        <f>IFERROR(__xludf.DUMMYFUNCTION("""COMPUTED_VALUE"""),52.0)</f>
        <v>52</v>
      </c>
      <c r="H306" s="1">
        <f>IFERROR(__xludf.DUMMYFUNCTION("""COMPUTED_VALUE"""),71.0)</f>
        <v>71</v>
      </c>
      <c r="I306" s="1">
        <f>IFERROR(__xludf.DUMMYFUNCTION("""COMPUTED_VALUE"""),74.0)</f>
        <v>74</v>
      </c>
      <c r="J306" s="1">
        <f>IFERROR(__xludf.DUMMYFUNCTION("""COMPUTED_VALUE"""),271.0)</f>
        <v>271</v>
      </c>
      <c r="K306" s="1">
        <f>IFERROR(__xludf.DUMMYFUNCTION("""COMPUTED_VALUE"""),54.2)</f>
        <v>54.2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>
        <f>IFERROR(__xludf.DUMMYFUNCTION("""COMPUTED_VALUE"""),21.0)</f>
        <v>21</v>
      </c>
      <c r="E307" s="1">
        <f>IFERROR(__xludf.DUMMYFUNCTION("""COMPUTED_VALUE"""),98.0)</f>
        <v>98</v>
      </c>
      <c r="F307" s="1">
        <f>IFERROR(__xludf.DUMMYFUNCTION("""COMPUTED_VALUE"""),28.0)</f>
        <v>28</v>
      </c>
      <c r="G307" s="1">
        <f>IFERROR(__xludf.DUMMYFUNCTION("""COMPUTED_VALUE"""),46.0)</f>
        <v>46</v>
      </c>
      <c r="H307" s="1">
        <f>IFERROR(__xludf.DUMMYFUNCTION("""COMPUTED_VALUE"""),25.0)</f>
        <v>25</v>
      </c>
      <c r="I307" s="1">
        <f>IFERROR(__xludf.DUMMYFUNCTION("""COMPUTED_VALUE"""),25.0)</f>
        <v>25</v>
      </c>
      <c r="J307" s="1">
        <f>IFERROR(__xludf.DUMMYFUNCTION("""COMPUTED_VALUE"""),222.0)</f>
        <v>222</v>
      </c>
      <c r="K307" s="1">
        <f>IFERROR(__xludf.DUMMYFUNCTION("""COMPUTED_VALUE"""),44.4)</f>
        <v>44.4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>
        <f>IFERROR(__xludf.DUMMYFUNCTION("""COMPUTED_VALUE"""),77.0)</f>
        <v>77</v>
      </c>
      <c r="E308" s="1">
        <f>IFERROR(__xludf.DUMMYFUNCTION("""COMPUTED_VALUE"""),36.0)</f>
        <v>36</v>
      </c>
      <c r="F308" s="1">
        <f>IFERROR(__xludf.DUMMYFUNCTION("""COMPUTED_VALUE"""),25.0)</f>
        <v>25</v>
      </c>
      <c r="G308" s="1">
        <f>IFERROR(__xludf.DUMMYFUNCTION("""COMPUTED_VALUE"""),27.0)</f>
        <v>27</v>
      </c>
      <c r="H308" s="1">
        <f>IFERROR(__xludf.DUMMYFUNCTION("""COMPUTED_VALUE"""),66.0)</f>
        <v>66</v>
      </c>
      <c r="I308" s="1">
        <f>IFERROR(__xludf.DUMMYFUNCTION("""COMPUTED_VALUE"""),35.0)</f>
        <v>35</v>
      </c>
      <c r="J308" s="1">
        <f>IFERROR(__xludf.DUMMYFUNCTION("""COMPUTED_VALUE"""),189.0)</f>
        <v>189</v>
      </c>
      <c r="K308" s="1">
        <f>IFERROR(__xludf.DUMMYFUNCTION("""COMPUTED_VALUE"""),37.8)</f>
        <v>37.8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>
        <f>IFERROR(__xludf.DUMMYFUNCTION("""COMPUTED_VALUE"""),30.0)</f>
        <v>30</v>
      </c>
      <c r="E309" s="1">
        <f>IFERROR(__xludf.DUMMYFUNCTION("""COMPUTED_VALUE"""),46.0)</f>
        <v>46</v>
      </c>
      <c r="F309" s="1">
        <f>IFERROR(__xludf.DUMMYFUNCTION("""COMPUTED_VALUE"""),21.0)</f>
        <v>21</v>
      </c>
      <c r="G309" s="1">
        <f>IFERROR(__xludf.DUMMYFUNCTION("""COMPUTED_VALUE"""),24.0)</f>
        <v>24</v>
      </c>
      <c r="H309" s="1">
        <f>IFERROR(__xludf.DUMMYFUNCTION("""COMPUTED_VALUE"""),70.0)</f>
        <v>70</v>
      </c>
      <c r="I309" s="1">
        <f>IFERROR(__xludf.DUMMYFUNCTION("""COMPUTED_VALUE"""),84.0)</f>
        <v>84</v>
      </c>
      <c r="J309" s="1">
        <f>IFERROR(__xludf.DUMMYFUNCTION("""COMPUTED_VALUE"""),245.0)</f>
        <v>245</v>
      </c>
      <c r="K309" s="1">
        <f>IFERROR(__xludf.DUMMYFUNCTION("""COMPUTED_VALUE"""),49.0)</f>
        <v>49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>
        <f>IFERROR(__xludf.DUMMYFUNCTION("""COMPUTED_VALUE"""),42.0)</f>
        <v>42</v>
      </c>
      <c r="E310" s="1">
        <f>IFERROR(__xludf.DUMMYFUNCTION("""COMPUTED_VALUE"""),78.0)</f>
        <v>78</v>
      </c>
      <c r="F310" s="1">
        <f>IFERROR(__xludf.DUMMYFUNCTION("""COMPUTED_VALUE"""),93.0)</f>
        <v>93</v>
      </c>
      <c r="G310" s="1">
        <f>IFERROR(__xludf.DUMMYFUNCTION("""COMPUTED_VALUE"""),48.0)</f>
        <v>48</v>
      </c>
      <c r="H310" s="1">
        <f>IFERROR(__xludf.DUMMYFUNCTION("""COMPUTED_VALUE"""),93.0)</f>
        <v>93</v>
      </c>
      <c r="I310" s="1">
        <f>IFERROR(__xludf.DUMMYFUNCTION("""COMPUTED_VALUE"""),76.0)</f>
        <v>76</v>
      </c>
      <c r="J310" s="1">
        <f>IFERROR(__xludf.DUMMYFUNCTION("""COMPUTED_VALUE"""),388.0)</f>
        <v>388</v>
      </c>
      <c r="K310" s="1">
        <f>IFERROR(__xludf.DUMMYFUNCTION("""COMPUTED_VALUE"""),77.60000000000001)</f>
        <v>77.6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>
        <f>IFERROR(__xludf.DUMMYFUNCTION("""COMPUTED_VALUE"""),70.0)</f>
        <v>70</v>
      </c>
      <c r="E311" s="1">
        <f>IFERROR(__xludf.DUMMYFUNCTION("""COMPUTED_VALUE"""),99.0)</f>
        <v>99</v>
      </c>
      <c r="F311" s="1">
        <f>IFERROR(__xludf.DUMMYFUNCTION("""COMPUTED_VALUE"""),37.0)</f>
        <v>37</v>
      </c>
      <c r="G311" s="1">
        <f>IFERROR(__xludf.DUMMYFUNCTION("""COMPUTED_VALUE"""),55.0)</f>
        <v>55</v>
      </c>
      <c r="H311" s="1">
        <f>IFERROR(__xludf.DUMMYFUNCTION("""COMPUTED_VALUE"""),96.0)</f>
        <v>96</v>
      </c>
      <c r="I311" s="1">
        <f>IFERROR(__xludf.DUMMYFUNCTION("""COMPUTED_VALUE"""),46.0)</f>
        <v>46</v>
      </c>
      <c r="J311" s="1">
        <f>IFERROR(__xludf.DUMMYFUNCTION("""COMPUTED_VALUE"""),333.0)</f>
        <v>333</v>
      </c>
      <c r="K311" s="1">
        <f>IFERROR(__xludf.DUMMYFUNCTION("""COMPUTED_VALUE"""),66.60000000000001)</f>
        <v>66.6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>
        <f>IFERROR(__xludf.DUMMYFUNCTION("""COMPUTED_VALUE"""),61.0)</f>
        <v>61</v>
      </c>
      <c r="E312" s="1">
        <f>IFERROR(__xludf.DUMMYFUNCTION("""COMPUTED_VALUE"""),24.0)</f>
        <v>24</v>
      </c>
      <c r="F312" s="1">
        <f>IFERROR(__xludf.DUMMYFUNCTION("""COMPUTED_VALUE"""),95.0)</f>
        <v>95</v>
      </c>
      <c r="G312" s="1">
        <f>IFERROR(__xludf.DUMMYFUNCTION("""COMPUTED_VALUE"""),78.0)</f>
        <v>78</v>
      </c>
      <c r="H312" s="1">
        <f>IFERROR(__xludf.DUMMYFUNCTION("""COMPUTED_VALUE"""),22.0)</f>
        <v>22</v>
      </c>
      <c r="I312" s="1">
        <f>IFERROR(__xludf.DUMMYFUNCTION("""COMPUTED_VALUE"""),24.0)</f>
        <v>24</v>
      </c>
      <c r="J312" s="1">
        <f>IFERROR(__xludf.DUMMYFUNCTION("""COMPUTED_VALUE"""),243.0)</f>
        <v>243</v>
      </c>
      <c r="K312" s="1">
        <f>IFERROR(__xludf.DUMMYFUNCTION("""COMPUTED_VALUE"""),48.6)</f>
        <v>48.6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>
        <f>IFERROR(__xludf.DUMMYFUNCTION("""COMPUTED_VALUE"""),99.0)</f>
        <v>99</v>
      </c>
      <c r="E313" s="1">
        <f>IFERROR(__xludf.DUMMYFUNCTION("""COMPUTED_VALUE"""),77.0)</f>
        <v>77</v>
      </c>
      <c r="F313" s="1">
        <f>IFERROR(__xludf.DUMMYFUNCTION("""COMPUTED_VALUE"""),28.0)</f>
        <v>28</v>
      </c>
      <c r="G313" s="1">
        <f>IFERROR(__xludf.DUMMYFUNCTION("""COMPUTED_VALUE"""),94.0)</f>
        <v>94</v>
      </c>
      <c r="H313" s="1">
        <f>IFERROR(__xludf.DUMMYFUNCTION("""COMPUTED_VALUE"""),25.0)</f>
        <v>25</v>
      </c>
      <c r="I313" s="1">
        <f>IFERROR(__xludf.DUMMYFUNCTION("""COMPUTED_VALUE"""),24.0)</f>
        <v>24</v>
      </c>
      <c r="J313" s="1">
        <f>IFERROR(__xludf.DUMMYFUNCTION("""COMPUTED_VALUE"""),248.0)</f>
        <v>248</v>
      </c>
      <c r="K313" s="1">
        <f>IFERROR(__xludf.DUMMYFUNCTION("""COMPUTED_VALUE"""),49.6)</f>
        <v>49.6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>
        <f>IFERROR(__xludf.DUMMYFUNCTION("""COMPUTED_VALUE"""),33.0)</f>
        <v>33</v>
      </c>
      <c r="E314" s="1">
        <f>IFERROR(__xludf.DUMMYFUNCTION("""COMPUTED_VALUE"""),29.0)</f>
        <v>29</v>
      </c>
      <c r="F314" s="1">
        <f>IFERROR(__xludf.DUMMYFUNCTION("""COMPUTED_VALUE"""),74.0)</f>
        <v>74</v>
      </c>
      <c r="G314" s="1">
        <f>IFERROR(__xludf.DUMMYFUNCTION("""COMPUTED_VALUE"""),78.0)</f>
        <v>78</v>
      </c>
      <c r="H314" s="1">
        <f>IFERROR(__xludf.DUMMYFUNCTION("""COMPUTED_VALUE"""),66.0)</f>
        <v>66</v>
      </c>
      <c r="I314" s="1">
        <f>IFERROR(__xludf.DUMMYFUNCTION("""COMPUTED_VALUE"""),56.0)</f>
        <v>56</v>
      </c>
      <c r="J314" s="1">
        <f>IFERROR(__xludf.DUMMYFUNCTION("""COMPUTED_VALUE"""),303.0)</f>
        <v>303</v>
      </c>
      <c r="K314" s="1">
        <f>IFERROR(__xludf.DUMMYFUNCTION("""COMPUTED_VALUE"""),60.6)</f>
        <v>60.6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>
        <f>IFERROR(__xludf.DUMMYFUNCTION("""COMPUTED_VALUE"""),26.0)</f>
        <v>26</v>
      </c>
      <c r="E315" s="1">
        <f>IFERROR(__xludf.DUMMYFUNCTION("""COMPUTED_VALUE"""),21.0)</f>
        <v>21</v>
      </c>
      <c r="F315" s="1">
        <f>IFERROR(__xludf.DUMMYFUNCTION("""COMPUTED_VALUE"""),97.0)</f>
        <v>97</v>
      </c>
      <c r="G315" s="1">
        <f>IFERROR(__xludf.DUMMYFUNCTION("""COMPUTED_VALUE"""),67.0)</f>
        <v>67</v>
      </c>
      <c r="H315" s="1">
        <f>IFERROR(__xludf.DUMMYFUNCTION("""COMPUTED_VALUE"""),81.0)</f>
        <v>81</v>
      </c>
      <c r="I315" s="1">
        <f>IFERROR(__xludf.DUMMYFUNCTION("""COMPUTED_VALUE"""),72.0)</f>
        <v>72</v>
      </c>
      <c r="J315" s="1">
        <f>IFERROR(__xludf.DUMMYFUNCTION("""COMPUTED_VALUE"""),338.0)</f>
        <v>338</v>
      </c>
      <c r="K315" s="1">
        <f>IFERROR(__xludf.DUMMYFUNCTION("""COMPUTED_VALUE"""),67.60000000000001)</f>
        <v>67.6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>
        <f>IFERROR(__xludf.DUMMYFUNCTION("""COMPUTED_VALUE"""),37.0)</f>
        <v>37</v>
      </c>
      <c r="E316" s="1">
        <f>IFERROR(__xludf.DUMMYFUNCTION("""COMPUTED_VALUE"""),39.0)</f>
        <v>39</v>
      </c>
      <c r="F316" s="1">
        <f>IFERROR(__xludf.DUMMYFUNCTION("""COMPUTED_VALUE"""),28.0)</f>
        <v>28</v>
      </c>
      <c r="G316" s="1">
        <f>IFERROR(__xludf.DUMMYFUNCTION("""COMPUTED_VALUE"""),54.0)</f>
        <v>54</v>
      </c>
      <c r="H316" s="1">
        <f>IFERROR(__xludf.DUMMYFUNCTION("""COMPUTED_VALUE"""),51.0)</f>
        <v>51</v>
      </c>
      <c r="I316" s="1">
        <f>IFERROR(__xludf.DUMMYFUNCTION("""COMPUTED_VALUE"""),61.0)</f>
        <v>61</v>
      </c>
      <c r="J316" s="1">
        <f>IFERROR(__xludf.DUMMYFUNCTION("""COMPUTED_VALUE"""),233.0)</f>
        <v>233</v>
      </c>
      <c r="K316" s="1">
        <f>IFERROR(__xludf.DUMMYFUNCTION("""COMPUTED_VALUE"""),46.6)</f>
        <v>46.6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>
        <f>IFERROR(__xludf.DUMMYFUNCTION("""COMPUTED_VALUE"""),46.0)</f>
        <v>46</v>
      </c>
      <c r="E317" s="1">
        <f>IFERROR(__xludf.DUMMYFUNCTION("""COMPUTED_VALUE"""),73.0)</f>
        <v>73</v>
      </c>
      <c r="F317" s="1">
        <f>IFERROR(__xludf.DUMMYFUNCTION("""COMPUTED_VALUE"""),50.0)</f>
        <v>50</v>
      </c>
      <c r="G317" s="1">
        <f>IFERROR(__xludf.DUMMYFUNCTION("""COMPUTED_VALUE"""),75.0)</f>
        <v>75</v>
      </c>
      <c r="H317" s="1">
        <f>IFERROR(__xludf.DUMMYFUNCTION("""COMPUTED_VALUE"""),21.0)</f>
        <v>21</v>
      </c>
      <c r="I317" s="1">
        <f>IFERROR(__xludf.DUMMYFUNCTION("""COMPUTED_VALUE"""),92.0)</f>
        <v>92</v>
      </c>
      <c r="J317" s="1">
        <f>IFERROR(__xludf.DUMMYFUNCTION("""COMPUTED_VALUE"""),311.0)</f>
        <v>311</v>
      </c>
      <c r="K317" s="1">
        <f>IFERROR(__xludf.DUMMYFUNCTION("""COMPUTED_VALUE"""),62.2)</f>
        <v>62.2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>
        <f>IFERROR(__xludf.DUMMYFUNCTION("""COMPUTED_VALUE"""),73.0)</f>
        <v>73</v>
      </c>
      <c r="E318" s="1">
        <f>IFERROR(__xludf.DUMMYFUNCTION("""COMPUTED_VALUE"""),95.0)</f>
        <v>95</v>
      </c>
      <c r="F318" s="1">
        <f>IFERROR(__xludf.DUMMYFUNCTION("""COMPUTED_VALUE"""),41.0)</f>
        <v>41</v>
      </c>
      <c r="G318" s="1">
        <f>IFERROR(__xludf.DUMMYFUNCTION("""COMPUTED_VALUE"""),26.0)</f>
        <v>26</v>
      </c>
      <c r="H318" s="1">
        <f>IFERROR(__xludf.DUMMYFUNCTION("""COMPUTED_VALUE"""),32.0)</f>
        <v>32</v>
      </c>
      <c r="I318" s="1">
        <f>IFERROR(__xludf.DUMMYFUNCTION("""COMPUTED_VALUE"""),52.0)</f>
        <v>52</v>
      </c>
      <c r="J318" s="1">
        <f>IFERROR(__xludf.DUMMYFUNCTION("""COMPUTED_VALUE"""),246.0)</f>
        <v>246</v>
      </c>
      <c r="K318" s="1">
        <f>IFERROR(__xludf.DUMMYFUNCTION("""COMPUTED_VALUE"""),49.2)</f>
        <v>49.2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>
        <f>IFERROR(__xludf.DUMMYFUNCTION("""COMPUTED_VALUE"""),11.0)</f>
        <v>11</v>
      </c>
      <c r="E319" s="1">
        <f>IFERROR(__xludf.DUMMYFUNCTION("""COMPUTED_VALUE"""),23.0)</f>
        <v>23</v>
      </c>
      <c r="F319" s="1">
        <f>IFERROR(__xludf.DUMMYFUNCTION("""COMPUTED_VALUE"""),75.0)</f>
        <v>75</v>
      </c>
      <c r="G319" s="1">
        <f>IFERROR(__xludf.DUMMYFUNCTION("""COMPUTED_VALUE"""),73.0)</f>
        <v>73</v>
      </c>
      <c r="H319" s="1">
        <f>IFERROR(__xludf.DUMMYFUNCTION("""COMPUTED_VALUE"""),34.0)</f>
        <v>34</v>
      </c>
      <c r="I319" s="1">
        <f>IFERROR(__xludf.DUMMYFUNCTION("""COMPUTED_VALUE"""),85.0)</f>
        <v>85</v>
      </c>
      <c r="J319" s="1">
        <f>IFERROR(__xludf.DUMMYFUNCTION("""COMPUTED_VALUE"""),290.0)</f>
        <v>290</v>
      </c>
      <c r="K319" s="1">
        <f>IFERROR(__xludf.DUMMYFUNCTION("""COMPUTED_VALUE"""),57.99999999999999)</f>
        <v>58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>
        <f>IFERROR(__xludf.DUMMYFUNCTION("""COMPUTED_VALUE"""),60.0)</f>
        <v>60</v>
      </c>
      <c r="E320" s="1">
        <f>IFERROR(__xludf.DUMMYFUNCTION("""COMPUTED_VALUE"""),45.0)</f>
        <v>45</v>
      </c>
      <c r="F320" s="1">
        <f>IFERROR(__xludf.DUMMYFUNCTION("""COMPUTED_VALUE"""),51.0)</f>
        <v>51</v>
      </c>
      <c r="G320" s="1">
        <f>IFERROR(__xludf.DUMMYFUNCTION("""COMPUTED_VALUE"""),72.0)</f>
        <v>72</v>
      </c>
      <c r="H320" s="1">
        <f>IFERROR(__xludf.DUMMYFUNCTION("""COMPUTED_VALUE"""),95.0)</f>
        <v>95</v>
      </c>
      <c r="I320" s="1">
        <f>IFERROR(__xludf.DUMMYFUNCTION("""COMPUTED_VALUE"""),49.0)</f>
        <v>49</v>
      </c>
      <c r="J320" s="1">
        <f>IFERROR(__xludf.DUMMYFUNCTION("""COMPUTED_VALUE"""),312.0)</f>
        <v>312</v>
      </c>
      <c r="K320" s="1">
        <f>IFERROR(__xludf.DUMMYFUNCTION("""COMPUTED_VALUE"""),62.4)</f>
        <v>62.4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>
        <f>IFERROR(__xludf.DUMMYFUNCTION("""COMPUTED_VALUE"""),84.0)</f>
        <v>84</v>
      </c>
      <c r="E321" s="1">
        <f>IFERROR(__xludf.DUMMYFUNCTION("""COMPUTED_VALUE"""),95.0)</f>
        <v>95</v>
      </c>
      <c r="F321" s="1">
        <f>IFERROR(__xludf.DUMMYFUNCTION("""COMPUTED_VALUE"""),61.0)</f>
        <v>61</v>
      </c>
      <c r="G321" s="1">
        <f>IFERROR(__xludf.DUMMYFUNCTION("""COMPUTED_VALUE"""),95.0)</f>
        <v>95</v>
      </c>
      <c r="H321" s="1">
        <f>IFERROR(__xludf.DUMMYFUNCTION("""COMPUTED_VALUE"""),35.0)</f>
        <v>35</v>
      </c>
      <c r="I321" s="1">
        <f>IFERROR(__xludf.DUMMYFUNCTION("""COMPUTED_VALUE"""),35.0)</f>
        <v>35</v>
      </c>
      <c r="J321" s="1">
        <f>IFERROR(__xludf.DUMMYFUNCTION("""COMPUTED_VALUE"""),321.0)</f>
        <v>321</v>
      </c>
      <c r="K321" s="1">
        <f>IFERROR(__xludf.DUMMYFUNCTION("""COMPUTED_VALUE"""),64.2)</f>
        <v>64.2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>
        <f>IFERROR(__xludf.DUMMYFUNCTION("""COMPUTED_VALUE"""),52.0)</f>
        <v>52</v>
      </c>
      <c r="E322" s="1">
        <f>IFERROR(__xludf.DUMMYFUNCTION("""COMPUTED_VALUE"""),96.0)</f>
        <v>96</v>
      </c>
      <c r="F322" s="1">
        <f>IFERROR(__xludf.DUMMYFUNCTION("""COMPUTED_VALUE"""),24.0)</f>
        <v>24</v>
      </c>
      <c r="G322" s="1">
        <f>IFERROR(__xludf.DUMMYFUNCTION("""COMPUTED_VALUE"""),69.0)</f>
        <v>69</v>
      </c>
      <c r="H322" s="1">
        <f>IFERROR(__xludf.DUMMYFUNCTION("""COMPUTED_VALUE"""),55.0)</f>
        <v>55</v>
      </c>
      <c r="I322" s="1">
        <f>IFERROR(__xludf.DUMMYFUNCTION("""COMPUTED_VALUE"""),66.0)</f>
        <v>66</v>
      </c>
      <c r="J322" s="1">
        <f>IFERROR(__xludf.DUMMYFUNCTION("""COMPUTED_VALUE"""),310.0)</f>
        <v>310</v>
      </c>
      <c r="K322" s="1">
        <f>IFERROR(__xludf.DUMMYFUNCTION("""COMPUTED_VALUE"""),62.0)</f>
        <v>62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>
        <f>IFERROR(__xludf.DUMMYFUNCTION("""COMPUTED_VALUE"""),58.0)</f>
        <v>58</v>
      </c>
      <c r="E323" s="1">
        <f>IFERROR(__xludf.DUMMYFUNCTION("""COMPUTED_VALUE"""),33.0)</f>
        <v>33</v>
      </c>
      <c r="F323" s="1">
        <f>IFERROR(__xludf.DUMMYFUNCTION("""COMPUTED_VALUE"""),89.0)</f>
        <v>89</v>
      </c>
      <c r="G323" s="1">
        <f>IFERROR(__xludf.DUMMYFUNCTION("""COMPUTED_VALUE"""),63.0)</f>
        <v>63</v>
      </c>
      <c r="H323" s="1">
        <f>IFERROR(__xludf.DUMMYFUNCTION("""COMPUTED_VALUE"""),81.0)</f>
        <v>81</v>
      </c>
      <c r="I323" s="1">
        <f>IFERROR(__xludf.DUMMYFUNCTION("""COMPUTED_VALUE"""),24.0)</f>
        <v>24</v>
      </c>
      <c r="J323" s="1">
        <f>IFERROR(__xludf.DUMMYFUNCTION("""COMPUTED_VALUE"""),290.0)</f>
        <v>290</v>
      </c>
      <c r="K323" s="1">
        <f>IFERROR(__xludf.DUMMYFUNCTION("""COMPUTED_VALUE"""),57.99999999999999)</f>
        <v>58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>
        <f>IFERROR(__xludf.DUMMYFUNCTION("""COMPUTED_VALUE"""),85.0)</f>
        <v>85</v>
      </c>
      <c r="E324" s="1">
        <f>IFERROR(__xludf.DUMMYFUNCTION("""COMPUTED_VALUE"""),34.0)</f>
        <v>34</v>
      </c>
      <c r="F324" s="1">
        <f>IFERROR(__xludf.DUMMYFUNCTION("""COMPUTED_VALUE"""),55.0)</f>
        <v>55</v>
      </c>
      <c r="G324" s="1">
        <f>IFERROR(__xludf.DUMMYFUNCTION("""COMPUTED_VALUE"""),29.0)</f>
        <v>29</v>
      </c>
      <c r="H324" s="1">
        <f>IFERROR(__xludf.DUMMYFUNCTION("""COMPUTED_VALUE"""),66.0)</f>
        <v>66</v>
      </c>
      <c r="I324" s="1">
        <f>IFERROR(__xludf.DUMMYFUNCTION("""COMPUTED_VALUE"""),68.0)</f>
        <v>68</v>
      </c>
      <c r="J324" s="1">
        <f>IFERROR(__xludf.DUMMYFUNCTION("""COMPUTED_VALUE"""),252.0)</f>
        <v>252</v>
      </c>
      <c r="K324" s="1">
        <f>IFERROR(__xludf.DUMMYFUNCTION("""COMPUTED_VALUE"""),50.4)</f>
        <v>50.4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>
        <f>IFERROR(__xludf.DUMMYFUNCTION("""COMPUTED_VALUE"""),76.0)</f>
        <v>76</v>
      </c>
      <c r="E325" s="1">
        <f>IFERROR(__xludf.DUMMYFUNCTION("""COMPUTED_VALUE"""),32.0)</f>
        <v>32</v>
      </c>
      <c r="F325" s="1">
        <f>IFERROR(__xludf.DUMMYFUNCTION("""COMPUTED_VALUE"""),28.0)</f>
        <v>28</v>
      </c>
      <c r="G325" s="1">
        <f>IFERROR(__xludf.DUMMYFUNCTION("""COMPUTED_VALUE"""),36.0)</f>
        <v>36</v>
      </c>
      <c r="H325" s="1">
        <f>IFERROR(__xludf.DUMMYFUNCTION("""COMPUTED_VALUE"""),29.0)</f>
        <v>29</v>
      </c>
      <c r="I325" s="1">
        <f>IFERROR(__xludf.DUMMYFUNCTION("""COMPUTED_VALUE"""),24.0)</f>
        <v>24</v>
      </c>
      <c r="J325" s="1">
        <f>IFERROR(__xludf.DUMMYFUNCTION("""COMPUTED_VALUE"""),149.0)</f>
        <v>149</v>
      </c>
      <c r="K325" s="1">
        <f>IFERROR(__xludf.DUMMYFUNCTION("""COMPUTED_VALUE"""),29.799999999999997)</f>
        <v>29.8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>
        <f>IFERROR(__xludf.DUMMYFUNCTION("""COMPUTED_VALUE"""),37.0)</f>
        <v>37</v>
      </c>
      <c r="E326" s="1">
        <f>IFERROR(__xludf.DUMMYFUNCTION("""COMPUTED_VALUE"""),21.0)</f>
        <v>21</v>
      </c>
      <c r="F326" s="1">
        <f>IFERROR(__xludf.DUMMYFUNCTION("""COMPUTED_VALUE"""),84.0)</f>
        <v>84</v>
      </c>
      <c r="G326" s="1">
        <f>IFERROR(__xludf.DUMMYFUNCTION("""COMPUTED_VALUE"""),60.0)</f>
        <v>60</v>
      </c>
      <c r="H326" s="1">
        <f>IFERROR(__xludf.DUMMYFUNCTION("""COMPUTED_VALUE"""),25.0)</f>
        <v>25</v>
      </c>
      <c r="I326" s="1">
        <f>IFERROR(__xludf.DUMMYFUNCTION("""COMPUTED_VALUE"""),81.0)</f>
        <v>81</v>
      </c>
      <c r="J326" s="1">
        <f>IFERROR(__xludf.DUMMYFUNCTION("""COMPUTED_VALUE"""),271.0)</f>
        <v>271</v>
      </c>
      <c r="K326" s="1">
        <f>IFERROR(__xludf.DUMMYFUNCTION("""COMPUTED_VALUE"""),54.2)</f>
        <v>54.2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>
        <f>IFERROR(__xludf.DUMMYFUNCTION("""COMPUTED_VALUE"""),65.0)</f>
        <v>65</v>
      </c>
      <c r="E327" s="1">
        <f>IFERROR(__xludf.DUMMYFUNCTION("""COMPUTED_VALUE"""),22.0)</f>
        <v>22</v>
      </c>
      <c r="F327" s="1">
        <f>IFERROR(__xludf.DUMMYFUNCTION("""COMPUTED_VALUE"""),75.0)</f>
        <v>75</v>
      </c>
      <c r="G327" s="1">
        <f>IFERROR(__xludf.DUMMYFUNCTION("""COMPUTED_VALUE"""),58.0)</f>
        <v>58</v>
      </c>
      <c r="H327" s="1">
        <f>IFERROR(__xludf.DUMMYFUNCTION("""COMPUTED_VALUE"""),80.0)</f>
        <v>80</v>
      </c>
      <c r="I327" s="1">
        <f>IFERROR(__xludf.DUMMYFUNCTION("""COMPUTED_VALUE"""),95.0)</f>
        <v>95</v>
      </c>
      <c r="J327" s="1">
        <f>IFERROR(__xludf.DUMMYFUNCTION("""COMPUTED_VALUE"""),330.0)</f>
        <v>330</v>
      </c>
      <c r="K327" s="1">
        <f>IFERROR(__xludf.DUMMYFUNCTION("""COMPUTED_VALUE"""),66.0)</f>
        <v>66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>
        <f>IFERROR(__xludf.DUMMYFUNCTION("""COMPUTED_VALUE"""),87.0)</f>
        <v>87</v>
      </c>
      <c r="E328" s="1">
        <f>IFERROR(__xludf.DUMMYFUNCTION("""COMPUTED_VALUE"""),46.0)</f>
        <v>46</v>
      </c>
      <c r="F328" s="1">
        <f>IFERROR(__xludf.DUMMYFUNCTION("""COMPUTED_VALUE"""),99.0)</f>
        <v>99</v>
      </c>
      <c r="G328" s="1">
        <f>IFERROR(__xludf.DUMMYFUNCTION("""COMPUTED_VALUE"""),70.0)</f>
        <v>70</v>
      </c>
      <c r="H328" s="1">
        <f>IFERROR(__xludf.DUMMYFUNCTION("""COMPUTED_VALUE"""),93.0)</f>
        <v>93</v>
      </c>
      <c r="I328" s="1">
        <f>IFERROR(__xludf.DUMMYFUNCTION("""COMPUTED_VALUE"""),89.0)</f>
        <v>89</v>
      </c>
      <c r="J328" s="1">
        <f>IFERROR(__xludf.DUMMYFUNCTION("""COMPUTED_VALUE"""),397.0)</f>
        <v>397</v>
      </c>
      <c r="K328" s="1">
        <f>IFERROR(__xludf.DUMMYFUNCTION("""COMPUTED_VALUE"""),79.4)</f>
        <v>79.4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>
        <f>IFERROR(__xludf.DUMMYFUNCTION("""COMPUTED_VALUE"""),17.0)</f>
        <v>17</v>
      </c>
      <c r="E329" s="1">
        <f>IFERROR(__xludf.DUMMYFUNCTION("""COMPUTED_VALUE"""),27.0)</f>
        <v>27</v>
      </c>
      <c r="F329" s="1">
        <f>IFERROR(__xludf.DUMMYFUNCTION("""COMPUTED_VALUE"""),64.0)</f>
        <v>64</v>
      </c>
      <c r="G329" s="1">
        <f>IFERROR(__xludf.DUMMYFUNCTION("""COMPUTED_VALUE"""),72.0)</f>
        <v>72</v>
      </c>
      <c r="H329" s="1">
        <f>IFERROR(__xludf.DUMMYFUNCTION("""COMPUTED_VALUE"""),41.0)</f>
        <v>41</v>
      </c>
      <c r="I329" s="1">
        <f>IFERROR(__xludf.DUMMYFUNCTION("""COMPUTED_VALUE"""),60.0)</f>
        <v>60</v>
      </c>
      <c r="J329" s="1">
        <f>IFERROR(__xludf.DUMMYFUNCTION("""COMPUTED_VALUE"""),264.0)</f>
        <v>264</v>
      </c>
      <c r="K329" s="1">
        <f>IFERROR(__xludf.DUMMYFUNCTION("""COMPUTED_VALUE"""),52.800000000000004)</f>
        <v>52.8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>
        <f>IFERROR(__xludf.DUMMYFUNCTION("""COMPUTED_VALUE"""),13.0)</f>
        <v>13</v>
      </c>
      <c r="E330" s="1">
        <f>IFERROR(__xludf.DUMMYFUNCTION("""COMPUTED_VALUE"""),73.0)</f>
        <v>73</v>
      </c>
      <c r="F330" s="1">
        <f>IFERROR(__xludf.DUMMYFUNCTION("""COMPUTED_VALUE"""),73.0)</f>
        <v>73</v>
      </c>
      <c r="G330" s="1">
        <f>IFERROR(__xludf.DUMMYFUNCTION("""COMPUTED_VALUE"""),68.0)</f>
        <v>68</v>
      </c>
      <c r="H330" s="1">
        <f>IFERROR(__xludf.DUMMYFUNCTION("""COMPUTED_VALUE"""),33.0)</f>
        <v>33</v>
      </c>
      <c r="I330" s="1">
        <f>IFERROR(__xludf.DUMMYFUNCTION("""COMPUTED_VALUE"""),76.0)</f>
        <v>76</v>
      </c>
      <c r="J330" s="1">
        <f>IFERROR(__xludf.DUMMYFUNCTION("""COMPUTED_VALUE"""),323.0)</f>
        <v>323</v>
      </c>
      <c r="K330" s="1">
        <f>IFERROR(__xludf.DUMMYFUNCTION("""COMPUTED_VALUE"""),64.60000000000001)</f>
        <v>64.6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>
        <f>IFERROR(__xludf.DUMMYFUNCTION("""COMPUTED_VALUE"""),91.0)</f>
        <v>91</v>
      </c>
      <c r="E331" s="1">
        <f>IFERROR(__xludf.DUMMYFUNCTION("""COMPUTED_VALUE"""),64.0)</f>
        <v>64</v>
      </c>
      <c r="F331" s="1">
        <f>IFERROR(__xludf.DUMMYFUNCTION("""COMPUTED_VALUE"""),86.0)</f>
        <v>86</v>
      </c>
      <c r="G331" s="1">
        <f>IFERROR(__xludf.DUMMYFUNCTION("""COMPUTED_VALUE"""),59.0)</f>
        <v>59</v>
      </c>
      <c r="H331" s="1">
        <f>IFERROR(__xludf.DUMMYFUNCTION("""COMPUTED_VALUE"""),63.0)</f>
        <v>63</v>
      </c>
      <c r="I331" s="1">
        <f>IFERROR(__xludf.DUMMYFUNCTION("""COMPUTED_VALUE"""),28.0)</f>
        <v>28</v>
      </c>
      <c r="J331" s="1">
        <f>IFERROR(__xludf.DUMMYFUNCTION("""COMPUTED_VALUE"""),300.0)</f>
        <v>300</v>
      </c>
      <c r="K331" s="1">
        <f>IFERROR(__xludf.DUMMYFUNCTION("""COMPUTED_VALUE"""),60.0)</f>
        <v>60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>
        <f>IFERROR(__xludf.DUMMYFUNCTION("""COMPUTED_VALUE"""),35.0)</f>
        <v>35</v>
      </c>
      <c r="E332" s="1">
        <f>IFERROR(__xludf.DUMMYFUNCTION("""COMPUTED_VALUE"""),79.0)</f>
        <v>79</v>
      </c>
      <c r="F332" s="1">
        <f>IFERROR(__xludf.DUMMYFUNCTION("""COMPUTED_VALUE"""),34.0)</f>
        <v>34</v>
      </c>
      <c r="G332" s="1">
        <f>IFERROR(__xludf.DUMMYFUNCTION("""COMPUTED_VALUE"""),98.0)</f>
        <v>98</v>
      </c>
      <c r="H332" s="1">
        <f>IFERROR(__xludf.DUMMYFUNCTION("""COMPUTED_VALUE"""),41.0)</f>
        <v>41</v>
      </c>
      <c r="I332" s="1">
        <f>IFERROR(__xludf.DUMMYFUNCTION("""COMPUTED_VALUE"""),55.0)</f>
        <v>55</v>
      </c>
      <c r="J332" s="1">
        <f>IFERROR(__xludf.DUMMYFUNCTION("""COMPUTED_VALUE"""),307.0)</f>
        <v>307</v>
      </c>
      <c r="K332" s="1">
        <f>IFERROR(__xludf.DUMMYFUNCTION("""COMPUTED_VALUE"""),61.4)</f>
        <v>61.4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>
        <f>IFERROR(__xludf.DUMMYFUNCTION("""COMPUTED_VALUE"""),61.0)</f>
        <v>61</v>
      </c>
      <c r="E333" s="1">
        <f>IFERROR(__xludf.DUMMYFUNCTION("""COMPUTED_VALUE"""),74.0)</f>
        <v>74</v>
      </c>
      <c r="F333" s="1">
        <f>IFERROR(__xludf.DUMMYFUNCTION("""COMPUTED_VALUE"""),48.0)</f>
        <v>48</v>
      </c>
      <c r="G333" s="1">
        <f>IFERROR(__xludf.DUMMYFUNCTION("""COMPUTED_VALUE"""),95.0)</f>
        <v>95</v>
      </c>
      <c r="H333" s="1">
        <f>IFERROR(__xludf.DUMMYFUNCTION("""COMPUTED_VALUE"""),90.0)</f>
        <v>90</v>
      </c>
      <c r="I333" s="1">
        <f>IFERROR(__xludf.DUMMYFUNCTION("""COMPUTED_VALUE"""),21.0)</f>
        <v>21</v>
      </c>
      <c r="J333" s="1">
        <f>IFERROR(__xludf.DUMMYFUNCTION("""COMPUTED_VALUE"""),328.0)</f>
        <v>328</v>
      </c>
      <c r="K333" s="1">
        <f>IFERROR(__xludf.DUMMYFUNCTION("""COMPUTED_VALUE"""),65.60000000000001)</f>
        <v>65.6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>
        <f>IFERROR(__xludf.DUMMYFUNCTION("""COMPUTED_VALUE"""),35.0)</f>
        <v>35</v>
      </c>
      <c r="E334" s="1">
        <f>IFERROR(__xludf.DUMMYFUNCTION("""COMPUTED_VALUE"""),31.0)</f>
        <v>31</v>
      </c>
      <c r="F334" s="1">
        <f>IFERROR(__xludf.DUMMYFUNCTION("""COMPUTED_VALUE"""),99.0)</f>
        <v>99</v>
      </c>
      <c r="G334" s="1">
        <f>IFERROR(__xludf.DUMMYFUNCTION("""COMPUTED_VALUE"""),62.0)</f>
        <v>62</v>
      </c>
      <c r="H334" s="1">
        <f>IFERROR(__xludf.DUMMYFUNCTION("""COMPUTED_VALUE"""),47.0)</f>
        <v>47</v>
      </c>
      <c r="I334" s="1">
        <f>IFERROR(__xludf.DUMMYFUNCTION("""COMPUTED_VALUE"""),77.0)</f>
        <v>77</v>
      </c>
      <c r="J334" s="1">
        <f>IFERROR(__xludf.DUMMYFUNCTION("""COMPUTED_VALUE"""),316.0)</f>
        <v>316</v>
      </c>
      <c r="K334" s="1">
        <f>IFERROR(__xludf.DUMMYFUNCTION("""COMPUTED_VALUE"""),63.2)</f>
        <v>63.2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>
        <f>IFERROR(__xludf.DUMMYFUNCTION("""COMPUTED_VALUE"""),38.0)</f>
        <v>38</v>
      </c>
      <c r="E335" s="1">
        <f>IFERROR(__xludf.DUMMYFUNCTION("""COMPUTED_VALUE"""),29.0)</f>
        <v>29</v>
      </c>
      <c r="F335" s="1">
        <f>IFERROR(__xludf.DUMMYFUNCTION("""COMPUTED_VALUE"""),73.0)</f>
        <v>73</v>
      </c>
      <c r="G335" s="1">
        <f>IFERROR(__xludf.DUMMYFUNCTION("""COMPUTED_VALUE"""),59.0)</f>
        <v>59</v>
      </c>
      <c r="H335" s="1">
        <f>IFERROR(__xludf.DUMMYFUNCTION("""COMPUTED_VALUE"""),87.0)</f>
        <v>87</v>
      </c>
      <c r="I335" s="1">
        <f>IFERROR(__xludf.DUMMYFUNCTION("""COMPUTED_VALUE"""),39.0)</f>
        <v>39</v>
      </c>
      <c r="J335" s="1">
        <f>IFERROR(__xludf.DUMMYFUNCTION("""COMPUTED_VALUE"""),287.0)</f>
        <v>287</v>
      </c>
      <c r="K335" s="1">
        <f>IFERROR(__xludf.DUMMYFUNCTION("""COMPUTED_VALUE"""),57.4)</f>
        <v>57.4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>
        <f>IFERROR(__xludf.DUMMYFUNCTION("""COMPUTED_VALUE"""),18.0)</f>
        <v>18</v>
      </c>
      <c r="E336" s="1">
        <f>IFERROR(__xludf.DUMMYFUNCTION("""COMPUTED_VALUE"""),59.0)</f>
        <v>59</v>
      </c>
      <c r="F336" s="1">
        <f>IFERROR(__xludf.DUMMYFUNCTION("""COMPUTED_VALUE"""),79.0)</f>
        <v>79</v>
      </c>
      <c r="G336" s="1">
        <f>IFERROR(__xludf.DUMMYFUNCTION("""COMPUTED_VALUE"""),49.0)</f>
        <v>49</v>
      </c>
      <c r="H336" s="1">
        <f>IFERROR(__xludf.DUMMYFUNCTION("""COMPUTED_VALUE"""),34.0)</f>
        <v>34</v>
      </c>
      <c r="I336" s="1">
        <f>IFERROR(__xludf.DUMMYFUNCTION("""COMPUTED_VALUE"""),90.0)</f>
        <v>90</v>
      </c>
      <c r="J336" s="1">
        <f>IFERROR(__xludf.DUMMYFUNCTION("""COMPUTED_VALUE"""),311.0)</f>
        <v>311</v>
      </c>
      <c r="K336" s="1">
        <f>IFERROR(__xludf.DUMMYFUNCTION("""COMPUTED_VALUE"""),62.2)</f>
        <v>62.2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>
        <f>IFERROR(__xludf.DUMMYFUNCTION("""COMPUTED_VALUE"""),68.0)</f>
        <v>68</v>
      </c>
      <c r="E337" s="1">
        <f>IFERROR(__xludf.DUMMYFUNCTION("""COMPUTED_VALUE"""),99.0)</f>
        <v>99</v>
      </c>
      <c r="F337" s="1">
        <f>IFERROR(__xludf.DUMMYFUNCTION("""COMPUTED_VALUE"""),55.0)</f>
        <v>55</v>
      </c>
      <c r="G337" s="1">
        <f>IFERROR(__xludf.DUMMYFUNCTION("""COMPUTED_VALUE"""),27.0)</f>
        <v>27</v>
      </c>
      <c r="H337" s="1">
        <f>IFERROR(__xludf.DUMMYFUNCTION("""COMPUTED_VALUE"""),86.0)</f>
        <v>86</v>
      </c>
      <c r="I337" s="1">
        <f>IFERROR(__xludf.DUMMYFUNCTION("""COMPUTED_VALUE"""),29.0)</f>
        <v>29</v>
      </c>
      <c r="J337" s="1">
        <f>IFERROR(__xludf.DUMMYFUNCTION("""COMPUTED_VALUE"""),296.0)</f>
        <v>296</v>
      </c>
      <c r="K337" s="1">
        <f>IFERROR(__xludf.DUMMYFUNCTION("""COMPUTED_VALUE"""),59.199999999999996)</f>
        <v>59.2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>
        <f>IFERROR(__xludf.DUMMYFUNCTION("""COMPUTED_VALUE"""),43.0)</f>
        <v>43</v>
      </c>
      <c r="E338" s="1">
        <f>IFERROR(__xludf.DUMMYFUNCTION("""COMPUTED_VALUE"""),40.0)</f>
        <v>40</v>
      </c>
      <c r="F338" s="1">
        <f>IFERROR(__xludf.DUMMYFUNCTION("""COMPUTED_VALUE"""),39.0)</f>
        <v>39</v>
      </c>
      <c r="G338" s="1">
        <f>IFERROR(__xludf.DUMMYFUNCTION("""COMPUTED_VALUE"""),25.0)</f>
        <v>25</v>
      </c>
      <c r="H338" s="1">
        <f>IFERROR(__xludf.DUMMYFUNCTION("""COMPUTED_VALUE"""),36.0)</f>
        <v>36</v>
      </c>
      <c r="I338" s="1">
        <f>IFERROR(__xludf.DUMMYFUNCTION("""COMPUTED_VALUE"""),81.0)</f>
        <v>81</v>
      </c>
      <c r="J338" s="1">
        <f>IFERROR(__xludf.DUMMYFUNCTION("""COMPUTED_VALUE"""),221.0)</f>
        <v>221</v>
      </c>
      <c r="K338" s="1">
        <f>IFERROR(__xludf.DUMMYFUNCTION("""COMPUTED_VALUE"""),44.2)</f>
        <v>44.2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>
        <f>IFERROR(__xludf.DUMMYFUNCTION("""COMPUTED_VALUE"""),41.0)</f>
        <v>41</v>
      </c>
      <c r="E339" s="1">
        <f>IFERROR(__xludf.DUMMYFUNCTION("""COMPUTED_VALUE"""),54.0)</f>
        <v>54</v>
      </c>
      <c r="F339" s="1">
        <f>IFERROR(__xludf.DUMMYFUNCTION("""COMPUTED_VALUE"""),55.0)</f>
        <v>55</v>
      </c>
      <c r="G339" s="1">
        <f>IFERROR(__xludf.DUMMYFUNCTION("""COMPUTED_VALUE"""),65.0)</f>
        <v>65</v>
      </c>
      <c r="H339" s="1">
        <f>IFERROR(__xludf.DUMMYFUNCTION("""COMPUTED_VALUE"""),98.0)</f>
        <v>98</v>
      </c>
      <c r="I339" s="1">
        <f>IFERROR(__xludf.DUMMYFUNCTION("""COMPUTED_VALUE"""),34.0)</f>
        <v>34</v>
      </c>
      <c r="J339" s="1">
        <f>IFERROR(__xludf.DUMMYFUNCTION("""COMPUTED_VALUE"""),306.0)</f>
        <v>306</v>
      </c>
      <c r="K339" s="1">
        <f>IFERROR(__xludf.DUMMYFUNCTION("""COMPUTED_VALUE"""),61.199999999999996)</f>
        <v>61.2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>
        <f>IFERROR(__xludf.DUMMYFUNCTION("""COMPUTED_VALUE"""),72.0)</f>
        <v>72</v>
      </c>
      <c r="E340" s="1">
        <f>IFERROR(__xludf.DUMMYFUNCTION("""COMPUTED_VALUE"""),40.0)</f>
        <v>40</v>
      </c>
      <c r="F340" s="1">
        <f>IFERROR(__xludf.DUMMYFUNCTION("""COMPUTED_VALUE"""),38.0)</f>
        <v>38</v>
      </c>
      <c r="G340" s="1">
        <f>IFERROR(__xludf.DUMMYFUNCTION("""COMPUTED_VALUE"""),78.0)</f>
        <v>78</v>
      </c>
      <c r="H340" s="1">
        <f>IFERROR(__xludf.DUMMYFUNCTION("""COMPUTED_VALUE"""),29.0)</f>
        <v>29</v>
      </c>
      <c r="I340" s="1">
        <f>IFERROR(__xludf.DUMMYFUNCTION("""COMPUTED_VALUE"""),83.0)</f>
        <v>83</v>
      </c>
      <c r="J340" s="1">
        <f>IFERROR(__xludf.DUMMYFUNCTION("""COMPUTED_VALUE"""),268.0)</f>
        <v>268</v>
      </c>
      <c r="K340" s="1">
        <f>IFERROR(__xludf.DUMMYFUNCTION("""COMPUTED_VALUE"""),53.6)</f>
        <v>53.6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>
        <f>IFERROR(__xludf.DUMMYFUNCTION("""COMPUTED_VALUE"""),77.0)</f>
        <v>77</v>
      </c>
      <c r="E341" s="1">
        <f>IFERROR(__xludf.DUMMYFUNCTION("""COMPUTED_VALUE"""),26.0)</f>
        <v>26</v>
      </c>
      <c r="F341" s="1">
        <f>IFERROR(__xludf.DUMMYFUNCTION("""COMPUTED_VALUE"""),91.0)</f>
        <v>91</v>
      </c>
      <c r="G341" s="1">
        <f>IFERROR(__xludf.DUMMYFUNCTION("""COMPUTED_VALUE"""),79.0)</f>
        <v>79</v>
      </c>
      <c r="H341" s="1">
        <f>IFERROR(__xludf.DUMMYFUNCTION("""COMPUTED_VALUE"""),64.0)</f>
        <v>64</v>
      </c>
      <c r="I341" s="1">
        <f>IFERROR(__xludf.DUMMYFUNCTION("""COMPUTED_VALUE"""),68.0)</f>
        <v>68</v>
      </c>
      <c r="J341" s="1">
        <f>IFERROR(__xludf.DUMMYFUNCTION("""COMPUTED_VALUE"""),328.0)</f>
        <v>328</v>
      </c>
      <c r="K341" s="1">
        <f>IFERROR(__xludf.DUMMYFUNCTION("""COMPUTED_VALUE"""),65.60000000000001)</f>
        <v>65.6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>
        <f>IFERROR(__xludf.DUMMYFUNCTION("""COMPUTED_VALUE"""),95.0)</f>
        <v>95</v>
      </c>
      <c r="E342" s="1">
        <f>IFERROR(__xludf.DUMMYFUNCTION("""COMPUTED_VALUE"""),73.0)</f>
        <v>73</v>
      </c>
      <c r="F342" s="1">
        <f>IFERROR(__xludf.DUMMYFUNCTION("""COMPUTED_VALUE"""),42.0)</f>
        <v>42</v>
      </c>
      <c r="G342" s="1">
        <f>IFERROR(__xludf.DUMMYFUNCTION("""COMPUTED_VALUE"""),59.0)</f>
        <v>59</v>
      </c>
      <c r="H342" s="1">
        <f>IFERROR(__xludf.DUMMYFUNCTION("""COMPUTED_VALUE"""),52.0)</f>
        <v>52</v>
      </c>
      <c r="I342" s="1">
        <f>IFERROR(__xludf.DUMMYFUNCTION("""COMPUTED_VALUE"""),44.0)</f>
        <v>44</v>
      </c>
      <c r="J342" s="1">
        <f>IFERROR(__xludf.DUMMYFUNCTION("""COMPUTED_VALUE"""),270.0)</f>
        <v>270</v>
      </c>
      <c r="K342" s="1">
        <f>IFERROR(__xludf.DUMMYFUNCTION("""COMPUTED_VALUE"""),54.0)</f>
        <v>54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>
        <f>IFERROR(__xludf.DUMMYFUNCTION("""COMPUTED_VALUE"""),58.0)</f>
        <v>58</v>
      </c>
      <c r="E343" s="1">
        <f>IFERROR(__xludf.DUMMYFUNCTION("""COMPUTED_VALUE"""),82.0)</f>
        <v>82</v>
      </c>
      <c r="F343" s="1">
        <f>IFERROR(__xludf.DUMMYFUNCTION("""COMPUTED_VALUE"""),71.0)</f>
        <v>71</v>
      </c>
      <c r="G343" s="1">
        <f>IFERROR(__xludf.DUMMYFUNCTION("""COMPUTED_VALUE"""),83.0)</f>
        <v>83</v>
      </c>
      <c r="H343" s="1">
        <f>IFERROR(__xludf.DUMMYFUNCTION("""COMPUTED_VALUE"""),39.0)</f>
        <v>39</v>
      </c>
      <c r="I343" s="1">
        <f>IFERROR(__xludf.DUMMYFUNCTION("""COMPUTED_VALUE"""),45.0)</f>
        <v>45</v>
      </c>
      <c r="J343" s="1">
        <f>IFERROR(__xludf.DUMMYFUNCTION("""COMPUTED_VALUE"""),320.0)</f>
        <v>320</v>
      </c>
      <c r="K343" s="1">
        <f>IFERROR(__xludf.DUMMYFUNCTION("""COMPUTED_VALUE"""),64.0)</f>
        <v>64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>
        <f>IFERROR(__xludf.DUMMYFUNCTION("""COMPUTED_VALUE"""),46.0)</f>
        <v>46</v>
      </c>
      <c r="E344" s="1">
        <f>IFERROR(__xludf.DUMMYFUNCTION("""COMPUTED_VALUE"""),97.0)</f>
        <v>97</v>
      </c>
      <c r="F344" s="1">
        <f>IFERROR(__xludf.DUMMYFUNCTION("""COMPUTED_VALUE"""),26.0)</f>
        <v>26</v>
      </c>
      <c r="G344" s="1">
        <f>IFERROR(__xludf.DUMMYFUNCTION("""COMPUTED_VALUE"""),47.0)</f>
        <v>47</v>
      </c>
      <c r="H344" s="1">
        <f>IFERROR(__xludf.DUMMYFUNCTION("""COMPUTED_VALUE"""),74.0)</f>
        <v>74</v>
      </c>
      <c r="I344" s="1">
        <f>IFERROR(__xludf.DUMMYFUNCTION("""COMPUTED_VALUE"""),89.0)</f>
        <v>89</v>
      </c>
      <c r="J344" s="1">
        <f>IFERROR(__xludf.DUMMYFUNCTION("""COMPUTED_VALUE"""),333.0)</f>
        <v>333</v>
      </c>
      <c r="K344" s="1">
        <f>IFERROR(__xludf.DUMMYFUNCTION("""COMPUTED_VALUE"""),66.60000000000001)</f>
        <v>66.6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>
        <f>IFERROR(__xludf.DUMMYFUNCTION("""COMPUTED_VALUE"""),31.0)</f>
        <v>31</v>
      </c>
      <c r="E345" s="1">
        <f>IFERROR(__xludf.DUMMYFUNCTION("""COMPUTED_VALUE"""),40.0)</f>
        <v>40</v>
      </c>
      <c r="F345" s="1">
        <f>IFERROR(__xludf.DUMMYFUNCTION("""COMPUTED_VALUE"""),40.0)</f>
        <v>40</v>
      </c>
      <c r="G345" s="1">
        <f>IFERROR(__xludf.DUMMYFUNCTION("""COMPUTED_VALUE"""),85.0)</f>
        <v>85</v>
      </c>
      <c r="H345" s="1">
        <f>IFERROR(__xludf.DUMMYFUNCTION("""COMPUTED_VALUE"""),87.0)</f>
        <v>87</v>
      </c>
      <c r="I345" s="1">
        <f>IFERROR(__xludf.DUMMYFUNCTION("""COMPUTED_VALUE"""),41.0)</f>
        <v>41</v>
      </c>
      <c r="J345" s="1">
        <f>IFERROR(__xludf.DUMMYFUNCTION("""COMPUTED_VALUE"""),293.0)</f>
        <v>293</v>
      </c>
      <c r="K345" s="1">
        <f>IFERROR(__xludf.DUMMYFUNCTION("""COMPUTED_VALUE"""),58.599999999999994)</f>
        <v>58.6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>
        <f>IFERROR(__xludf.DUMMYFUNCTION("""COMPUTED_VALUE"""),80.0)</f>
        <v>80</v>
      </c>
      <c r="E346" s="1">
        <f>IFERROR(__xludf.DUMMYFUNCTION("""COMPUTED_VALUE"""),78.0)</f>
        <v>78</v>
      </c>
      <c r="F346" s="1">
        <f>IFERROR(__xludf.DUMMYFUNCTION("""COMPUTED_VALUE"""),61.0)</f>
        <v>61</v>
      </c>
      <c r="G346" s="1">
        <f>IFERROR(__xludf.DUMMYFUNCTION("""COMPUTED_VALUE"""),87.0)</f>
        <v>87</v>
      </c>
      <c r="H346" s="1">
        <f>IFERROR(__xludf.DUMMYFUNCTION("""COMPUTED_VALUE"""),32.0)</f>
        <v>32</v>
      </c>
      <c r="I346" s="1">
        <f>IFERROR(__xludf.DUMMYFUNCTION("""COMPUTED_VALUE"""),61.0)</f>
        <v>61</v>
      </c>
      <c r="J346" s="1">
        <f>IFERROR(__xludf.DUMMYFUNCTION("""COMPUTED_VALUE"""),319.0)</f>
        <v>319</v>
      </c>
      <c r="K346" s="1">
        <f>IFERROR(__xludf.DUMMYFUNCTION("""COMPUTED_VALUE"""),63.800000000000004)</f>
        <v>63.8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>
        <f>IFERROR(__xludf.DUMMYFUNCTION("""COMPUTED_VALUE"""),24.0)</f>
        <v>24</v>
      </c>
      <c r="E347" s="1">
        <f>IFERROR(__xludf.DUMMYFUNCTION("""COMPUTED_VALUE"""),37.0)</f>
        <v>37</v>
      </c>
      <c r="F347" s="1">
        <f>IFERROR(__xludf.DUMMYFUNCTION("""COMPUTED_VALUE"""),86.0)</f>
        <v>86</v>
      </c>
      <c r="G347" s="1">
        <f>IFERROR(__xludf.DUMMYFUNCTION("""COMPUTED_VALUE"""),93.0)</f>
        <v>93</v>
      </c>
      <c r="H347" s="1">
        <f>IFERROR(__xludf.DUMMYFUNCTION("""COMPUTED_VALUE"""),50.0)</f>
        <v>50</v>
      </c>
      <c r="I347" s="1">
        <f>IFERROR(__xludf.DUMMYFUNCTION("""COMPUTED_VALUE"""),26.0)</f>
        <v>26</v>
      </c>
      <c r="J347" s="1">
        <f>IFERROR(__xludf.DUMMYFUNCTION("""COMPUTED_VALUE"""),292.0)</f>
        <v>292</v>
      </c>
      <c r="K347" s="1">
        <f>IFERROR(__xludf.DUMMYFUNCTION("""COMPUTED_VALUE"""),58.4)</f>
        <v>58.4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>
        <f>IFERROR(__xludf.DUMMYFUNCTION("""COMPUTED_VALUE"""),89.0)</f>
        <v>89</v>
      </c>
      <c r="E348" s="1">
        <f>IFERROR(__xludf.DUMMYFUNCTION("""COMPUTED_VALUE"""),42.0)</f>
        <v>42</v>
      </c>
      <c r="F348" s="1">
        <f>IFERROR(__xludf.DUMMYFUNCTION("""COMPUTED_VALUE"""),84.0)</f>
        <v>84</v>
      </c>
      <c r="G348" s="1">
        <f>IFERROR(__xludf.DUMMYFUNCTION("""COMPUTED_VALUE"""),58.0)</f>
        <v>58</v>
      </c>
      <c r="H348" s="1">
        <f>IFERROR(__xludf.DUMMYFUNCTION("""COMPUTED_VALUE"""),46.0)</f>
        <v>46</v>
      </c>
      <c r="I348" s="1">
        <f>IFERROR(__xludf.DUMMYFUNCTION("""COMPUTED_VALUE"""),53.0)</f>
        <v>53</v>
      </c>
      <c r="J348" s="1">
        <f>IFERROR(__xludf.DUMMYFUNCTION("""COMPUTED_VALUE"""),283.0)</f>
        <v>283</v>
      </c>
      <c r="K348" s="1">
        <f>IFERROR(__xludf.DUMMYFUNCTION("""COMPUTED_VALUE"""),56.599999999999994)</f>
        <v>56.6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>
        <f>IFERROR(__xludf.DUMMYFUNCTION("""COMPUTED_VALUE"""),29.0)</f>
        <v>29</v>
      </c>
      <c r="E349" s="1">
        <f>IFERROR(__xludf.DUMMYFUNCTION("""COMPUTED_VALUE"""),66.0)</f>
        <v>66</v>
      </c>
      <c r="F349" s="1">
        <f>IFERROR(__xludf.DUMMYFUNCTION("""COMPUTED_VALUE"""),66.0)</f>
        <v>66</v>
      </c>
      <c r="G349" s="1">
        <f>IFERROR(__xludf.DUMMYFUNCTION("""COMPUTED_VALUE"""),72.0)</f>
        <v>72</v>
      </c>
      <c r="H349" s="1">
        <f>IFERROR(__xludf.DUMMYFUNCTION("""COMPUTED_VALUE"""),46.0)</f>
        <v>46</v>
      </c>
      <c r="I349" s="1">
        <f>IFERROR(__xludf.DUMMYFUNCTION("""COMPUTED_VALUE"""),88.0)</f>
        <v>88</v>
      </c>
      <c r="J349" s="1">
        <f>IFERROR(__xludf.DUMMYFUNCTION("""COMPUTED_VALUE"""),338.0)</f>
        <v>338</v>
      </c>
      <c r="K349" s="1">
        <f>IFERROR(__xludf.DUMMYFUNCTION("""COMPUTED_VALUE"""),67.60000000000001)</f>
        <v>67.6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>
        <f>IFERROR(__xludf.DUMMYFUNCTION("""COMPUTED_VALUE"""),18.0)</f>
        <v>18</v>
      </c>
      <c r="E350" s="1">
        <f>IFERROR(__xludf.DUMMYFUNCTION("""COMPUTED_VALUE"""),38.0)</f>
        <v>38</v>
      </c>
      <c r="F350" s="1">
        <f>IFERROR(__xludf.DUMMYFUNCTION("""COMPUTED_VALUE"""),80.0)</f>
        <v>80</v>
      </c>
      <c r="G350" s="1">
        <f>IFERROR(__xludf.DUMMYFUNCTION("""COMPUTED_VALUE"""),22.0)</f>
        <v>22</v>
      </c>
      <c r="H350" s="1">
        <f>IFERROR(__xludf.DUMMYFUNCTION("""COMPUTED_VALUE"""),40.0)</f>
        <v>40</v>
      </c>
      <c r="I350" s="1">
        <f>IFERROR(__xludf.DUMMYFUNCTION("""COMPUTED_VALUE"""),24.0)</f>
        <v>24</v>
      </c>
      <c r="J350" s="1">
        <f>IFERROR(__xludf.DUMMYFUNCTION("""COMPUTED_VALUE"""),204.0)</f>
        <v>204</v>
      </c>
      <c r="K350" s="1">
        <f>IFERROR(__xludf.DUMMYFUNCTION("""COMPUTED_VALUE"""),40.8)</f>
        <v>40.8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>
        <f>IFERROR(__xludf.DUMMYFUNCTION("""COMPUTED_VALUE"""),74.0)</f>
        <v>74</v>
      </c>
      <c r="E351" s="1">
        <f>IFERROR(__xludf.DUMMYFUNCTION("""COMPUTED_VALUE"""),79.0)</f>
        <v>79</v>
      </c>
      <c r="F351" s="1">
        <f>IFERROR(__xludf.DUMMYFUNCTION("""COMPUTED_VALUE"""),75.0)</f>
        <v>75</v>
      </c>
      <c r="G351" s="1">
        <f>IFERROR(__xludf.DUMMYFUNCTION("""COMPUTED_VALUE"""),60.0)</f>
        <v>60</v>
      </c>
      <c r="H351" s="1">
        <f>IFERROR(__xludf.DUMMYFUNCTION("""COMPUTED_VALUE"""),70.0)</f>
        <v>70</v>
      </c>
      <c r="I351" s="1">
        <f>IFERROR(__xludf.DUMMYFUNCTION("""COMPUTED_VALUE"""),85.0)</f>
        <v>85</v>
      </c>
      <c r="J351" s="1">
        <f>IFERROR(__xludf.DUMMYFUNCTION("""COMPUTED_VALUE"""),369.0)</f>
        <v>369</v>
      </c>
      <c r="K351" s="1">
        <f>IFERROR(__xludf.DUMMYFUNCTION("""COMPUTED_VALUE"""),73.8)</f>
        <v>73.8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>
        <f>IFERROR(__xludf.DUMMYFUNCTION("""COMPUTED_VALUE"""),49.0)</f>
        <v>49</v>
      </c>
      <c r="E352" s="1">
        <f>IFERROR(__xludf.DUMMYFUNCTION("""COMPUTED_VALUE"""),84.0)</f>
        <v>84</v>
      </c>
      <c r="F352" s="1">
        <f>IFERROR(__xludf.DUMMYFUNCTION("""COMPUTED_VALUE"""),42.0)</f>
        <v>42</v>
      </c>
      <c r="G352" s="1">
        <f>IFERROR(__xludf.DUMMYFUNCTION("""COMPUTED_VALUE"""),50.0)</f>
        <v>50</v>
      </c>
      <c r="H352" s="1">
        <f>IFERROR(__xludf.DUMMYFUNCTION("""COMPUTED_VALUE"""),27.0)</f>
        <v>27</v>
      </c>
      <c r="I352" s="1">
        <f>IFERROR(__xludf.DUMMYFUNCTION("""COMPUTED_VALUE"""),92.0)</f>
        <v>92</v>
      </c>
      <c r="J352" s="1">
        <f>IFERROR(__xludf.DUMMYFUNCTION("""COMPUTED_VALUE"""),295.0)</f>
        <v>295</v>
      </c>
      <c r="K352" s="1">
        <f>IFERROR(__xludf.DUMMYFUNCTION("""COMPUTED_VALUE"""),59.0)</f>
        <v>59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>
        <f>IFERROR(__xludf.DUMMYFUNCTION("""COMPUTED_VALUE"""),92.0)</f>
        <v>92</v>
      </c>
      <c r="E353" s="1">
        <f>IFERROR(__xludf.DUMMYFUNCTION("""COMPUTED_VALUE"""),83.0)</f>
        <v>83</v>
      </c>
      <c r="F353" s="1">
        <f>IFERROR(__xludf.DUMMYFUNCTION("""COMPUTED_VALUE"""),61.0)</f>
        <v>61</v>
      </c>
      <c r="G353" s="1">
        <f>IFERROR(__xludf.DUMMYFUNCTION("""COMPUTED_VALUE"""),67.0)</f>
        <v>67</v>
      </c>
      <c r="H353" s="1">
        <f>IFERROR(__xludf.DUMMYFUNCTION("""COMPUTED_VALUE"""),21.0)</f>
        <v>21</v>
      </c>
      <c r="I353" s="1">
        <f>IFERROR(__xludf.DUMMYFUNCTION("""COMPUTED_VALUE"""),69.0)</f>
        <v>69</v>
      </c>
      <c r="J353" s="1">
        <f>IFERROR(__xludf.DUMMYFUNCTION("""COMPUTED_VALUE"""),301.0)</f>
        <v>301</v>
      </c>
      <c r="K353" s="1">
        <f>IFERROR(__xludf.DUMMYFUNCTION("""COMPUTED_VALUE"""),60.199999999999996)</f>
        <v>60.2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>
        <f>IFERROR(__xludf.DUMMYFUNCTION("""COMPUTED_VALUE"""),56.0)</f>
        <v>56</v>
      </c>
      <c r="E354" s="1">
        <f>IFERROR(__xludf.DUMMYFUNCTION("""COMPUTED_VALUE"""),24.0)</f>
        <v>24</v>
      </c>
      <c r="F354" s="1">
        <f>IFERROR(__xludf.DUMMYFUNCTION("""COMPUTED_VALUE"""),77.0)</f>
        <v>77</v>
      </c>
      <c r="G354" s="1">
        <f>IFERROR(__xludf.DUMMYFUNCTION("""COMPUTED_VALUE"""),52.0)</f>
        <v>52</v>
      </c>
      <c r="H354" s="1">
        <f>IFERROR(__xludf.DUMMYFUNCTION("""COMPUTED_VALUE"""),86.0)</f>
        <v>86</v>
      </c>
      <c r="I354" s="1">
        <f>IFERROR(__xludf.DUMMYFUNCTION("""COMPUTED_VALUE"""),80.0)</f>
        <v>80</v>
      </c>
      <c r="J354" s="1">
        <f>IFERROR(__xludf.DUMMYFUNCTION("""COMPUTED_VALUE"""),319.0)</f>
        <v>319</v>
      </c>
      <c r="K354" s="1">
        <f>IFERROR(__xludf.DUMMYFUNCTION("""COMPUTED_VALUE"""),63.800000000000004)</f>
        <v>63.8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>
        <f>IFERROR(__xludf.DUMMYFUNCTION("""COMPUTED_VALUE"""),100.0)</f>
        <v>100</v>
      </c>
      <c r="E355" s="1">
        <f>IFERROR(__xludf.DUMMYFUNCTION("""COMPUTED_VALUE"""),88.0)</f>
        <v>88</v>
      </c>
      <c r="F355" s="1">
        <f>IFERROR(__xludf.DUMMYFUNCTION("""COMPUTED_VALUE"""),25.0)</f>
        <v>25</v>
      </c>
      <c r="G355" s="1">
        <f>IFERROR(__xludf.DUMMYFUNCTION("""COMPUTED_VALUE"""),50.0)</f>
        <v>50</v>
      </c>
      <c r="H355" s="1">
        <f>IFERROR(__xludf.DUMMYFUNCTION("""COMPUTED_VALUE"""),27.0)</f>
        <v>27</v>
      </c>
      <c r="I355" s="1">
        <f>IFERROR(__xludf.DUMMYFUNCTION("""COMPUTED_VALUE"""),94.0)</f>
        <v>94</v>
      </c>
      <c r="J355" s="1">
        <f>IFERROR(__xludf.DUMMYFUNCTION("""COMPUTED_VALUE"""),284.0)</f>
        <v>284</v>
      </c>
      <c r="K355" s="1">
        <f>IFERROR(__xludf.DUMMYFUNCTION("""COMPUTED_VALUE"""),56.8)</f>
        <v>56.8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>
        <f>IFERROR(__xludf.DUMMYFUNCTION("""COMPUTED_VALUE"""),36.0)</f>
        <v>36</v>
      </c>
      <c r="E356" s="1">
        <f>IFERROR(__xludf.DUMMYFUNCTION("""COMPUTED_VALUE"""),86.0)</f>
        <v>86</v>
      </c>
      <c r="F356" s="1">
        <f>IFERROR(__xludf.DUMMYFUNCTION("""COMPUTED_VALUE"""),75.0)</f>
        <v>75</v>
      </c>
      <c r="G356" s="1">
        <f>IFERROR(__xludf.DUMMYFUNCTION("""COMPUTED_VALUE"""),76.0)</f>
        <v>76</v>
      </c>
      <c r="H356" s="1">
        <f>IFERROR(__xludf.DUMMYFUNCTION("""COMPUTED_VALUE"""),33.0)</f>
        <v>33</v>
      </c>
      <c r="I356" s="1">
        <f>IFERROR(__xludf.DUMMYFUNCTION("""COMPUTED_VALUE"""),49.0)</f>
        <v>49</v>
      </c>
      <c r="J356" s="1">
        <f>IFERROR(__xludf.DUMMYFUNCTION("""COMPUTED_VALUE"""),319.0)</f>
        <v>319</v>
      </c>
      <c r="K356" s="1">
        <f>IFERROR(__xludf.DUMMYFUNCTION("""COMPUTED_VALUE"""),63.800000000000004)</f>
        <v>63.8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>
        <f>IFERROR(__xludf.DUMMYFUNCTION("""COMPUTED_VALUE"""),11.0)</f>
        <v>11</v>
      </c>
      <c r="E357" s="1">
        <f>IFERROR(__xludf.DUMMYFUNCTION("""COMPUTED_VALUE"""),99.0)</f>
        <v>99</v>
      </c>
      <c r="F357" s="1">
        <f>IFERROR(__xludf.DUMMYFUNCTION("""COMPUTED_VALUE"""),80.0)</f>
        <v>80</v>
      </c>
      <c r="G357" s="1">
        <f>IFERROR(__xludf.DUMMYFUNCTION("""COMPUTED_VALUE"""),93.0)</f>
        <v>93</v>
      </c>
      <c r="H357" s="1">
        <f>IFERROR(__xludf.DUMMYFUNCTION("""COMPUTED_VALUE"""),55.0)</f>
        <v>55</v>
      </c>
      <c r="I357" s="1">
        <f>IFERROR(__xludf.DUMMYFUNCTION("""COMPUTED_VALUE"""),75.0)</f>
        <v>75</v>
      </c>
      <c r="J357" s="1">
        <f>IFERROR(__xludf.DUMMYFUNCTION("""COMPUTED_VALUE"""),402.0)</f>
        <v>402</v>
      </c>
      <c r="K357" s="1">
        <f>IFERROR(__xludf.DUMMYFUNCTION("""COMPUTED_VALUE"""),80.4)</f>
        <v>80.4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>
        <f>IFERROR(__xludf.DUMMYFUNCTION("""COMPUTED_VALUE"""),59.0)</f>
        <v>59</v>
      </c>
      <c r="E358" s="1">
        <f>IFERROR(__xludf.DUMMYFUNCTION("""COMPUTED_VALUE"""),51.0)</f>
        <v>51</v>
      </c>
      <c r="F358" s="1">
        <f>IFERROR(__xludf.DUMMYFUNCTION("""COMPUTED_VALUE"""),36.0)</f>
        <v>36</v>
      </c>
      <c r="G358" s="1">
        <f>IFERROR(__xludf.DUMMYFUNCTION("""COMPUTED_VALUE"""),89.0)</f>
        <v>89</v>
      </c>
      <c r="H358" s="1">
        <f>IFERROR(__xludf.DUMMYFUNCTION("""COMPUTED_VALUE"""),72.0)</f>
        <v>72</v>
      </c>
      <c r="I358" s="1">
        <f>IFERROR(__xludf.DUMMYFUNCTION("""COMPUTED_VALUE"""),37.0)</f>
        <v>37</v>
      </c>
      <c r="J358" s="1">
        <f>IFERROR(__xludf.DUMMYFUNCTION("""COMPUTED_VALUE"""),285.0)</f>
        <v>285</v>
      </c>
      <c r="K358" s="1">
        <f>IFERROR(__xludf.DUMMYFUNCTION("""COMPUTED_VALUE"""),56.99999999999999)</f>
        <v>57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>
        <f>IFERROR(__xludf.DUMMYFUNCTION("""COMPUTED_VALUE"""),39.0)</f>
        <v>39</v>
      </c>
      <c r="E359" s="1">
        <f>IFERROR(__xludf.DUMMYFUNCTION("""COMPUTED_VALUE"""),32.0)</f>
        <v>32</v>
      </c>
      <c r="F359" s="1">
        <f>IFERROR(__xludf.DUMMYFUNCTION("""COMPUTED_VALUE"""),20.0)</f>
        <v>20</v>
      </c>
      <c r="G359" s="1">
        <f>IFERROR(__xludf.DUMMYFUNCTION("""COMPUTED_VALUE"""),69.0)</f>
        <v>69</v>
      </c>
      <c r="H359" s="1">
        <f>IFERROR(__xludf.DUMMYFUNCTION("""COMPUTED_VALUE"""),83.0)</f>
        <v>83</v>
      </c>
      <c r="I359" s="1">
        <f>IFERROR(__xludf.DUMMYFUNCTION("""COMPUTED_VALUE"""),51.0)</f>
        <v>51</v>
      </c>
      <c r="J359" s="1">
        <f>IFERROR(__xludf.DUMMYFUNCTION("""COMPUTED_VALUE"""),255.0)</f>
        <v>255</v>
      </c>
      <c r="K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>
        <f>IFERROR(__xludf.DUMMYFUNCTION("""COMPUTED_VALUE"""),57.0)</f>
        <v>57</v>
      </c>
      <c r="E360" s="1">
        <f>IFERROR(__xludf.DUMMYFUNCTION("""COMPUTED_VALUE"""),32.0)</f>
        <v>32</v>
      </c>
      <c r="F360" s="1">
        <f>IFERROR(__xludf.DUMMYFUNCTION("""COMPUTED_VALUE"""),25.0)</f>
        <v>25</v>
      </c>
      <c r="G360" s="1">
        <f>IFERROR(__xludf.DUMMYFUNCTION("""COMPUTED_VALUE"""),92.0)</f>
        <v>92</v>
      </c>
      <c r="H360" s="1">
        <f>IFERROR(__xludf.DUMMYFUNCTION("""COMPUTED_VALUE"""),41.0)</f>
        <v>41</v>
      </c>
      <c r="I360" s="1">
        <f>IFERROR(__xludf.DUMMYFUNCTION("""COMPUTED_VALUE"""),94.0)</f>
        <v>94</v>
      </c>
      <c r="J360" s="1">
        <f>IFERROR(__xludf.DUMMYFUNCTION("""COMPUTED_VALUE"""),284.0)</f>
        <v>284</v>
      </c>
      <c r="K360" s="1">
        <f>IFERROR(__xludf.DUMMYFUNCTION("""COMPUTED_VALUE"""),56.8)</f>
        <v>56.8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>
        <f>IFERROR(__xludf.DUMMYFUNCTION("""COMPUTED_VALUE"""),16.0)</f>
        <v>16</v>
      </c>
      <c r="E361" s="1">
        <f>IFERROR(__xludf.DUMMYFUNCTION("""COMPUTED_VALUE"""),96.0)</f>
        <v>96</v>
      </c>
      <c r="F361" s="1">
        <f>IFERROR(__xludf.DUMMYFUNCTION("""COMPUTED_VALUE"""),29.0)</f>
        <v>29</v>
      </c>
      <c r="G361" s="1">
        <f>IFERROR(__xludf.DUMMYFUNCTION("""COMPUTED_VALUE"""),59.0)</f>
        <v>59</v>
      </c>
      <c r="H361" s="1">
        <f>IFERROR(__xludf.DUMMYFUNCTION("""COMPUTED_VALUE"""),46.0)</f>
        <v>46</v>
      </c>
      <c r="I361" s="1">
        <f>IFERROR(__xludf.DUMMYFUNCTION("""COMPUTED_VALUE"""),70.0)</f>
        <v>70</v>
      </c>
      <c r="J361" s="1">
        <f>IFERROR(__xludf.DUMMYFUNCTION("""COMPUTED_VALUE"""),300.0)</f>
        <v>300</v>
      </c>
      <c r="K361" s="1">
        <f>IFERROR(__xludf.DUMMYFUNCTION("""COMPUTED_VALUE"""),60.0)</f>
        <v>60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>
        <f>IFERROR(__xludf.DUMMYFUNCTION("""COMPUTED_VALUE"""),22.0)</f>
        <v>22</v>
      </c>
      <c r="E362" s="1">
        <f>IFERROR(__xludf.DUMMYFUNCTION("""COMPUTED_VALUE"""),83.0)</f>
        <v>83</v>
      </c>
      <c r="F362" s="1">
        <f>IFERROR(__xludf.DUMMYFUNCTION("""COMPUTED_VALUE"""),35.0)</f>
        <v>35</v>
      </c>
      <c r="G362" s="1">
        <f>IFERROR(__xludf.DUMMYFUNCTION("""COMPUTED_VALUE"""),90.0)</f>
        <v>90</v>
      </c>
      <c r="H362" s="1">
        <f>IFERROR(__xludf.DUMMYFUNCTION("""COMPUTED_VALUE"""),39.0)</f>
        <v>39</v>
      </c>
      <c r="I362" s="1">
        <f>IFERROR(__xludf.DUMMYFUNCTION("""COMPUTED_VALUE"""),72.0)</f>
        <v>72</v>
      </c>
      <c r="J362" s="1">
        <f>IFERROR(__xludf.DUMMYFUNCTION("""COMPUTED_VALUE"""),319.0)</f>
        <v>319</v>
      </c>
      <c r="K362" s="1">
        <f>IFERROR(__xludf.DUMMYFUNCTION("""COMPUTED_VALUE"""),63.800000000000004)</f>
        <v>63.8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>
        <f>IFERROR(__xludf.DUMMYFUNCTION("""COMPUTED_VALUE"""),86.0)</f>
        <v>86</v>
      </c>
      <c r="E363" s="1">
        <f>IFERROR(__xludf.DUMMYFUNCTION("""COMPUTED_VALUE"""),74.0)</f>
        <v>74</v>
      </c>
      <c r="F363" s="1">
        <f>IFERROR(__xludf.DUMMYFUNCTION("""COMPUTED_VALUE"""),65.0)</f>
        <v>65</v>
      </c>
      <c r="G363" s="1">
        <f>IFERROR(__xludf.DUMMYFUNCTION("""COMPUTED_VALUE"""),68.0)</f>
        <v>68</v>
      </c>
      <c r="H363" s="1">
        <f>IFERROR(__xludf.DUMMYFUNCTION("""COMPUTED_VALUE"""),31.0)</f>
        <v>31</v>
      </c>
      <c r="I363" s="1">
        <f>IFERROR(__xludf.DUMMYFUNCTION("""COMPUTED_VALUE"""),39.0)</f>
        <v>39</v>
      </c>
      <c r="J363" s="1">
        <f>IFERROR(__xludf.DUMMYFUNCTION("""COMPUTED_VALUE"""),277.0)</f>
        <v>277</v>
      </c>
      <c r="K363" s="1">
        <f>IFERROR(__xludf.DUMMYFUNCTION("""COMPUTED_VALUE"""),55.400000000000006)</f>
        <v>55.4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>
        <f>IFERROR(__xludf.DUMMYFUNCTION("""COMPUTED_VALUE"""),56.0)</f>
        <v>56</v>
      </c>
      <c r="E364" s="1">
        <f>IFERROR(__xludf.DUMMYFUNCTION("""COMPUTED_VALUE"""),28.0)</f>
        <v>28</v>
      </c>
      <c r="F364" s="1">
        <f>IFERROR(__xludf.DUMMYFUNCTION("""COMPUTED_VALUE"""),39.0)</f>
        <v>39</v>
      </c>
      <c r="G364" s="1">
        <f>IFERROR(__xludf.DUMMYFUNCTION("""COMPUTED_VALUE"""),39.0)</f>
        <v>39</v>
      </c>
      <c r="H364" s="1">
        <f>IFERROR(__xludf.DUMMYFUNCTION("""COMPUTED_VALUE"""),61.0)</f>
        <v>61</v>
      </c>
      <c r="I364" s="1">
        <f>IFERROR(__xludf.DUMMYFUNCTION("""COMPUTED_VALUE"""),97.0)</f>
        <v>97</v>
      </c>
      <c r="J364" s="1">
        <f>IFERROR(__xludf.DUMMYFUNCTION("""COMPUTED_VALUE"""),264.0)</f>
        <v>264</v>
      </c>
      <c r="K364" s="1">
        <f>IFERROR(__xludf.DUMMYFUNCTION("""COMPUTED_VALUE"""),52.800000000000004)</f>
        <v>52.8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>
        <f>IFERROR(__xludf.DUMMYFUNCTION("""COMPUTED_VALUE"""),29.0)</f>
        <v>29</v>
      </c>
      <c r="E365" s="1">
        <f>IFERROR(__xludf.DUMMYFUNCTION("""COMPUTED_VALUE"""),70.0)</f>
        <v>70</v>
      </c>
      <c r="F365" s="1">
        <f>IFERROR(__xludf.DUMMYFUNCTION("""COMPUTED_VALUE"""),32.0)</f>
        <v>32</v>
      </c>
      <c r="G365" s="1">
        <f>IFERROR(__xludf.DUMMYFUNCTION("""COMPUTED_VALUE"""),59.0)</f>
        <v>59</v>
      </c>
      <c r="H365" s="1">
        <f>IFERROR(__xludf.DUMMYFUNCTION("""COMPUTED_VALUE"""),93.0)</f>
        <v>93</v>
      </c>
      <c r="I365" s="1">
        <f>IFERROR(__xludf.DUMMYFUNCTION("""COMPUTED_VALUE"""),45.0)</f>
        <v>45</v>
      </c>
      <c r="J365" s="1">
        <f>IFERROR(__xludf.DUMMYFUNCTION("""COMPUTED_VALUE"""),299.0)</f>
        <v>299</v>
      </c>
      <c r="K365" s="1">
        <f>IFERROR(__xludf.DUMMYFUNCTION("""COMPUTED_VALUE"""),59.8)</f>
        <v>59.8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>
        <f>IFERROR(__xludf.DUMMYFUNCTION("""COMPUTED_VALUE"""),32.0)</f>
        <v>32</v>
      </c>
      <c r="E366" s="1">
        <f>IFERROR(__xludf.DUMMYFUNCTION("""COMPUTED_VALUE"""),52.0)</f>
        <v>52</v>
      </c>
      <c r="F366" s="1">
        <f>IFERROR(__xludf.DUMMYFUNCTION("""COMPUTED_VALUE"""),57.0)</f>
        <v>57</v>
      </c>
      <c r="G366" s="1">
        <f>IFERROR(__xludf.DUMMYFUNCTION("""COMPUTED_VALUE"""),48.0)</f>
        <v>48</v>
      </c>
      <c r="H366" s="1">
        <f>IFERROR(__xludf.DUMMYFUNCTION("""COMPUTED_VALUE"""),25.0)</f>
        <v>25</v>
      </c>
      <c r="I366" s="1">
        <f>IFERROR(__xludf.DUMMYFUNCTION("""COMPUTED_VALUE"""),50.0)</f>
        <v>50</v>
      </c>
      <c r="J366" s="1">
        <f>IFERROR(__xludf.DUMMYFUNCTION("""COMPUTED_VALUE"""),232.0)</f>
        <v>232</v>
      </c>
      <c r="K366" s="1">
        <f>IFERROR(__xludf.DUMMYFUNCTION("""COMPUTED_VALUE"""),46.400000000000006)</f>
        <v>46.4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>
        <f>IFERROR(__xludf.DUMMYFUNCTION("""COMPUTED_VALUE"""),84.0)</f>
        <v>84</v>
      </c>
      <c r="E367" s="1">
        <f>IFERROR(__xludf.DUMMYFUNCTION("""COMPUTED_VALUE"""),63.0)</f>
        <v>63</v>
      </c>
      <c r="F367" s="1">
        <f>IFERROR(__xludf.DUMMYFUNCTION("""COMPUTED_VALUE"""),98.0)</f>
        <v>98</v>
      </c>
      <c r="G367" s="1">
        <f>IFERROR(__xludf.DUMMYFUNCTION("""COMPUTED_VALUE"""),33.0)</f>
        <v>33</v>
      </c>
      <c r="H367" s="1">
        <f>IFERROR(__xludf.DUMMYFUNCTION("""COMPUTED_VALUE"""),38.0)</f>
        <v>38</v>
      </c>
      <c r="I367" s="1">
        <f>IFERROR(__xludf.DUMMYFUNCTION("""COMPUTED_VALUE"""),40.0)</f>
        <v>40</v>
      </c>
      <c r="J367" s="1">
        <f>IFERROR(__xludf.DUMMYFUNCTION("""COMPUTED_VALUE"""),272.0)</f>
        <v>272</v>
      </c>
      <c r="K367" s="1">
        <f>IFERROR(__xludf.DUMMYFUNCTION("""COMPUTED_VALUE"""),54.400000000000006)</f>
        <v>54.4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>
        <f>IFERROR(__xludf.DUMMYFUNCTION("""COMPUTED_VALUE"""),81.0)</f>
        <v>81</v>
      </c>
      <c r="E368" s="1">
        <f>IFERROR(__xludf.DUMMYFUNCTION("""COMPUTED_VALUE"""),98.0)</f>
        <v>98</v>
      </c>
      <c r="F368" s="1">
        <f>IFERROR(__xludf.DUMMYFUNCTION("""COMPUTED_VALUE"""),57.0)</f>
        <v>57</v>
      </c>
      <c r="G368" s="1">
        <f>IFERROR(__xludf.DUMMYFUNCTION("""COMPUTED_VALUE"""),30.0)</f>
        <v>30</v>
      </c>
      <c r="H368" s="1">
        <f>IFERROR(__xludf.DUMMYFUNCTION("""COMPUTED_VALUE"""),50.0)</f>
        <v>50</v>
      </c>
      <c r="I368" s="1">
        <f>IFERROR(__xludf.DUMMYFUNCTION("""COMPUTED_VALUE"""),35.0)</f>
        <v>35</v>
      </c>
      <c r="J368" s="1">
        <f>IFERROR(__xludf.DUMMYFUNCTION("""COMPUTED_VALUE"""),270.0)</f>
        <v>270</v>
      </c>
      <c r="K368" s="1">
        <f>IFERROR(__xludf.DUMMYFUNCTION("""COMPUTED_VALUE"""),54.0)</f>
        <v>54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>
        <f>IFERROR(__xludf.DUMMYFUNCTION("""COMPUTED_VALUE"""),81.0)</f>
        <v>81</v>
      </c>
      <c r="E369" s="1">
        <f>IFERROR(__xludf.DUMMYFUNCTION("""COMPUTED_VALUE"""),38.0)</f>
        <v>38</v>
      </c>
      <c r="F369" s="1">
        <f>IFERROR(__xludf.DUMMYFUNCTION("""COMPUTED_VALUE"""),61.0)</f>
        <v>61</v>
      </c>
      <c r="G369" s="1">
        <f>IFERROR(__xludf.DUMMYFUNCTION("""COMPUTED_VALUE"""),51.0)</f>
        <v>51</v>
      </c>
      <c r="H369" s="1">
        <f>IFERROR(__xludf.DUMMYFUNCTION("""COMPUTED_VALUE"""),24.0)</f>
        <v>24</v>
      </c>
      <c r="I369" s="1">
        <f>IFERROR(__xludf.DUMMYFUNCTION("""COMPUTED_VALUE"""),83.0)</f>
        <v>83</v>
      </c>
      <c r="J369" s="1">
        <f>IFERROR(__xludf.DUMMYFUNCTION("""COMPUTED_VALUE"""),257.0)</f>
        <v>257</v>
      </c>
      <c r="K369" s="1">
        <f>IFERROR(__xludf.DUMMYFUNCTION("""COMPUTED_VALUE"""),51.4)</f>
        <v>51.4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>
        <f>IFERROR(__xludf.DUMMYFUNCTION("""COMPUTED_VALUE"""),15.0)</f>
        <v>15</v>
      </c>
      <c r="E370" s="1">
        <f>IFERROR(__xludf.DUMMYFUNCTION("""COMPUTED_VALUE"""),77.0)</f>
        <v>77</v>
      </c>
      <c r="F370" s="1">
        <f>IFERROR(__xludf.DUMMYFUNCTION("""COMPUTED_VALUE"""),56.0)</f>
        <v>56</v>
      </c>
      <c r="G370" s="1">
        <f>IFERROR(__xludf.DUMMYFUNCTION("""COMPUTED_VALUE"""),83.0)</f>
        <v>83</v>
      </c>
      <c r="H370" s="1">
        <f>IFERROR(__xludf.DUMMYFUNCTION("""COMPUTED_VALUE"""),95.0)</f>
        <v>95</v>
      </c>
      <c r="I370" s="1">
        <f>IFERROR(__xludf.DUMMYFUNCTION("""COMPUTED_VALUE"""),84.0)</f>
        <v>84</v>
      </c>
      <c r="J370" s="1">
        <f>IFERROR(__xludf.DUMMYFUNCTION("""COMPUTED_VALUE"""),395.0)</f>
        <v>395</v>
      </c>
      <c r="K370" s="1">
        <f>IFERROR(__xludf.DUMMYFUNCTION("""COMPUTED_VALUE"""),79.0)</f>
        <v>79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>
        <f>IFERROR(__xludf.DUMMYFUNCTION("""COMPUTED_VALUE"""),96.0)</f>
        <v>96</v>
      </c>
      <c r="E371" s="1">
        <f>IFERROR(__xludf.DUMMYFUNCTION("""COMPUTED_VALUE"""),80.0)</f>
        <v>80</v>
      </c>
      <c r="F371" s="1">
        <f>IFERROR(__xludf.DUMMYFUNCTION("""COMPUTED_VALUE"""),49.0)</f>
        <v>49</v>
      </c>
      <c r="G371" s="1">
        <f>IFERROR(__xludf.DUMMYFUNCTION("""COMPUTED_VALUE"""),43.0)</f>
        <v>43</v>
      </c>
      <c r="H371" s="1">
        <f>IFERROR(__xludf.DUMMYFUNCTION("""COMPUTED_VALUE"""),50.0)</f>
        <v>50</v>
      </c>
      <c r="I371" s="1">
        <f>IFERROR(__xludf.DUMMYFUNCTION("""COMPUTED_VALUE"""),49.0)</f>
        <v>49</v>
      </c>
      <c r="J371" s="1">
        <f>IFERROR(__xludf.DUMMYFUNCTION("""COMPUTED_VALUE"""),271.0)</f>
        <v>271</v>
      </c>
      <c r="K371" s="1">
        <f>IFERROR(__xludf.DUMMYFUNCTION("""COMPUTED_VALUE"""),54.2)</f>
        <v>54.2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>
        <f>IFERROR(__xludf.DUMMYFUNCTION("""COMPUTED_VALUE"""),87.0)</f>
        <v>87</v>
      </c>
      <c r="E372" s="1">
        <f>IFERROR(__xludf.DUMMYFUNCTION("""COMPUTED_VALUE"""),51.0)</f>
        <v>51</v>
      </c>
      <c r="F372" s="1">
        <f>IFERROR(__xludf.DUMMYFUNCTION("""COMPUTED_VALUE"""),90.0)</f>
        <v>90</v>
      </c>
      <c r="G372" s="1">
        <f>IFERROR(__xludf.DUMMYFUNCTION("""COMPUTED_VALUE"""),37.0)</f>
        <v>37</v>
      </c>
      <c r="H372" s="1">
        <f>IFERROR(__xludf.DUMMYFUNCTION("""COMPUTED_VALUE"""),83.0)</f>
        <v>83</v>
      </c>
      <c r="I372" s="1">
        <f>IFERROR(__xludf.DUMMYFUNCTION("""COMPUTED_VALUE"""),34.0)</f>
        <v>34</v>
      </c>
      <c r="J372" s="1">
        <f>IFERROR(__xludf.DUMMYFUNCTION("""COMPUTED_VALUE"""),295.0)</f>
        <v>295</v>
      </c>
      <c r="K372" s="1">
        <f>IFERROR(__xludf.DUMMYFUNCTION("""COMPUTED_VALUE"""),59.0)</f>
        <v>59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>
        <f>IFERROR(__xludf.DUMMYFUNCTION("""COMPUTED_VALUE"""),97.0)</f>
        <v>97</v>
      </c>
      <c r="E373" s="1">
        <f>IFERROR(__xludf.DUMMYFUNCTION("""COMPUTED_VALUE"""),29.0)</f>
        <v>29</v>
      </c>
      <c r="F373" s="1">
        <f>IFERROR(__xludf.DUMMYFUNCTION("""COMPUTED_VALUE"""),39.0)</f>
        <v>39</v>
      </c>
      <c r="G373" s="1">
        <f>IFERROR(__xludf.DUMMYFUNCTION("""COMPUTED_VALUE"""),39.0)</f>
        <v>39</v>
      </c>
      <c r="H373" s="1">
        <f>IFERROR(__xludf.DUMMYFUNCTION("""COMPUTED_VALUE"""),33.0)</f>
        <v>33</v>
      </c>
      <c r="I373" s="1">
        <f>IFERROR(__xludf.DUMMYFUNCTION("""COMPUTED_VALUE"""),45.0)</f>
        <v>45</v>
      </c>
      <c r="J373" s="1">
        <f>IFERROR(__xludf.DUMMYFUNCTION("""COMPUTED_VALUE"""),185.0)</f>
        <v>185</v>
      </c>
      <c r="K373" s="1">
        <f>IFERROR(__xludf.DUMMYFUNCTION("""COMPUTED_VALUE"""),37.0)</f>
        <v>37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>
        <f>IFERROR(__xludf.DUMMYFUNCTION("""COMPUTED_VALUE"""),18.0)</f>
        <v>18</v>
      </c>
      <c r="E374" s="1">
        <f>IFERROR(__xludf.DUMMYFUNCTION("""COMPUTED_VALUE"""),92.0)</f>
        <v>92</v>
      </c>
      <c r="F374" s="1">
        <f>IFERROR(__xludf.DUMMYFUNCTION("""COMPUTED_VALUE"""),36.0)</f>
        <v>36</v>
      </c>
      <c r="G374" s="1">
        <f>IFERROR(__xludf.DUMMYFUNCTION("""COMPUTED_VALUE"""),32.0)</f>
        <v>32</v>
      </c>
      <c r="H374" s="1">
        <f>IFERROR(__xludf.DUMMYFUNCTION("""COMPUTED_VALUE"""),92.0)</f>
        <v>92</v>
      </c>
      <c r="I374" s="1">
        <f>IFERROR(__xludf.DUMMYFUNCTION("""COMPUTED_VALUE"""),91.0)</f>
        <v>91</v>
      </c>
      <c r="J374" s="1">
        <f>IFERROR(__xludf.DUMMYFUNCTION("""COMPUTED_VALUE"""),343.0)</f>
        <v>343</v>
      </c>
      <c r="K374" s="1">
        <f>IFERROR(__xludf.DUMMYFUNCTION("""COMPUTED_VALUE"""),68.60000000000001)</f>
        <v>68.6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>
        <f>IFERROR(__xludf.DUMMYFUNCTION("""COMPUTED_VALUE"""),34.0)</f>
        <v>34</v>
      </c>
      <c r="E375" s="1">
        <f>IFERROR(__xludf.DUMMYFUNCTION("""COMPUTED_VALUE"""),66.0)</f>
        <v>66</v>
      </c>
      <c r="F375" s="1">
        <f>IFERROR(__xludf.DUMMYFUNCTION("""COMPUTED_VALUE"""),69.0)</f>
        <v>69</v>
      </c>
      <c r="G375" s="1">
        <f>IFERROR(__xludf.DUMMYFUNCTION("""COMPUTED_VALUE"""),46.0)</f>
        <v>46</v>
      </c>
      <c r="H375" s="1">
        <f>IFERROR(__xludf.DUMMYFUNCTION("""COMPUTED_VALUE"""),45.0)</f>
        <v>45</v>
      </c>
      <c r="I375" s="1">
        <f>IFERROR(__xludf.DUMMYFUNCTION("""COMPUTED_VALUE"""),51.0)</f>
        <v>51</v>
      </c>
      <c r="J375" s="1">
        <f>IFERROR(__xludf.DUMMYFUNCTION("""COMPUTED_VALUE"""),277.0)</f>
        <v>277</v>
      </c>
      <c r="K375" s="1">
        <f>IFERROR(__xludf.DUMMYFUNCTION("""COMPUTED_VALUE"""),55.400000000000006)</f>
        <v>55.4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>
        <f>IFERROR(__xludf.DUMMYFUNCTION("""COMPUTED_VALUE"""),89.0)</f>
        <v>89</v>
      </c>
      <c r="E376" s="1">
        <f>IFERROR(__xludf.DUMMYFUNCTION("""COMPUTED_VALUE"""),60.0)</f>
        <v>60</v>
      </c>
      <c r="F376" s="1">
        <f>IFERROR(__xludf.DUMMYFUNCTION("""COMPUTED_VALUE"""),55.0)</f>
        <v>55</v>
      </c>
      <c r="G376" s="1">
        <f>IFERROR(__xludf.DUMMYFUNCTION("""COMPUTED_VALUE"""),80.0)</f>
        <v>80</v>
      </c>
      <c r="H376" s="1">
        <f>IFERROR(__xludf.DUMMYFUNCTION("""COMPUTED_VALUE"""),22.0)</f>
        <v>22</v>
      </c>
      <c r="I376" s="1">
        <f>IFERROR(__xludf.DUMMYFUNCTION("""COMPUTED_VALUE"""),79.0)</f>
        <v>79</v>
      </c>
      <c r="J376" s="1">
        <f>IFERROR(__xludf.DUMMYFUNCTION("""COMPUTED_VALUE"""),296.0)</f>
        <v>296</v>
      </c>
      <c r="K376" s="1">
        <f>IFERROR(__xludf.DUMMYFUNCTION("""COMPUTED_VALUE"""),59.199999999999996)</f>
        <v>59.2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>
        <f>IFERROR(__xludf.DUMMYFUNCTION("""COMPUTED_VALUE"""),73.0)</f>
        <v>73</v>
      </c>
      <c r="E377" s="1">
        <f>IFERROR(__xludf.DUMMYFUNCTION("""COMPUTED_VALUE"""),97.0)</f>
        <v>97</v>
      </c>
      <c r="F377" s="1">
        <f>IFERROR(__xludf.DUMMYFUNCTION("""COMPUTED_VALUE"""),93.0)</f>
        <v>93</v>
      </c>
      <c r="G377" s="1">
        <f>IFERROR(__xludf.DUMMYFUNCTION("""COMPUTED_VALUE"""),28.0)</f>
        <v>28</v>
      </c>
      <c r="H377" s="1">
        <f>IFERROR(__xludf.DUMMYFUNCTION("""COMPUTED_VALUE"""),98.0)</f>
        <v>98</v>
      </c>
      <c r="I377" s="1">
        <f>IFERROR(__xludf.DUMMYFUNCTION("""COMPUTED_VALUE"""),53.0)</f>
        <v>53</v>
      </c>
      <c r="J377" s="1">
        <f>IFERROR(__xludf.DUMMYFUNCTION("""COMPUTED_VALUE"""),369.0)</f>
        <v>369</v>
      </c>
      <c r="K377" s="1">
        <f>IFERROR(__xludf.DUMMYFUNCTION("""COMPUTED_VALUE"""),73.8)</f>
        <v>73.8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>
        <f>IFERROR(__xludf.DUMMYFUNCTION("""COMPUTED_VALUE"""),48.0)</f>
        <v>48</v>
      </c>
      <c r="E378" s="1">
        <f>IFERROR(__xludf.DUMMYFUNCTION("""COMPUTED_VALUE"""),89.0)</f>
        <v>89</v>
      </c>
      <c r="F378" s="1">
        <f>IFERROR(__xludf.DUMMYFUNCTION("""COMPUTED_VALUE"""),94.0)</f>
        <v>94</v>
      </c>
      <c r="G378" s="1">
        <f>IFERROR(__xludf.DUMMYFUNCTION("""COMPUTED_VALUE"""),42.0)</f>
        <v>42</v>
      </c>
      <c r="H378" s="1">
        <f>IFERROR(__xludf.DUMMYFUNCTION("""COMPUTED_VALUE"""),94.0)</f>
        <v>94</v>
      </c>
      <c r="I378" s="1">
        <f>IFERROR(__xludf.DUMMYFUNCTION("""COMPUTED_VALUE"""),72.0)</f>
        <v>72</v>
      </c>
      <c r="J378" s="1">
        <f>IFERROR(__xludf.DUMMYFUNCTION("""COMPUTED_VALUE"""),391.0)</f>
        <v>391</v>
      </c>
      <c r="K378" s="1">
        <f>IFERROR(__xludf.DUMMYFUNCTION("""COMPUTED_VALUE"""),78.2)</f>
        <v>78.2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>
        <f>IFERROR(__xludf.DUMMYFUNCTION("""COMPUTED_VALUE"""),54.0)</f>
        <v>54</v>
      </c>
      <c r="E379" s="1">
        <f>IFERROR(__xludf.DUMMYFUNCTION("""COMPUTED_VALUE"""),54.0)</f>
        <v>54</v>
      </c>
      <c r="F379" s="1">
        <f>IFERROR(__xludf.DUMMYFUNCTION("""COMPUTED_VALUE"""),49.0)</f>
        <v>49</v>
      </c>
      <c r="G379" s="1">
        <f>IFERROR(__xludf.DUMMYFUNCTION("""COMPUTED_VALUE"""),67.0)</f>
        <v>67</v>
      </c>
      <c r="H379" s="1">
        <f>IFERROR(__xludf.DUMMYFUNCTION("""COMPUTED_VALUE"""),97.0)</f>
        <v>97</v>
      </c>
      <c r="I379" s="1">
        <f>IFERROR(__xludf.DUMMYFUNCTION("""COMPUTED_VALUE"""),67.0)</f>
        <v>67</v>
      </c>
      <c r="J379" s="1">
        <f>IFERROR(__xludf.DUMMYFUNCTION("""COMPUTED_VALUE"""),334.0)</f>
        <v>334</v>
      </c>
      <c r="K379" s="1">
        <f>IFERROR(__xludf.DUMMYFUNCTION("""COMPUTED_VALUE"""),66.8)</f>
        <v>66.8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>
        <f>IFERROR(__xludf.DUMMYFUNCTION("""COMPUTED_VALUE"""),21.0)</f>
        <v>21</v>
      </c>
      <c r="E380" s="1">
        <f>IFERROR(__xludf.DUMMYFUNCTION("""COMPUTED_VALUE"""),21.0)</f>
        <v>21</v>
      </c>
      <c r="F380" s="1">
        <f>IFERROR(__xludf.DUMMYFUNCTION("""COMPUTED_VALUE"""),81.0)</f>
        <v>81</v>
      </c>
      <c r="G380" s="1">
        <f>IFERROR(__xludf.DUMMYFUNCTION("""COMPUTED_VALUE"""),48.0)</f>
        <v>48</v>
      </c>
      <c r="H380" s="1">
        <f>IFERROR(__xludf.DUMMYFUNCTION("""COMPUTED_VALUE"""),35.0)</f>
        <v>35</v>
      </c>
      <c r="I380" s="1">
        <f>IFERROR(__xludf.DUMMYFUNCTION("""COMPUTED_VALUE"""),72.0)</f>
        <v>72</v>
      </c>
      <c r="J380" s="1">
        <f>IFERROR(__xludf.DUMMYFUNCTION("""COMPUTED_VALUE"""),257.0)</f>
        <v>257</v>
      </c>
      <c r="K380" s="1">
        <f>IFERROR(__xludf.DUMMYFUNCTION("""COMPUTED_VALUE"""),51.4)</f>
        <v>51.4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>
        <f>IFERROR(__xludf.DUMMYFUNCTION("""COMPUTED_VALUE"""),99.0)</f>
        <v>99</v>
      </c>
      <c r="E381" s="1">
        <f>IFERROR(__xludf.DUMMYFUNCTION("""COMPUTED_VALUE"""),31.0)</f>
        <v>31</v>
      </c>
      <c r="F381" s="1">
        <f>IFERROR(__xludf.DUMMYFUNCTION("""COMPUTED_VALUE"""),59.0)</f>
        <v>59</v>
      </c>
      <c r="G381" s="1">
        <f>IFERROR(__xludf.DUMMYFUNCTION("""COMPUTED_VALUE"""),89.0)</f>
        <v>89</v>
      </c>
      <c r="H381" s="1">
        <f>IFERROR(__xludf.DUMMYFUNCTION("""COMPUTED_VALUE"""),62.0)</f>
        <v>62</v>
      </c>
      <c r="I381" s="1">
        <f>IFERROR(__xludf.DUMMYFUNCTION("""COMPUTED_VALUE"""),71.0)</f>
        <v>71</v>
      </c>
      <c r="J381" s="1">
        <f>IFERROR(__xludf.DUMMYFUNCTION("""COMPUTED_VALUE"""),312.0)</f>
        <v>312</v>
      </c>
      <c r="K381" s="1">
        <f>IFERROR(__xludf.DUMMYFUNCTION("""COMPUTED_VALUE"""),62.4)</f>
        <v>62.4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>
        <f>IFERROR(__xludf.DUMMYFUNCTION("""COMPUTED_VALUE"""),56.0)</f>
        <v>56</v>
      </c>
      <c r="E382" s="1">
        <f>IFERROR(__xludf.DUMMYFUNCTION("""COMPUTED_VALUE"""),63.0)</f>
        <v>63</v>
      </c>
      <c r="F382" s="1">
        <f>IFERROR(__xludf.DUMMYFUNCTION("""COMPUTED_VALUE"""),58.0)</f>
        <v>58</v>
      </c>
      <c r="G382" s="1">
        <f>IFERROR(__xludf.DUMMYFUNCTION("""COMPUTED_VALUE"""),54.0)</f>
        <v>54</v>
      </c>
      <c r="H382" s="1">
        <f>IFERROR(__xludf.DUMMYFUNCTION("""COMPUTED_VALUE"""),59.0)</f>
        <v>59</v>
      </c>
      <c r="I382" s="1">
        <f>IFERROR(__xludf.DUMMYFUNCTION("""COMPUTED_VALUE"""),71.0)</f>
        <v>71</v>
      </c>
      <c r="J382" s="1">
        <f>IFERROR(__xludf.DUMMYFUNCTION("""COMPUTED_VALUE"""),305.0)</f>
        <v>305</v>
      </c>
      <c r="K382" s="1">
        <f>IFERROR(__xludf.DUMMYFUNCTION("""COMPUTED_VALUE"""),61.0)</f>
        <v>61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>
        <f>IFERROR(__xludf.DUMMYFUNCTION("""COMPUTED_VALUE"""),100.0)</f>
        <v>100</v>
      </c>
      <c r="E383" s="1">
        <f>IFERROR(__xludf.DUMMYFUNCTION("""COMPUTED_VALUE"""),68.0)</f>
        <v>68</v>
      </c>
      <c r="F383" s="1">
        <f>IFERROR(__xludf.DUMMYFUNCTION("""COMPUTED_VALUE"""),79.0)</f>
        <v>79</v>
      </c>
      <c r="G383" s="1">
        <f>IFERROR(__xludf.DUMMYFUNCTION("""COMPUTED_VALUE"""),91.0)</f>
        <v>91</v>
      </c>
      <c r="H383" s="1">
        <f>IFERROR(__xludf.DUMMYFUNCTION("""COMPUTED_VALUE"""),72.0)</f>
        <v>72</v>
      </c>
      <c r="I383" s="1">
        <f>IFERROR(__xludf.DUMMYFUNCTION("""COMPUTED_VALUE"""),81.0)</f>
        <v>81</v>
      </c>
      <c r="J383" s="1">
        <f>IFERROR(__xludf.DUMMYFUNCTION("""COMPUTED_VALUE"""),391.0)</f>
        <v>391</v>
      </c>
      <c r="K383" s="1">
        <f>IFERROR(__xludf.DUMMYFUNCTION("""COMPUTED_VALUE"""),78.2)</f>
        <v>78.2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>
        <f>IFERROR(__xludf.DUMMYFUNCTION("""COMPUTED_VALUE"""),14.0)</f>
        <v>14</v>
      </c>
      <c r="E384" s="1">
        <f>IFERROR(__xludf.DUMMYFUNCTION("""COMPUTED_VALUE"""),34.0)</f>
        <v>34</v>
      </c>
      <c r="F384" s="1">
        <f>IFERROR(__xludf.DUMMYFUNCTION("""COMPUTED_VALUE"""),81.0)</f>
        <v>81</v>
      </c>
      <c r="G384" s="1">
        <f>IFERROR(__xludf.DUMMYFUNCTION("""COMPUTED_VALUE"""),56.0)</f>
        <v>56</v>
      </c>
      <c r="H384" s="1">
        <f>IFERROR(__xludf.DUMMYFUNCTION("""COMPUTED_VALUE"""),41.0)</f>
        <v>41</v>
      </c>
      <c r="I384" s="1">
        <f>IFERROR(__xludf.DUMMYFUNCTION("""COMPUTED_VALUE"""),94.0)</f>
        <v>94</v>
      </c>
      <c r="J384" s="1">
        <f>IFERROR(__xludf.DUMMYFUNCTION("""COMPUTED_VALUE"""),306.0)</f>
        <v>306</v>
      </c>
      <c r="K384" s="1">
        <f>IFERROR(__xludf.DUMMYFUNCTION("""COMPUTED_VALUE"""),61.199999999999996)</f>
        <v>61.2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>
        <f>IFERROR(__xludf.DUMMYFUNCTION("""COMPUTED_VALUE"""),76.0)</f>
        <v>76</v>
      </c>
      <c r="E385" s="1">
        <f>IFERROR(__xludf.DUMMYFUNCTION("""COMPUTED_VALUE"""),29.0)</f>
        <v>29</v>
      </c>
      <c r="F385" s="1">
        <f>IFERROR(__xludf.DUMMYFUNCTION("""COMPUTED_VALUE"""),82.0)</f>
        <v>82</v>
      </c>
      <c r="G385" s="1">
        <f>IFERROR(__xludf.DUMMYFUNCTION("""COMPUTED_VALUE"""),35.0)</f>
        <v>35</v>
      </c>
      <c r="H385" s="1">
        <f>IFERROR(__xludf.DUMMYFUNCTION("""COMPUTED_VALUE"""),44.0)</f>
        <v>44</v>
      </c>
      <c r="I385" s="1">
        <f>IFERROR(__xludf.DUMMYFUNCTION("""COMPUTED_VALUE"""),46.0)</f>
        <v>46</v>
      </c>
      <c r="J385" s="1">
        <f>IFERROR(__xludf.DUMMYFUNCTION("""COMPUTED_VALUE"""),236.0)</f>
        <v>236</v>
      </c>
      <c r="K385" s="1">
        <f>IFERROR(__xludf.DUMMYFUNCTION("""COMPUTED_VALUE"""),47.199999999999996)</f>
        <v>47.2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>
        <f>IFERROR(__xludf.DUMMYFUNCTION("""COMPUTED_VALUE"""),30.0)</f>
        <v>30</v>
      </c>
      <c r="E386" s="1">
        <f>IFERROR(__xludf.DUMMYFUNCTION("""COMPUTED_VALUE"""),51.0)</f>
        <v>51</v>
      </c>
      <c r="F386" s="1">
        <f>IFERROR(__xludf.DUMMYFUNCTION("""COMPUTED_VALUE"""),37.0)</f>
        <v>37</v>
      </c>
      <c r="G386" s="1">
        <f>IFERROR(__xludf.DUMMYFUNCTION("""COMPUTED_VALUE"""),91.0)</f>
        <v>91</v>
      </c>
      <c r="H386" s="1">
        <f>IFERROR(__xludf.DUMMYFUNCTION("""COMPUTED_VALUE"""),78.0)</f>
        <v>78</v>
      </c>
      <c r="I386" s="1">
        <f>IFERROR(__xludf.DUMMYFUNCTION("""COMPUTED_VALUE"""),26.0)</f>
        <v>26</v>
      </c>
      <c r="J386" s="1">
        <f>IFERROR(__xludf.DUMMYFUNCTION("""COMPUTED_VALUE"""),283.0)</f>
        <v>283</v>
      </c>
      <c r="K386" s="1">
        <f>IFERROR(__xludf.DUMMYFUNCTION("""COMPUTED_VALUE"""),56.599999999999994)</f>
        <v>56.6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>
        <f>IFERROR(__xludf.DUMMYFUNCTION("""COMPUTED_VALUE"""),19.0)</f>
        <v>19</v>
      </c>
      <c r="E387" s="1">
        <f>IFERROR(__xludf.DUMMYFUNCTION("""COMPUTED_VALUE"""),89.0)</f>
        <v>89</v>
      </c>
      <c r="F387" s="1">
        <f>IFERROR(__xludf.DUMMYFUNCTION("""COMPUTED_VALUE"""),36.0)</f>
        <v>36</v>
      </c>
      <c r="G387" s="1">
        <f>IFERROR(__xludf.DUMMYFUNCTION("""COMPUTED_VALUE"""),34.0)</f>
        <v>34</v>
      </c>
      <c r="H387" s="1">
        <f>IFERROR(__xludf.DUMMYFUNCTION("""COMPUTED_VALUE"""),82.0)</f>
        <v>82</v>
      </c>
      <c r="I387" s="1">
        <f>IFERROR(__xludf.DUMMYFUNCTION("""COMPUTED_VALUE"""),77.0)</f>
        <v>77</v>
      </c>
      <c r="J387" s="1">
        <f>IFERROR(__xludf.DUMMYFUNCTION("""COMPUTED_VALUE"""),318.0)</f>
        <v>318</v>
      </c>
      <c r="K387" s="1">
        <f>IFERROR(__xludf.DUMMYFUNCTION("""COMPUTED_VALUE"""),63.6)</f>
        <v>63.6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>
        <f>IFERROR(__xludf.DUMMYFUNCTION("""COMPUTED_VALUE"""),88.0)</f>
        <v>88</v>
      </c>
      <c r="E388" s="1">
        <f>IFERROR(__xludf.DUMMYFUNCTION("""COMPUTED_VALUE"""),69.0)</f>
        <v>69</v>
      </c>
      <c r="F388" s="1">
        <f>IFERROR(__xludf.DUMMYFUNCTION("""COMPUTED_VALUE"""),27.0)</f>
        <v>27</v>
      </c>
      <c r="G388" s="1">
        <f>IFERROR(__xludf.DUMMYFUNCTION("""COMPUTED_VALUE"""),78.0)</f>
        <v>78</v>
      </c>
      <c r="H388" s="1">
        <f>IFERROR(__xludf.DUMMYFUNCTION("""COMPUTED_VALUE"""),65.0)</f>
        <v>65</v>
      </c>
      <c r="I388" s="1">
        <f>IFERROR(__xludf.DUMMYFUNCTION("""COMPUTED_VALUE"""),24.0)</f>
        <v>24</v>
      </c>
      <c r="J388" s="1">
        <f>IFERROR(__xludf.DUMMYFUNCTION("""COMPUTED_VALUE"""),263.0)</f>
        <v>263</v>
      </c>
      <c r="K388" s="1">
        <f>IFERROR(__xludf.DUMMYFUNCTION("""COMPUTED_VALUE"""),52.6)</f>
        <v>52.6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>
        <f>IFERROR(__xludf.DUMMYFUNCTION("""COMPUTED_VALUE"""),62.0)</f>
        <v>62</v>
      </c>
      <c r="E389" s="1">
        <f>IFERROR(__xludf.DUMMYFUNCTION("""COMPUTED_VALUE"""),49.0)</f>
        <v>49</v>
      </c>
      <c r="F389" s="1">
        <f>IFERROR(__xludf.DUMMYFUNCTION("""COMPUTED_VALUE"""),60.0)</f>
        <v>60</v>
      </c>
      <c r="G389" s="1">
        <f>IFERROR(__xludf.DUMMYFUNCTION("""COMPUTED_VALUE"""),21.0)</f>
        <v>21</v>
      </c>
      <c r="H389" s="1">
        <f>IFERROR(__xludf.DUMMYFUNCTION("""COMPUTED_VALUE"""),69.0)</f>
        <v>69</v>
      </c>
      <c r="I389" s="1">
        <f>IFERROR(__xludf.DUMMYFUNCTION("""COMPUTED_VALUE"""),94.0)</f>
        <v>94</v>
      </c>
      <c r="J389" s="1">
        <f>IFERROR(__xludf.DUMMYFUNCTION("""COMPUTED_VALUE"""),293.0)</f>
        <v>293</v>
      </c>
      <c r="K389" s="1">
        <f>IFERROR(__xludf.DUMMYFUNCTION("""COMPUTED_VALUE"""),58.599999999999994)</f>
        <v>58.6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>
        <f>IFERROR(__xludf.DUMMYFUNCTION("""COMPUTED_VALUE"""),26.0)</f>
        <v>26</v>
      </c>
      <c r="E390" s="1">
        <f>IFERROR(__xludf.DUMMYFUNCTION("""COMPUTED_VALUE"""),52.0)</f>
        <v>52</v>
      </c>
      <c r="F390" s="1">
        <f>IFERROR(__xludf.DUMMYFUNCTION("""COMPUTED_VALUE"""),32.0)</f>
        <v>32</v>
      </c>
      <c r="G390" s="1">
        <f>IFERROR(__xludf.DUMMYFUNCTION("""COMPUTED_VALUE"""),27.0)</f>
        <v>27</v>
      </c>
      <c r="H390" s="1">
        <f>IFERROR(__xludf.DUMMYFUNCTION("""COMPUTED_VALUE"""),60.0)</f>
        <v>60</v>
      </c>
      <c r="I390" s="1">
        <f>IFERROR(__xludf.DUMMYFUNCTION("""COMPUTED_VALUE"""),64.0)</f>
        <v>64</v>
      </c>
      <c r="J390" s="1">
        <f>IFERROR(__xludf.DUMMYFUNCTION("""COMPUTED_VALUE"""),235.0)</f>
        <v>235</v>
      </c>
      <c r="K390" s="1">
        <f>IFERROR(__xludf.DUMMYFUNCTION("""COMPUTED_VALUE"""),47.0)</f>
        <v>47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>
        <f>IFERROR(__xludf.DUMMYFUNCTION("""COMPUTED_VALUE"""),28.0)</f>
        <v>28</v>
      </c>
      <c r="E391" s="1">
        <f>IFERROR(__xludf.DUMMYFUNCTION("""COMPUTED_VALUE"""),81.0)</f>
        <v>81</v>
      </c>
      <c r="F391" s="1">
        <f>IFERROR(__xludf.DUMMYFUNCTION("""COMPUTED_VALUE"""),43.0)</f>
        <v>43</v>
      </c>
      <c r="G391" s="1">
        <f>IFERROR(__xludf.DUMMYFUNCTION("""COMPUTED_VALUE"""),30.0)</f>
        <v>30</v>
      </c>
      <c r="H391" s="1">
        <f>IFERROR(__xludf.DUMMYFUNCTION("""COMPUTED_VALUE"""),91.0)</f>
        <v>91</v>
      </c>
      <c r="I391" s="1">
        <f>IFERROR(__xludf.DUMMYFUNCTION("""COMPUTED_VALUE"""),96.0)</f>
        <v>96</v>
      </c>
      <c r="J391" s="1">
        <f>IFERROR(__xludf.DUMMYFUNCTION("""COMPUTED_VALUE"""),341.0)</f>
        <v>341</v>
      </c>
      <c r="K391" s="1">
        <f>IFERROR(__xludf.DUMMYFUNCTION("""COMPUTED_VALUE"""),68.2)</f>
        <v>68.2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>
        <f>IFERROR(__xludf.DUMMYFUNCTION("""COMPUTED_VALUE"""),44.0)</f>
        <v>44</v>
      </c>
      <c r="E392" s="1">
        <f>IFERROR(__xludf.DUMMYFUNCTION("""COMPUTED_VALUE"""),98.0)</f>
        <v>98</v>
      </c>
      <c r="F392" s="1">
        <f>IFERROR(__xludf.DUMMYFUNCTION("""COMPUTED_VALUE"""),48.0)</f>
        <v>48</v>
      </c>
      <c r="G392" s="1">
        <f>IFERROR(__xludf.DUMMYFUNCTION("""COMPUTED_VALUE"""),26.0)</f>
        <v>26</v>
      </c>
      <c r="H392" s="1">
        <f>IFERROR(__xludf.DUMMYFUNCTION("""COMPUTED_VALUE"""),31.0)</f>
        <v>31</v>
      </c>
      <c r="I392" s="1">
        <f>IFERROR(__xludf.DUMMYFUNCTION("""COMPUTED_VALUE"""),77.0)</f>
        <v>77</v>
      </c>
      <c r="J392" s="1">
        <f>IFERROR(__xludf.DUMMYFUNCTION("""COMPUTED_VALUE"""),280.0)</f>
        <v>280</v>
      </c>
      <c r="K392" s="1">
        <f>IFERROR(__xludf.DUMMYFUNCTION("""COMPUTED_VALUE"""),56.00000000000001)</f>
        <v>56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>
        <f>IFERROR(__xludf.DUMMYFUNCTION("""COMPUTED_VALUE"""),96.0)</f>
        <v>96</v>
      </c>
      <c r="E393" s="1">
        <f>IFERROR(__xludf.DUMMYFUNCTION("""COMPUTED_VALUE"""),95.0)</f>
        <v>95</v>
      </c>
      <c r="F393" s="1">
        <f>IFERROR(__xludf.DUMMYFUNCTION("""COMPUTED_VALUE"""),42.0)</f>
        <v>42</v>
      </c>
      <c r="G393" s="1">
        <f>IFERROR(__xludf.DUMMYFUNCTION("""COMPUTED_VALUE"""),87.0)</f>
        <v>87</v>
      </c>
      <c r="H393" s="1">
        <f>IFERROR(__xludf.DUMMYFUNCTION("""COMPUTED_VALUE"""),60.0)</f>
        <v>60</v>
      </c>
      <c r="I393" s="1">
        <f>IFERROR(__xludf.DUMMYFUNCTION("""COMPUTED_VALUE"""),30.0)</f>
        <v>30</v>
      </c>
      <c r="J393" s="1">
        <f>IFERROR(__xludf.DUMMYFUNCTION("""COMPUTED_VALUE"""),314.0)</f>
        <v>314</v>
      </c>
      <c r="K393" s="1">
        <f>IFERROR(__xludf.DUMMYFUNCTION("""COMPUTED_VALUE"""),62.8)</f>
        <v>62.8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>
        <f>IFERROR(__xludf.DUMMYFUNCTION("""COMPUTED_VALUE"""),38.0)</f>
        <v>38</v>
      </c>
      <c r="E394" s="1">
        <f>IFERROR(__xludf.DUMMYFUNCTION("""COMPUTED_VALUE"""),81.0)</f>
        <v>81</v>
      </c>
      <c r="F394" s="1">
        <f>IFERROR(__xludf.DUMMYFUNCTION("""COMPUTED_VALUE"""),99.0)</f>
        <v>99</v>
      </c>
      <c r="G394" s="1">
        <f>IFERROR(__xludf.DUMMYFUNCTION("""COMPUTED_VALUE"""),96.0)</f>
        <v>96</v>
      </c>
      <c r="H394" s="1">
        <f>IFERROR(__xludf.DUMMYFUNCTION("""COMPUTED_VALUE"""),49.0)</f>
        <v>49</v>
      </c>
      <c r="I394" s="1">
        <f>IFERROR(__xludf.DUMMYFUNCTION("""COMPUTED_VALUE"""),62.0)</f>
        <v>62</v>
      </c>
      <c r="J394" s="1">
        <f>IFERROR(__xludf.DUMMYFUNCTION("""COMPUTED_VALUE"""),387.0)</f>
        <v>387</v>
      </c>
      <c r="K394" s="1">
        <f>IFERROR(__xludf.DUMMYFUNCTION("""COMPUTED_VALUE"""),77.4)</f>
        <v>77.4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>
        <f>IFERROR(__xludf.DUMMYFUNCTION("""COMPUTED_VALUE"""),14.0)</f>
        <v>14</v>
      </c>
      <c r="E395" s="1">
        <f>IFERROR(__xludf.DUMMYFUNCTION("""COMPUTED_VALUE"""),89.0)</f>
        <v>89</v>
      </c>
      <c r="F395" s="1">
        <f>IFERROR(__xludf.DUMMYFUNCTION("""COMPUTED_VALUE"""),63.0)</f>
        <v>63</v>
      </c>
      <c r="G395" s="1">
        <f>IFERROR(__xludf.DUMMYFUNCTION("""COMPUTED_VALUE"""),48.0)</f>
        <v>48</v>
      </c>
      <c r="H395" s="1">
        <f>IFERROR(__xludf.DUMMYFUNCTION("""COMPUTED_VALUE"""),62.0)</f>
        <v>62</v>
      </c>
      <c r="I395" s="1">
        <f>IFERROR(__xludf.DUMMYFUNCTION("""COMPUTED_VALUE"""),73.0)</f>
        <v>73</v>
      </c>
      <c r="J395" s="1">
        <f>IFERROR(__xludf.DUMMYFUNCTION("""COMPUTED_VALUE"""),335.0)</f>
        <v>335</v>
      </c>
      <c r="K395" s="1">
        <f>IFERROR(__xludf.DUMMYFUNCTION("""COMPUTED_VALUE"""),67.0)</f>
        <v>67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>
        <f>IFERROR(__xludf.DUMMYFUNCTION("""COMPUTED_VALUE"""),28.0)</f>
        <v>28</v>
      </c>
      <c r="E396" s="1">
        <f>IFERROR(__xludf.DUMMYFUNCTION("""COMPUTED_VALUE"""),56.0)</f>
        <v>56</v>
      </c>
      <c r="F396" s="1">
        <f>IFERROR(__xludf.DUMMYFUNCTION("""COMPUTED_VALUE"""),92.0)</f>
        <v>92</v>
      </c>
      <c r="G396" s="1">
        <f>IFERROR(__xludf.DUMMYFUNCTION("""COMPUTED_VALUE"""),98.0)</f>
        <v>98</v>
      </c>
      <c r="H396" s="1">
        <f>IFERROR(__xludf.DUMMYFUNCTION("""COMPUTED_VALUE"""),96.0)</f>
        <v>96</v>
      </c>
      <c r="I396" s="1">
        <f>IFERROR(__xludf.DUMMYFUNCTION("""COMPUTED_VALUE"""),88.0)</f>
        <v>88</v>
      </c>
      <c r="J396" s="1">
        <f>IFERROR(__xludf.DUMMYFUNCTION("""COMPUTED_VALUE"""),430.0)</f>
        <v>430</v>
      </c>
      <c r="K396" s="1">
        <f>IFERROR(__xludf.DUMMYFUNCTION("""COMPUTED_VALUE"""),86.0)</f>
        <v>86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>
        <f>IFERROR(__xludf.DUMMYFUNCTION("""COMPUTED_VALUE"""),82.0)</f>
        <v>82</v>
      </c>
      <c r="E397" s="1">
        <f>IFERROR(__xludf.DUMMYFUNCTION("""COMPUTED_VALUE"""),40.0)</f>
        <v>40</v>
      </c>
      <c r="F397" s="1">
        <f>IFERROR(__xludf.DUMMYFUNCTION("""COMPUTED_VALUE"""),45.0)</f>
        <v>45</v>
      </c>
      <c r="G397" s="1">
        <f>IFERROR(__xludf.DUMMYFUNCTION("""COMPUTED_VALUE"""),78.0)</f>
        <v>78</v>
      </c>
      <c r="H397" s="1">
        <f>IFERROR(__xludf.DUMMYFUNCTION("""COMPUTED_VALUE"""),86.0)</f>
        <v>86</v>
      </c>
      <c r="I397" s="1">
        <f>IFERROR(__xludf.DUMMYFUNCTION("""COMPUTED_VALUE"""),25.0)</f>
        <v>25</v>
      </c>
      <c r="J397" s="1">
        <f>IFERROR(__xludf.DUMMYFUNCTION("""COMPUTED_VALUE"""),274.0)</f>
        <v>274</v>
      </c>
      <c r="K397" s="1">
        <f>IFERROR(__xludf.DUMMYFUNCTION("""COMPUTED_VALUE"""),54.800000000000004)</f>
        <v>54.8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>
        <f>IFERROR(__xludf.DUMMYFUNCTION("""COMPUTED_VALUE"""),14.0)</f>
        <v>14</v>
      </c>
      <c r="E398" s="1">
        <f>IFERROR(__xludf.DUMMYFUNCTION("""COMPUTED_VALUE"""),61.0)</f>
        <v>61</v>
      </c>
      <c r="F398" s="1">
        <f>IFERROR(__xludf.DUMMYFUNCTION("""COMPUTED_VALUE"""),37.0)</f>
        <v>37</v>
      </c>
      <c r="G398" s="1">
        <f>IFERROR(__xludf.DUMMYFUNCTION("""COMPUTED_VALUE"""),25.0)</f>
        <v>25</v>
      </c>
      <c r="H398" s="1">
        <f>IFERROR(__xludf.DUMMYFUNCTION("""COMPUTED_VALUE"""),45.0)</f>
        <v>45</v>
      </c>
      <c r="I398" s="1">
        <f>IFERROR(__xludf.DUMMYFUNCTION("""COMPUTED_VALUE"""),44.0)</f>
        <v>44</v>
      </c>
      <c r="J398" s="1">
        <f>IFERROR(__xludf.DUMMYFUNCTION("""COMPUTED_VALUE"""),212.0)</f>
        <v>212</v>
      </c>
      <c r="K398" s="1">
        <f>IFERROR(__xludf.DUMMYFUNCTION("""COMPUTED_VALUE"""),42.4)</f>
        <v>42.4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>
        <f>IFERROR(__xludf.DUMMYFUNCTION("""COMPUTED_VALUE"""),62.0)</f>
        <v>62</v>
      </c>
      <c r="E399" s="1">
        <f>IFERROR(__xludf.DUMMYFUNCTION("""COMPUTED_VALUE"""),43.0)</f>
        <v>43</v>
      </c>
      <c r="F399" s="1">
        <f>IFERROR(__xludf.DUMMYFUNCTION("""COMPUTED_VALUE"""),63.0)</f>
        <v>63</v>
      </c>
      <c r="G399" s="1">
        <f>IFERROR(__xludf.DUMMYFUNCTION("""COMPUTED_VALUE"""),83.0)</f>
        <v>83</v>
      </c>
      <c r="H399" s="1">
        <f>IFERROR(__xludf.DUMMYFUNCTION("""COMPUTED_VALUE"""),24.0)</f>
        <v>24</v>
      </c>
      <c r="I399" s="1">
        <f>IFERROR(__xludf.DUMMYFUNCTION("""COMPUTED_VALUE"""),43.0)</f>
        <v>43</v>
      </c>
      <c r="J399" s="1">
        <f>IFERROR(__xludf.DUMMYFUNCTION("""COMPUTED_VALUE"""),256.0)</f>
        <v>256</v>
      </c>
      <c r="K399" s="1">
        <f>IFERROR(__xludf.DUMMYFUNCTION("""COMPUTED_VALUE"""),51.2)</f>
        <v>51.2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>
        <f>IFERROR(__xludf.DUMMYFUNCTION("""COMPUTED_VALUE"""),50.0)</f>
        <v>50</v>
      </c>
      <c r="E400" s="1">
        <f>IFERROR(__xludf.DUMMYFUNCTION("""COMPUTED_VALUE"""),45.0)</f>
        <v>45</v>
      </c>
      <c r="F400" s="1">
        <f>IFERROR(__xludf.DUMMYFUNCTION("""COMPUTED_VALUE"""),69.0)</f>
        <v>69</v>
      </c>
      <c r="G400" s="1">
        <f>IFERROR(__xludf.DUMMYFUNCTION("""COMPUTED_VALUE"""),73.0)</f>
        <v>73</v>
      </c>
      <c r="H400" s="1">
        <f>IFERROR(__xludf.DUMMYFUNCTION("""COMPUTED_VALUE"""),80.0)</f>
        <v>80</v>
      </c>
      <c r="I400" s="1">
        <f>IFERROR(__xludf.DUMMYFUNCTION("""COMPUTED_VALUE"""),36.0)</f>
        <v>36</v>
      </c>
      <c r="J400" s="1">
        <f>IFERROR(__xludf.DUMMYFUNCTION("""COMPUTED_VALUE"""),303.0)</f>
        <v>303</v>
      </c>
      <c r="K400" s="1">
        <f>IFERROR(__xludf.DUMMYFUNCTION("""COMPUTED_VALUE"""),60.6)</f>
        <v>60.6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>
        <f>IFERROR(__xludf.DUMMYFUNCTION("""COMPUTED_VALUE"""),74.0)</f>
        <v>74</v>
      </c>
      <c r="E401" s="1">
        <f>IFERROR(__xludf.DUMMYFUNCTION("""COMPUTED_VALUE"""),68.0)</f>
        <v>68</v>
      </c>
      <c r="F401" s="1">
        <f>IFERROR(__xludf.DUMMYFUNCTION("""COMPUTED_VALUE"""),65.0)</f>
        <v>65</v>
      </c>
      <c r="G401" s="1">
        <f>IFERROR(__xludf.DUMMYFUNCTION("""COMPUTED_VALUE"""),80.0)</f>
        <v>80</v>
      </c>
      <c r="H401" s="1">
        <f>IFERROR(__xludf.DUMMYFUNCTION("""COMPUTED_VALUE"""),24.0)</f>
        <v>24</v>
      </c>
      <c r="I401" s="1">
        <f>IFERROR(__xludf.DUMMYFUNCTION("""COMPUTED_VALUE"""),93.0)</f>
        <v>93</v>
      </c>
      <c r="J401" s="1">
        <f>IFERROR(__xludf.DUMMYFUNCTION("""COMPUTED_VALUE"""),330.0)</f>
        <v>330</v>
      </c>
      <c r="K401" s="1">
        <f>IFERROR(__xludf.DUMMYFUNCTION("""COMPUTED_VALUE"""),66.0)</f>
        <v>66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>
        <f>IFERROR(__xludf.DUMMYFUNCTION("""COMPUTED_VALUE"""),30.0)</f>
        <v>30</v>
      </c>
      <c r="E402" s="1">
        <f>IFERROR(__xludf.DUMMYFUNCTION("""COMPUTED_VALUE"""),96.0)</f>
        <v>96</v>
      </c>
      <c r="F402" s="1">
        <f>IFERROR(__xludf.DUMMYFUNCTION("""COMPUTED_VALUE"""),22.0)</f>
        <v>22</v>
      </c>
      <c r="G402" s="1">
        <f>IFERROR(__xludf.DUMMYFUNCTION("""COMPUTED_VALUE"""),88.0)</f>
        <v>88</v>
      </c>
      <c r="H402" s="1">
        <f>IFERROR(__xludf.DUMMYFUNCTION("""COMPUTED_VALUE"""),42.0)</f>
        <v>42</v>
      </c>
      <c r="I402" s="1">
        <f>IFERROR(__xludf.DUMMYFUNCTION("""COMPUTED_VALUE"""),79.0)</f>
        <v>79</v>
      </c>
      <c r="J402" s="1">
        <f>IFERROR(__xludf.DUMMYFUNCTION("""COMPUTED_VALUE"""),327.0)</f>
        <v>327</v>
      </c>
      <c r="K402" s="1">
        <f>IFERROR(__xludf.DUMMYFUNCTION("""COMPUTED_VALUE"""),65.4)</f>
        <v>65.4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>
        <f>IFERROR(__xludf.DUMMYFUNCTION("""COMPUTED_VALUE"""),99.0)</f>
        <v>99</v>
      </c>
      <c r="E403" s="1">
        <f>IFERROR(__xludf.DUMMYFUNCTION("""COMPUTED_VALUE"""),69.0)</f>
        <v>69</v>
      </c>
      <c r="F403" s="1">
        <f>IFERROR(__xludf.DUMMYFUNCTION("""COMPUTED_VALUE"""),68.0)</f>
        <v>68</v>
      </c>
      <c r="G403" s="1">
        <f>IFERROR(__xludf.DUMMYFUNCTION("""COMPUTED_VALUE"""),95.0)</f>
        <v>95</v>
      </c>
      <c r="H403" s="1">
        <f>IFERROR(__xludf.DUMMYFUNCTION("""COMPUTED_VALUE"""),32.0)</f>
        <v>32</v>
      </c>
      <c r="I403" s="1">
        <f>IFERROR(__xludf.DUMMYFUNCTION("""COMPUTED_VALUE"""),73.0)</f>
        <v>73</v>
      </c>
      <c r="J403" s="1">
        <f>IFERROR(__xludf.DUMMYFUNCTION("""COMPUTED_VALUE"""),337.0)</f>
        <v>337</v>
      </c>
      <c r="K403" s="1">
        <f>IFERROR(__xludf.DUMMYFUNCTION("""COMPUTED_VALUE"""),67.4)</f>
        <v>67.4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>
        <f>IFERROR(__xludf.DUMMYFUNCTION("""COMPUTED_VALUE"""),60.0)</f>
        <v>60</v>
      </c>
      <c r="E404" s="1">
        <f>IFERROR(__xludf.DUMMYFUNCTION("""COMPUTED_VALUE"""),54.0)</f>
        <v>54</v>
      </c>
      <c r="F404" s="1">
        <f>IFERROR(__xludf.DUMMYFUNCTION("""COMPUTED_VALUE"""),37.0)</f>
        <v>37</v>
      </c>
      <c r="G404" s="1">
        <f>IFERROR(__xludf.DUMMYFUNCTION("""COMPUTED_VALUE"""),72.0)</f>
        <v>72</v>
      </c>
      <c r="H404" s="1">
        <f>IFERROR(__xludf.DUMMYFUNCTION("""COMPUTED_VALUE"""),51.0)</f>
        <v>51</v>
      </c>
      <c r="I404" s="1">
        <f>IFERROR(__xludf.DUMMYFUNCTION("""COMPUTED_VALUE"""),93.0)</f>
        <v>93</v>
      </c>
      <c r="J404" s="1">
        <f>IFERROR(__xludf.DUMMYFUNCTION("""COMPUTED_VALUE"""),307.0)</f>
        <v>307</v>
      </c>
      <c r="K404" s="1">
        <f>IFERROR(__xludf.DUMMYFUNCTION("""COMPUTED_VALUE"""),61.4)</f>
        <v>61.4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>
        <f>IFERROR(__xludf.DUMMYFUNCTION("""COMPUTED_VALUE"""),87.0)</f>
        <v>87</v>
      </c>
      <c r="E405" s="1">
        <f>IFERROR(__xludf.DUMMYFUNCTION("""COMPUTED_VALUE"""),31.0)</f>
        <v>31</v>
      </c>
      <c r="F405" s="1">
        <f>IFERROR(__xludf.DUMMYFUNCTION("""COMPUTED_VALUE"""),92.0)</f>
        <v>92</v>
      </c>
      <c r="G405" s="1">
        <f>IFERROR(__xludf.DUMMYFUNCTION("""COMPUTED_VALUE"""),47.0)</f>
        <v>47</v>
      </c>
      <c r="H405" s="1">
        <f>IFERROR(__xludf.DUMMYFUNCTION("""COMPUTED_VALUE"""),93.0)</f>
        <v>93</v>
      </c>
      <c r="I405" s="1">
        <f>IFERROR(__xludf.DUMMYFUNCTION("""COMPUTED_VALUE"""),71.0)</f>
        <v>71</v>
      </c>
      <c r="J405" s="1">
        <f>IFERROR(__xludf.DUMMYFUNCTION("""COMPUTED_VALUE"""),334.0)</f>
        <v>334</v>
      </c>
      <c r="K405" s="1">
        <f>IFERROR(__xludf.DUMMYFUNCTION("""COMPUTED_VALUE"""),66.8)</f>
        <v>66.8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>
        <f>IFERROR(__xludf.DUMMYFUNCTION("""COMPUTED_VALUE"""),38.0)</f>
        <v>38</v>
      </c>
      <c r="E406" s="1">
        <f>IFERROR(__xludf.DUMMYFUNCTION("""COMPUTED_VALUE"""),94.0)</f>
        <v>94</v>
      </c>
      <c r="F406" s="1">
        <f>IFERROR(__xludf.DUMMYFUNCTION("""COMPUTED_VALUE"""),94.0)</f>
        <v>94</v>
      </c>
      <c r="G406" s="1">
        <f>IFERROR(__xludf.DUMMYFUNCTION("""COMPUTED_VALUE"""),43.0)</f>
        <v>43</v>
      </c>
      <c r="H406" s="1">
        <f>IFERROR(__xludf.DUMMYFUNCTION("""COMPUTED_VALUE"""),73.0)</f>
        <v>73</v>
      </c>
      <c r="I406" s="1">
        <f>IFERROR(__xludf.DUMMYFUNCTION("""COMPUTED_VALUE"""),83.0)</f>
        <v>83</v>
      </c>
      <c r="J406" s="1">
        <f>IFERROR(__xludf.DUMMYFUNCTION("""COMPUTED_VALUE"""),387.0)</f>
        <v>387</v>
      </c>
      <c r="K406" s="1">
        <f>IFERROR(__xludf.DUMMYFUNCTION("""COMPUTED_VALUE"""),77.4)</f>
        <v>77.4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>
        <f>IFERROR(__xludf.DUMMYFUNCTION("""COMPUTED_VALUE"""),100.0)</f>
        <v>100</v>
      </c>
      <c r="E407" s="1">
        <f>IFERROR(__xludf.DUMMYFUNCTION("""COMPUTED_VALUE"""),65.0)</f>
        <v>65</v>
      </c>
      <c r="F407" s="1">
        <f>IFERROR(__xludf.DUMMYFUNCTION("""COMPUTED_VALUE"""),35.0)</f>
        <v>35</v>
      </c>
      <c r="G407" s="1">
        <f>IFERROR(__xludf.DUMMYFUNCTION("""COMPUTED_VALUE"""),64.0)</f>
        <v>64</v>
      </c>
      <c r="H407" s="1">
        <f>IFERROR(__xludf.DUMMYFUNCTION("""COMPUTED_VALUE"""),49.0)</f>
        <v>49</v>
      </c>
      <c r="I407" s="1">
        <f>IFERROR(__xludf.DUMMYFUNCTION("""COMPUTED_VALUE"""),68.0)</f>
        <v>68</v>
      </c>
      <c r="J407" s="1">
        <f>IFERROR(__xludf.DUMMYFUNCTION("""COMPUTED_VALUE"""),281.0)</f>
        <v>281</v>
      </c>
      <c r="K407" s="1">
        <f>IFERROR(__xludf.DUMMYFUNCTION("""COMPUTED_VALUE"""),56.2)</f>
        <v>56.2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>
        <f>IFERROR(__xludf.DUMMYFUNCTION("""COMPUTED_VALUE"""),67.0)</f>
        <v>67</v>
      </c>
      <c r="E408" s="1">
        <f>IFERROR(__xludf.DUMMYFUNCTION("""COMPUTED_VALUE"""),61.0)</f>
        <v>61</v>
      </c>
      <c r="F408" s="1">
        <f>IFERROR(__xludf.DUMMYFUNCTION("""COMPUTED_VALUE"""),91.0)</f>
        <v>91</v>
      </c>
      <c r="G408" s="1">
        <f>IFERROR(__xludf.DUMMYFUNCTION("""COMPUTED_VALUE"""),25.0)</f>
        <v>25</v>
      </c>
      <c r="H408" s="1">
        <f>IFERROR(__xludf.DUMMYFUNCTION("""COMPUTED_VALUE"""),22.0)</f>
        <v>22</v>
      </c>
      <c r="I408" s="1">
        <f>IFERROR(__xludf.DUMMYFUNCTION("""COMPUTED_VALUE"""),71.0)</f>
        <v>71</v>
      </c>
      <c r="J408" s="1">
        <f>IFERROR(__xludf.DUMMYFUNCTION("""COMPUTED_VALUE"""),270.0)</f>
        <v>270</v>
      </c>
      <c r="K408" s="1">
        <f>IFERROR(__xludf.DUMMYFUNCTION("""COMPUTED_VALUE"""),54.0)</f>
        <v>54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>
        <f>IFERROR(__xludf.DUMMYFUNCTION("""COMPUTED_VALUE"""),45.0)</f>
        <v>45</v>
      </c>
      <c r="E409" s="1">
        <f>IFERROR(__xludf.DUMMYFUNCTION("""COMPUTED_VALUE"""),91.0)</f>
        <v>91</v>
      </c>
      <c r="F409" s="1">
        <f>IFERROR(__xludf.DUMMYFUNCTION("""COMPUTED_VALUE"""),38.0)</f>
        <v>38</v>
      </c>
      <c r="G409" s="1">
        <f>IFERROR(__xludf.DUMMYFUNCTION("""COMPUTED_VALUE"""),63.0)</f>
        <v>63</v>
      </c>
      <c r="H409" s="1">
        <f>IFERROR(__xludf.DUMMYFUNCTION("""COMPUTED_VALUE"""),87.0)</f>
        <v>87</v>
      </c>
      <c r="I409" s="1">
        <f>IFERROR(__xludf.DUMMYFUNCTION("""COMPUTED_VALUE"""),78.0)</f>
        <v>78</v>
      </c>
      <c r="J409" s="1">
        <f>IFERROR(__xludf.DUMMYFUNCTION("""COMPUTED_VALUE"""),357.0)</f>
        <v>357</v>
      </c>
      <c r="K409" s="1">
        <f>IFERROR(__xludf.DUMMYFUNCTION("""COMPUTED_VALUE"""),71.39999999999999)</f>
        <v>71.4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>
        <f>IFERROR(__xludf.DUMMYFUNCTION("""COMPUTED_VALUE"""),37.0)</f>
        <v>37</v>
      </c>
      <c r="E410" s="1">
        <f>IFERROR(__xludf.DUMMYFUNCTION("""COMPUTED_VALUE"""),65.0)</f>
        <v>65</v>
      </c>
      <c r="F410" s="1">
        <f>IFERROR(__xludf.DUMMYFUNCTION("""COMPUTED_VALUE"""),68.0)</f>
        <v>68</v>
      </c>
      <c r="G410" s="1">
        <f>IFERROR(__xludf.DUMMYFUNCTION("""COMPUTED_VALUE"""),75.0)</f>
        <v>75</v>
      </c>
      <c r="H410" s="1">
        <f>IFERROR(__xludf.DUMMYFUNCTION("""COMPUTED_VALUE"""),57.0)</f>
        <v>57</v>
      </c>
      <c r="I410" s="1">
        <f>IFERROR(__xludf.DUMMYFUNCTION("""COMPUTED_VALUE"""),72.0)</f>
        <v>72</v>
      </c>
      <c r="J410" s="1">
        <f>IFERROR(__xludf.DUMMYFUNCTION("""COMPUTED_VALUE"""),337.0)</f>
        <v>337</v>
      </c>
      <c r="K410" s="1">
        <f>IFERROR(__xludf.DUMMYFUNCTION("""COMPUTED_VALUE"""),67.4)</f>
        <v>67.4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>
        <f>IFERROR(__xludf.DUMMYFUNCTION("""COMPUTED_VALUE"""),39.0)</f>
        <v>39</v>
      </c>
      <c r="E411" s="1">
        <f>IFERROR(__xludf.DUMMYFUNCTION("""COMPUTED_VALUE"""),78.0)</f>
        <v>78</v>
      </c>
      <c r="F411" s="1">
        <f>IFERROR(__xludf.DUMMYFUNCTION("""COMPUTED_VALUE"""),37.0)</f>
        <v>37</v>
      </c>
      <c r="G411" s="1">
        <f>IFERROR(__xludf.DUMMYFUNCTION("""COMPUTED_VALUE"""),53.0)</f>
        <v>53</v>
      </c>
      <c r="H411" s="1">
        <f>IFERROR(__xludf.DUMMYFUNCTION("""COMPUTED_VALUE"""),98.0)</f>
        <v>98</v>
      </c>
      <c r="I411" s="1">
        <f>IFERROR(__xludf.DUMMYFUNCTION("""COMPUTED_VALUE"""),87.0)</f>
        <v>87</v>
      </c>
      <c r="J411" s="1">
        <f>IFERROR(__xludf.DUMMYFUNCTION("""COMPUTED_VALUE"""),353.0)</f>
        <v>353</v>
      </c>
      <c r="K411" s="1">
        <f>IFERROR(__xludf.DUMMYFUNCTION("""COMPUTED_VALUE"""),70.6)</f>
        <v>70.6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>
        <f>IFERROR(__xludf.DUMMYFUNCTION("""COMPUTED_VALUE"""),73.0)</f>
        <v>73</v>
      </c>
      <c r="E412" s="1">
        <f>IFERROR(__xludf.DUMMYFUNCTION("""COMPUTED_VALUE"""),83.0)</f>
        <v>83</v>
      </c>
      <c r="F412" s="1">
        <f>IFERROR(__xludf.DUMMYFUNCTION("""COMPUTED_VALUE"""),52.0)</f>
        <v>52</v>
      </c>
      <c r="G412" s="1">
        <f>IFERROR(__xludf.DUMMYFUNCTION("""COMPUTED_VALUE"""),64.0)</f>
        <v>64</v>
      </c>
      <c r="H412" s="1">
        <f>IFERROR(__xludf.DUMMYFUNCTION("""COMPUTED_VALUE"""),29.0)</f>
        <v>29</v>
      </c>
      <c r="I412" s="1">
        <f>IFERROR(__xludf.DUMMYFUNCTION("""COMPUTED_VALUE"""),33.0)</f>
        <v>33</v>
      </c>
      <c r="J412" s="1">
        <f>IFERROR(__xludf.DUMMYFUNCTION("""COMPUTED_VALUE"""),261.0)</f>
        <v>261</v>
      </c>
      <c r="K412" s="1">
        <f>IFERROR(__xludf.DUMMYFUNCTION("""COMPUTED_VALUE"""),52.2)</f>
        <v>52.2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>
        <f>IFERROR(__xludf.DUMMYFUNCTION("""COMPUTED_VALUE"""),41.0)</f>
        <v>41</v>
      </c>
      <c r="E413" s="1">
        <f>IFERROR(__xludf.DUMMYFUNCTION("""COMPUTED_VALUE"""),39.0)</f>
        <v>39</v>
      </c>
      <c r="F413" s="1">
        <f>IFERROR(__xludf.DUMMYFUNCTION("""COMPUTED_VALUE"""),23.0)</f>
        <v>23</v>
      </c>
      <c r="G413" s="1">
        <f>IFERROR(__xludf.DUMMYFUNCTION("""COMPUTED_VALUE"""),64.0)</f>
        <v>64</v>
      </c>
      <c r="H413" s="1">
        <f>IFERROR(__xludf.DUMMYFUNCTION("""COMPUTED_VALUE"""),34.0)</f>
        <v>34</v>
      </c>
      <c r="I413" s="1">
        <f>IFERROR(__xludf.DUMMYFUNCTION("""COMPUTED_VALUE"""),81.0)</f>
        <v>81</v>
      </c>
      <c r="J413" s="1">
        <f>IFERROR(__xludf.DUMMYFUNCTION("""COMPUTED_VALUE"""),241.0)</f>
        <v>241</v>
      </c>
      <c r="K413" s="1">
        <f>IFERROR(__xludf.DUMMYFUNCTION("""COMPUTED_VALUE"""),48.199999999999996)</f>
        <v>48.2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>
        <f>IFERROR(__xludf.DUMMYFUNCTION("""COMPUTED_VALUE"""),18.0)</f>
        <v>18</v>
      </c>
      <c r="E414" s="1">
        <f>IFERROR(__xludf.DUMMYFUNCTION("""COMPUTED_VALUE"""),42.0)</f>
        <v>42</v>
      </c>
      <c r="F414" s="1">
        <f>IFERROR(__xludf.DUMMYFUNCTION("""COMPUTED_VALUE"""),98.0)</f>
        <v>98</v>
      </c>
      <c r="G414" s="1">
        <f>IFERROR(__xludf.DUMMYFUNCTION("""COMPUTED_VALUE"""),61.0)</f>
        <v>61</v>
      </c>
      <c r="H414" s="1">
        <f>IFERROR(__xludf.DUMMYFUNCTION("""COMPUTED_VALUE"""),97.0)</f>
        <v>97</v>
      </c>
      <c r="I414" s="1">
        <f>IFERROR(__xludf.DUMMYFUNCTION("""COMPUTED_VALUE"""),76.0)</f>
        <v>76</v>
      </c>
      <c r="J414" s="1">
        <f>IFERROR(__xludf.DUMMYFUNCTION("""COMPUTED_VALUE"""),374.0)</f>
        <v>374</v>
      </c>
      <c r="K414" s="1">
        <f>IFERROR(__xludf.DUMMYFUNCTION("""COMPUTED_VALUE"""),74.8)</f>
        <v>74.8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>
        <f>IFERROR(__xludf.DUMMYFUNCTION("""COMPUTED_VALUE"""),89.0)</f>
        <v>89</v>
      </c>
      <c r="E415" s="1">
        <f>IFERROR(__xludf.DUMMYFUNCTION("""COMPUTED_VALUE"""),64.0)</f>
        <v>64</v>
      </c>
      <c r="F415" s="1">
        <f>IFERROR(__xludf.DUMMYFUNCTION("""COMPUTED_VALUE"""),77.0)</f>
        <v>77</v>
      </c>
      <c r="G415" s="1">
        <f>IFERROR(__xludf.DUMMYFUNCTION("""COMPUTED_VALUE"""),87.0)</f>
        <v>87</v>
      </c>
      <c r="H415" s="1">
        <f>IFERROR(__xludf.DUMMYFUNCTION("""COMPUTED_VALUE"""),80.0)</f>
        <v>80</v>
      </c>
      <c r="I415" s="1">
        <f>IFERROR(__xludf.DUMMYFUNCTION("""COMPUTED_VALUE"""),42.0)</f>
        <v>42</v>
      </c>
      <c r="J415" s="1">
        <f>IFERROR(__xludf.DUMMYFUNCTION("""COMPUTED_VALUE"""),350.0)</f>
        <v>350</v>
      </c>
      <c r="K415" s="1">
        <f>IFERROR(__xludf.DUMMYFUNCTION("""COMPUTED_VALUE"""),70.0)</f>
        <v>70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>
        <f>IFERROR(__xludf.DUMMYFUNCTION("""COMPUTED_VALUE"""),47.0)</f>
        <v>47</v>
      </c>
      <c r="E416" s="1">
        <f>IFERROR(__xludf.DUMMYFUNCTION("""COMPUTED_VALUE"""),84.0)</f>
        <v>84</v>
      </c>
      <c r="F416" s="1">
        <f>IFERROR(__xludf.DUMMYFUNCTION("""COMPUTED_VALUE"""),59.0)</f>
        <v>59</v>
      </c>
      <c r="G416" s="1">
        <f>IFERROR(__xludf.DUMMYFUNCTION("""COMPUTED_VALUE"""),26.0)</f>
        <v>26</v>
      </c>
      <c r="H416" s="1">
        <f>IFERROR(__xludf.DUMMYFUNCTION("""COMPUTED_VALUE"""),90.0)</f>
        <v>90</v>
      </c>
      <c r="I416" s="1">
        <f>IFERROR(__xludf.DUMMYFUNCTION("""COMPUTED_VALUE"""),82.0)</f>
        <v>82</v>
      </c>
      <c r="J416" s="1">
        <f>IFERROR(__xludf.DUMMYFUNCTION("""COMPUTED_VALUE"""),341.0)</f>
        <v>341</v>
      </c>
      <c r="K416" s="1">
        <f>IFERROR(__xludf.DUMMYFUNCTION("""COMPUTED_VALUE"""),68.2)</f>
        <v>68.2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>
        <f>IFERROR(__xludf.DUMMYFUNCTION("""COMPUTED_VALUE"""),56.0)</f>
        <v>56</v>
      </c>
      <c r="E417" s="1">
        <f>IFERROR(__xludf.DUMMYFUNCTION("""COMPUTED_VALUE"""),28.0)</f>
        <v>28</v>
      </c>
      <c r="F417" s="1">
        <f>IFERROR(__xludf.DUMMYFUNCTION("""COMPUTED_VALUE"""),39.0)</f>
        <v>39</v>
      </c>
      <c r="G417" s="1">
        <f>IFERROR(__xludf.DUMMYFUNCTION("""COMPUTED_VALUE"""),55.0)</f>
        <v>55</v>
      </c>
      <c r="H417" s="1">
        <f>IFERROR(__xludf.DUMMYFUNCTION("""COMPUTED_VALUE"""),63.0)</f>
        <v>63</v>
      </c>
      <c r="I417" s="1">
        <f>IFERROR(__xludf.DUMMYFUNCTION("""COMPUTED_VALUE"""),92.0)</f>
        <v>92</v>
      </c>
      <c r="J417" s="1">
        <f>IFERROR(__xludf.DUMMYFUNCTION("""COMPUTED_VALUE"""),277.0)</f>
        <v>277</v>
      </c>
      <c r="K417" s="1">
        <f>IFERROR(__xludf.DUMMYFUNCTION("""COMPUTED_VALUE"""),55.400000000000006)</f>
        <v>55.4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>
        <f>IFERROR(__xludf.DUMMYFUNCTION("""COMPUTED_VALUE"""),85.0)</f>
        <v>85</v>
      </c>
      <c r="E418" s="1">
        <f>IFERROR(__xludf.DUMMYFUNCTION("""COMPUTED_VALUE"""),43.0)</f>
        <v>43</v>
      </c>
      <c r="F418" s="1">
        <f>IFERROR(__xludf.DUMMYFUNCTION("""COMPUTED_VALUE"""),91.0)</f>
        <v>91</v>
      </c>
      <c r="G418" s="1">
        <f>IFERROR(__xludf.DUMMYFUNCTION("""COMPUTED_VALUE"""),66.0)</f>
        <v>66</v>
      </c>
      <c r="H418" s="1">
        <f>IFERROR(__xludf.DUMMYFUNCTION("""COMPUTED_VALUE"""),26.0)</f>
        <v>26</v>
      </c>
      <c r="I418" s="1">
        <f>IFERROR(__xludf.DUMMYFUNCTION("""COMPUTED_VALUE"""),38.0)</f>
        <v>38</v>
      </c>
      <c r="J418" s="1">
        <f>IFERROR(__xludf.DUMMYFUNCTION("""COMPUTED_VALUE"""),264.0)</f>
        <v>264</v>
      </c>
      <c r="K418" s="1">
        <f>IFERROR(__xludf.DUMMYFUNCTION("""COMPUTED_VALUE"""),52.800000000000004)</f>
        <v>52.8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>
        <f>IFERROR(__xludf.DUMMYFUNCTION("""COMPUTED_VALUE"""),58.0)</f>
        <v>58</v>
      </c>
      <c r="E419" s="1">
        <f>IFERROR(__xludf.DUMMYFUNCTION("""COMPUTED_VALUE"""),62.0)</f>
        <v>62</v>
      </c>
      <c r="F419" s="1">
        <f>IFERROR(__xludf.DUMMYFUNCTION("""COMPUTED_VALUE"""),34.0)</f>
        <v>34</v>
      </c>
      <c r="G419" s="1">
        <f>IFERROR(__xludf.DUMMYFUNCTION("""COMPUTED_VALUE"""),94.0)</f>
        <v>94</v>
      </c>
      <c r="H419" s="1">
        <f>IFERROR(__xludf.DUMMYFUNCTION("""COMPUTED_VALUE"""),54.0)</f>
        <v>54</v>
      </c>
      <c r="I419" s="1">
        <f>IFERROR(__xludf.DUMMYFUNCTION("""COMPUTED_VALUE"""),80.0)</f>
        <v>80</v>
      </c>
      <c r="J419" s="1">
        <f>IFERROR(__xludf.DUMMYFUNCTION("""COMPUTED_VALUE"""),324.0)</f>
        <v>324</v>
      </c>
      <c r="K419" s="1">
        <f>IFERROR(__xludf.DUMMYFUNCTION("""COMPUTED_VALUE"""),64.8)</f>
        <v>64.8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>
        <f>IFERROR(__xludf.DUMMYFUNCTION("""COMPUTED_VALUE"""),67.0)</f>
        <v>67</v>
      </c>
      <c r="E420" s="1">
        <f>IFERROR(__xludf.DUMMYFUNCTION("""COMPUTED_VALUE"""),35.0)</f>
        <v>35</v>
      </c>
      <c r="F420" s="1">
        <f>IFERROR(__xludf.DUMMYFUNCTION("""COMPUTED_VALUE"""),78.0)</f>
        <v>78</v>
      </c>
      <c r="G420" s="1">
        <f>IFERROR(__xludf.DUMMYFUNCTION("""COMPUTED_VALUE"""),45.0)</f>
        <v>45</v>
      </c>
      <c r="H420" s="1">
        <f>IFERROR(__xludf.DUMMYFUNCTION("""COMPUTED_VALUE"""),33.0)</f>
        <v>33</v>
      </c>
      <c r="I420" s="1">
        <f>IFERROR(__xludf.DUMMYFUNCTION("""COMPUTED_VALUE"""),41.0)</f>
        <v>41</v>
      </c>
      <c r="J420" s="1">
        <f>IFERROR(__xludf.DUMMYFUNCTION("""COMPUTED_VALUE"""),232.0)</f>
        <v>232</v>
      </c>
      <c r="K420" s="1">
        <f>IFERROR(__xludf.DUMMYFUNCTION("""COMPUTED_VALUE"""),46.400000000000006)</f>
        <v>46.4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>
        <f>IFERROR(__xludf.DUMMYFUNCTION("""COMPUTED_VALUE"""),71.0)</f>
        <v>71</v>
      </c>
      <c r="E421" s="1">
        <f>IFERROR(__xludf.DUMMYFUNCTION("""COMPUTED_VALUE"""),76.0)</f>
        <v>76</v>
      </c>
      <c r="F421" s="1">
        <f>IFERROR(__xludf.DUMMYFUNCTION("""COMPUTED_VALUE"""),94.0)</f>
        <v>94</v>
      </c>
      <c r="G421" s="1">
        <f>IFERROR(__xludf.DUMMYFUNCTION("""COMPUTED_VALUE"""),34.0)</f>
        <v>34</v>
      </c>
      <c r="H421" s="1">
        <f>IFERROR(__xludf.DUMMYFUNCTION("""COMPUTED_VALUE"""),93.0)</f>
        <v>93</v>
      </c>
      <c r="I421" s="1">
        <f>IFERROR(__xludf.DUMMYFUNCTION("""COMPUTED_VALUE"""),84.0)</f>
        <v>84</v>
      </c>
      <c r="J421" s="1">
        <f>IFERROR(__xludf.DUMMYFUNCTION("""COMPUTED_VALUE"""),381.0)</f>
        <v>381</v>
      </c>
      <c r="K421" s="1">
        <f>IFERROR(__xludf.DUMMYFUNCTION("""COMPUTED_VALUE"""),76.2)</f>
        <v>76.2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>
        <f>IFERROR(__xludf.DUMMYFUNCTION("""COMPUTED_VALUE"""),14.0)</f>
        <v>14</v>
      </c>
      <c r="E422" s="1">
        <f>IFERROR(__xludf.DUMMYFUNCTION("""COMPUTED_VALUE"""),54.0)</f>
        <v>54</v>
      </c>
      <c r="F422" s="1">
        <f>IFERROR(__xludf.DUMMYFUNCTION("""COMPUTED_VALUE"""),88.0)</f>
        <v>88</v>
      </c>
      <c r="G422" s="1">
        <f>IFERROR(__xludf.DUMMYFUNCTION("""COMPUTED_VALUE"""),82.0)</f>
        <v>82</v>
      </c>
      <c r="H422" s="1">
        <f>IFERROR(__xludf.DUMMYFUNCTION("""COMPUTED_VALUE"""),93.0)</f>
        <v>93</v>
      </c>
      <c r="I422" s="1">
        <f>IFERROR(__xludf.DUMMYFUNCTION("""COMPUTED_VALUE"""),94.0)</f>
        <v>94</v>
      </c>
      <c r="J422" s="1">
        <f>IFERROR(__xludf.DUMMYFUNCTION("""COMPUTED_VALUE"""),411.0)</f>
        <v>411</v>
      </c>
      <c r="K422" s="1">
        <f>IFERROR(__xludf.DUMMYFUNCTION("""COMPUTED_VALUE"""),82.19999999999999)</f>
        <v>82.2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>
        <f>IFERROR(__xludf.DUMMYFUNCTION("""COMPUTED_VALUE"""),64.0)</f>
        <v>64</v>
      </c>
      <c r="E423" s="1">
        <f>IFERROR(__xludf.DUMMYFUNCTION("""COMPUTED_VALUE"""),65.0)</f>
        <v>65</v>
      </c>
      <c r="F423" s="1">
        <f>IFERROR(__xludf.DUMMYFUNCTION("""COMPUTED_VALUE"""),54.0)</f>
        <v>54</v>
      </c>
      <c r="G423" s="1">
        <f>IFERROR(__xludf.DUMMYFUNCTION("""COMPUTED_VALUE"""),20.0)</f>
        <v>20</v>
      </c>
      <c r="H423" s="1">
        <f>IFERROR(__xludf.DUMMYFUNCTION("""COMPUTED_VALUE"""),40.0)</f>
        <v>40</v>
      </c>
      <c r="I423" s="1">
        <f>IFERROR(__xludf.DUMMYFUNCTION("""COMPUTED_VALUE"""),84.0)</f>
        <v>84</v>
      </c>
      <c r="J423" s="1">
        <f>IFERROR(__xludf.DUMMYFUNCTION("""COMPUTED_VALUE"""),263.0)</f>
        <v>263</v>
      </c>
      <c r="K423" s="1">
        <f>IFERROR(__xludf.DUMMYFUNCTION("""COMPUTED_VALUE"""),52.6)</f>
        <v>52.6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>
        <f>IFERROR(__xludf.DUMMYFUNCTION("""COMPUTED_VALUE"""),47.0)</f>
        <v>47</v>
      </c>
      <c r="E424" s="1">
        <f>IFERROR(__xludf.DUMMYFUNCTION("""COMPUTED_VALUE"""),26.0)</f>
        <v>26</v>
      </c>
      <c r="F424" s="1">
        <f>IFERROR(__xludf.DUMMYFUNCTION("""COMPUTED_VALUE"""),92.0)</f>
        <v>92</v>
      </c>
      <c r="G424" s="1">
        <f>IFERROR(__xludf.DUMMYFUNCTION("""COMPUTED_VALUE"""),58.0)</f>
        <v>58</v>
      </c>
      <c r="H424" s="1">
        <f>IFERROR(__xludf.DUMMYFUNCTION("""COMPUTED_VALUE"""),66.0)</f>
        <v>66</v>
      </c>
      <c r="I424" s="1">
        <f>IFERROR(__xludf.DUMMYFUNCTION("""COMPUTED_VALUE"""),36.0)</f>
        <v>36</v>
      </c>
      <c r="J424" s="1">
        <f>IFERROR(__xludf.DUMMYFUNCTION("""COMPUTED_VALUE"""),278.0)</f>
        <v>278</v>
      </c>
      <c r="K424" s="1">
        <f>IFERROR(__xludf.DUMMYFUNCTION("""COMPUTED_VALUE"""),55.60000000000001)</f>
        <v>55.6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>
        <f>IFERROR(__xludf.DUMMYFUNCTION("""COMPUTED_VALUE"""),41.0)</f>
        <v>41</v>
      </c>
      <c r="E425" s="1">
        <f>IFERROR(__xludf.DUMMYFUNCTION("""COMPUTED_VALUE"""),55.0)</f>
        <v>55</v>
      </c>
      <c r="F425" s="1">
        <f>IFERROR(__xludf.DUMMYFUNCTION("""COMPUTED_VALUE"""),30.0)</f>
        <v>30</v>
      </c>
      <c r="G425" s="1">
        <f>IFERROR(__xludf.DUMMYFUNCTION("""COMPUTED_VALUE"""),79.0)</f>
        <v>79</v>
      </c>
      <c r="H425" s="1">
        <f>IFERROR(__xludf.DUMMYFUNCTION("""COMPUTED_VALUE"""),53.0)</f>
        <v>53</v>
      </c>
      <c r="I425" s="1">
        <f>IFERROR(__xludf.DUMMYFUNCTION("""COMPUTED_VALUE"""),88.0)</f>
        <v>88</v>
      </c>
      <c r="J425" s="1">
        <f>IFERROR(__xludf.DUMMYFUNCTION("""COMPUTED_VALUE"""),305.0)</f>
        <v>305</v>
      </c>
      <c r="K425" s="1">
        <f>IFERROR(__xludf.DUMMYFUNCTION("""COMPUTED_VALUE"""),61.0)</f>
        <v>61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>
        <f>IFERROR(__xludf.DUMMYFUNCTION("""COMPUTED_VALUE"""),90.0)</f>
        <v>90</v>
      </c>
      <c r="E426" s="1">
        <f>IFERROR(__xludf.DUMMYFUNCTION("""COMPUTED_VALUE"""),32.0)</f>
        <v>32</v>
      </c>
      <c r="F426" s="1">
        <f>IFERROR(__xludf.DUMMYFUNCTION("""COMPUTED_VALUE"""),94.0)</f>
        <v>94</v>
      </c>
      <c r="G426" s="1">
        <f>IFERROR(__xludf.DUMMYFUNCTION("""COMPUTED_VALUE"""),99.0)</f>
        <v>99</v>
      </c>
      <c r="H426" s="1">
        <f>IFERROR(__xludf.DUMMYFUNCTION("""COMPUTED_VALUE"""),83.0)</f>
        <v>83</v>
      </c>
      <c r="I426" s="1">
        <f>IFERROR(__xludf.DUMMYFUNCTION("""COMPUTED_VALUE"""),44.0)</f>
        <v>44</v>
      </c>
      <c r="J426" s="1">
        <f>IFERROR(__xludf.DUMMYFUNCTION("""COMPUTED_VALUE"""),352.0)</f>
        <v>352</v>
      </c>
      <c r="K426" s="1">
        <f>IFERROR(__xludf.DUMMYFUNCTION("""COMPUTED_VALUE"""),70.39999999999999)</f>
        <v>70.4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>
        <f>IFERROR(__xludf.DUMMYFUNCTION("""COMPUTED_VALUE"""),51.0)</f>
        <v>51</v>
      </c>
      <c r="E427" s="1">
        <f>IFERROR(__xludf.DUMMYFUNCTION("""COMPUTED_VALUE"""),69.0)</f>
        <v>69</v>
      </c>
      <c r="F427" s="1">
        <f>IFERROR(__xludf.DUMMYFUNCTION("""COMPUTED_VALUE"""),33.0)</f>
        <v>33</v>
      </c>
      <c r="G427" s="1">
        <f>IFERROR(__xludf.DUMMYFUNCTION("""COMPUTED_VALUE"""),50.0)</f>
        <v>50</v>
      </c>
      <c r="H427" s="1">
        <f>IFERROR(__xludf.DUMMYFUNCTION("""COMPUTED_VALUE"""),26.0)</f>
        <v>26</v>
      </c>
      <c r="I427" s="1">
        <f>IFERROR(__xludf.DUMMYFUNCTION("""COMPUTED_VALUE"""),49.0)</f>
        <v>49</v>
      </c>
      <c r="J427" s="1">
        <f>IFERROR(__xludf.DUMMYFUNCTION("""COMPUTED_VALUE"""),227.0)</f>
        <v>227</v>
      </c>
      <c r="K427" s="1">
        <f>IFERROR(__xludf.DUMMYFUNCTION("""COMPUTED_VALUE"""),45.4)</f>
        <v>45.4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>
        <f>IFERROR(__xludf.DUMMYFUNCTION("""COMPUTED_VALUE"""),90.0)</f>
        <v>90</v>
      </c>
      <c r="E428" s="1">
        <f>IFERROR(__xludf.DUMMYFUNCTION("""COMPUTED_VALUE"""),91.0)</f>
        <v>91</v>
      </c>
      <c r="F428" s="1">
        <f>IFERROR(__xludf.DUMMYFUNCTION("""COMPUTED_VALUE"""),45.0)</f>
        <v>45</v>
      </c>
      <c r="G428" s="1">
        <f>IFERROR(__xludf.DUMMYFUNCTION("""COMPUTED_VALUE"""),22.0)</f>
        <v>22</v>
      </c>
      <c r="H428" s="1">
        <f>IFERROR(__xludf.DUMMYFUNCTION("""COMPUTED_VALUE"""),46.0)</f>
        <v>46</v>
      </c>
      <c r="I428" s="1">
        <f>IFERROR(__xludf.DUMMYFUNCTION("""COMPUTED_VALUE"""),53.0)</f>
        <v>53</v>
      </c>
      <c r="J428" s="1">
        <f>IFERROR(__xludf.DUMMYFUNCTION("""COMPUTED_VALUE"""),257.0)</f>
        <v>257</v>
      </c>
      <c r="K428" s="1">
        <f>IFERROR(__xludf.DUMMYFUNCTION("""COMPUTED_VALUE"""),51.4)</f>
        <v>51.4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>
        <f>IFERROR(__xludf.DUMMYFUNCTION("""COMPUTED_VALUE"""),46.0)</f>
        <v>46</v>
      </c>
      <c r="E429" s="1">
        <f>IFERROR(__xludf.DUMMYFUNCTION("""COMPUTED_VALUE"""),91.0)</f>
        <v>91</v>
      </c>
      <c r="F429" s="1">
        <f>IFERROR(__xludf.DUMMYFUNCTION("""COMPUTED_VALUE"""),51.0)</f>
        <v>51</v>
      </c>
      <c r="G429" s="1">
        <f>IFERROR(__xludf.DUMMYFUNCTION("""COMPUTED_VALUE"""),26.0)</f>
        <v>26</v>
      </c>
      <c r="H429" s="1">
        <f>IFERROR(__xludf.DUMMYFUNCTION("""COMPUTED_VALUE"""),86.0)</f>
        <v>86</v>
      </c>
      <c r="I429" s="1">
        <f>IFERROR(__xludf.DUMMYFUNCTION("""COMPUTED_VALUE"""),87.0)</f>
        <v>87</v>
      </c>
      <c r="J429" s="1">
        <f>IFERROR(__xludf.DUMMYFUNCTION("""COMPUTED_VALUE"""),341.0)</f>
        <v>341</v>
      </c>
      <c r="K429" s="1">
        <f>IFERROR(__xludf.DUMMYFUNCTION("""COMPUTED_VALUE"""),68.2)</f>
        <v>68.2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>
        <f>IFERROR(__xludf.DUMMYFUNCTION("""COMPUTED_VALUE"""),47.0)</f>
        <v>47</v>
      </c>
      <c r="E430" s="1">
        <f>IFERROR(__xludf.DUMMYFUNCTION("""COMPUTED_VALUE"""),58.0)</f>
        <v>58</v>
      </c>
      <c r="F430" s="1">
        <f>IFERROR(__xludf.DUMMYFUNCTION("""COMPUTED_VALUE"""),65.0)</f>
        <v>65</v>
      </c>
      <c r="G430" s="1">
        <f>IFERROR(__xludf.DUMMYFUNCTION("""COMPUTED_VALUE"""),54.0)</f>
        <v>54</v>
      </c>
      <c r="H430" s="1">
        <f>IFERROR(__xludf.DUMMYFUNCTION("""COMPUTED_VALUE"""),79.0)</f>
        <v>79</v>
      </c>
      <c r="I430" s="1">
        <f>IFERROR(__xludf.DUMMYFUNCTION("""COMPUTED_VALUE"""),76.0)</f>
        <v>76</v>
      </c>
      <c r="J430" s="1">
        <f>IFERROR(__xludf.DUMMYFUNCTION("""COMPUTED_VALUE"""),332.0)</f>
        <v>332</v>
      </c>
      <c r="K430" s="1">
        <f>IFERROR(__xludf.DUMMYFUNCTION("""COMPUTED_VALUE"""),66.4)</f>
        <v>66.4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>
        <f>IFERROR(__xludf.DUMMYFUNCTION("""COMPUTED_VALUE"""),62.0)</f>
        <v>62</v>
      </c>
      <c r="E431" s="1">
        <f>IFERROR(__xludf.DUMMYFUNCTION("""COMPUTED_VALUE"""),78.0)</f>
        <v>78</v>
      </c>
      <c r="F431" s="1">
        <f>IFERROR(__xludf.DUMMYFUNCTION("""COMPUTED_VALUE"""),67.0)</f>
        <v>67</v>
      </c>
      <c r="G431" s="1">
        <f>IFERROR(__xludf.DUMMYFUNCTION("""COMPUTED_VALUE"""),22.0)</f>
        <v>22</v>
      </c>
      <c r="H431" s="1">
        <f>IFERROR(__xludf.DUMMYFUNCTION("""COMPUTED_VALUE"""),30.0)</f>
        <v>30</v>
      </c>
      <c r="I431" s="1">
        <f>IFERROR(__xludf.DUMMYFUNCTION("""COMPUTED_VALUE"""),41.0)</f>
        <v>41</v>
      </c>
      <c r="J431" s="1">
        <f>IFERROR(__xludf.DUMMYFUNCTION("""COMPUTED_VALUE"""),238.0)</f>
        <v>238</v>
      </c>
      <c r="K431" s="1">
        <f>IFERROR(__xludf.DUMMYFUNCTION("""COMPUTED_VALUE"""),47.599999999999994)</f>
        <v>47.6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>
        <f>IFERROR(__xludf.DUMMYFUNCTION("""COMPUTED_VALUE"""),38.0)</f>
        <v>38</v>
      </c>
      <c r="E432" s="1">
        <f>IFERROR(__xludf.DUMMYFUNCTION("""COMPUTED_VALUE"""),94.0)</f>
        <v>94</v>
      </c>
      <c r="F432" s="1">
        <f>IFERROR(__xludf.DUMMYFUNCTION("""COMPUTED_VALUE"""),91.0)</f>
        <v>91</v>
      </c>
      <c r="G432" s="1">
        <f>IFERROR(__xludf.DUMMYFUNCTION("""COMPUTED_VALUE"""),32.0)</f>
        <v>32</v>
      </c>
      <c r="H432" s="1">
        <f>IFERROR(__xludf.DUMMYFUNCTION("""COMPUTED_VALUE"""),75.0)</f>
        <v>75</v>
      </c>
      <c r="I432" s="1">
        <f>IFERROR(__xludf.DUMMYFUNCTION("""COMPUTED_VALUE"""),86.0)</f>
        <v>86</v>
      </c>
      <c r="J432" s="1">
        <f>IFERROR(__xludf.DUMMYFUNCTION("""COMPUTED_VALUE"""),378.0)</f>
        <v>378</v>
      </c>
      <c r="K432" s="1">
        <f>IFERROR(__xludf.DUMMYFUNCTION("""COMPUTED_VALUE"""),75.6)</f>
        <v>75.6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>
        <f>IFERROR(__xludf.DUMMYFUNCTION("""COMPUTED_VALUE"""),31.0)</f>
        <v>31</v>
      </c>
      <c r="E433" s="1">
        <f>IFERROR(__xludf.DUMMYFUNCTION("""COMPUTED_VALUE"""),65.0)</f>
        <v>65</v>
      </c>
      <c r="F433" s="1">
        <f>IFERROR(__xludf.DUMMYFUNCTION("""COMPUTED_VALUE"""),79.0)</f>
        <v>79</v>
      </c>
      <c r="G433" s="1">
        <f>IFERROR(__xludf.DUMMYFUNCTION("""COMPUTED_VALUE"""),20.0)</f>
        <v>20</v>
      </c>
      <c r="H433" s="1">
        <f>IFERROR(__xludf.DUMMYFUNCTION("""COMPUTED_VALUE"""),51.0)</f>
        <v>51</v>
      </c>
      <c r="I433" s="1">
        <f>IFERROR(__xludf.DUMMYFUNCTION("""COMPUTED_VALUE"""),28.0)</f>
        <v>28</v>
      </c>
      <c r="J433" s="1">
        <f>IFERROR(__xludf.DUMMYFUNCTION("""COMPUTED_VALUE"""),243.0)</f>
        <v>243</v>
      </c>
      <c r="K433" s="1">
        <f>IFERROR(__xludf.DUMMYFUNCTION("""COMPUTED_VALUE"""),48.6)</f>
        <v>48.6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>
        <f>IFERROR(__xludf.DUMMYFUNCTION("""COMPUTED_VALUE"""),27.0)</f>
        <v>27</v>
      </c>
      <c r="E434" s="1">
        <f>IFERROR(__xludf.DUMMYFUNCTION("""COMPUTED_VALUE"""),61.0)</f>
        <v>61</v>
      </c>
      <c r="F434" s="1">
        <f>IFERROR(__xludf.DUMMYFUNCTION("""COMPUTED_VALUE"""),33.0)</f>
        <v>33</v>
      </c>
      <c r="G434" s="1">
        <f>IFERROR(__xludf.DUMMYFUNCTION("""COMPUTED_VALUE"""),59.0)</f>
        <v>59</v>
      </c>
      <c r="H434" s="1">
        <f>IFERROR(__xludf.DUMMYFUNCTION("""COMPUTED_VALUE"""),67.0)</f>
        <v>67</v>
      </c>
      <c r="I434" s="1">
        <f>IFERROR(__xludf.DUMMYFUNCTION("""COMPUTED_VALUE"""),38.0)</f>
        <v>38</v>
      </c>
      <c r="J434" s="1">
        <f>IFERROR(__xludf.DUMMYFUNCTION("""COMPUTED_VALUE"""),258.0)</f>
        <v>258</v>
      </c>
      <c r="K434" s="1">
        <f>IFERROR(__xludf.DUMMYFUNCTION("""COMPUTED_VALUE"""),51.6)</f>
        <v>51.6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>
        <f>IFERROR(__xludf.DUMMYFUNCTION("""COMPUTED_VALUE"""),60.0)</f>
        <v>60</v>
      </c>
      <c r="E435" s="1">
        <f>IFERROR(__xludf.DUMMYFUNCTION("""COMPUTED_VALUE"""),23.0)</f>
        <v>23</v>
      </c>
      <c r="F435" s="1">
        <f>IFERROR(__xludf.DUMMYFUNCTION("""COMPUTED_VALUE"""),54.0)</f>
        <v>54</v>
      </c>
      <c r="G435" s="1">
        <f>IFERROR(__xludf.DUMMYFUNCTION("""COMPUTED_VALUE"""),65.0)</f>
        <v>65</v>
      </c>
      <c r="H435" s="1">
        <f>IFERROR(__xludf.DUMMYFUNCTION("""COMPUTED_VALUE"""),39.0)</f>
        <v>39</v>
      </c>
      <c r="I435" s="1">
        <f>IFERROR(__xludf.DUMMYFUNCTION("""COMPUTED_VALUE"""),40.0)</f>
        <v>40</v>
      </c>
      <c r="J435" s="1">
        <f>IFERROR(__xludf.DUMMYFUNCTION("""COMPUTED_VALUE"""),221.0)</f>
        <v>221</v>
      </c>
      <c r="K435" s="1">
        <f>IFERROR(__xludf.DUMMYFUNCTION("""COMPUTED_VALUE"""),44.2)</f>
        <v>44.2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>
        <f>IFERROR(__xludf.DUMMYFUNCTION("""COMPUTED_VALUE"""),83.0)</f>
        <v>83</v>
      </c>
      <c r="E436" s="1">
        <f>IFERROR(__xludf.DUMMYFUNCTION("""COMPUTED_VALUE"""),28.0)</f>
        <v>28</v>
      </c>
      <c r="F436" s="1">
        <f>IFERROR(__xludf.DUMMYFUNCTION("""COMPUTED_VALUE"""),37.0)</f>
        <v>37</v>
      </c>
      <c r="G436" s="1">
        <f>IFERROR(__xludf.DUMMYFUNCTION("""COMPUTED_VALUE"""),35.0)</f>
        <v>35</v>
      </c>
      <c r="H436" s="1">
        <f>IFERROR(__xludf.DUMMYFUNCTION("""COMPUTED_VALUE"""),92.0)</f>
        <v>92</v>
      </c>
      <c r="I436" s="1">
        <f>IFERROR(__xludf.DUMMYFUNCTION("""COMPUTED_VALUE"""),55.0)</f>
        <v>55</v>
      </c>
      <c r="J436" s="1">
        <f>IFERROR(__xludf.DUMMYFUNCTION("""COMPUTED_VALUE"""),247.0)</f>
        <v>247</v>
      </c>
      <c r="K436" s="1">
        <f>IFERROR(__xludf.DUMMYFUNCTION("""COMPUTED_VALUE"""),49.4)</f>
        <v>49.4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>
        <f>IFERROR(__xludf.DUMMYFUNCTION("""COMPUTED_VALUE"""),66.0)</f>
        <v>66</v>
      </c>
      <c r="E437" s="1">
        <f>IFERROR(__xludf.DUMMYFUNCTION("""COMPUTED_VALUE"""),68.0)</f>
        <v>68</v>
      </c>
      <c r="F437" s="1">
        <f>IFERROR(__xludf.DUMMYFUNCTION("""COMPUTED_VALUE"""),52.0)</f>
        <v>52</v>
      </c>
      <c r="G437" s="1">
        <f>IFERROR(__xludf.DUMMYFUNCTION("""COMPUTED_VALUE"""),31.0)</f>
        <v>31</v>
      </c>
      <c r="H437" s="1">
        <f>IFERROR(__xludf.DUMMYFUNCTION("""COMPUTED_VALUE"""),37.0)</f>
        <v>37</v>
      </c>
      <c r="I437" s="1">
        <f>IFERROR(__xludf.DUMMYFUNCTION("""COMPUTED_VALUE"""),96.0)</f>
        <v>96</v>
      </c>
      <c r="J437" s="1">
        <f>IFERROR(__xludf.DUMMYFUNCTION("""COMPUTED_VALUE"""),284.0)</f>
        <v>284</v>
      </c>
      <c r="K437" s="1">
        <f>IFERROR(__xludf.DUMMYFUNCTION("""COMPUTED_VALUE"""),56.8)</f>
        <v>56.8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>
        <f>IFERROR(__xludf.DUMMYFUNCTION("""COMPUTED_VALUE"""),99.0)</f>
        <v>99</v>
      </c>
      <c r="E438" s="1">
        <f>IFERROR(__xludf.DUMMYFUNCTION("""COMPUTED_VALUE"""),63.0)</f>
        <v>63</v>
      </c>
      <c r="F438" s="1">
        <f>IFERROR(__xludf.DUMMYFUNCTION("""COMPUTED_VALUE"""),95.0)</f>
        <v>95</v>
      </c>
      <c r="G438" s="1">
        <f>IFERROR(__xludf.DUMMYFUNCTION("""COMPUTED_VALUE"""),60.0)</f>
        <v>60</v>
      </c>
      <c r="H438" s="1">
        <f>IFERROR(__xludf.DUMMYFUNCTION("""COMPUTED_VALUE"""),54.0)</f>
        <v>54</v>
      </c>
      <c r="I438" s="1">
        <f>IFERROR(__xludf.DUMMYFUNCTION("""COMPUTED_VALUE"""),57.0)</f>
        <v>57</v>
      </c>
      <c r="J438" s="1">
        <f>IFERROR(__xludf.DUMMYFUNCTION("""COMPUTED_VALUE"""),329.0)</f>
        <v>329</v>
      </c>
      <c r="K438" s="1">
        <f>IFERROR(__xludf.DUMMYFUNCTION("""COMPUTED_VALUE"""),65.8)</f>
        <v>65.8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>
        <f>IFERROR(__xludf.DUMMYFUNCTION("""COMPUTED_VALUE"""),54.0)</f>
        <v>54</v>
      </c>
      <c r="E439" s="1">
        <f>IFERROR(__xludf.DUMMYFUNCTION("""COMPUTED_VALUE"""),84.0)</f>
        <v>84</v>
      </c>
      <c r="F439" s="1">
        <f>IFERROR(__xludf.DUMMYFUNCTION("""COMPUTED_VALUE"""),51.0)</f>
        <v>51</v>
      </c>
      <c r="G439" s="1">
        <f>IFERROR(__xludf.DUMMYFUNCTION("""COMPUTED_VALUE"""),83.0)</f>
        <v>83</v>
      </c>
      <c r="H439" s="1">
        <f>IFERROR(__xludf.DUMMYFUNCTION("""COMPUTED_VALUE"""),63.0)</f>
        <v>63</v>
      </c>
      <c r="I439" s="1">
        <f>IFERROR(__xludf.DUMMYFUNCTION("""COMPUTED_VALUE"""),49.0)</f>
        <v>49</v>
      </c>
      <c r="J439" s="1">
        <f>IFERROR(__xludf.DUMMYFUNCTION("""COMPUTED_VALUE"""),330.0)</f>
        <v>330</v>
      </c>
      <c r="K439" s="1">
        <f>IFERROR(__xludf.DUMMYFUNCTION("""COMPUTED_VALUE"""),66.0)</f>
        <v>66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>
        <f>IFERROR(__xludf.DUMMYFUNCTION("""COMPUTED_VALUE"""),46.0)</f>
        <v>46</v>
      </c>
      <c r="E440" s="1">
        <f>IFERROR(__xludf.DUMMYFUNCTION("""COMPUTED_VALUE"""),86.0)</f>
        <v>86</v>
      </c>
      <c r="F440" s="1">
        <f>IFERROR(__xludf.DUMMYFUNCTION("""COMPUTED_VALUE"""),90.0)</f>
        <v>90</v>
      </c>
      <c r="G440" s="1">
        <f>IFERROR(__xludf.DUMMYFUNCTION("""COMPUTED_VALUE"""),57.0)</f>
        <v>57</v>
      </c>
      <c r="H440" s="1">
        <f>IFERROR(__xludf.DUMMYFUNCTION("""COMPUTED_VALUE"""),92.0)</f>
        <v>92</v>
      </c>
      <c r="I440" s="1">
        <f>IFERROR(__xludf.DUMMYFUNCTION("""COMPUTED_VALUE"""),83.0)</f>
        <v>83</v>
      </c>
      <c r="J440" s="1">
        <f>IFERROR(__xludf.DUMMYFUNCTION("""COMPUTED_VALUE"""),408.0)</f>
        <v>408</v>
      </c>
      <c r="K440" s="1">
        <f>IFERROR(__xludf.DUMMYFUNCTION("""COMPUTED_VALUE"""),81.6)</f>
        <v>81.6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>
        <f>IFERROR(__xludf.DUMMYFUNCTION("""COMPUTED_VALUE"""),58.0)</f>
        <v>58</v>
      </c>
      <c r="E441" s="1">
        <f>IFERROR(__xludf.DUMMYFUNCTION("""COMPUTED_VALUE"""),89.0)</f>
        <v>89</v>
      </c>
      <c r="F441" s="1">
        <f>IFERROR(__xludf.DUMMYFUNCTION("""COMPUTED_VALUE"""),86.0)</f>
        <v>86</v>
      </c>
      <c r="G441" s="1">
        <f>IFERROR(__xludf.DUMMYFUNCTION("""COMPUTED_VALUE"""),60.0)</f>
        <v>60</v>
      </c>
      <c r="H441" s="1">
        <f>IFERROR(__xludf.DUMMYFUNCTION("""COMPUTED_VALUE"""),20.0)</f>
        <v>20</v>
      </c>
      <c r="I441" s="1">
        <f>IFERROR(__xludf.DUMMYFUNCTION("""COMPUTED_VALUE"""),42.0)</f>
        <v>42</v>
      </c>
      <c r="J441" s="1">
        <f>IFERROR(__xludf.DUMMYFUNCTION("""COMPUTED_VALUE"""),297.0)</f>
        <v>297</v>
      </c>
      <c r="K441" s="1">
        <f>IFERROR(__xludf.DUMMYFUNCTION("""COMPUTED_VALUE"""),59.4)</f>
        <v>59.4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>
        <f>IFERROR(__xludf.DUMMYFUNCTION("""COMPUTED_VALUE"""),46.0)</f>
        <v>46</v>
      </c>
      <c r="E442" s="1">
        <f>IFERROR(__xludf.DUMMYFUNCTION("""COMPUTED_VALUE"""),87.0)</f>
        <v>87</v>
      </c>
      <c r="F442" s="1">
        <f>IFERROR(__xludf.DUMMYFUNCTION("""COMPUTED_VALUE"""),30.0)</f>
        <v>30</v>
      </c>
      <c r="G442" s="1">
        <f>IFERROR(__xludf.DUMMYFUNCTION("""COMPUTED_VALUE"""),26.0)</f>
        <v>26</v>
      </c>
      <c r="H442" s="1">
        <f>IFERROR(__xludf.DUMMYFUNCTION("""COMPUTED_VALUE"""),85.0)</f>
        <v>85</v>
      </c>
      <c r="I442" s="1">
        <f>IFERROR(__xludf.DUMMYFUNCTION("""COMPUTED_VALUE"""),80.0)</f>
        <v>80</v>
      </c>
      <c r="J442" s="1">
        <f>IFERROR(__xludf.DUMMYFUNCTION("""COMPUTED_VALUE"""),308.0)</f>
        <v>308</v>
      </c>
      <c r="K442" s="1">
        <f>IFERROR(__xludf.DUMMYFUNCTION("""COMPUTED_VALUE"""),61.6)</f>
        <v>61.6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>
        <f>IFERROR(__xludf.DUMMYFUNCTION("""COMPUTED_VALUE"""),88.0)</f>
        <v>88</v>
      </c>
      <c r="E443" s="1">
        <f>IFERROR(__xludf.DUMMYFUNCTION("""COMPUTED_VALUE"""),99.0)</f>
        <v>99</v>
      </c>
      <c r="F443" s="1">
        <f>IFERROR(__xludf.DUMMYFUNCTION("""COMPUTED_VALUE"""),80.0)</f>
        <v>80</v>
      </c>
      <c r="G443" s="1">
        <f>IFERROR(__xludf.DUMMYFUNCTION("""COMPUTED_VALUE"""),80.0)</f>
        <v>80</v>
      </c>
      <c r="H443" s="1">
        <f>IFERROR(__xludf.DUMMYFUNCTION("""COMPUTED_VALUE"""),56.0)</f>
        <v>56</v>
      </c>
      <c r="I443" s="1">
        <f>IFERROR(__xludf.DUMMYFUNCTION("""COMPUTED_VALUE"""),98.0)</f>
        <v>98</v>
      </c>
      <c r="J443" s="1">
        <f>IFERROR(__xludf.DUMMYFUNCTION("""COMPUTED_VALUE"""),413.0)</f>
        <v>413</v>
      </c>
      <c r="K443" s="1">
        <f>IFERROR(__xludf.DUMMYFUNCTION("""COMPUTED_VALUE"""),82.6)</f>
        <v>82.6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>
        <f>IFERROR(__xludf.DUMMYFUNCTION("""COMPUTED_VALUE"""),61.0)</f>
        <v>61</v>
      </c>
      <c r="E444" s="1">
        <f>IFERROR(__xludf.DUMMYFUNCTION("""COMPUTED_VALUE"""),73.0)</f>
        <v>73</v>
      </c>
      <c r="F444" s="1">
        <f>IFERROR(__xludf.DUMMYFUNCTION("""COMPUTED_VALUE"""),86.0)</f>
        <v>86</v>
      </c>
      <c r="G444" s="1">
        <f>IFERROR(__xludf.DUMMYFUNCTION("""COMPUTED_VALUE"""),50.0)</f>
        <v>50</v>
      </c>
      <c r="H444" s="1">
        <f>IFERROR(__xludf.DUMMYFUNCTION("""COMPUTED_VALUE"""),90.0)</f>
        <v>90</v>
      </c>
      <c r="I444" s="1">
        <f>IFERROR(__xludf.DUMMYFUNCTION("""COMPUTED_VALUE"""),87.0)</f>
        <v>87</v>
      </c>
      <c r="J444" s="1">
        <f>IFERROR(__xludf.DUMMYFUNCTION("""COMPUTED_VALUE"""),386.0)</f>
        <v>386</v>
      </c>
      <c r="K444" s="1">
        <f>IFERROR(__xludf.DUMMYFUNCTION("""COMPUTED_VALUE"""),77.2)</f>
        <v>77.2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>
        <f>IFERROR(__xludf.DUMMYFUNCTION("""COMPUTED_VALUE"""),95.0)</f>
        <v>95</v>
      </c>
      <c r="E445" s="1">
        <f>IFERROR(__xludf.DUMMYFUNCTION("""COMPUTED_VALUE"""),25.0)</f>
        <v>25</v>
      </c>
      <c r="F445" s="1">
        <f>IFERROR(__xludf.DUMMYFUNCTION("""COMPUTED_VALUE"""),46.0)</f>
        <v>46</v>
      </c>
      <c r="G445" s="1">
        <f>IFERROR(__xludf.DUMMYFUNCTION("""COMPUTED_VALUE"""),69.0)</f>
        <v>69</v>
      </c>
      <c r="H445" s="1">
        <f>IFERROR(__xludf.DUMMYFUNCTION("""COMPUTED_VALUE"""),82.0)</f>
        <v>82</v>
      </c>
      <c r="I445" s="1">
        <f>IFERROR(__xludf.DUMMYFUNCTION("""COMPUTED_VALUE"""),59.0)</f>
        <v>59</v>
      </c>
      <c r="J445" s="1">
        <f>IFERROR(__xludf.DUMMYFUNCTION("""COMPUTED_VALUE"""),281.0)</f>
        <v>281</v>
      </c>
      <c r="K445" s="1">
        <f>IFERROR(__xludf.DUMMYFUNCTION("""COMPUTED_VALUE"""),56.2)</f>
        <v>56.2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>
        <f>IFERROR(__xludf.DUMMYFUNCTION("""COMPUTED_VALUE"""),39.0)</f>
        <v>39</v>
      </c>
      <c r="E446" s="1">
        <f>IFERROR(__xludf.DUMMYFUNCTION("""COMPUTED_VALUE"""),51.0)</f>
        <v>51</v>
      </c>
      <c r="F446" s="1">
        <f>IFERROR(__xludf.DUMMYFUNCTION("""COMPUTED_VALUE"""),62.0)</f>
        <v>62</v>
      </c>
      <c r="G446" s="1">
        <f>IFERROR(__xludf.DUMMYFUNCTION("""COMPUTED_VALUE"""),30.0)</f>
        <v>30</v>
      </c>
      <c r="H446" s="1">
        <f>IFERROR(__xludf.DUMMYFUNCTION("""COMPUTED_VALUE"""),99.0)</f>
        <v>99</v>
      </c>
      <c r="I446" s="1">
        <f>IFERROR(__xludf.DUMMYFUNCTION("""COMPUTED_VALUE"""),79.0)</f>
        <v>79</v>
      </c>
      <c r="J446" s="1">
        <f>IFERROR(__xludf.DUMMYFUNCTION("""COMPUTED_VALUE"""),321.0)</f>
        <v>321</v>
      </c>
      <c r="K446" s="1">
        <f>IFERROR(__xludf.DUMMYFUNCTION("""COMPUTED_VALUE"""),64.2)</f>
        <v>64.2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>
        <f>IFERROR(__xludf.DUMMYFUNCTION("""COMPUTED_VALUE"""),57.0)</f>
        <v>57</v>
      </c>
      <c r="E447" s="1">
        <f>IFERROR(__xludf.DUMMYFUNCTION("""COMPUTED_VALUE"""),44.0)</f>
        <v>44</v>
      </c>
      <c r="F447" s="1">
        <f>IFERROR(__xludf.DUMMYFUNCTION("""COMPUTED_VALUE"""),31.0)</f>
        <v>31</v>
      </c>
      <c r="G447" s="1">
        <f>IFERROR(__xludf.DUMMYFUNCTION("""COMPUTED_VALUE"""),47.0)</f>
        <v>47</v>
      </c>
      <c r="H447" s="1">
        <f>IFERROR(__xludf.DUMMYFUNCTION("""COMPUTED_VALUE"""),73.0)</f>
        <v>73</v>
      </c>
      <c r="I447" s="1">
        <f>IFERROR(__xludf.DUMMYFUNCTION("""COMPUTED_VALUE"""),95.0)</f>
        <v>95</v>
      </c>
      <c r="J447" s="1">
        <f>IFERROR(__xludf.DUMMYFUNCTION("""COMPUTED_VALUE"""),290.0)</f>
        <v>290</v>
      </c>
      <c r="K447" s="1">
        <f>IFERROR(__xludf.DUMMYFUNCTION("""COMPUTED_VALUE"""),57.99999999999999)</f>
        <v>58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>
        <f>IFERROR(__xludf.DUMMYFUNCTION("""COMPUTED_VALUE"""),92.0)</f>
        <v>92</v>
      </c>
      <c r="E448" s="1">
        <f>IFERROR(__xludf.DUMMYFUNCTION("""COMPUTED_VALUE"""),97.0)</f>
        <v>97</v>
      </c>
      <c r="F448" s="1">
        <f>IFERROR(__xludf.DUMMYFUNCTION("""COMPUTED_VALUE"""),67.0)</f>
        <v>67</v>
      </c>
      <c r="G448" s="1">
        <f>IFERROR(__xludf.DUMMYFUNCTION("""COMPUTED_VALUE"""),89.0)</f>
        <v>89</v>
      </c>
      <c r="H448" s="1">
        <f>IFERROR(__xludf.DUMMYFUNCTION("""COMPUTED_VALUE"""),29.0)</f>
        <v>29</v>
      </c>
      <c r="I448" s="1">
        <f>IFERROR(__xludf.DUMMYFUNCTION("""COMPUTED_VALUE"""),43.0)</f>
        <v>43</v>
      </c>
      <c r="J448" s="1">
        <f>IFERROR(__xludf.DUMMYFUNCTION("""COMPUTED_VALUE"""),325.0)</f>
        <v>325</v>
      </c>
      <c r="K448" s="1">
        <f>IFERROR(__xludf.DUMMYFUNCTION("""COMPUTED_VALUE"""),65.0)</f>
        <v>65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>
        <f>IFERROR(__xludf.DUMMYFUNCTION("""COMPUTED_VALUE"""),87.0)</f>
        <v>87</v>
      </c>
      <c r="E449" s="1">
        <f>IFERROR(__xludf.DUMMYFUNCTION("""COMPUTED_VALUE"""),48.0)</f>
        <v>48</v>
      </c>
      <c r="F449" s="1">
        <f>IFERROR(__xludf.DUMMYFUNCTION("""COMPUTED_VALUE"""),43.0)</f>
        <v>43</v>
      </c>
      <c r="G449" s="1">
        <f>IFERROR(__xludf.DUMMYFUNCTION("""COMPUTED_VALUE"""),68.0)</f>
        <v>68</v>
      </c>
      <c r="H449" s="1">
        <f>IFERROR(__xludf.DUMMYFUNCTION("""COMPUTED_VALUE"""),43.0)</f>
        <v>43</v>
      </c>
      <c r="I449" s="1">
        <f>IFERROR(__xludf.DUMMYFUNCTION("""COMPUTED_VALUE"""),80.0)</f>
        <v>80</v>
      </c>
      <c r="J449" s="1">
        <f>IFERROR(__xludf.DUMMYFUNCTION("""COMPUTED_VALUE"""),282.0)</f>
        <v>282</v>
      </c>
      <c r="K449" s="1">
        <f>IFERROR(__xludf.DUMMYFUNCTION("""COMPUTED_VALUE"""),56.39999999999999)</f>
        <v>56.4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>
        <f>IFERROR(__xludf.DUMMYFUNCTION("""COMPUTED_VALUE"""),72.0)</f>
        <v>72</v>
      </c>
      <c r="E450" s="1">
        <f>IFERROR(__xludf.DUMMYFUNCTION("""COMPUTED_VALUE"""),69.0)</f>
        <v>69</v>
      </c>
      <c r="F450" s="1">
        <f>IFERROR(__xludf.DUMMYFUNCTION("""COMPUTED_VALUE"""),79.0)</f>
        <v>79</v>
      </c>
      <c r="G450" s="1">
        <f>IFERROR(__xludf.DUMMYFUNCTION("""COMPUTED_VALUE"""),67.0)</f>
        <v>67</v>
      </c>
      <c r="H450" s="1">
        <f>IFERROR(__xludf.DUMMYFUNCTION("""COMPUTED_VALUE"""),35.0)</f>
        <v>35</v>
      </c>
      <c r="I450" s="1">
        <f>IFERROR(__xludf.DUMMYFUNCTION("""COMPUTED_VALUE"""),97.0)</f>
        <v>97</v>
      </c>
      <c r="J450" s="1">
        <f>IFERROR(__xludf.DUMMYFUNCTION("""COMPUTED_VALUE"""),347.0)</f>
        <v>347</v>
      </c>
      <c r="K450" s="1">
        <f>IFERROR(__xludf.DUMMYFUNCTION("""COMPUTED_VALUE"""),69.39999999999999)</f>
        <v>69.4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>
        <f>IFERROR(__xludf.DUMMYFUNCTION("""COMPUTED_VALUE"""),17.0)</f>
        <v>17</v>
      </c>
      <c r="E451" s="1">
        <f>IFERROR(__xludf.DUMMYFUNCTION("""COMPUTED_VALUE"""),61.0)</f>
        <v>61</v>
      </c>
      <c r="F451" s="1">
        <f>IFERROR(__xludf.DUMMYFUNCTION("""COMPUTED_VALUE"""),74.0)</f>
        <v>74</v>
      </c>
      <c r="G451" s="1">
        <f>IFERROR(__xludf.DUMMYFUNCTION("""COMPUTED_VALUE"""),21.0)</f>
        <v>21</v>
      </c>
      <c r="H451" s="1">
        <f>IFERROR(__xludf.DUMMYFUNCTION("""COMPUTED_VALUE"""),50.0)</f>
        <v>50</v>
      </c>
      <c r="I451" s="1">
        <f>IFERROR(__xludf.DUMMYFUNCTION("""COMPUTED_VALUE"""),83.0)</f>
        <v>83</v>
      </c>
      <c r="J451" s="1">
        <f>IFERROR(__xludf.DUMMYFUNCTION("""COMPUTED_VALUE"""),289.0)</f>
        <v>289</v>
      </c>
      <c r="K451" s="1">
        <f>IFERROR(__xludf.DUMMYFUNCTION("""COMPUTED_VALUE"""),57.8)</f>
        <v>57.8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>
        <f>IFERROR(__xludf.DUMMYFUNCTION("""COMPUTED_VALUE"""),87.0)</f>
        <v>87</v>
      </c>
      <c r="E452" s="1">
        <f>IFERROR(__xludf.DUMMYFUNCTION("""COMPUTED_VALUE"""),56.0)</f>
        <v>56</v>
      </c>
      <c r="F452" s="1">
        <f>IFERROR(__xludf.DUMMYFUNCTION("""COMPUTED_VALUE"""),45.0)</f>
        <v>45</v>
      </c>
      <c r="G452" s="1">
        <f>IFERROR(__xludf.DUMMYFUNCTION("""COMPUTED_VALUE"""),55.0)</f>
        <v>55</v>
      </c>
      <c r="H452" s="1">
        <f>IFERROR(__xludf.DUMMYFUNCTION("""COMPUTED_VALUE"""),55.0)</f>
        <v>55</v>
      </c>
      <c r="I452" s="1">
        <f>IFERROR(__xludf.DUMMYFUNCTION("""COMPUTED_VALUE"""),50.0)</f>
        <v>50</v>
      </c>
      <c r="J452" s="1">
        <f>IFERROR(__xludf.DUMMYFUNCTION("""COMPUTED_VALUE"""),261.0)</f>
        <v>261</v>
      </c>
      <c r="K452" s="1">
        <f>IFERROR(__xludf.DUMMYFUNCTION("""COMPUTED_VALUE"""),52.2)</f>
        <v>52.2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>
        <f>IFERROR(__xludf.DUMMYFUNCTION("""COMPUTED_VALUE"""),98.0)</f>
        <v>98</v>
      </c>
      <c r="E453" s="1">
        <f>IFERROR(__xludf.DUMMYFUNCTION("""COMPUTED_VALUE"""),56.0)</f>
        <v>56</v>
      </c>
      <c r="F453" s="1">
        <f>IFERROR(__xludf.DUMMYFUNCTION("""COMPUTED_VALUE"""),22.0)</f>
        <v>22</v>
      </c>
      <c r="G453" s="1">
        <f>IFERROR(__xludf.DUMMYFUNCTION("""COMPUTED_VALUE"""),30.0)</f>
        <v>30</v>
      </c>
      <c r="H453" s="1">
        <f>IFERROR(__xludf.DUMMYFUNCTION("""COMPUTED_VALUE"""),21.0)</f>
        <v>21</v>
      </c>
      <c r="I453" s="1">
        <f>IFERROR(__xludf.DUMMYFUNCTION("""COMPUTED_VALUE"""),47.0)</f>
        <v>47</v>
      </c>
      <c r="J453" s="1">
        <f>IFERROR(__xludf.DUMMYFUNCTION("""COMPUTED_VALUE"""),176.0)</f>
        <v>176</v>
      </c>
      <c r="K453" s="1">
        <f>IFERROR(__xludf.DUMMYFUNCTION("""COMPUTED_VALUE"""),35.199999999999996)</f>
        <v>35.2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>
        <f>IFERROR(__xludf.DUMMYFUNCTION("""COMPUTED_VALUE"""),30.0)</f>
        <v>30</v>
      </c>
      <c r="E454" s="1">
        <f>IFERROR(__xludf.DUMMYFUNCTION("""COMPUTED_VALUE"""),36.0)</f>
        <v>36</v>
      </c>
      <c r="F454" s="1">
        <f>IFERROR(__xludf.DUMMYFUNCTION("""COMPUTED_VALUE"""),52.0)</f>
        <v>52</v>
      </c>
      <c r="G454" s="1">
        <f>IFERROR(__xludf.DUMMYFUNCTION("""COMPUTED_VALUE"""),70.0)</f>
        <v>70</v>
      </c>
      <c r="H454" s="1">
        <f>IFERROR(__xludf.DUMMYFUNCTION("""COMPUTED_VALUE"""),92.0)</f>
        <v>92</v>
      </c>
      <c r="I454" s="1">
        <f>IFERROR(__xludf.DUMMYFUNCTION("""COMPUTED_VALUE"""),66.0)</f>
        <v>66</v>
      </c>
      <c r="J454" s="1">
        <f>IFERROR(__xludf.DUMMYFUNCTION("""COMPUTED_VALUE"""),316.0)</f>
        <v>316</v>
      </c>
      <c r="K454" s="1">
        <f>IFERROR(__xludf.DUMMYFUNCTION("""COMPUTED_VALUE"""),63.2)</f>
        <v>63.2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>
        <f>IFERROR(__xludf.DUMMYFUNCTION("""COMPUTED_VALUE"""),70.0)</f>
        <v>70</v>
      </c>
      <c r="E455" s="1">
        <f>IFERROR(__xludf.DUMMYFUNCTION("""COMPUTED_VALUE"""),45.0)</f>
        <v>45</v>
      </c>
      <c r="F455" s="1">
        <f>IFERROR(__xludf.DUMMYFUNCTION("""COMPUTED_VALUE"""),69.0)</f>
        <v>69</v>
      </c>
      <c r="G455" s="1">
        <f>IFERROR(__xludf.DUMMYFUNCTION("""COMPUTED_VALUE"""),39.0)</f>
        <v>39</v>
      </c>
      <c r="H455" s="1">
        <f>IFERROR(__xludf.DUMMYFUNCTION("""COMPUTED_VALUE"""),24.0)</f>
        <v>24</v>
      </c>
      <c r="I455" s="1">
        <f>IFERROR(__xludf.DUMMYFUNCTION("""COMPUTED_VALUE"""),49.0)</f>
        <v>49</v>
      </c>
      <c r="J455" s="1">
        <f>IFERROR(__xludf.DUMMYFUNCTION("""COMPUTED_VALUE"""),226.0)</f>
        <v>226</v>
      </c>
      <c r="K455" s="1">
        <f>IFERROR(__xludf.DUMMYFUNCTION("""COMPUTED_VALUE"""),45.2)</f>
        <v>45.2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>
        <f>IFERROR(__xludf.DUMMYFUNCTION("""COMPUTED_VALUE"""),16.0)</f>
        <v>16</v>
      </c>
      <c r="E456" s="1">
        <f>IFERROR(__xludf.DUMMYFUNCTION("""COMPUTED_VALUE"""),40.0)</f>
        <v>40</v>
      </c>
      <c r="F456" s="1">
        <f>IFERROR(__xludf.DUMMYFUNCTION("""COMPUTED_VALUE"""),20.0)</f>
        <v>20</v>
      </c>
      <c r="G456" s="1">
        <f>IFERROR(__xludf.DUMMYFUNCTION("""COMPUTED_VALUE"""),72.0)</f>
        <v>72</v>
      </c>
      <c r="H456" s="1">
        <f>IFERROR(__xludf.DUMMYFUNCTION("""COMPUTED_VALUE"""),94.0)</f>
        <v>94</v>
      </c>
      <c r="I456" s="1">
        <f>IFERROR(__xludf.DUMMYFUNCTION("""COMPUTED_VALUE"""),72.0)</f>
        <v>72</v>
      </c>
      <c r="J456" s="1">
        <f>IFERROR(__xludf.DUMMYFUNCTION("""COMPUTED_VALUE"""),298.0)</f>
        <v>298</v>
      </c>
      <c r="K456" s="1">
        <f>IFERROR(__xludf.DUMMYFUNCTION("""COMPUTED_VALUE"""),59.599999999999994)</f>
        <v>59.6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>
        <f>IFERROR(__xludf.DUMMYFUNCTION("""COMPUTED_VALUE"""),19.0)</f>
        <v>19</v>
      </c>
      <c r="E457" s="1">
        <f>IFERROR(__xludf.DUMMYFUNCTION("""COMPUTED_VALUE"""),81.0)</f>
        <v>81</v>
      </c>
      <c r="F457" s="1">
        <f>IFERROR(__xludf.DUMMYFUNCTION("""COMPUTED_VALUE"""),26.0)</f>
        <v>26</v>
      </c>
      <c r="G457" s="1">
        <f>IFERROR(__xludf.DUMMYFUNCTION("""COMPUTED_VALUE"""),34.0)</f>
        <v>34</v>
      </c>
      <c r="H457" s="1">
        <f>IFERROR(__xludf.DUMMYFUNCTION("""COMPUTED_VALUE"""),96.0)</f>
        <v>96</v>
      </c>
      <c r="I457" s="1">
        <f>IFERROR(__xludf.DUMMYFUNCTION("""COMPUTED_VALUE"""),20.0)</f>
        <v>20</v>
      </c>
      <c r="J457" s="1">
        <f>IFERROR(__xludf.DUMMYFUNCTION("""COMPUTED_VALUE"""),257.0)</f>
        <v>257</v>
      </c>
      <c r="K457" s="1">
        <f>IFERROR(__xludf.DUMMYFUNCTION("""COMPUTED_VALUE"""),51.4)</f>
        <v>51.4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>
        <f>IFERROR(__xludf.DUMMYFUNCTION("""COMPUTED_VALUE"""),57.0)</f>
        <v>57</v>
      </c>
      <c r="E458" s="1">
        <f>IFERROR(__xludf.DUMMYFUNCTION("""COMPUTED_VALUE"""),40.0)</f>
        <v>40</v>
      </c>
      <c r="F458" s="1">
        <f>IFERROR(__xludf.DUMMYFUNCTION("""COMPUTED_VALUE"""),84.0)</f>
        <v>84</v>
      </c>
      <c r="G458" s="1">
        <f>IFERROR(__xludf.DUMMYFUNCTION("""COMPUTED_VALUE"""),64.0)</f>
        <v>64</v>
      </c>
      <c r="H458" s="1">
        <f>IFERROR(__xludf.DUMMYFUNCTION("""COMPUTED_VALUE"""),58.0)</f>
        <v>58</v>
      </c>
      <c r="I458" s="1">
        <f>IFERROR(__xludf.DUMMYFUNCTION("""COMPUTED_VALUE"""),82.0)</f>
        <v>82</v>
      </c>
      <c r="J458" s="1">
        <f>IFERROR(__xludf.DUMMYFUNCTION("""COMPUTED_VALUE"""),328.0)</f>
        <v>328</v>
      </c>
      <c r="K458" s="1">
        <f>IFERROR(__xludf.DUMMYFUNCTION("""COMPUTED_VALUE"""),65.60000000000001)</f>
        <v>65.6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>
        <f>IFERROR(__xludf.DUMMYFUNCTION("""COMPUTED_VALUE"""),19.0)</f>
        <v>19</v>
      </c>
      <c r="E459" s="1">
        <f>IFERROR(__xludf.DUMMYFUNCTION("""COMPUTED_VALUE"""),96.0)</f>
        <v>96</v>
      </c>
      <c r="F459" s="1">
        <f>IFERROR(__xludf.DUMMYFUNCTION("""COMPUTED_VALUE"""),94.0)</f>
        <v>94</v>
      </c>
      <c r="G459" s="1">
        <f>IFERROR(__xludf.DUMMYFUNCTION("""COMPUTED_VALUE"""),97.0)</f>
        <v>97</v>
      </c>
      <c r="H459" s="1">
        <f>IFERROR(__xludf.DUMMYFUNCTION("""COMPUTED_VALUE"""),45.0)</f>
        <v>45</v>
      </c>
      <c r="I459" s="1">
        <f>IFERROR(__xludf.DUMMYFUNCTION("""COMPUTED_VALUE"""),77.0)</f>
        <v>77</v>
      </c>
      <c r="J459" s="1">
        <f>IFERROR(__xludf.DUMMYFUNCTION("""COMPUTED_VALUE"""),409.0)</f>
        <v>409</v>
      </c>
      <c r="K459" s="1">
        <f>IFERROR(__xludf.DUMMYFUNCTION("""COMPUTED_VALUE"""),81.8)</f>
        <v>81.8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>
        <f>IFERROR(__xludf.DUMMYFUNCTION("""COMPUTED_VALUE"""),83.0)</f>
        <v>83</v>
      </c>
      <c r="E460" s="1">
        <f>IFERROR(__xludf.DUMMYFUNCTION("""COMPUTED_VALUE"""),35.0)</f>
        <v>35</v>
      </c>
      <c r="F460" s="1">
        <f>IFERROR(__xludf.DUMMYFUNCTION("""COMPUTED_VALUE"""),38.0)</f>
        <v>38</v>
      </c>
      <c r="G460" s="1">
        <f>IFERROR(__xludf.DUMMYFUNCTION("""COMPUTED_VALUE"""),42.0)</f>
        <v>42</v>
      </c>
      <c r="H460" s="1">
        <f>IFERROR(__xludf.DUMMYFUNCTION("""COMPUTED_VALUE"""),36.0)</f>
        <v>36</v>
      </c>
      <c r="I460" s="1">
        <f>IFERROR(__xludf.DUMMYFUNCTION("""COMPUTED_VALUE"""),22.0)</f>
        <v>22</v>
      </c>
      <c r="J460" s="1">
        <f>IFERROR(__xludf.DUMMYFUNCTION("""COMPUTED_VALUE"""),173.0)</f>
        <v>173</v>
      </c>
      <c r="K460" s="1">
        <f>IFERROR(__xludf.DUMMYFUNCTION("""COMPUTED_VALUE"""),34.599999999999994)</f>
        <v>34.6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>
        <f>IFERROR(__xludf.DUMMYFUNCTION("""COMPUTED_VALUE"""),94.0)</f>
        <v>94</v>
      </c>
      <c r="E461" s="1">
        <f>IFERROR(__xludf.DUMMYFUNCTION("""COMPUTED_VALUE"""),51.0)</f>
        <v>51</v>
      </c>
      <c r="F461" s="1">
        <f>IFERROR(__xludf.DUMMYFUNCTION("""COMPUTED_VALUE"""),58.0)</f>
        <v>58</v>
      </c>
      <c r="G461" s="1">
        <f>IFERROR(__xludf.DUMMYFUNCTION("""COMPUTED_VALUE"""),98.0)</f>
        <v>98</v>
      </c>
      <c r="H461" s="1">
        <f>IFERROR(__xludf.DUMMYFUNCTION("""COMPUTED_VALUE"""),60.0)</f>
        <v>60</v>
      </c>
      <c r="I461" s="1">
        <f>IFERROR(__xludf.DUMMYFUNCTION("""COMPUTED_VALUE"""),98.0)</f>
        <v>98</v>
      </c>
      <c r="J461" s="1">
        <f>IFERROR(__xludf.DUMMYFUNCTION("""COMPUTED_VALUE"""),365.0)</f>
        <v>365</v>
      </c>
      <c r="K461" s="1">
        <f>IFERROR(__xludf.DUMMYFUNCTION("""COMPUTED_VALUE"""),73.0)</f>
        <v>73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>
        <f>IFERROR(__xludf.DUMMYFUNCTION("""COMPUTED_VALUE"""),54.0)</f>
        <v>54</v>
      </c>
      <c r="E462" s="1">
        <f>IFERROR(__xludf.DUMMYFUNCTION("""COMPUTED_VALUE"""),69.0)</f>
        <v>69</v>
      </c>
      <c r="F462" s="1">
        <f>IFERROR(__xludf.DUMMYFUNCTION("""COMPUTED_VALUE"""),28.0)</f>
        <v>28</v>
      </c>
      <c r="G462" s="1">
        <f>IFERROR(__xludf.DUMMYFUNCTION("""COMPUTED_VALUE"""),53.0)</f>
        <v>53</v>
      </c>
      <c r="H462" s="1">
        <f>IFERROR(__xludf.DUMMYFUNCTION("""COMPUTED_VALUE"""),26.0)</f>
        <v>26</v>
      </c>
      <c r="I462" s="1">
        <f>IFERROR(__xludf.DUMMYFUNCTION("""COMPUTED_VALUE"""),52.0)</f>
        <v>52</v>
      </c>
      <c r="J462" s="1">
        <f>IFERROR(__xludf.DUMMYFUNCTION("""COMPUTED_VALUE"""),228.0)</f>
        <v>228</v>
      </c>
      <c r="K462" s="1">
        <f>IFERROR(__xludf.DUMMYFUNCTION("""COMPUTED_VALUE"""),45.6)</f>
        <v>45.6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>
        <f>IFERROR(__xludf.DUMMYFUNCTION("""COMPUTED_VALUE"""),66.0)</f>
        <v>66</v>
      </c>
      <c r="E463" s="1">
        <f>IFERROR(__xludf.DUMMYFUNCTION("""COMPUTED_VALUE"""),69.0)</f>
        <v>69</v>
      </c>
      <c r="F463" s="1">
        <f>IFERROR(__xludf.DUMMYFUNCTION("""COMPUTED_VALUE"""),43.0)</f>
        <v>43</v>
      </c>
      <c r="G463" s="1">
        <f>IFERROR(__xludf.DUMMYFUNCTION("""COMPUTED_VALUE"""),43.0)</f>
        <v>43</v>
      </c>
      <c r="H463" s="1">
        <f>IFERROR(__xludf.DUMMYFUNCTION("""COMPUTED_VALUE"""),56.0)</f>
        <v>56</v>
      </c>
      <c r="I463" s="1">
        <f>IFERROR(__xludf.DUMMYFUNCTION("""COMPUTED_VALUE"""),51.0)</f>
        <v>51</v>
      </c>
      <c r="J463" s="1">
        <f>IFERROR(__xludf.DUMMYFUNCTION("""COMPUTED_VALUE"""),262.0)</f>
        <v>262</v>
      </c>
      <c r="K463" s="1">
        <f>IFERROR(__xludf.DUMMYFUNCTION("""COMPUTED_VALUE"""),52.400000000000006)</f>
        <v>52.4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>
        <f>IFERROR(__xludf.DUMMYFUNCTION("""COMPUTED_VALUE"""),88.0)</f>
        <v>88</v>
      </c>
      <c r="E464" s="1">
        <f>IFERROR(__xludf.DUMMYFUNCTION("""COMPUTED_VALUE"""),57.0)</f>
        <v>57</v>
      </c>
      <c r="F464" s="1">
        <f>IFERROR(__xludf.DUMMYFUNCTION("""COMPUTED_VALUE"""),71.0)</f>
        <v>71</v>
      </c>
      <c r="G464" s="1">
        <f>IFERROR(__xludf.DUMMYFUNCTION("""COMPUTED_VALUE"""),54.0)</f>
        <v>54</v>
      </c>
      <c r="H464" s="1">
        <f>IFERROR(__xludf.DUMMYFUNCTION("""COMPUTED_VALUE"""),65.0)</f>
        <v>65</v>
      </c>
      <c r="I464" s="1">
        <f>IFERROR(__xludf.DUMMYFUNCTION("""COMPUTED_VALUE"""),63.0)</f>
        <v>63</v>
      </c>
      <c r="J464" s="1">
        <f>IFERROR(__xludf.DUMMYFUNCTION("""COMPUTED_VALUE"""),310.0)</f>
        <v>310</v>
      </c>
      <c r="K464" s="1">
        <f>IFERROR(__xludf.DUMMYFUNCTION("""COMPUTED_VALUE"""),62.0)</f>
        <v>62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>
        <f>IFERROR(__xludf.DUMMYFUNCTION("""COMPUTED_VALUE"""),60.0)</f>
        <v>60</v>
      </c>
      <c r="E465" s="1">
        <f>IFERROR(__xludf.DUMMYFUNCTION("""COMPUTED_VALUE"""),26.0)</f>
        <v>26</v>
      </c>
      <c r="F465" s="1">
        <f>IFERROR(__xludf.DUMMYFUNCTION("""COMPUTED_VALUE"""),85.0)</f>
        <v>85</v>
      </c>
      <c r="G465" s="1">
        <f>IFERROR(__xludf.DUMMYFUNCTION("""COMPUTED_VALUE"""),70.0)</f>
        <v>70</v>
      </c>
      <c r="H465" s="1">
        <f>IFERROR(__xludf.DUMMYFUNCTION("""COMPUTED_VALUE"""),49.0)</f>
        <v>49</v>
      </c>
      <c r="I465" s="1">
        <f>IFERROR(__xludf.DUMMYFUNCTION("""COMPUTED_VALUE"""),63.0)</f>
        <v>63</v>
      </c>
      <c r="J465" s="1">
        <f>IFERROR(__xludf.DUMMYFUNCTION("""COMPUTED_VALUE"""),293.0)</f>
        <v>293</v>
      </c>
      <c r="K465" s="1">
        <f>IFERROR(__xludf.DUMMYFUNCTION("""COMPUTED_VALUE"""),58.599999999999994)</f>
        <v>58.6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>
        <f>IFERROR(__xludf.DUMMYFUNCTION("""COMPUTED_VALUE"""),41.0)</f>
        <v>41</v>
      </c>
      <c r="E466" s="1">
        <f>IFERROR(__xludf.DUMMYFUNCTION("""COMPUTED_VALUE"""),66.0)</f>
        <v>66</v>
      </c>
      <c r="F466" s="1">
        <f>IFERROR(__xludf.DUMMYFUNCTION("""COMPUTED_VALUE"""),38.0)</f>
        <v>38</v>
      </c>
      <c r="G466" s="1">
        <f>IFERROR(__xludf.DUMMYFUNCTION("""COMPUTED_VALUE"""),67.0)</f>
        <v>67</v>
      </c>
      <c r="H466" s="1">
        <f>IFERROR(__xludf.DUMMYFUNCTION("""COMPUTED_VALUE"""),55.0)</f>
        <v>55</v>
      </c>
      <c r="I466" s="1">
        <f>IFERROR(__xludf.DUMMYFUNCTION("""COMPUTED_VALUE"""),20.0)</f>
        <v>20</v>
      </c>
      <c r="J466" s="1">
        <f>IFERROR(__xludf.DUMMYFUNCTION("""COMPUTED_VALUE"""),246.0)</f>
        <v>246</v>
      </c>
      <c r="K466" s="1">
        <f>IFERROR(__xludf.DUMMYFUNCTION("""COMPUTED_VALUE"""),49.2)</f>
        <v>49.2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>
        <f>IFERROR(__xludf.DUMMYFUNCTION("""COMPUTED_VALUE"""),87.0)</f>
        <v>87</v>
      </c>
      <c r="E467" s="1">
        <f>IFERROR(__xludf.DUMMYFUNCTION("""COMPUTED_VALUE"""),31.0)</f>
        <v>31</v>
      </c>
      <c r="F467" s="1">
        <f>IFERROR(__xludf.DUMMYFUNCTION("""COMPUTED_VALUE"""),75.0)</f>
        <v>75</v>
      </c>
      <c r="G467" s="1">
        <f>IFERROR(__xludf.DUMMYFUNCTION("""COMPUTED_VALUE"""),68.0)</f>
        <v>68</v>
      </c>
      <c r="H467" s="1">
        <f>IFERROR(__xludf.DUMMYFUNCTION("""COMPUTED_VALUE"""),26.0)</f>
        <v>26</v>
      </c>
      <c r="I467" s="1">
        <f>IFERROR(__xludf.DUMMYFUNCTION("""COMPUTED_VALUE"""),36.0)</f>
        <v>36</v>
      </c>
      <c r="J467" s="1">
        <f>IFERROR(__xludf.DUMMYFUNCTION("""COMPUTED_VALUE"""),236.0)</f>
        <v>236</v>
      </c>
      <c r="K467" s="1">
        <f>IFERROR(__xludf.DUMMYFUNCTION("""COMPUTED_VALUE"""),47.199999999999996)</f>
        <v>47.2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>
        <f>IFERROR(__xludf.DUMMYFUNCTION("""COMPUTED_VALUE"""),34.0)</f>
        <v>34</v>
      </c>
      <c r="E468" s="1">
        <f>IFERROR(__xludf.DUMMYFUNCTION("""COMPUTED_VALUE"""),29.0)</f>
        <v>29</v>
      </c>
      <c r="F468" s="1">
        <f>IFERROR(__xludf.DUMMYFUNCTION("""COMPUTED_VALUE"""),24.0)</f>
        <v>24</v>
      </c>
      <c r="G468" s="1">
        <f>IFERROR(__xludf.DUMMYFUNCTION("""COMPUTED_VALUE"""),79.0)</f>
        <v>79</v>
      </c>
      <c r="H468" s="1">
        <f>IFERROR(__xludf.DUMMYFUNCTION("""COMPUTED_VALUE"""),72.0)</f>
        <v>72</v>
      </c>
      <c r="I468" s="1">
        <f>IFERROR(__xludf.DUMMYFUNCTION("""COMPUTED_VALUE"""),48.0)</f>
        <v>48</v>
      </c>
      <c r="J468" s="1">
        <f>IFERROR(__xludf.DUMMYFUNCTION("""COMPUTED_VALUE"""),252.0)</f>
        <v>252</v>
      </c>
      <c r="K468" s="1">
        <f>IFERROR(__xludf.DUMMYFUNCTION("""COMPUTED_VALUE"""),50.4)</f>
        <v>50.4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>
        <f>IFERROR(__xludf.DUMMYFUNCTION("""COMPUTED_VALUE"""),57.0)</f>
        <v>57</v>
      </c>
      <c r="E469" s="1">
        <f>IFERROR(__xludf.DUMMYFUNCTION("""COMPUTED_VALUE"""),60.0)</f>
        <v>60</v>
      </c>
      <c r="F469" s="1">
        <f>IFERROR(__xludf.DUMMYFUNCTION("""COMPUTED_VALUE"""),31.0)</f>
        <v>31</v>
      </c>
      <c r="G469" s="1">
        <f>IFERROR(__xludf.DUMMYFUNCTION("""COMPUTED_VALUE"""),57.0)</f>
        <v>57</v>
      </c>
      <c r="H469" s="1">
        <f>IFERROR(__xludf.DUMMYFUNCTION("""COMPUTED_VALUE"""),84.0)</f>
        <v>84</v>
      </c>
      <c r="I469" s="1">
        <f>IFERROR(__xludf.DUMMYFUNCTION("""COMPUTED_VALUE"""),87.0)</f>
        <v>87</v>
      </c>
      <c r="J469" s="1">
        <f>IFERROR(__xludf.DUMMYFUNCTION("""COMPUTED_VALUE"""),319.0)</f>
        <v>319</v>
      </c>
      <c r="K469" s="1">
        <f>IFERROR(__xludf.DUMMYFUNCTION("""COMPUTED_VALUE"""),63.800000000000004)</f>
        <v>63.8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>
        <f>IFERROR(__xludf.DUMMYFUNCTION("""COMPUTED_VALUE"""),96.0)</f>
        <v>96</v>
      </c>
      <c r="E470" s="1">
        <f>IFERROR(__xludf.DUMMYFUNCTION("""COMPUTED_VALUE"""),82.0)</f>
        <v>82</v>
      </c>
      <c r="F470" s="1">
        <f>IFERROR(__xludf.DUMMYFUNCTION("""COMPUTED_VALUE"""),93.0)</f>
        <v>93</v>
      </c>
      <c r="G470" s="1">
        <f>IFERROR(__xludf.DUMMYFUNCTION("""COMPUTED_VALUE"""),30.0)</f>
        <v>30</v>
      </c>
      <c r="H470" s="1">
        <f>IFERROR(__xludf.DUMMYFUNCTION("""COMPUTED_VALUE"""),58.0)</f>
        <v>58</v>
      </c>
      <c r="I470" s="1">
        <f>IFERROR(__xludf.DUMMYFUNCTION("""COMPUTED_VALUE"""),26.0)</f>
        <v>26</v>
      </c>
      <c r="J470" s="1">
        <f>IFERROR(__xludf.DUMMYFUNCTION("""COMPUTED_VALUE"""),289.0)</f>
        <v>289</v>
      </c>
      <c r="K470" s="1">
        <f>IFERROR(__xludf.DUMMYFUNCTION("""COMPUTED_VALUE"""),57.8)</f>
        <v>57.8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>
        <f>IFERROR(__xludf.DUMMYFUNCTION("""COMPUTED_VALUE"""),12.0)</f>
        <v>12</v>
      </c>
      <c r="E471" s="1">
        <f>IFERROR(__xludf.DUMMYFUNCTION("""COMPUTED_VALUE"""),53.0)</f>
        <v>53</v>
      </c>
      <c r="F471" s="1">
        <f>IFERROR(__xludf.DUMMYFUNCTION("""COMPUTED_VALUE"""),93.0)</f>
        <v>93</v>
      </c>
      <c r="G471" s="1">
        <f>IFERROR(__xludf.DUMMYFUNCTION("""COMPUTED_VALUE"""),61.0)</f>
        <v>61</v>
      </c>
      <c r="H471" s="1">
        <f>IFERROR(__xludf.DUMMYFUNCTION("""COMPUTED_VALUE"""),62.0)</f>
        <v>62</v>
      </c>
      <c r="I471" s="1">
        <f>IFERROR(__xludf.DUMMYFUNCTION("""COMPUTED_VALUE"""),28.0)</f>
        <v>28</v>
      </c>
      <c r="J471" s="1">
        <f>IFERROR(__xludf.DUMMYFUNCTION("""COMPUTED_VALUE"""),297.0)</f>
        <v>297</v>
      </c>
      <c r="K471" s="1">
        <f>IFERROR(__xludf.DUMMYFUNCTION("""COMPUTED_VALUE"""),59.4)</f>
        <v>59.4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>
        <f>IFERROR(__xludf.DUMMYFUNCTION("""COMPUTED_VALUE"""),29.0)</f>
        <v>29</v>
      </c>
      <c r="E472" s="1">
        <f>IFERROR(__xludf.DUMMYFUNCTION("""COMPUTED_VALUE"""),78.0)</f>
        <v>78</v>
      </c>
      <c r="F472" s="1">
        <f>IFERROR(__xludf.DUMMYFUNCTION("""COMPUTED_VALUE"""),95.0)</f>
        <v>95</v>
      </c>
      <c r="G472" s="1">
        <f>IFERROR(__xludf.DUMMYFUNCTION("""COMPUTED_VALUE"""),21.0)</f>
        <v>21</v>
      </c>
      <c r="H472" s="1">
        <f>IFERROR(__xludf.DUMMYFUNCTION("""COMPUTED_VALUE"""),54.0)</f>
        <v>54</v>
      </c>
      <c r="I472" s="1">
        <f>IFERROR(__xludf.DUMMYFUNCTION("""COMPUTED_VALUE"""),65.0)</f>
        <v>65</v>
      </c>
      <c r="J472" s="1">
        <f>IFERROR(__xludf.DUMMYFUNCTION("""COMPUTED_VALUE"""),313.0)</f>
        <v>313</v>
      </c>
      <c r="K472" s="1">
        <f>IFERROR(__xludf.DUMMYFUNCTION("""COMPUTED_VALUE"""),62.6)</f>
        <v>62.6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>
        <f>IFERROR(__xludf.DUMMYFUNCTION("""COMPUTED_VALUE"""),46.0)</f>
        <v>46</v>
      </c>
      <c r="E473" s="1">
        <f>IFERROR(__xludf.DUMMYFUNCTION("""COMPUTED_VALUE"""),38.0)</f>
        <v>38</v>
      </c>
      <c r="F473" s="1">
        <f>IFERROR(__xludf.DUMMYFUNCTION("""COMPUTED_VALUE"""),23.0)</f>
        <v>23</v>
      </c>
      <c r="G473" s="1">
        <f>IFERROR(__xludf.DUMMYFUNCTION("""COMPUTED_VALUE"""),21.0)</f>
        <v>21</v>
      </c>
      <c r="H473" s="1">
        <f>IFERROR(__xludf.DUMMYFUNCTION("""COMPUTED_VALUE"""),57.0)</f>
        <v>57</v>
      </c>
      <c r="I473" s="1">
        <f>IFERROR(__xludf.DUMMYFUNCTION("""COMPUTED_VALUE"""),67.0)</f>
        <v>67</v>
      </c>
      <c r="J473" s="1">
        <f>IFERROR(__xludf.DUMMYFUNCTION("""COMPUTED_VALUE"""),206.0)</f>
        <v>206</v>
      </c>
      <c r="K473" s="1">
        <f>IFERROR(__xludf.DUMMYFUNCTION("""COMPUTED_VALUE"""),41.199999999999996)</f>
        <v>41.2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>
        <f>IFERROR(__xludf.DUMMYFUNCTION("""COMPUTED_VALUE"""),86.0)</f>
        <v>86</v>
      </c>
      <c r="E474" s="1">
        <f>IFERROR(__xludf.DUMMYFUNCTION("""COMPUTED_VALUE"""),64.0)</f>
        <v>64</v>
      </c>
      <c r="F474" s="1">
        <f>IFERROR(__xludf.DUMMYFUNCTION("""COMPUTED_VALUE"""),36.0)</f>
        <v>36</v>
      </c>
      <c r="G474" s="1">
        <f>IFERROR(__xludf.DUMMYFUNCTION("""COMPUTED_VALUE"""),62.0)</f>
        <v>62</v>
      </c>
      <c r="H474" s="1">
        <f>IFERROR(__xludf.DUMMYFUNCTION("""COMPUTED_VALUE"""),69.0)</f>
        <v>69</v>
      </c>
      <c r="I474" s="1">
        <f>IFERROR(__xludf.DUMMYFUNCTION("""COMPUTED_VALUE"""),61.0)</f>
        <v>61</v>
      </c>
      <c r="J474" s="1">
        <f>IFERROR(__xludf.DUMMYFUNCTION("""COMPUTED_VALUE"""),292.0)</f>
        <v>292</v>
      </c>
      <c r="K474" s="1">
        <f>IFERROR(__xludf.DUMMYFUNCTION("""COMPUTED_VALUE"""),58.4)</f>
        <v>58.4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>
        <f>IFERROR(__xludf.DUMMYFUNCTION("""COMPUTED_VALUE"""),42.0)</f>
        <v>42</v>
      </c>
      <c r="E475" s="1">
        <f>IFERROR(__xludf.DUMMYFUNCTION("""COMPUTED_VALUE"""),27.0)</f>
        <v>27</v>
      </c>
      <c r="F475" s="1">
        <f>IFERROR(__xludf.DUMMYFUNCTION("""COMPUTED_VALUE"""),43.0)</f>
        <v>43</v>
      </c>
      <c r="G475" s="1">
        <f>IFERROR(__xludf.DUMMYFUNCTION("""COMPUTED_VALUE"""),48.0)</f>
        <v>48</v>
      </c>
      <c r="H475" s="1">
        <f>IFERROR(__xludf.DUMMYFUNCTION("""COMPUTED_VALUE"""),84.0)</f>
        <v>84</v>
      </c>
      <c r="I475" s="1">
        <f>IFERROR(__xludf.DUMMYFUNCTION("""COMPUTED_VALUE"""),65.0)</f>
        <v>65</v>
      </c>
      <c r="J475" s="1">
        <f>IFERROR(__xludf.DUMMYFUNCTION("""COMPUTED_VALUE"""),267.0)</f>
        <v>267</v>
      </c>
      <c r="K475" s="1">
        <f>IFERROR(__xludf.DUMMYFUNCTION("""COMPUTED_VALUE"""),53.400000000000006)</f>
        <v>53.4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>
        <f>IFERROR(__xludf.DUMMYFUNCTION("""COMPUTED_VALUE"""),53.0)</f>
        <v>53</v>
      </c>
      <c r="E476" s="1">
        <f>IFERROR(__xludf.DUMMYFUNCTION("""COMPUTED_VALUE"""),51.0)</f>
        <v>51</v>
      </c>
      <c r="F476" s="1">
        <f>IFERROR(__xludf.DUMMYFUNCTION("""COMPUTED_VALUE"""),47.0)</f>
        <v>47</v>
      </c>
      <c r="G476" s="1">
        <f>IFERROR(__xludf.DUMMYFUNCTION("""COMPUTED_VALUE"""),48.0)</f>
        <v>48</v>
      </c>
      <c r="H476" s="1">
        <f>IFERROR(__xludf.DUMMYFUNCTION("""COMPUTED_VALUE"""),75.0)</f>
        <v>75</v>
      </c>
      <c r="I476" s="1">
        <f>IFERROR(__xludf.DUMMYFUNCTION("""COMPUTED_VALUE"""),60.0)</f>
        <v>60</v>
      </c>
      <c r="J476" s="1">
        <f>IFERROR(__xludf.DUMMYFUNCTION("""COMPUTED_VALUE"""),281.0)</f>
        <v>281</v>
      </c>
      <c r="K476" s="1">
        <f>IFERROR(__xludf.DUMMYFUNCTION("""COMPUTED_VALUE"""),56.2)</f>
        <v>56.2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>
        <f>IFERROR(__xludf.DUMMYFUNCTION("""COMPUTED_VALUE"""),14.0)</f>
        <v>14</v>
      </c>
      <c r="E477" s="1">
        <f>IFERROR(__xludf.DUMMYFUNCTION("""COMPUTED_VALUE"""),45.0)</f>
        <v>45</v>
      </c>
      <c r="F477" s="1">
        <f>IFERROR(__xludf.DUMMYFUNCTION("""COMPUTED_VALUE"""),20.0)</f>
        <v>20</v>
      </c>
      <c r="G477" s="1">
        <f>IFERROR(__xludf.DUMMYFUNCTION("""COMPUTED_VALUE"""),79.0)</f>
        <v>79</v>
      </c>
      <c r="H477" s="1">
        <f>IFERROR(__xludf.DUMMYFUNCTION("""COMPUTED_VALUE"""),95.0)</f>
        <v>95</v>
      </c>
      <c r="I477" s="1">
        <f>IFERROR(__xludf.DUMMYFUNCTION("""COMPUTED_VALUE"""),88.0)</f>
        <v>88</v>
      </c>
      <c r="J477" s="1">
        <f>IFERROR(__xludf.DUMMYFUNCTION("""COMPUTED_VALUE"""),327.0)</f>
        <v>327</v>
      </c>
      <c r="K477" s="1">
        <f>IFERROR(__xludf.DUMMYFUNCTION("""COMPUTED_VALUE"""),65.4)</f>
        <v>65.4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>
        <f>IFERROR(__xludf.DUMMYFUNCTION("""COMPUTED_VALUE"""),39.0)</f>
        <v>39</v>
      </c>
      <c r="E478" s="1">
        <f>IFERROR(__xludf.DUMMYFUNCTION("""COMPUTED_VALUE"""),52.0)</f>
        <v>52</v>
      </c>
      <c r="F478" s="1">
        <f>IFERROR(__xludf.DUMMYFUNCTION("""COMPUTED_VALUE"""),69.0)</f>
        <v>69</v>
      </c>
      <c r="G478" s="1">
        <f>IFERROR(__xludf.DUMMYFUNCTION("""COMPUTED_VALUE"""),21.0)</f>
        <v>21</v>
      </c>
      <c r="H478" s="1">
        <f>IFERROR(__xludf.DUMMYFUNCTION("""COMPUTED_VALUE"""),43.0)</f>
        <v>43</v>
      </c>
      <c r="I478" s="1">
        <f>IFERROR(__xludf.DUMMYFUNCTION("""COMPUTED_VALUE"""),75.0)</f>
        <v>75</v>
      </c>
      <c r="J478" s="1">
        <f>IFERROR(__xludf.DUMMYFUNCTION("""COMPUTED_VALUE"""),260.0)</f>
        <v>260</v>
      </c>
      <c r="K478" s="1">
        <f>IFERROR(__xludf.DUMMYFUNCTION("""COMPUTED_VALUE"""),52.0)</f>
        <v>52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>
        <f>IFERROR(__xludf.DUMMYFUNCTION("""COMPUTED_VALUE"""),78.0)</f>
        <v>78</v>
      </c>
      <c r="E479" s="1">
        <f>IFERROR(__xludf.DUMMYFUNCTION("""COMPUTED_VALUE"""),93.0)</f>
        <v>93</v>
      </c>
      <c r="F479" s="1">
        <f>IFERROR(__xludf.DUMMYFUNCTION("""COMPUTED_VALUE"""),25.0)</f>
        <v>25</v>
      </c>
      <c r="G479" s="1">
        <f>IFERROR(__xludf.DUMMYFUNCTION("""COMPUTED_VALUE"""),95.0)</f>
        <v>95</v>
      </c>
      <c r="H479" s="1">
        <f>IFERROR(__xludf.DUMMYFUNCTION("""COMPUTED_VALUE"""),93.0)</f>
        <v>93</v>
      </c>
      <c r="I479" s="1">
        <f>IFERROR(__xludf.DUMMYFUNCTION("""COMPUTED_VALUE"""),79.0)</f>
        <v>79</v>
      </c>
      <c r="J479" s="1">
        <f>IFERROR(__xludf.DUMMYFUNCTION("""COMPUTED_VALUE"""),385.0)</f>
        <v>385</v>
      </c>
      <c r="K479" s="1">
        <f>IFERROR(__xludf.DUMMYFUNCTION("""COMPUTED_VALUE"""),77.0)</f>
        <v>77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>
        <f>IFERROR(__xludf.DUMMYFUNCTION("""COMPUTED_VALUE"""),14.0)</f>
        <v>14</v>
      </c>
      <c r="E480" s="1">
        <f>IFERROR(__xludf.DUMMYFUNCTION("""COMPUTED_VALUE"""),66.0)</f>
        <v>66</v>
      </c>
      <c r="F480" s="1">
        <f>IFERROR(__xludf.DUMMYFUNCTION("""COMPUTED_VALUE"""),47.0)</f>
        <v>47</v>
      </c>
      <c r="G480" s="1">
        <f>IFERROR(__xludf.DUMMYFUNCTION("""COMPUTED_VALUE"""),89.0)</f>
        <v>89</v>
      </c>
      <c r="H480" s="1">
        <f>IFERROR(__xludf.DUMMYFUNCTION("""COMPUTED_VALUE"""),34.0)</f>
        <v>34</v>
      </c>
      <c r="I480" s="1">
        <f>IFERROR(__xludf.DUMMYFUNCTION("""COMPUTED_VALUE"""),56.0)</f>
        <v>56</v>
      </c>
      <c r="J480" s="1">
        <f>IFERROR(__xludf.DUMMYFUNCTION("""COMPUTED_VALUE"""),292.0)</f>
        <v>292</v>
      </c>
      <c r="K480" s="1">
        <f>IFERROR(__xludf.DUMMYFUNCTION("""COMPUTED_VALUE"""),58.4)</f>
        <v>58.4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>
        <f>IFERROR(__xludf.DUMMYFUNCTION("""COMPUTED_VALUE"""),69.0)</f>
        <v>69</v>
      </c>
      <c r="E481" s="1">
        <f>IFERROR(__xludf.DUMMYFUNCTION("""COMPUTED_VALUE"""),36.0)</f>
        <v>36</v>
      </c>
      <c r="F481" s="1">
        <f>IFERROR(__xludf.DUMMYFUNCTION("""COMPUTED_VALUE"""),94.0)</f>
        <v>94</v>
      </c>
      <c r="G481" s="1">
        <f>IFERROR(__xludf.DUMMYFUNCTION("""COMPUTED_VALUE"""),98.0)</f>
        <v>98</v>
      </c>
      <c r="H481" s="1">
        <f>IFERROR(__xludf.DUMMYFUNCTION("""COMPUTED_VALUE"""),44.0)</f>
        <v>44</v>
      </c>
      <c r="I481" s="1">
        <f>IFERROR(__xludf.DUMMYFUNCTION("""COMPUTED_VALUE"""),36.0)</f>
        <v>36</v>
      </c>
      <c r="J481" s="1">
        <f>IFERROR(__xludf.DUMMYFUNCTION("""COMPUTED_VALUE"""),308.0)</f>
        <v>308</v>
      </c>
      <c r="K481" s="1">
        <f>IFERROR(__xludf.DUMMYFUNCTION("""COMPUTED_VALUE"""),61.6)</f>
        <v>61.6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>
        <f>IFERROR(__xludf.DUMMYFUNCTION("""COMPUTED_VALUE"""),70.0)</f>
        <v>70</v>
      </c>
      <c r="E482" s="1">
        <f>IFERROR(__xludf.DUMMYFUNCTION("""COMPUTED_VALUE"""),33.0)</f>
        <v>33</v>
      </c>
      <c r="F482" s="1">
        <f>IFERROR(__xludf.DUMMYFUNCTION("""COMPUTED_VALUE"""),20.0)</f>
        <v>20</v>
      </c>
      <c r="G482" s="1">
        <f>IFERROR(__xludf.DUMMYFUNCTION("""COMPUTED_VALUE"""),24.0)</f>
        <v>24</v>
      </c>
      <c r="H482" s="1">
        <f>IFERROR(__xludf.DUMMYFUNCTION("""COMPUTED_VALUE"""),95.0)</f>
        <v>95</v>
      </c>
      <c r="I482" s="1">
        <f>IFERROR(__xludf.DUMMYFUNCTION("""COMPUTED_VALUE"""),91.0)</f>
        <v>91</v>
      </c>
      <c r="J482" s="1">
        <f>IFERROR(__xludf.DUMMYFUNCTION("""COMPUTED_VALUE"""),263.0)</f>
        <v>263</v>
      </c>
      <c r="K482" s="1">
        <f>IFERROR(__xludf.DUMMYFUNCTION("""COMPUTED_VALUE"""),52.6)</f>
        <v>52.6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>
        <f>IFERROR(__xludf.DUMMYFUNCTION("""COMPUTED_VALUE"""),35.0)</f>
        <v>35</v>
      </c>
      <c r="E483" s="1">
        <f>IFERROR(__xludf.DUMMYFUNCTION("""COMPUTED_VALUE"""),22.0)</f>
        <v>22</v>
      </c>
      <c r="F483" s="1">
        <f>IFERROR(__xludf.DUMMYFUNCTION("""COMPUTED_VALUE"""),84.0)</f>
        <v>84</v>
      </c>
      <c r="G483" s="1">
        <f>IFERROR(__xludf.DUMMYFUNCTION("""COMPUTED_VALUE"""),82.0)</f>
        <v>82</v>
      </c>
      <c r="H483" s="1">
        <f>IFERROR(__xludf.DUMMYFUNCTION("""COMPUTED_VALUE"""),77.0)</f>
        <v>77</v>
      </c>
      <c r="I483" s="1">
        <f>IFERROR(__xludf.DUMMYFUNCTION("""COMPUTED_VALUE"""),31.0)</f>
        <v>31</v>
      </c>
      <c r="J483" s="1">
        <f>IFERROR(__xludf.DUMMYFUNCTION("""COMPUTED_VALUE"""),296.0)</f>
        <v>296</v>
      </c>
      <c r="K483" s="1">
        <f>IFERROR(__xludf.DUMMYFUNCTION("""COMPUTED_VALUE"""),59.199999999999996)</f>
        <v>59.2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>
        <f>IFERROR(__xludf.DUMMYFUNCTION("""COMPUTED_VALUE"""),87.0)</f>
        <v>87</v>
      </c>
      <c r="E484" s="1">
        <f>IFERROR(__xludf.DUMMYFUNCTION("""COMPUTED_VALUE"""),46.0)</f>
        <v>46</v>
      </c>
      <c r="F484" s="1">
        <f>IFERROR(__xludf.DUMMYFUNCTION("""COMPUTED_VALUE"""),57.0)</f>
        <v>57</v>
      </c>
      <c r="G484" s="1">
        <f>IFERROR(__xludf.DUMMYFUNCTION("""COMPUTED_VALUE"""),53.0)</f>
        <v>53</v>
      </c>
      <c r="H484" s="1">
        <f>IFERROR(__xludf.DUMMYFUNCTION("""COMPUTED_VALUE"""),42.0)</f>
        <v>42</v>
      </c>
      <c r="I484" s="1">
        <f>IFERROR(__xludf.DUMMYFUNCTION("""COMPUTED_VALUE"""),40.0)</f>
        <v>40</v>
      </c>
      <c r="J484" s="1">
        <f>IFERROR(__xludf.DUMMYFUNCTION("""COMPUTED_VALUE"""),238.0)</f>
        <v>238</v>
      </c>
      <c r="K484" s="1">
        <f>IFERROR(__xludf.DUMMYFUNCTION("""COMPUTED_VALUE"""),47.599999999999994)</f>
        <v>47.6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>
        <f>IFERROR(__xludf.DUMMYFUNCTION("""COMPUTED_VALUE"""),76.0)</f>
        <v>76</v>
      </c>
      <c r="E485" s="1">
        <f>IFERROR(__xludf.DUMMYFUNCTION("""COMPUTED_VALUE"""),68.0)</f>
        <v>68</v>
      </c>
      <c r="F485" s="1">
        <f>IFERROR(__xludf.DUMMYFUNCTION("""COMPUTED_VALUE"""),26.0)</f>
        <v>26</v>
      </c>
      <c r="G485" s="1">
        <f>IFERROR(__xludf.DUMMYFUNCTION("""COMPUTED_VALUE"""),37.0)</f>
        <v>37</v>
      </c>
      <c r="H485" s="1">
        <f>IFERROR(__xludf.DUMMYFUNCTION("""COMPUTED_VALUE"""),57.0)</f>
        <v>57</v>
      </c>
      <c r="I485" s="1">
        <f>IFERROR(__xludf.DUMMYFUNCTION("""COMPUTED_VALUE"""),65.0)</f>
        <v>65</v>
      </c>
      <c r="J485" s="1">
        <f>IFERROR(__xludf.DUMMYFUNCTION("""COMPUTED_VALUE"""),253.0)</f>
        <v>253</v>
      </c>
      <c r="K485" s="1">
        <f>IFERROR(__xludf.DUMMYFUNCTION("""COMPUTED_VALUE"""),50.6)</f>
        <v>50.6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>
        <f>IFERROR(__xludf.DUMMYFUNCTION("""COMPUTED_VALUE"""),95.0)</f>
        <v>95</v>
      </c>
      <c r="E486" s="1">
        <f>IFERROR(__xludf.DUMMYFUNCTION("""COMPUTED_VALUE"""),45.0)</f>
        <v>45</v>
      </c>
      <c r="F486" s="1">
        <f>IFERROR(__xludf.DUMMYFUNCTION("""COMPUTED_VALUE"""),84.0)</f>
        <v>84</v>
      </c>
      <c r="G486" s="1">
        <f>IFERROR(__xludf.DUMMYFUNCTION("""COMPUTED_VALUE"""),32.0)</f>
        <v>32</v>
      </c>
      <c r="H486" s="1">
        <f>IFERROR(__xludf.DUMMYFUNCTION("""COMPUTED_VALUE"""),60.0)</f>
        <v>60</v>
      </c>
      <c r="I486" s="1">
        <f>IFERROR(__xludf.DUMMYFUNCTION("""COMPUTED_VALUE"""),57.0)</f>
        <v>57</v>
      </c>
      <c r="J486" s="1">
        <f>IFERROR(__xludf.DUMMYFUNCTION("""COMPUTED_VALUE"""),278.0)</f>
        <v>278</v>
      </c>
      <c r="K486" s="1">
        <f>IFERROR(__xludf.DUMMYFUNCTION("""COMPUTED_VALUE"""),55.60000000000001)</f>
        <v>55.6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>
        <f>IFERROR(__xludf.DUMMYFUNCTION("""COMPUTED_VALUE"""),63.0)</f>
        <v>63</v>
      </c>
      <c r="E487" s="1">
        <f>IFERROR(__xludf.DUMMYFUNCTION("""COMPUTED_VALUE"""),22.0)</f>
        <v>22</v>
      </c>
      <c r="F487" s="1">
        <f>IFERROR(__xludf.DUMMYFUNCTION("""COMPUTED_VALUE"""),88.0)</f>
        <v>88</v>
      </c>
      <c r="G487" s="1">
        <f>IFERROR(__xludf.DUMMYFUNCTION("""COMPUTED_VALUE"""),49.0)</f>
        <v>49</v>
      </c>
      <c r="H487" s="1">
        <f>IFERROR(__xludf.DUMMYFUNCTION("""COMPUTED_VALUE"""),82.0)</f>
        <v>82</v>
      </c>
      <c r="I487" s="1">
        <f>IFERROR(__xludf.DUMMYFUNCTION("""COMPUTED_VALUE"""),77.0)</f>
        <v>77</v>
      </c>
      <c r="J487" s="1">
        <f>IFERROR(__xludf.DUMMYFUNCTION("""COMPUTED_VALUE"""),318.0)</f>
        <v>318</v>
      </c>
      <c r="K487" s="1">
        <f>IFERROR(__xludf.DUMMYFUNCTION("""COMPUTED_VALUE"""),63.6)</f>
        <v>63.6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>
        <f>IFERROR(__xludf.DUMMYFUNCTION("""COMPUTED_VALUE"""),44.0)</f>
        <v>44</v>
      </c>
      <c r="E488" s="1">
        <f>IFERROR(__xludf.DUMMYFUNCTION("""COMPUTED_VALUE"""),90.0)</f>
        <v>90</v>
      </c>
      <c r="F488" s="1">
        <f>IFERROR(__xludf.DUMMYFUNCTION("""COMPUTED_VALUE"""),23.0)</f>
        <v>23</v>
      </c>
      <c r="G488" s="1">
        <f>IFERROR(__xludf.DUMMYFUNCTION("""COMPUTED_VALUE"""),91.0)</f>
        <v>91</v>
      </c>
      <c r="H488" s="1">
        <f>IFERROR(__xludf.DUMMYFUNCTION("""COMPUTED_VALUE"""),40.0)</f>
        <v>40</v>
      </c>
      <c r="I488" s="1">
        <f>IFERROR(__xludf.DUMMYFUNCTION("""COMPUTED_VALUE"""),86.0)</f>
        <v>86</v>
      </c>
      <c r="J488" s="1">
        <f>IFERROR(__xludf.DUMMYFUNCTION("""COMPUTED_VALUE"""),330.0)</f>
        <v>330</v>
      </c>
      <c r="K488" s="1">
        <f>IFERROR(__xludf.DUMMYFUNCTION("""COMPUTED_VALUE"""),66.0)</f>
        <v>66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>
        <f>IFERROR(__xludf.DUMMYFUNCTION("""COMPUTED_VALUE"""),64.0)</f>
        <v>64</v>
      </c>
      <c r="E489" s="1">
        <f>IFERROR(__xludf.DUMMYFUNCTION("""COMPUTED_VALUE"""),52.0)</f>
        <v>52</v>
      </c>
      <c r="F489" s="1">
        <f>IFERROR(__xludf.DUMMYFUNCTION("""COMPUTED_VALUE"""),47.0)</f>
        <v>47</v>
      </c>
      <c r="G489" s="1">
        <f>IFERROR(__xludf.DUMMYFUNCTION("""COMPUTED_VALUE"""),99.0)</f>
        <v>99</v>
      </c>
      <c r="H489" s="1">
        <f>IFERROR(__xludf.DUMMYFUNCTION("""COMPUTED_VALUE"""),59.0)</f>
        <v>59</v>
      </c>
      <c r="I489" s="1">
        <f>IFERROR(__xludf.DUMMYFUNCTION("""COMPUTED_VALUE"""),70.0)</f>
        <v>70</v>
      </c>
      <c r="J489" s="1">
        <f>IFERROR(__xludf.DUMMYFUNCTION("""COMPUTED_VALUE"""),327.0)</f>
        <v>327</v>
      </c>
      <c r="K489" s="1">
        <f>IFERROR(__xludf.DUMMYFUNCTION("""COMPUTED_VALUE"""),65.4)</f>
        <v>65.4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>
        <f>IFERROR(__xludf.DUMMYFUNCTION("""COMPUTED_VALUE"""),47.0)</f>
        <v>47</v>
      </c>
      <c r="E490" s="1">
        <f>IFERROR(__xludf.DUMMYFUNCTION("""COMPUTED_VALUE"""),58.0)</f>
        <v>58</v>
      </c>
      <c r="F490" s="1">
        <f>IFERROR(__xludf.DUMMYFUNCTION("""COMPUTED_VALUE"""),34.0)</f>
        <v>34</v>
      </c>
      <c r="G490" s="1">
        <f>IFERROR(__xludf.DUMMYFUNCTION("""COMPUTED_VALUE"""),37.0)</f>
        <v>37</v>
      </c>
      <c r="H490" s="1">
        <f>IFERROR(__xludf.DUMMYFUNCTION("""COMPUTED_VALUE"""),41.0)</f>
        <v>41</v>
      </c>
      <c r="I490" s="1">
        <f>IFERROR(__xludf.DUMMYFUNCTION("""COMPUTED_VALUE"""),26.0)</f>
        <v>26</v>
      </c>
      <c r="J490" s="1">
        <f>IFERROR(__xludf.DUMMYFUNCTION("""COMPUTED_VALUE"""),196.0)</f>
        <v>196</v>
      </c>
      <c r="K490" s="1">
        <f>IFERROR(__xludf.DUMMYFUNCTION("""COMPUTED_VALUE"""),39.2)</f>
        <v>39.2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>
        <f>IFERROR(__xludf.DUMMYFUNCTION("""COMPUTED_VALUE"""),82.0)</f>
        <v>82</v>
      </c>
      <c r="E491" s="1">
        <f>IFERROR(__xludf.DUMMYFUNCTION("""COMPUTED_VALUE"""),86.0)</f>
        <v>86</v>
      </c>
      <c r="F491" s="1">
        <f>IFERROR(__xludf.DUMMYFUNCTION("""COMPUTED_VALUE"""),46.0)</f>
        <v>46</v>
      </c>
      <c r="G491" s="1">
        <f>IFERROR(__xludf.DUMMYFUNCTION("""COMPUTED_VALUE"""),68.0)</f>
        <v>68</v>
      </c>
      <c r="H491" s="1">
        <f>IFERROR(__xludf.DUMMYFUNCTION("""COMPUTED_VALUE"""),56.0)</f>
        <v>56</v>
      </c>
      <c r="I491" s="1">
        <f>IFERROR(__xludf.DUMMYFUNCTION("""COMPUTED_VALUE"""),24.0)</f>
        <v>24</v>
      </c>
      <c r="J491" s="1">
        <f>IFERROR(__xludf.DUMMYFUNCTION("""COMPUTED_VALUE"""),280.0)</f>
        <v>280</v>
      </c>
      <c r="K491" s="1">
        <f>IFERROR(__xludf.DUMMYFUNCTION("""COMPUTED_VALUE"""),56.00000000000001)</f>
        <v>56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>
        <f>IFERROR(__xludf.DUMMYFUNCTION("""COMPUTED_VALUE"""),70.0)</f>
        <v>70</v>
      </c>
      <c r="E492" s="1">
        <f>IFERROR(__xludf.DUMMYFUNCTION("""COMPUTED_VALUE"""),32.0)</f>
        <v>32</v>
      </c>
      <c r="F492" s="1">
        <f>IFERROR(__xludf.DUMMYFUNCTION("""COMPUTED_VALUE"""),30.0)</f>
        <v>30</v>
      </c>
      <c r="G492" s="1">
        <f>IFERROR(__xludf.DUMMYFUNCTION("""COMPUTED_VALUE"""),55.0)</f>
        <v>55</v>
      </c>
      <c r="H492" s="1">
        <f>IFERROR(__xludf.DUMMYFUNCTION("""COMPUTED_VALUE"""),78.0)</f>
        <v>78</v>
      </c>
      <c r="I492" s="1">
        <f>IFERROR(__xludf.DUMMYFUNCTION("""COMPUTED_VALUE"""),35.0)</f>
        <v>35</v>
      </c>
      <c r="J492" s="1">
        <f>IFERROR(__xludf.DUMMYFUNCTION("""COMPUTED_VALUE"""),230.0)</f>
        <v>230</v>
      </c>
      <c r="K492" s="1">
        <f>IFERROR(__xludf.DUMMYFUNCTION("""COMPUTED_VALUE"""),46.0)</f>
        <v>46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>
        <f>IFERROR(__xludf.DUMMYFUNCTION("""COMPUTED_VALUE"""),26.0)</f>
        <v>26</v>
      </c>
      <c r="E493" s="1">
        <f>IFERROR(__xludf.DUMMYFUNCTION("""COMPUTED_VALUE"""),60.0)</f>
        <v>60</v>
      </c>
      <c r="F493" s="1">
        <f>IFERROR(__xludf.DUMMYFUNCTION("""COMPUTED_VALUE"""),78.0)</f>
        <v>78</v>
      </c>
      <c r="G493" s="1">
        <f>IFERROR(__xludf.DUMMYFUNCTION("""COMPUTED_VALUE"""),53.0)</f>
        <v>53</v>
      </c>
      <c r="H493" s="1">
        <f>IFERROR(__xludf.DUMMYFUNCTION("""COMPUTED_VALUE"""),93.0)</f>
        <v>93</v>
      </c>
      <c r="I493" s="1">
        <f>IFERROR(__xludf.DUMMYFUNCTION("""COMPUTED_VALUE"""),84.0)</f>
        <v>84</v>
      </c>
      <c r="J493" s="1">
        <f>IFERROR(__xludf.DUMMYFUNCTION("""COMPUTED_VALUE"""),368.0)</f>
        <v>368</v>
      </c>
      <c r="K493" s="1">
        <f>IFERROR(__xludf.DUMMYFUNCTION("""COMPUTED_VALUE"""),73.6)</f>
        <v>73.6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>
        <f>IFERROR(__xludf.DUMMYFUNCTION("""COMPUTED_VALUE"""),51.0)</f>
        <v>51</v>
      </c>
      <c r="E494" s="1">
        <f>IFERROR(__xludf.DUMMYFUNCTION("""COMPUTED_VALUE"""),82.0)</f>
        <v>82</v>
      </c>
      <c r="F494" s="1">
        <f>IFERROR(__xludf.DUMMYFUNCTION("""COMPUTED_VALUE"""),34.0)</f>
        <v>34</v>
      </c>
      <c r="G494" s="1">
        <f>IFERROR(__xludf.DUMMYFUNCTION("""COMPUTED_VALUE"""),42.0)</f>
        <v>42</v>
      </c>
      <c r="H494" s="1">
        <f>IFERROR(__xludf.DUMMYFUNCTION("""COMPUTED_VALUE"""),43.0)</f>
        <v>43</v>
      </c>
      <c r="I494" s="1">
        <f>IFERROR(__xludf.DUMMYFUNCTION("""COMPUTED_VALUE"""),81.0)</f>
        <v>81</v>
      </c>
      <c r="J494" s="1">
        <f>IFERROR(__xludf.DUMMYFUNCTION("""COMPUTED_VALUE"""),282.0)</f>
        <v>282</v>
      </c>
      <c r="K494" s="1">
        <f>IFERROR(__xludf.DUMMYFUNCTION("""COMPUTED_VALUE"""),56.39999999999999)</f>
        <v>56.4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>
        <f>IFERROR(__xludf.DUMMYFUNCTION("""COMPUTED_VALUE"""),18.0)</f>
        <v>18</v>
      </c>
      <c r="E495" s="1">
        <f>IFERROR(__xludf.DUMMYFUNCTION("""COMPUTED_VALUE"""),22.0)</f>
        <v>22</v>
      </c>
      <c r="F495" s="1">
        <f>IFERROR(__xludf.DUMMYFUNCTION("""COMPUTED_VALUE"""),44.0)</f>
        <v>44</v>
      </c>
      <c r="G495" s="1">
        <f>IFERROR(__xludf.DUMMYFUNCTION("""COMPUTED_VALUE"""),34.0)</f>
        <v>34</v>
      </c>
      <c r="H495" s="1">
        <f>IFERROR(__xludf.DUMMYFUNCTION("""COMPUTED_VALUE"""),21.0)</f>
        <v>21</v>
      </c>
      <c r="I495" s="1">
        <f>IFERROR(__xludf.DUMMYFUNCTION("""COMPUTED_VALUE"""),73.0)</f>
        <v>73</v>
      </c>
      <c r="J495" s="1">
        <f>IFERROR(__xludf.DUMMYFUNCTION("""COMPUTED_VALUE"""),194.0)</f>
        <v>194</v>
      </c>
      <c r="K495" s="1">
        <f>IFERROR(__xludf.DUMMYFUNCTION("""COMPUTED_VALUE"""),38.800000000000004)</f>
        <v>38.8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>
        <f>IFERROR(__xludf.DUMMYFUNCTION("""COMPUTED_VALUE"""),69.0)</f>
        <v>69</v>
      </c>
      <c r="E496" s="1">
        <f>IFERROR(__xludf.DUMMYFUNCTION("""COMPUTED_VALUE"""),50.0)</f>
        <v>50</v>
      </c>
      <c r="F496" s="1">
        <f>IFERROR(__xludf.DUMMYFUNCTION("""COMPUTED_VALUE"""),76.0)</f>
        <v>76</v>
      </c>
      <c r="G496" s="1">
        <f>IFERROR(__xludf.DUMMYFUNCTION("""COMPUTED_VALUE"""),25.0)</f>
        <v>25</v>
      </c>
      <c r="H496" s="1">
        <f>IFERROR(__xludf.DUMMYFUNCTION("""COMPUTED_VALUE"""),69.0)</f>
        <v>69</v>
      </c>
      <c r="I496" s="1">
        <f>IFERROR(__xludf.DUMMYFUNCTION("""COMPUTED_VALUE"""),74.0)</f>
        <v>74</v>
      </c>
      <c r="J496" s="1">
        <f>IFERROR(__xludf.DUMMYFUNCTION("""COMPUTED_VALUE"""),294.0)</f>
        <v>294</v>
      </c>
      <c r="K496" s="1">
        <f>IFERROR(__xludf.DUMMYFUNCTION("""COMPUTED_VALUE"""),58.8)</f>
        <v>58.8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>
        <f>IFERROR(__xludf.DUMMYFUNCTION("""COMPUTED_VALUE"""),24.0)</f>
        <v>24</v>
      </c>
      <c r="E497" s="1">
        <f>IFERROR(__xludf.DUMMYFUNCTION("""COMPUTED_VALUE"""),61.0)</f>
        <v>61</v>
      </c>
      <c r="F497" s="1">
        <f>IFERROR(__xludf.DUMMYFUNCTION("""COMPUTED_VALUE"""),78.0)</f>
        <v>78</v>
      </c>
      <c r="G497" s="1">
        <f>IFERROR(__xludf.DUMMYFUNCTION("""COMPUTED_VALUE"""),26.0)</f>
        <v>26</v>
      </c>
      <c r="H497" s="1">
        <f>IFERROR(__xludf.DUMMYFUNCTION("""COMPUTED_VALUE"""),21.0)</f>
        <v>21</v>
      </c>
      <c r="I497" s="1">
        <f>IFERROR(__xludf.DUMMYFUNCTION("""COMPUTED_VALUE"""),74.0)</f>
        <v>74</v>
      </c>
      <c r="J497" s="1">
        <f>IFERROR(__xludf.DUMMYFUNCTION("""COMPUTED_VALUE"""),260.0)</f>
        <v>260</v>
      </c>
      <c r="K497" s="1">
        <f>IFERROR(__xludf.DUMMYFUNCTION("""COMPUTED_VALUE"""),52.0)</f>
        <v>52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>
        <f>IFERROR(__xludf.DUMMYFUNCTION("""COMPUTED_VALUE"""),23.0)</f>
        <v>23</v>
      </c>
      <c r="E498" s="1">
        <f>IFERROR(__xludf.DUMMYFUNCTION("""COMPUTED_VALUE"""),23.0)</f>
        <v>23</v>
      </c>
      <c r="F498" s="1">
        <f>IFERROR(__xludf.DUMMYFUNCTION("""COMPUTED_VALUE"""),39.0)</f>
        <v>39</v>
      </c>
      <c r="G498" s="1">
        <f>IFERROR(__xludf.DUMMYFUNCTION("""COMPUTED_VALUE"""),50.0)</f>
        <v>50</v>
      </c>
      <c r="H498" s="1">
        <f>IFERROR(__xludf.DUMMYFUNCTION("""COMPUTED_VALUE"""),99.0)</f>
        <v>99</v>
      </c>
      <c r="I498" s="1">
        <f>IFERROR(__xludf.DUMMYFUNCTION("""COMPUTED_VALUE"""),39.0)</f>
        <v>39</v>
      </c>
      <c r="J498" s="1">
        <f>IFERROR(__xludf.DUMMYFUNCTION("""COMPUTED_VALUE"""),250.0)</f>
        <v>250</v>
      </c>
      <c r="K498" s="1">
        <f>IFERROR(__xludf.DUMMYFUNCTION("""COMPUTED_VALUE"""),50.0)</f>
        <v>50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>
        <f>IFERROR(__xludf.DUMMYFUNCTION("""COMPUTED_VALUE"""),88.0)</f>
        <v>88</v>
      </c>
      <c r="E499" s="1">
        <f>IFERROR(__xludf.DUMMYFUNCTION("""COMPUTED_VALUE"""),78.0)</f>
        <v>78</v>
      </c>
      <c r="F499" s="1">
        <f>IFERROR(__xludf.DUMMYFUNCTION("""COMPUTED_VALUE"""),40.0)</f>
        <v>40</v>
      </c>
      <c r="G499" s="1">
        <f>IFERROR(__xludf.DUMMYFUNCTION("""COMPUTED_VALUE"""),79.0)</f>
        <v>79</v>
      </c>
      <c r="H499" s="1">
        <f>IFERROR(__xludf.DUMMYFUNCTION("""COMPUTED_VALUE"""),50.0)</f>
        <v>50</v>
      </c>
      <c r="I499" s="1">
        <f>IFERROR(__xludf.DUMMYFUNCTION("""COMPUTED_VALUE"""),75.0)</f>
        <v>75</v>
      </c>
      <c r="J499" s="1">
        <f>IFERROR(__xludf.DUMMYFUNCTION("""COMPUTED_VALUE"""),322.0)</f>
        <v>322</v>
      </c>
      <c r="K499" s="1">
        <f>IFERROR(__xludf.DUMMYFUNCTION("""COMPUTED_VALUE"""),64.4)</f>
        <v>64.4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>
        <f>IFERROR(__xludf.DUMMYFUNCTION("""COMPUTED_VALUE"""),11.0)</f>
        <v>11</v>
      </c>
      <c r="E500" s="1">
        <f>IFERROR(__xludf.DUMMYFUNCTION("""COMPUTED_VALUE"""),54.0)</f>
        <v>54</v>
      </c>
      <c r="F500" s="1">
        <f>IFERROR(__xludf.DUMMYFUNCTION("""COMPUTED_VALUE"""),76.0)</f>
        <v>76</v>
      </c>
      <c r="G500" s="1">
        <f>IFERROR(__xludf.DUMMYFUNCTION("""COMPUTED_VALUE"""),46.0)</f>
        <v>46</v>
      </c>
      <c r="H500" s="1">
        <f>IFERROR(__xludf.DUMMYFUNCTION("""COMPUTED_VALUE"""),83.0)</f>
        <v>83</v>
      </c>
      <c r="I500" s="1">
        <f>IFERROR(__xludf.DUMMYFUNCTION("""COMPUTED_VALUE"""),84.0)</f>
        <v>84</v>
      </c>
      <c r="J500" s="1">
        <f>IFERROR(__xludf.DUMMYFUNCTION("""COMPUTED_VALUE"""),343.0)</f>
        <v>343</v>
      </c>
      <c r="K500" s="1">
        <f>IFERROR(__xludf.DUMMYFUNCTION("""COMPUTED_VALUE"""),68.60000000000001)</f>
        <v>68.6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>
        <f>IFERROR(__xludf.DUMMYFUNCTION("""COMPUTED_VALUE"""),37.0)</f>
        <v>37</v>
      </c>
      <c r="E501" s="1">
        <f>IFERROR(__xludf.DUMMYFUNCTION("""COMPUTED_VALUE"""),90.0)</f>
        <v>90</v>
      </c>
      <c r="F501" s="1">
        <f>IFERROR(__xludf.DUMMYFUNCTION("""COMPUTED_VALUE"""),73.0)</f>
        <v>73</v>
      </c>
      <c r="G501" s="1">
        <f>IFERROR(__xludf.DUMMYFUNCTION("""COMPUTED_VALUE"""),24.0)</f>
        <v>24</v>
      </c>
      <c r="H501" s="1">
        <f>IFERROR(__xludf.DUMMYFUNCTION("""COMPUTED_VALUE"""),23.0)</f>
        <v>23</v>
      </c>
      <c r="I501" s="1">
        <f>IFERROR(__xludf.DUMMYFUNCTION("""COMPUTED_VALUE"""),79.0)</f>
        <v>79</v>
      </c>
      <c r="J501" s="1">
        <f>IFERROR(__xludf.DUMMYFUNCTION("""COMPUTED_VALUE"""),289.0)</f>
        <v>289</v>
      </c>
      <c r="K501" s="1">
        <f>IFERROR(__xludf.DUMMYFUNCTION("""COMPUTED_VALUE"""),57.8)</f>
        <v>57.8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>
        <f>IFERROR(__xludf.DUMMYFUNCTION("""COMPUTED_VALUE"""),95.0)</f>
        <v>95</v>
      </c>
      <c r="E502" s="1">
        <f>IFERROR(__xludf.DUMMYFUNCTION("""COMPUTED_VALUE"""),20.0)</f>
        <v>20</v>
      </c>
      <c r="F502" s="1">
        <f>IFERROR(__xludf.DUMMYFUNCTION("""COMPUTED_VALUE"""),50.0)</f>
        <v>50</v>
      </c>
      <c r="G502" s="1">
        <f>IFERROR(__xludf.DUMMYFUNCTION("""COMPUTED_VALUE"""),69.0)</f>
        <v>69</v>
      </c>
      <c r="H502" s="1">
        <f>IFERROR(__xludf.DUMMYFUNCTION("""COMPUTED_VALUE"""),88.0)</f>
        <v>88</v>
      </c>
      <c r="I502" s="1">
        <f>IFERROR(__xludf.DUMMYFUNCTION("""COMPUTED_VALUE"""),65.0)</f>
        <v>65</v>
      </c>
      <c r="J502" s="1">
        <f>IFERROR(__xludf.DUMMYFUNCTION("""COMPUTED_VALUE"""),292.0)</f>
        <v>292</v>
      </c>
      <c r="K502" s="1">
        <f>IFERROR(__xludf.DUMMYFUNCTION("""COMPUTED_VALUE"""),58.4)</f>
        <v>58.4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>
        <f>IFERROR(__xludf.DUMMYFUNCTION("""COMPUTED_VALUE"""),46.0)</f>
        <v>46</v>
      </c>
      <c r="E503" s="1">
        <f>IFERROR(__xludf.DUMMYFUNCTION("""COMPUTED_VALUE"""),54.0)</f>
        <v>54</v>
      </c>
      <c r="F503" s="1">
        <f>IFERROR(__xludf.DUMMYFUNCTION("""COMPUTED_VALUE"""),47.0)</f>
        <v>47</v>
      </c>
      <c r="G503" s="1">
        <f>IFERROR(__xludf.DUMMYFUNCTION("""COMPUTED_VALUE"""),61.0)</f>
        <v>61</v>
      </c>
      <c r="H503" s="1">
        <f>IFERROR(__xludf.DUMMYFUNCTION("""COMPUTED_VALUE"""),89.0)</f>
        <v>89</v>
      </c>
      <c r="I503" s="1">
        <f>IFERROR(__xludf.DUMMYFUNCTION("""COMPUTED_VALUE"""),24.0)</f>
        <v>24</v>
      </c>
      <c r="J503" s="1">
        <f>IFERROR(__xludf.DUMMYFUNCTION("""COMPUTED_VALUE"""),275.0)</f>
        <v>275</v>
      </c>
      <c r="K503" s="1">
        <f>IFERROR(__xludf.DUMMYFUNCTION("""COMPUTED_VALUE"""),55.00000000000001)</f>
        <v>55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>
        <f>IFERROR(__xludf.DUMMYFUNCTION("""COMPUTED_VALUE"""),56.0)</f>
        <v>56</v>
      </c>
      <c r="E504" s="1">
        <f>IFERROR(__xludf.DUMMYFUNCTION("""COMPUTED_VALUE"""),99.0)</f>
        <v>99</v>
      </c>
      <c r="F504" s="1">
        <f>IFERROR(__xludf.DUMMYFUNCTION("""COMPUTED_VALUE"""),50.0)</f>
        <v>50</v>
      </c>
      <c r="G504" s="1">
        <f>IFERROR(__xludf.DUMMYFUNCTION("""COMPUTED_VALUE"""),36.0)</f>
        <v>36</v>
      </c>
      <c r="H504" s="1">
        <f>IFERROR(__xludf.DUMMYFUNCTION("""COMPUTED_VALUE"""),99.0)</f>
        <v>99</v>
      </c>
      <c r="I504" s="1">
        <f>IFERROR(__xludf.DUMMYFUNCTION("""COMPUTED_VALUE"""),60.0)</f>
        <v>60</v>
      </c>
      <c r="J504" s="1">
        <f>IFERROR(__xludf.DUMMYFUNCTION("""COMPUTED_VALUE"""),344.0)</f>
        <v>344</v>
      </c>
      <c r="K504" s="1">
        <f>IFERROR(__xludf.DUMMYFUNCTION("""COMPUTED_VALUE"""),68.8)</f>
        <v>68.8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>
        <f>IFERROR(__xludf.DUMMYFUNCTION("""COMPUTED_VALUE"""),77.0)</f>
        <v>77</v>
      </c>
      <c r="E505" s="1">
        <f>IFERROR(__xludf.DUMMYFUNCTION("""COMPUTED_VALUE"""),96.0)</f>
        <v>96</v>
      </c>
      <c r="F505" s="1">
        <f>IFERROR(__xludf.DUMMYFUNCTION("""COMPUTED_VALUE"""),86.0)</f>
        <v>86</v>
      </c>
      <c r="G505" s="1">
        <f>IFERROR(__xludf.DUMMYFUNCTION("""COMPUTED_VALUE"""),53.0)</f>
        <v>53</v>
      </c>
      <c r="H505" s="1">
        <f>IFERROR(__xludf.DUMMYFUNCTION("""COMPUTED_VALUE"""),74.0)</f>
        <v>74</v>
      </c>
      <c r="I505" s="1">
        <f>IFERROR(__xludf.DUMMYFUNCTION("""COMPUTED_VALUE"""),62.0)</f>
        <v>62</v>
      </c>
      <c r="J505" s="1">
        <f>IFERROR(__xludf.DUMMYFUNCTION("""COMPUTED_VALUE"""),371.0)</f>
        <v>371</v>
      </c>
      <c r="K505" s="1">
        <f>IFERROR(__xludf.DUMMYFUNCTION("""COMPUTED_VALUE"""),74.2)</f>
        <v>74.2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>
        <f>IFERROR(__xludf.DUMMYFUNCTION("""COMPUTED_VALUE"""),77.0)</f>
        <v>77</v>
      </c>
      <c r="E506" s="1">
        <f>IFERROR(__xludf.DUMMYFUNCTION("""COMPUTED_VALUE"""),63.0)</f>
        <v>63</v>
      </c>
      <c r="F506" s="1">
        <f>IFERROR(__xludf.DUMMYFUNCTION("""COMPUTED_VALUE"""),41.0)</f>
        <v>41</v>
      </c>
      <c r="G506" s="1">
        <f>IFERROR(__xludf.DUMMYFUNCTION("""COMPUTED_VALUE"""),32.0)</f>
        <v>32</v>
      </c>
      <c r="H506" s="1">
        <f>IFERROR(__xludf.DUMMYFUNCTION("""COMPUTED_VALUE"""),54.0)</f>
        <v>54</v>
      </c>
      <c r="I506" s="1">
        <f>IFERROR(__xludf.DUMMYFUNCTION("""COMPUTED_VALUE"""),88.0)</f>
        <v>88</v>
      </c>
      <c r="J506" s="1">
        <f>IFERROR(__xludf.DUMMYFUNCTION("""COMPUTED_VALUE"""),278.0)</f>
        <v>278</v>
      </c>
      <c r="K506" s="1">
        <f>IFERROR(__xludf.DUMMYFUNCTION("""COMPUTED_VALUE"""),55.60000000000001)</f>
        <v>55.6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>
        <f>IFERROR(__xludf.DUMMYFUNCTION("""COMPUTED_VALUE"""),67.0)</f>
        <v>67</v>
      </c>
      <c r="E507" s="1">
        <f>IFERROR(__xludf.DUMMYFUNCTION("""COMPUTED_VALUE"""),87.0)</f>
        <v>87</v>
      </c>
      <c r="F507" s="1">
        <f>IFERROR(__xludf.DUMMYFUNCTION("""COMPUTED_VALUE"""),62.0)</f>
        <v>62</v>
      </c>
      <c r="G507" s="1">
        <f>IFERROR(__xludf.DUMMYFUNCTION("""COMPUTED_VALUE"""),67.0)</f>
        <v>67</v>
      </c>
      <c r="H507" s="1">
        <f>IFERROR(__xludf.DUMMYFUNCTION("""COMPUTED_VALUE"""),74.0)</f>
        <v>74</v>
      </c>
      <c r="I507" s="1">
        <f>IFERROR(__xludf.DUMMYFUNCTION("""COMPUTED_VALUE"""),77.0)</f>
        <v>77</v>
      </c>
      <c r="J507" s="1">
        <f>IFERROR(__xludf.DUMMYFUNCTION("""COMPUTED_VALUE"""),367.0)</f>
        <v>367</v>
      </c>
      <c r="K507" s="1">
        <f>IFERROR(__xludf.DUMMYFUNCTION("""COMPUTED_VALUE"""),73.4)</f>
        <v>73.4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>
        <f>IFERROR(__xludf.DUMMYFUNCTION("""COMPUTED_VALUE"""),15.0)</f>
        <v>15</v>
      </c>
      <c r="E508" s="1">
        <f>IFERROR(__xludf.DUMMYFUNCTION("""COMPUTED_VALUE"""),79.0)</f>
        <v>79</v>
      </c>
      <c r="F508" s="1">
        <f>IFERROR(__xludf.DUMMYFUNCTION("""COMPUTED_VALUE"""),89.0)</f>
        <v>89</v>
      </c>
      <c r="G508" s="1">
        <f>IFERROR(__xludf.DUMMYFUNCTION("""COMPUTED_VALUE"""),28.0)</f>
        <v>28</v>
      </c>
      <c r="H508" s="1">
        <f>IFERROR(__xludf.DUMMYFUNCTION("""COMPUTED_VALUE"""),45.0)</f>
        <v>45</v>
      </c>
      <c r="I508" s="1">
        <f>IFERROR(__xludf.DUMMYFUNCTION("""COMPUTED_VALUE"""),68.0)</f>
        <v>68</v>
      </c>
      <c r="J508" s="1">
        <f>IFERROR(__xludf.DUMMYFUNCTION("""COMPUTED_VALUE"""),309.0)</f>
        <v>309</v>
      </c>
      <c r="K508" s="1">
        <f>IFERROR(__xludf.DUMMYFUNCTION("""COMPUTED_VALUE"""),61.8)</f>
        <v>61.8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>
        <f>IFERROR(__xludf.DUMMYFUNCTION("""COMPUTED_VALUE"""),12.0)</f>
        <v>12</v>
      </c>
      <c r="E509" s="1">
        <f>IFERROR(__xludf.DUMMYFUNCTION("""COMPUTED_VALUE"""),72.0)</f>
        <v>72</v>
      </c>
      <c r="F509" s="1">
        <f>IFERROR(__xludf.DUMMYFUNCTION("""COMPUTED_VALUE"""),42.0)</f>
        <v>42</v>
      </c>
      <c r="G509" s="1">
        <f>IFERROR(__xludf.DUMMYFUNCTION("""COMPUTED_VALUE"""),77.0)</f>
        <v>77</v>
      </c>
      <c r="H509" s="1">
        <f>IFERROR(__xludf.DUMMYFUNCTION("""COMPUTED_VALUE"""),96.0)</f>
        <v>96</v>
      </c>
      <c r="I509" s="1">
        <f>IFERROR(__xludf.DUMMYFUNCTION("""COMPUTED_VALUE"""),54.0)</f>
        <v>54</v>
      </c>
      <c r="J509" s="1">
        <f>IFERROR(__xludf.DUMMYFUNCTION("""COMPUTED_VALUE"""),341.0)</f>
        <v>341</v>
      </c>
      <c r="K509" s="1">
        <f>IFERROR(__xludf.DUMMYFUNCTION("""COMPUTED_VALUE"""),68.2)</f>
        <v>68.2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>
        <f>IFERROR(__xludf.DUMMYFUNCTION("""COMPUTED_VALUE"""),74.0)</f>
        <v>74</v>
      </c>
      <c r="E510" s="1">
        <f>IFERROR(__xludf.DUMMYFUNCTION("""COMPUTED_VALUE"""),21.0)</f>
        <v>21</v>
      </c>
      <c r="F510" s="1">
        <f>IFERROR(__xludf.DUMMYFUNCTION("""COMPUTED_VALUE"""),57.0)</f>
        <v>57</v>
      </c>
      <c r="G510" s="1">
        <f>IFERROR(__xludf.DUMMYFUNCTION("""COMPUTED_VALUE"""),77.0)</f>
        <v>77</v>
      </c>
      <c r="H510" s="1">
        <f>IFERROR(__xludf.DUMMYFUNCTION("""COMPUTED_VALUE"""),64.0)</f>
        <v>64</v>
      </c>
      <c r="I510" s="1">
        <f>IFERROR(__xludf.DUMMYFUNCTION("""COMPUTED_VALUE"""),99.0)</f>
        <v>99</v>
      </c>
      <c r="J510" s="1">
        <f>IFERROR(__xludf.DUMMYFUNCTION("""COMPUTED_VALUE"""),318.0)</f>
        <v>318</v>
      </c>
      <c r="K510" s="1">
        <f>IFERROR(__xludf.DUMMYFUNCTION("""COMPUTED_VALUE"""),63.6)</f>
        <v>63.6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>
        <f>IFERROR(__xludf.DUMMYFUNCTION("""COMPUTED_VALUE"""),99.0)</f>
        <v>99</v>
      </c>
      <c r="E511" s="1">
        <f>IFERROR(__xludf.DUMMYFUNCTION("""COMPUTED_VALUE"""),22.0)</f>
        <v>22</v>
      </c>
      <c r="F511" s="1">
        <f>IFERROR(__xludf.DUMMYFUNCTION("""COMPUTED_VALUE"""),78.0)</f>
        <v>78</v>
      </c>
      <c r="G511" s="1">
        <f>IFERROR(__xludf.DUMMYFUNCTION("""COMPUTED_VALUE"""),23.0)</f>
        <v>23</v>
      </c>
      <c r="H511" s="1">
        <f>IFERROR(__xludf.DUMMYFUNCTION("""COMPUTED_VALUE"""),53.0)</f>
        <v>53</v>
      </c>
      <c r="I511" s="1">
        <f>IFERROR(__xludf.DUMMYFUNCTION("""COMPUTED_VALUE"""),83.0)</f>
        <v>83</v>
      </c>
      <c r="J511" s="1">
        <f>IFERROR(__xludf.DUMMYFUNCTION("""COMPUTED_VALUE"""),259.0)</f>
        <v>259</v>
      </c>
      <c r="K511" s="1">
        <f>IFERROR(__xludf.DUMMYFUNCTION("""COMPUTED_VALUE"""),51.800000000000004)</f>
        <v>51.8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>
        <f>IFERROR(__xludf.DUMMYFUNCTION("""COMPUTED_VALUE"""),12.0)</f>
        <v>12</v>
      </c>
      <c r="E512" s="1">
        <f>IFERROR(__xludf.DUMMYFUNCTION("""COMPUTED_VALUE"""),85.0)</f>
        <v>85</v>
      </c>
      <c r="F512" s="1">
        <f>IFERROR(__xludf.DUMMYFUNCTION("""COMPUTED_VALUE"""),98.0)</f>
        <v>98</v>
      </c>
      <c r="G512" s="1">
        <f>IFERROR(__xludf.DUMMYFUNCTION("""COMPUTED_VALUE"""),37.0)</f>
        <v>37</v>
      </c>
      <c r="H512" s="1">
        <f>IFERROR(__xludf.DUMMYFUNCTION("""COMPUTED_VALUE"""),81.0)</f>
        <v>81</v>
      </c>
      <c r="I512" s="1">
        <f>IFERROR(__xludf.DUMMYFUNCTION("""COMPUTED_VALUE"""),87.0)</f>
        <v>87</v>
      </c>
      <c r="J512" s="1">
        <f>IFERROR(__xludf.DUMMYFUNCTION("""COMPUTED_VALUE"""),388.0)</f>
        <v>388</v>
      </c>
      <c r="K512" s="1">
        <f>IFERROR(__xludf.DUMMYFUNCTION("""COMPUTED_VALUE"""),77.60000000000001)</f>
        <v>77.6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>
        <f>IFERROR(__xludf.DUMMYFUNCTION("""COMPUTED_VALUE"""),42.0)</f>
        <v>42</v>
      </c>
      <c r="E513" s="1">
        <f>IFERROR(__xludf.DUMMYFUNCTION("""COMPUTED_VALUE"""),77.0)</f>
        <v>77</v>
      </c>
      <c r="F513" s="1">
        <f>IFERROR(__xludf.DUMMYFUNCTION("""COMPUTED_VALUE"""),87.0)</f>
        <v>87</v>
      </c>
      <c r="G513" s="1">
        <f>IFERROR(__xludf.DUMMYFUNCTION("""COMPUTED_VALUE"""),73.0)</f>
        <v>73</v>
      </c>
      <c r="H513" s="1">
        <f>IFERROR(__xludf.DUMMYFUNCTION("""COMPUTED_VALUE"""),51.0)</f>
        <v>51</v>
      </c>
      <c r="I513" s="1">
        <f>IFERROR(__xludf.DUMMYFUNCTION("""COMPUTED_VALUE"""),37.0)</f>
        <v>37</v>
      </c>
      <c r="J513" s="1">
        <f>IFERROR(__xludf.DUMMYFUNCTION("""COMPUTED_VALUE"""),325.0)</f>
        <v>325</v>
      </c>
      <c r="K513" s="1">
        <f>IFERROR(__xludf.DUMMYFUNCTION("""COMPUTED_VALUE"""),65.0)</f>
        <v>65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>
        <f>IFERROR(__xludf.DUMMYFUNCTION("""COMPUTED_VALUE"""),13.0)</f>
        <v>13</v>
      </c>
      <c r="E514" s="1">
        <f>IFERROR(__xludf.DUMMYFUNCTION("""COMPUTED_VALUE"""),67.0)</f>
        <v>67</v>
      </c>
      <c r="F514" s="1">
        <f>IFERROR(__xludf.DUMMYFUNCTION("""COMPUTED_VALUE"""),43.0)</f>
        <v>43</v>
      </c>
      <c r="G514" s="1">
        <f>IFERROR(__xludf.DUMMYFUNCTION("""COMPUTED_VALUE"""),71.0)</f>
        <v>71</v>
      </c>
      <c r="H514" s="1">
        <f>IFERROR(__xludf.DUMMYFUNCTION("""COMPUTED_VALUE"""),97.0)</f>
        <v>97</v>
      </c>
      <c r="I514" s="1">
        <f>IFERROR(__xludf.DUMMYFUNCTION("""COMPUTED_VALUE"""),73.0)</f>
        <v>73</v>
      </c>
      <c r="J514" s="1">
        <f>IFERROR(__xludf.DUMMYFUNCTION("""COMPUTED_VALUE"""),351.0)</f>
        <v>351</v>
      </c>
      <c r="K514" s="1">
        <f>IFERROR(__xludf.DUMMYFUNCTION("""COMPUTED_VALUE"""),70.19999999999999)</f>
        <v>70.2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>
        <f>IFERROR(__xludf.DUMMYFUNCTION("""COMPUTED_VALUE"""),56.0)</f>
        <v>56</v>
      </c>
      <c r="E515" s="1">
        <f>IFERROR(__xludf.DUMMYFUNCTION("""COMPUTED_VALUE"""),22.0)</f>
        <v>22</v>
      </c>
      <c r="F515" s="1">
        <f>IFERROR(__xludf.DUMMYFUNCTION("""COMPUTED_VALUE"""),85.0)</f>
        <v>85</v>
      </c>
      <c r="G515" s="1">
        <f>IFERROR(__xludf.DUMMYFUNCTION("""COMPUTED_VALUE"""),64.0)</f>
        <v>64</v>
      </c>
      <c r="H515" s="1">
        <f>IFERROR(__xludf.DUMMYFUNCTION("""COMPUTED_VALUE"""),70.0)</f>
        <v>70</v>
      </c>
      <c r="I515" s="1">
        <f>IFERROR(__xludf.DUMMYFUNCTION("""COMPUTED_VALUE"""),24.0)</f>
        <v>24</v>
      </c>
      <c r="J515" s="1">
        <f>IFERROR(__xludf.DUMMYFUNCTION("""COMPUTED_VALUE"""),265.0)</f>
        <v>265</v>
      </c>
      <c r="K515" s="1">
        <f>IFERROR(__xludf.DUMMYFUNCTION("""COMPUTED_VALUE"""),53.0)</f>
        <v>53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>
        <f>IFERROR(__xludf.DUMMYFUNCTION("""COMPUTED_VALUE"""),44.0)</f>
        <v>44</v>
      </c>
      <c r="E516" s="1">
        <f>IFERROR(__xludf.DUMMYFUNCTION("""COMPUTED_VALUE"""),81.0)</f>
        <v>81</v>
      </c>
      <c r="F516" s="1">
        <f>IFERROR(__xludf.DUMMYFUNCTION("""COMPUTED_VALUE"""),96.0)</f>
        <v>96</v>
      </c>
      <c r="G516" s="1">
        <f>IFERROR(__xludf.DUMMYFUNCTION("""COMPUTED_VALUE"""),83.0)</f>
        <v>83</v>
      </c>
      <c r="H516" s="1">
        <f>IFERROR(__xludf.DUMMYFUNCTION("""COMPUTED_VALUE"""),75.0)</f>
        <v>75</v>
      </c>
      <c r="I516" s="1">
        <f>IFERROR(__xludf.DUMMYFUNCTION("""COMPUTED_VALUE"""),53.0)</f>
        <v>53</v>
      </c>
      <c r="J516" s="1">
        <f>IFERROR(__xludf.DUMMYFUNCTION("""COMPUTED_VALUE"""),388.0)</f>
        <v>388</v>
      </c>
      <c r="K516" s="1">
        <f>IFERROR(__xludf.DUMMYFUNCTION("""COMPUTED_VALUE"""),77.60000000000001)</f>
        <v>77.6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>
        <f>IFERROR(__xludf.DUMMYFUNCTION("""COMPUTED_VALUE"""),44.0)</f>
        <v>44</v>
      </c>
      <c r="E517" s="1">
        <f>IFERROR(__xludf.DUMMYFUNCTION("""COMPUTED_VALUE"""),71.0)</f>
        <v>71</v>
      </c>
      <c r="F517" s="1">
        <f>IFERROR(__xludf.DUMMYFUNCTION("""COMPUTED_VALUE"""),70.0)</f>
        <v>70</v>
      </c>
      <c r="G517" s="1">
        <f>IFERROR(__xludf.DUMMYFUNCTION("""COMPUTED_VALUE"""),22.0)</f>
        <v>22</v>
      </c>
      <c r="H517" s="1">
        <f>IFERROR(__xludf.DUMMYFUNCTION("""COMPUTED_VALUE"""),45.0)</f>
        <v>45</v>
      </c>
      <c r="I517" s="1">
        <f>IFERROR(__xludf.DUMMYFUNCTION("""COMPUTED_VALUE"""),54.0)</f>
        <v>54</v>
      </c>
      <c r="J517" s="1">
        <f>IFERROR(__xludf.DUMMYFUNCTION("""COMPUTED_VALUE"""),262.0)</f>
        <v>262</v>
      </c>
      <c r="K517" s="1">
        <f>IFERROR(__xludf.DUMMYFUNCTION("""COMPUTED_VALUE"""),52.400000000000006)</f>
        <v>52.4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>
        <f>IFERROR(__xludf.DUMMYFUNCTION("""COMPUTED_VALUE"""),67.0)</f>
        <v>67</v>
      </c>
      <c r="E518" s="1">
        <f>IFERROR(__xludf.DUMMYFUNCTION("""COMPUTED_VALUE"""),33.0)</f>
        <v>33</v>
      </c>
      <c r="F518" s="1">
        <f>IFERROR(__xludf.DUMMYFUNCTION("""COMPUTED_VALUE"""),52.0)</f>
        <v>52</v>
      </c>
      <c r="G518" s="1">
        <f>IFERROR(__xludf.DUMMYFUNCTION("""COMPUTED_VALUE"""),36.0)</f>
        <v>36</v>
      </c>
      <c r="H518" s="1">
        <f>IFERROR(__xludf.DUMMYFUNCTION("""COMPUTED_VALUE"""),98.0)</f>
        <v>98</v>
      </c>
      <c r="I518" s="1">
        <f>IFERROR(__xludf.DUMMYFUNCTION("""COMPUTED_VALUE"""),34.0)</f>
        <v>34</v>
      </c>
      <c r="J518" s="1">
        <f>IFERROR(__xludf.DUMMYFUNCTION("""COMPUTED_VALUE"""),253.0)</f>
        <v>253</v>
      </c>
      <c r="K518" s="1">
        <f>IFERROR(__xludf.DUMMYFUNCTION("""COMPUTED_VALUE"""),50.6)</f>
        <v>50.6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>
        <f>IFERROR(__xludf.DUMMYFUNCTION("""COMPUTED_VALUE"""),93.0)</f>
        <v>93</v>
      </c>
      <c r="E519" s="1">
        <f>IFERROR(__xludf.DUMMYFUNCTION("""COMPUTED_VALUE"""),93.0)</f>
        <v>93</v>
      </c>
      <c r="F519" s="1">
        <f>IFERROR(__xludf.DUMMYFUNCTION("""COMPUTED_VALUE"""),49.0)</f>
        <v>49</v>
      </c>
      <c r="G519" s="1">
        <f>IFERROR(__xludf.DUMMYFUNCTION("""COMPUTED_VALUE"""),57.0)</f>
        <v>57</v>
      </c>
      <c r="H519" s="1">
        <f>IFERROR(__xludf.DUMMYFUNCTION("""COMPUTED_VALUE"""),88.0)</f>
        <v>88</v>
      </c>
      <c r="I519" s="1">
        <f>IFERROR(__xludf.DUMMYFUNCTION("""COMPUTED_VALUE"""),64.0)</f>
        <v>64</v>
      </c>
      <c r="J519" s="1">
        <f>IFERROR(__xludf.DUMMYFUNCTION("""COMPUTED_VALUE"""),351.0)</f>
        <v>351</v>
      </c>
      <c r="K519" s="1">
        <f>IFERROR(__xludf.DUMMYFUNCTION("""COMPUTED_VALUE"""),70.19999999999999)</f>
        <v>70.2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>
        <f>IFERROR(__xludf.DUMMYFUNCTION("""COMPUTED_VALUE"""),75.0)</f>
        <v>75</v>
      </c>
      <c r="E520" s="1">
        <f>IFERROR(__xludf.DUMMYFUNCTION("""COMPUTED_VALUE"""),82.0)</f>
        <v>82</v>
      </c>
      <c r="F520" s="1">
        <f>IFERROR(__xludf.DUMMYFUNCTION("""COMPUTED_VALUE"""),94.0)</f>
        <v>94</v>
      </c>
      <c r="G520" s="1">
        <f>IFERROR(__xludf.DUMMYFUNCTION("""COMPUTED_VALUE"""),83.0)</f>
        <v>83</v>
      </c>
      <c r="H520" s="1">
        <f>IFERROR(__xludf.DUMMYFUNCTION("""COMPUTED_VALUE"""),87.0)</f>
        <v>87</v>
      </c>
      <c r="I520" s="1">
        <f>IFERROR(__xludf.DUMMYFUNCTION("""COMPUTED_VALUE"""),28.0)</f>
        <v>28</v>
      </c>
      <c r="J520" s="1">
        <f>IFERROR(__xludf.DUMMYFUNCTION("""COMPUTED_VALUE"""),374.0)</f>
        <v>374</v>
      </c>
      <c r="K520" s="1">
        <f>IFERROR(__xludf.DUMMYFUNCTION("""COMPUTED_VALUE"""),74.8)</f>
        <v>74.8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>
        <f>IFERROR(__xludf.DUMMYFUNCTION("""COMPUTED_VALUE"""),80.0)</f>
        <v>80</v>
      </c>
      <c r="E521" s="1">
        <f>IFERROR(__xludf.DUMMYFUNCTION("""COMPUTED_VALUE"""),80.0)</f>
        <v>80</v>
      </c>
      <c r="F521" s="1">
        <f>IFERROR(__xludf.DUMMYFUNCTION("""COMPUTED_VALUE"""),84.0)</f>
        <v>84</v>
      </c>
      <c r="G521" s="1">
        <f>IFERROR(__xludf.DUMMYFUNCTION("""COMPUTED_VALUE"""),49.0)</f>
        <v>49</v>
      </c>
      <c r="H521" s="1">
        <f>IFERROR(__xludf.DUMMYFUNCTION("""COMPUTED_VALUE"""),70.0)</f>
        <v>70</v>
      </c>
      <c r="I521" s="1">
        <f>IFERROR(__xludf.DUMMYFUNCTION("""COMPUTED_VALUE"""),72.0)</f>
        <v>72</v>
      </c>
      <c r="J521" s="1">
        <f>IFERROR(__xludf.DUMMYFUNCTION("""COMPUTED_VALUE"""),355.0)</f>
        <v>355</v>
      </c>
      <c r="K521" s="1">
        <f>IFERROR(__xludf.DUMMYFUNCTION("""COMPUTED_VALUE"""),71.0)</f>
        <v>71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>
        <f>IFERROR(__xludf.DUMMYFUNCTION("""COMPUTED_VALUE"""),66.0)</f>
        <v>66</v>
      </c>
      <c r="E522" s="1">
        <f>IFERROR(__xludf.DUMMYFUNCTION("""COMPUTED_VALUE"""),41.0)</f>
        <v>41</v>
      </c>
      <c r="F522" s="1">
        <f>IFERROR(__xludf.DUMMYFUNCTION("""COMPUTED_VALUE"""),20.0)</f>
        <v>20</v>
      </c>
      <c r="G522" s="1">
        <f>IFERROR(__xludf.DUMMYFUNCTION("""COMPUTED_VALUE"""),35.0)</f>
        <v>35</v>
      </c>
      <c r="H522" s="1">
        <f>IFERROR(__xludf.DUMMYFUNCTION("""COMPUTED_VALUE"""),97.0)</f>
        <v>97</v>
      </c>
      <c r="I522" s="1">
        <f>IFERROR(__xludf.DUMMYFUNCTION("""COMPUTED_VALUE"""),21.0)</f>
        <v>21</v>
      </c>
      <c r="J522" s="1">
        <f>IFERROR(__xludf.DUMMYFUNCTION("""COMPUTED_VALUE"""),214.0)</f>
        <v>214</v>
      </c>
      <c r="K522" s="1">
        <f>IFERROR(__xludf.DUMMYFUNCTION("""COMPUTED_VALUE"""),42.8)</f>
        <v>42.8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>
        <f>IFERROR(__xludf.DUMMYFUNCTION("""COMPUTED_VALUE"""),74.0)</f>
        <v>74</v>
      </c>
      <c r="E523" s="1">
        <f>IFERROR(__xludf.DUMMYFUNCTION("""COMPUTED_VALUE"""),28.0)</f>
        <v>28</v>
      </c>
      <c r="F523" s="1">
        <f>IFERROR(__xludf.DUMMYFUNCTION("""COMPUTED_VALUE"""),44.0)</f>
        <v>44</v>
      </c>
      <c r="G523" s="1">
        <f>IFERROR(__xludf.DUMMYFUNCTION("""COMPUTED_VALUE"""),85.0)</f>
        <v>85</v>
      </c>
      <c r="H523" s="1">
        <f>IFERROR(__xludf.DUMMYFUNCTION("""COMPUTED_VALUE"""),60.0)</f>
        <v>60</v>
      </c>
      <c r="I523" s="1">
        <f>IFERROR(__xludf.DUMMYFUNCTION("""COMPUTED_VALUE"""),92.0)</f>
        <v>92</v>
      </c>
      <c r="J523" s="1">
        <f>IFERROR(__xludf.DUMMYFUNCTION("""COMPUTED_VALUE"""),309.0)</f>
        <v>309</v>
      </c>
      <c r="K523" s="1">
        <f>IFERROR(__xludf.DUMMYFUNCTION("""COMPUTED_VALUE"""),61.8)</f>
        <v>61.8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>
        <f>IFERROR(__xludf.DUMMYFUNCTION("""COMPUTED_VALUE"""),68.0)</f>
        <v>68</v>
      </c>
      <c r="E524" s="1">
        <f>IFERROR(__xludf.DUMMYFUNCTION("""COMPUTED_VALUE"""),47.0)</f>
        <v>47</v>
      </c>
      <c r="F524" s="1">
        <f>IFERROR(__xludf.DUMMYFUNCTION("""COMPUTED_VALUE"""),37.0)</f>
        <v>37</v>
      </c>
      <c r="G524" s="1">
        <f>IFERROR(__xludf.DUMMYFUNCTION("""COMPUTED_VALUE"""),27.0)</f>
        <v>27</v>
      </c>
      <c r="H524" s="1">
        <f>IFERROR(__xludf.DUMMYFUNCTION("""COMPUTED_VALUE"""),68.0)</f>
        <v>68</v>
      </c>
      <c r="I524" s="1">
        <f>IFERROR(__xludf.DUMMYFUNCTION("""COMPUTED_VALUE"""),61.0)</f>
        <v>61</v>
      </c>
      <c r="J524" s="1">
        <f>IFERROR(__xludf.DUMMYFUNCTION("""COMPUTED_VALUE"""),240.0)</f>
        <v>240</v>
      </c>
      <c r="K524" s="1">
        <f>IFERROR(__xludf.DUMMYFUNCTION("""COMPUTED_VALUE"""),48.0)</f>
        <v>48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>
        <f>IFERROR(__xludf.DUMMYFUNCTION("""COMPUTED_VALUE"""),29.0)</f>
        <v>29</v>
      </c>
      <c r="E525" s="1">
        <f>IFERROR(__xludf.DUMMYFUNCTION("""COMPUTED_VALUE"""),36.0)</f>
        <v>36</v>
      </c>
      <c r="F525" s="1">
        <f>IFERROR(__xludf.DUMMYFUNCTION("""COMPUTED_VALUE"""),31.0)</f>
        <v>31</v>
      </c>
      <c r="G525" s="1">
        <f>IFERROR(__xludf.DUMMYFUNCTION("""COMPUTED_VALUE"""),90.0)</f>
        <v>90</v>
      </c>
      <c r="H525" s="1">
        <f>IFERROR(__xludf.DUMMYFUNCTION("""COMPUTED_VALUE"""),94.0)</f>
        <v>94</v>
      </c>
      <c r="I525" s="1">
        <f>IFERROR(__xludf.DUMMYFUNCTION("""COMPUTED_VALUE"""),31.0)</f>
        <v>31</v>
      </c>
      <c r="J525" s="1">
        <f>IFERROR(__xludf.DUMMYFUNCTION("""COMPUTED_VALUE"""),282.0)</f>
        <v>282</v>
      </c>
      <c r="K525" s="1">
        <f>IFERROR(__xludf.DUMMYFUNCTION("""COMPUTED_VALUE"""),56.39999999999999)</f>
        <v>56.4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>
        <f>IFERROR(__xludf.DUMMYFUNCTION("""COMPUTED_VALUE"""),25.0)</f>
        <v>25</v>
      </c>
      <c r="E526" s="1">
        <f>IFERROR(__xludf.DUMMYFUNCTION("""COMPUTED_VALUE"""),55.0)</f>
        <v>55</v>
      </c>
      <c r="F526" s="1">
        <f>IFERROR(__xludf.DUMMYFUNCTION("""COMPUTED_VALUE"""),48.0)</f>
        <v>48</v>
      </c>
      <c r="G526" s="1">
        <f>IFERROR(__xludf.DUMMYFUNCTION("""COMPUTED_VALUE"""),71.0)</f>
        <v>71</v>
      </c>
      <c r="H526" s="1">
        <f>IFERROR(__xludf.DUMMYFUNCTION("""COMPUTED_VALUE"""),71.0)</f>
        <v>71</v>
      </c>
      <c r="I526" s="1">
        <f>IFERROR(__xludf.DUMMYFUNCTION("""COMPUTED_VALUE"""),34.0)</f>
        <v>34</v>
      </c>
      <c r="J526" s="1">
        <f>IFERROR(__xludf.DUMMYFUNCTION("""COMPUTED_VALUE"""),279.0)</f>
        <v>279</v>
      </c>
      <c r="K526" s="1">
        <f>IFERROR(__xludf.DUMMYFUNCTION("""COMPUTED_VALUE"""),55.800000000000004)</f>
        <v>55.8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>
        <f>IFERROR(__xludf.DUMMYFUNCTION("""COMPUTED_VALUE"""),59.0)</f>
        <v>59</v>
      </c>
      <c r="E527" s="1">
        <f>IFERROR(__xludf.DUMMYFUNCTION("""COMPUTED_VALUE"""),28.0)</f>
        <v>28</v>
      </c>
      <c r="F527" s="1">
        <f>IFERROR(__xludf.DUMMYFUNCTION("""COMPUTED_VALUE"""),79.0)</f>
        <v>79</v>
      </c>
      <c r="G527" s="1">
        <f>IFERROR(__xludf.DUMMYFUNCTION("""COMPUTED_VALUE"""),27.0)</f>
        <v>27</v>
      </c>
      <c r="H527" s="1">
        <f>IFERROR(__xludf.DUMMYFUNCTION("""COMPUTED_VALUE"""),74.0)</f>
        <v>74</v>
      </c>
      <c r="I527" s="1">
        <f>IFERROR(__xludf.DUMMYFUNCTION("""COMPUTED_VALUE"""),75.0)</f>
        <v>75</v>
      </c>
      <c r="J527" s="1">
        <f>IFERROR(__xludf.DUMMYFUNCTION("""COMPUTED_VALUE"""),283.0)</f>
        <v>283</v>
      </c>
      <c r="K527" s="1">
        <f>IFERROR(__xludf.DUMMYFUNCTION("""COMPUTED_VALUE"""),56.599999999999994)</f>
        <v>56.6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>
        <f>IFERROR(__xludf.DUMMYFUNCTION("""COMPUTED_VALUE"""),60.0)</f>
        <v>60</v>
      </c>
      <c r="E528" s="1">
        <f>IFERROR(__xludf.DUMMYFUNCTION("""COMPUTED_VALUE"""),68.0)</f>
        <v>68</v>
      </c>
      <c r="F528" s="1">
        <f>IFERROR(__xludf.DUMMYFUNCTION("""COMPUTED_VALUE"""),75.0)</f>
        <v>75</v>
      </c>
      <c r="G528" s="1">
        <f>IFERROR(__xludf.DUMMYFUNCTION("""COMPUTED_VALUE"""),32.0)</f>
        <v>32</v>
      </c>
      <c r="H528" s="1">
        <f>IFERROR(__xludf.DUMMYFUNCTION("""COMPUTED_VALUE"""),81.0)</f>
        <v>81</v>
      </c>
      <c r="I528" s="1">
        <f>IFERROR(__xludf.DUMMYFUNCTION("""COMPUTED_VALUE"""),85.0)</f>
        <v>85</v>
      </c>
      <c r="J528" s="1">
        <f>IFERROR(__xludf.DUMMYFUNCTION("""COMPUTED_VALUE"""),341.0)</f>
        <v>341</v>
      </c>
      <c r="K528" s="1">
        <f>IFERROR(__xludf.DUMMYFUNCTION("""COMPUTED_VALUE"""),68.2)</f>
        <v>68.2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>
        <f>IFERROR(__xludf.DUMMYFUNCTION("""COMPUTED_VALUE"""),43.0)</f>
        <v>43</v>
      </c>
      <c r="E529" s="1">
        <f>IFERROR(__xludf.DUMMYFUNCTION("""COMPUTED_VALUE"""),44.0)</f>
        <v>44</v>
      </c>
      <c r="F529" s="1">
        <f>IFERROR(__xludf.DUMMYFUNCTION("""COMPUTED_VALUE"""),81.0)</f>
        <v>81</v>
      </c>
      <c r="G529" s="1">
        <f>IFERROR(__xludf.DUMMYFUNCTION("""COMPUTED_VALUE"""),64.0)</f>
        <v>64</v>
      </c>
      <c r="H529" s="1">
        <f>IFERROR(__xludf.DUMMYFUNCTION("""COMPUTED_VALUE"""),67.0)</f>
        <v>67</v>
      </c>
      <c r="I529" s="1">
        <f>IFERROR(__xludf.DUMMYFUNCTION("""COMPUTED_VALUE"""),26.0)</f>
        <v>26</v>
      </c>
      <c r="J529" s="1">
        <f>IFERROR(__xludf.DUMMYFUNCTION("""COMPUTED_VALUE"""),282.0)</f>
        <v>282</v>
      </c>
      <c r="K529" s="1">
        <f>IFERROR(__xludf.DUMMYFUNCTION("""COMPUTED_VALUE"""),56.39999999999999)</f>
        <v>56.4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>
        <f>IFERROR(__xludf.DUMMYFUNCTION("""COMPUTED_VALUE"""),50.0)</f>
        <v>50</v>
      </c>
      <c r="E530" s="1">
        <f>IFERROR(__xludf.DUMMYFUNCTION("""COMPUTED_VALUE"""),71.0)</f>
        <v>71</v>
      </c>
      <c r="F530" s="1">
        <f>IFERROR(__xludf.DUMMYFUNCTION("""COMPUTED_VALUE"""),92.0)</f>
        <v>92</v>
      </c>
      <c r="G530" s="1">
        <f>IFERROR(__xludf.DUMMYFUNCTION("""COMPUTED_VALUE"""),79.0)</f>
        <v>79</v>
      </c>
      <c r="H530" s="1">
        <f>IFERROR(__xludf.DUMMYFUNCTION("""COMPUTED_VALUE"""),79.0)</f>
        <v>79</v>
      </c>
      <c r="I530" s="1">
        <f>IFERROR(__xludf.DUMMYFUNCTION("""COMPUTED_VALUE"""),33.0)</f>
        <v>33</v>
      </c>
      <c r="J530" s="1">
        <f>IFERROR(__xludf.DUMMYFUNCTION("""COMPUTED_VALUE"""),354.0)</f>
        <v>354</v>
      </c>
      <c r="K530" s="1">
        <f>IFERROR(__xludf.DUMMYFUNCTION("""COMPUTED_VALUE"""),70.8)</f>
        <v>70.8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>
        <f>IFERROR(__xludf.DUMMYFUNCTION("""COMPUTED_VALUE"""),95.0)</f>
        <v>95</v>
      </c>
      <c r="E531" s="1">
        <f>IFERROR(__xludf.DUMMYFUNCTION("""COMPUTED_VALUE"""),61.0)</f>
        <v>61</v>
      </c>
      <c r="F531" s="1">
        <f>IFERROR(__xludf.DUMMYFUNCTION("""COMPUTED_VALUE"""),21.0)</f>
        <v>21</v>
      </c>
      <c r="G531" s="1">
        <f>IFERROR(__xludf.DUMMYFUNCTION("""COMPUTED_VALUE"""),25.0)</f>
        <v>25</v>
      </c>
      <c r="H531" s="1">
        <f>IFERROR(__xludf.DUMMYFUNCTION("""COMPUTED_VALUE"""),20.0)</f>
        <v>20</v>
      </c>
      <c r="I531" s="1">
        <f>IFERROR(__xludf.DUMMYFUNCTION("""COMPUTED_VALUE"""),87.0)</f>
        <v>87</v>
      </c>
      <c r="J531" s="1">
        <f>IFERROR(__xludf.DUMMYFUNCTION("""COMPUTED_VALUE"""),214.0)</f>
        <v>214</v>
      </c>
      <c r="K531" s="1">
        <f>IFERROR(__xludf.DUMMYFUNCTION("""COMPUTED_VALUE"""),42.8)</f>
        <v>42.8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>
        <f>IFERROR(__xludf.DUMMYFUNCTION("""COMPUTED_VALUE"""),92.0)</f>
        <v>92</v>
      </c>
      <c r="E532" s="1">
        <f>IFERROR(__xludf.DUMMYFUNCTION("""COMPUTED_VALUE"""),85.0)</f>
        <v>85</v>
      </c>
      <c r="F532" s="1">
        <f>IFERROR(__xludf.DUMMYFUNCTION("""COMPUTED_VALUE"""),83.0)</f>
        <v>83</v>
      </c>
      <c r="G532" s="1">
        <f>IFERROR(__xludf.DUMMYFUNCTION("""COMPUTED_VALUE"""),29.0)</f>
        <v>29</v>
      </c>
      <c r="H532" s="1">
        <f>IFERROR(__xludf.DUMMYFUNCTION("""COMPUTED_VALUE"""),62.0)</f>
        <v>62</v>
      </c>
      <c r="I532" s="1">
        <f>IFERROR(__xludf.DUMMYFUNCTION("""COMPUTED_VALUE"""),70.0)</f>
        <v>70</v>
      </c>
      <c r="J532" s="1">
        <f>IFERROR(__xludf.DUMMYFUNCTION("""COMPUTED_VALUE"""),329.0)</f>
        <v>329</v>
      </c>
      <c r="K532" s="1">
        <f>IFERROR(__xludf.DUMMYFUNCTION("""COMPUTED_VALUE"""),65.8)</f>
        <v>65.8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>
        <f>IFERROR(__xludf.DUMMYFUNCTION("""COMPUTED_VALUE"""),29.0)</f>
        <v>29</v>
      </c>
      <c r="E533" s="1">
        <f>IFERROR(__xludf.DUMMYFUNCTION("""COMPUTED_VALUE"""),71.0)</f>
        <v>71</v>
      </c>
      <c r="F533" s="1">
        <f>IFERROR(__xludf.DUMMYFUNCTION("""COMPUTED_VALUE"""),36.0)</f>
        <v>36</v>
      </c>
      <c r="G533" s="1">
        <f>IFERROR(__xludf.DUMMYFUNCTION("""COMPUTED_VALUE"""),94.0)</f>
        <v>94</v>
      </c>
      <c r="H533" s="1">
        <f>IFERROR(__xludf.DUMMYFUNCTION("""COMPUTED_VALUE"""),47.0)</f>
        <v>47</v>
      </c>
      <c r="I533" s="1">
        <f>IFERROR(__xludf.DUMMYFUNCTION("""COMPUTED_VALUE"""),25.0)</f>
        <v>25</v>
      </c>
      <c r="J533" s="1">
        <f>IFERROR(__xludf.DUMMYFUNCTION("""COMPUTED_VALUE"""),273.0)</f>
        <v>273</v>
      </c>
      <c r="K533" s="1">
        <f>IFERROR(__xludf.DUMMYFUNCTION("""COMPUTED_VALUE"""),54.6)</f>
        <v>54.6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>
        <f>IFERROR(__xludf.DUMMYFUNCTION("""COMPUTED_VALUE"""),47.0)</f>
        <v>47</v>
      </c>
      <c r="E534" s="1">
        <f>IFERROR(__xludf.DUMMYFUNCTION("""COMPUTED_VALUE"""),29.0)</f>
        <v>29</v>
      </c>
      <c r="F534" s="1">
        <f>IFERROR(__xludf.DUMMYFUNCTION("""COMPUTED_VALUE"""),58.0)</f>
        <v>58</v>
      </c>
      <c r="G534" s="1">
        <f>IFERROR(__xludf.DUMMYFUNCTION("""COMPUTED_VALUE"""),83.0)</f>
        <v>83</v>
      </c>
      <c r="H534" s="1">
        <f>IFERROR(__xludf.DUMMYFUNCTION("""COMPUTED_VALUE"""),59.0)</f>
        <v>59</v>
      </c>
      <c r="I534" s="1">
        <f>IFERROR(__xludf.DUMMYFUNCTION("""COMPUTED_VALUE"""),25.0)</f>
        <v>25</v>
      </c>
      <c r="J534" s="1">
        <f>IFERROR(__xludf.DUMMYFUNCTION("""COMPUTED_VALUE"""),254.0)</f>
        <v>254</v>
      </c>
      <c r="K534" s="1">
        <f>IFERROR(__xludf.DUMMYFUNCTION("""COMPUTED_VALUE"""),50.8)</f>
        <v>50.8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>
        <f>IFERROR(__xludf.DUMMYFUNCTION("""COMPUTED_VALUE"""),55.0)</f>
        <v>55</v>
      </c>
      <c r="E535" s="1">
        <f>IFERROR(__xludf.DUMMYFUNCTION("""COMPUTED_VALUE"""),82.0)</f>
        <v>82</v>
      </c>
      <c r="F535" s="1">
        <f>IFERROR(__xludf.DUMMYFUNCTION("""COMPUTED_VALUE"""),80.0)</f>
        <v>80</v>
      </c>
      <c r="G535" s="1">
        <f>IFERROR(__xludf.DUMMYFUNCTION("""COMPUTED_VALUE"""),64.0)</f>
        <v>64</v>
      </c>
      <c r="H535" s="1">
        <f>IFERROR(__xludf.DUMMYFUNCTION("""COMPUTED_VALUE"""),76.0)</f>
        <v>76</v>
      </c>
      <c r="I535" s="1">
        <f>IFERROR(__xludf.DUMMYFUNCTION("""COMPUTED_VALUE"""),54.0)</f>
        <v>54</v>
      </c>
      <c r="J535" s="1">
        <f>IFERROR(__xludf.DUMMYFUNCTION("""COMPUTED_VALUE"""),356.0)</f>
        <v>356</v>
      </c>
      <c r="K535" s="1">
        <f>IFERROR(__xludf.DUMMYFUNCTION("""COMPUTED_VALUE"""),71.2)</f>
        <v>71.2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>
        <f>IFERROR(__xludf.DUMMYFUNCTION("""COMPUTED_VALUE"""),79.0)</f>
        <v>79</v>
      </c>
      <c r="E536" s="1">
        <f>IFERROR(__xludf.DUMMYFUNCTION("""COMPUTED_VALUE"""),51.0)</f>
        <v>51</v>
      </c>
      <c r="F536" s="1">
        <f>IFERROR(__xludf.DUMMYFUNCTION("""COMPUTED_VALUE"""),72.0)</f>
        <v>72</v>
      </c>
      <c r="G536" s="1">
        <f>IFERROR(__xludf.DUMMYFUNCTION("""COMPUTED_VALUE"""),39.0)</f>
        <v>39</v>
      </c>
      <c r="H536" s="1">
        <f>IFERROR(__xludf.DUMMYFUNCTION("""COMPUTED_VALUE"""),72.0)</f>
        <v>72</v>
      </c>
      <c r="I536" s="1">
        <f>IFERROR(__xludf.DUMMYFUNCTION("""COMPUTED_VALUE"""),38.0)</f>
        <v>38</v>
      </c>
      <c r="J536" s="1">
        <f>IFERROR(__xludf.DUMMYFUNCTION("""COMPUTED_VALUE"""),272.0)</f>
        <v>272</v>
      </c>
      <c r="K536" s="1">
        <f>IFERROR(__xludf.DUMMYFUNCTION("""COMPUTED_VALUE"""),54.400000000000006)</f>
        <v>54.4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>
        <f>IFERROR(__xludf.DUMMYFUNCTION("""COMPUTED_VALUE"""),65.0)</f>
        <v>65</v>
      </c>
      <c r="E537" s="1">
        <f>IFERROR(__xludf.DUMMYFUNCTION("""COMPUTED_VALUE"""),84.0)</f>
        <v>84</v>
      </c>
      <c r="F537" s="1">
        <f>IFERROR(__xludf.DUMMYFUNCTION("""COMPUTED_VALUE"""),24.0)</f>
        <v>24</v>
      </c>
      <c r="G537" s="1">
        <f>IFERROR(__xludf.DUMMYFUNCTION("""COMPUTED_VALUE"""),97.0)</f>
        <v>97</v>
      </c>
      <c r="H537" s="1">
        <f>IFERROR(__xludf.DUMMYFUNCTION("""COMPUTED_VALUE"""),23.0)</f>
        <v>23</v>
      </c>
      <c r="I537" s="1">
        <f>IFERROR(__xludf.DUMMYFUNCTION("""COMPUTED_VALUE"""),46.0)</f>
        <v>46</v>
      </c>
      <c r="J537" s="1">
        <f>IFERROR(__xludf.DUMMYFUNCTION("""COMPUTED_VALUE"""),274.0)</f>
        <v>274</v>
      </c>
      <c r="K537" s="1">
        <f>IFERROR(__xludf.DUMMYFUNCTION("""COMPUTED_VALUE"""),54.800000000000004)</f>
        <v>54.8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>
        <f>IFERROR(__xludf.DUMMYFUNCTION("""COMPUTED_VALUE"""),34.0)</f>
        <v>34</v>
      </c>
      <c r="E538" s="1">
        <f>IFERROR(__xludf.DUMMYFUNCTION("""COMPUTED_VALUE"""),90.0)</f>
        <v>90</v>
      </c>
      <c r="F538" s="1">
        <f>IFERROR(__xludf.DUMMYFUNCTION("""COMPUTED_VALUE"""),74.0)</f>
        <v>74</v>
      </c>
      <c r="G538" s="1">
        <f>IFERROR(__xludf.DUMMYFUNCTION("""COMPUTED_VALUE"""),34.0)</f>
        <v>34</v>
      </c>
      <c r="H538" s="1">
        <f>IFERROR(__xludf.DUMMYFUNCTION("""COMPUTED_VALUE"""),64.0)</f>
        <v>64</v>
      </c>
      <c r="I538" s="1">
        <f>IFERROR(__xludf.DUMMYFUNCTION("""COMPUTED_VALUE"""),44.0)</f>
        <v>44</v>
      </c>
      <c r="J538" s="1">
        <f>IFERROR(__xludf.DUMMYFUNCTION("""COMPUTED_VALUE"""),306.0)</f>
        <v>306</v>
      </c>
      <c r="K538" s="1">
        <f>IFERROR(__xludf.DUMMYFUNCTION("""COMPUTED_VALUE"""),61.199999999999996)</f>
        <v>61.2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>
        <f>IFERROR(__xludf.DUMMYFUNCTION("""COMPUTED_VALUE"""),37.0)</f>
        <v>37</v>
      </c>
      <c r="E539" s="1">
        <f>IFERROR(__xludf.DUMMYFUNCTION("""COMPUTED_VALUE"""),76.0)</f>
        <v>76</v>
      </c>
      <c r="F539" s="1">
        <f>IFERROR(__xludf.DUMMYFUNCTION("""COMPUTED_VALUE"""),65.0)</f>
        <v>65</v>
      </c>
      <c r="G539" s="1">
        <f>IFERROR(__xludf.DUMMYFUNCTION("""COMPUTED_VALUE"""),45.0)</f>
        <v>45</v>
      </c>
      <c r="H539" s="1">
        <f>IFERROR(__xludf.DUMMYFUNCTION("""COMPUTED_VALUE"""),45.0)</f>
        <v>45</v>
      </c>
      <c r="I539" s="1">
        <f>IFERROR(__xludf.DUMMYFUNCTION("""COMPUTED_VALUE"""),80.0)</f>
        <v>80</v>
      </c>
      <c r="J539" s="1">
        <f>IFERROR(__xludf.DUMMYFUNCTION("""COMPUTED_VALUE"""),311.0)</f>
        <v>311</v>
      </c>
      <c r="K539" s="1">
        <f>IFERROR(__xludf.DUMMYFUNCTION("""COMPUTED_VALUE"""),62.2)</f>
        <v>62.2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>
        <f>IFERROR(__xludf.DUMMYFUNCTION("""COMPUTED_VALUE"""),53.0)</f>
        <v>53</v>
      </c>
      <c r="E540" s="1">
        <f>IFERROR(__xludf.DUMMYFUNCTION("""COMPUTED_VALUE"""),32.0)</f>
        <v>32</v>
      </c>
      <c r="F540" s="1">
        <f>IFERROR(__xludf.DUMMYFUNCTION("""COMPUTED_VALUE"""),68.0)</f>
        <v>68</v>
      </c>
      <c r="G540" s="1">
        <f>IFERROR(__xludf.DUMMYFUNCTION("""COMPUTED_VALUE"""),98.0)</f>
        <v>98</v>
      </c>
      <c r="H540" s="1">
        <f>IFERROR(__xludf.DUMMYFUNCTION("""COMPUTED_VALUE"""),55.0)</f>
        <v>55</v>
      </c>
      <c r="I540" s="1">
        <f>IFERROR(__xludf.DUMMYFUNCTION("""COMPUTED_VALUE"""),90.0)</f>
        <v>90</v>
      </c>
      <c r="J540" s="1">
        <f>IFERROR(__xludf.DUMMYFUNCTION("""COMPUTED_VALUE"""),343.0)</f>
        <v>343</v>
      </c>
      <c r="K540" s="1">
        <f>IFERROR(__xludf.DUMMYFUNCTION("""COMPUTED_VALUE"""),68.60000000000001)</f>
        <v>68.6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>
        <f>IFERROR(__xludf.DUMMYFUNCTION("""COMPUTED_VALUE"""),27.0)</f>
        <v>27</v>
      </c>
      <c r="E541" s="1">
        <f>IFERROR(__xludf.DUMMYFUNCTION("""COMPUTED_VALUE"""),89.0)</f>
        <v>89</v>
      </c>
      <c r="F541" s="1">
        <f>IFERROR(__xludf.DUMMYFUNCTION("""COMPUTED_VALUE"""),78.0)</f>
        <v>78</v>
      </c>
      <c r="G541" s="1">
        <f>IFERROR(__xludf.DUMMYFUNCTION("""COMPUTED_VALUE"""),48.0)</f>
        <v>48</v>
      </c>
      <c r="H541" s="1">
        <f>IFERROR(__xludf.DUMMYFUNCTION("""COMPUTED_VALUE"""),25.0)</f>
        <v>25</v>
      </c>
      <c r="I541" s="1">
        <f>IFERROR(__xludf.DUMMYFUNCTION("""COMPUTED_VALUE"""),48.0)</f>
        <v>48</v>
      </c>
      <c r="J541" s="1">
        <f>IFERROR(__xludf.DUMMYFUNCTION("""COMPUTED_VALUE"""),288.0)</f>
        <v>288</v>
      </c>
      <c r="K541" s="1">
        <f>IFERROR(__xludf.DUMMYFUNCTION("""COMPUTED_VALUE"""),57.599999999999994)</f>
        <v>57.6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>
        <f>IFERROR(__xludf.DUMMYFUNCTION("""COMPUTED_VALUE"""),79.0)</f>
        <v>79</v>
      </c>
      <c r="E542" s="1">
        <f>IFERROR(__xludf.DUMMYFUNCTION("""COMPUTED_VALUE"""),77.0)</f>
        <v>77</v>
      </c>
      <c r="F542" s="1">
        <f>IFERROR(__xludf.DUMMYFUNCTION("""COMPUTED_VALUE"""),56.0)</f>
        <v>56</v>
      </c>
      <c r="G542" s="1">
        <f>IFERROR(__xludf.DUMMYFUNCTION("""COMPUTED_VALUE"""),55.0)</f>
        <v>55</v>
      </c>
      <c r="H542" s="1">
        <f>IFERROR(__xludf.DUMMYFUNCTION("""COMPUTED_VALUE"""),92.0)</f>
        <v>92</v>
      </c>
      <c r="I542" s="1">
        <f>IFERROR(__xludf.DUMMYFUNCTION("""COMPUTED_VALUE"""),90.0)</f>
        <v>90</v>
      </c>
      <c r="J542" s="1">
        <f>IFERROR(__xludf.DUMMYFUNCTION("""COMPUTED_VALUE"""),370.0)</f>
        <v>370</v>
      </c>
      <c r="K542" s="1">
        <f>IFERROR(__xludf.DUMMYFUNCTION("""COMPUTED_VALUE"""),74.0)</f>
        <v>74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>
        <f>IFERROR(__xludf.DUMMYFUNCTION("""COMPUTED_VALUE"""),87.0)</f>
        <v>87</v>
      </c>
      <c r="E543" s="1">
        <f>IFERROR(__xludf.DUMMYFUNCTION("""COMPUTED_VALUE"""),94.0)</f>
        <v>94</v>
      </c>
      <c r="F543" s="1">
        <f>IFERROR(__xludf.DUMMYFUNCTION("""COMPUTED_VALUE"""),49.0)</f>
        <v>49</v>
      </c>
      <c r="G543" s="1">
        <f>IFERROR(__xludf.DUMMYFUNCTION("""COMPUTED_VALUE"""),41.0)</f>
        <v>41</v>
      </c>
      <c r="H543" s="1">
        <f>IFERROR(__xludf.DUMMYFUNCTION("""COMPUTED_VALUE"""),98.0)</f>
        <v>98</v>
      </c>
      <c r="I543" s="1">
        <f>IFERROR(__xludf.DUMMYFUNCTION("""COMPUTED_VALUE"""),75.0)</f>
        <v>75</v>
      </c>
      <c r="J543" s="1">
        <f>IFERROR(__xludf.DUMMYFUNCTION("""COMPUTED_VALUE"""),357.0)</f>
        <v>357</v>
      </c>
      <c r="K543" s="1">
        <f>IFERROR(__xludf.DUMMYFUNCTION("""COMPUTED_VALUE"""),71.39999999999999)</f>
        <v>71.4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>
        <f>IFERROR(__xludf.DUMMYFUNCTION("""COMPUTED_VALUE"""),66.0)</f>
        <v>66</v>
      </c>
      <c r="E544" s="1">
        <f>IFERROR(__xludf.DUMMYFUNCTION("""COMPUTED_VALUE"""),50.0)</f>
        <v>50</v>
      </c>
      <c r="F544" s="1">
        <f>IFERROR(__xludf.DUMMYFUNCTION("""COMPUTED_VALUE"""),27.0)</f>
        <v>27</v>
      </c>
      <c r="G544" s="1">
        <f>IFERROR(__xludf.DUMMYFUNCTION("""COMPUTED_VALUE"""),84.0)</f>
        <v>84</v>
      </c>
      <c r="H544" s="1">
        <f>IFERROR(__xludf.DUMMYFUNCTION("""COMPUTED_VALUE"""),23.0)</f>
        <v>23</v>
      </c>
      <c r="I544" s="1">
        <f>IFERROR(__xludf.DUMMYFUNCTION("""COMPUTED_VALUE"""),86.0)</f>
        <v>86</v>
      </c>
      <c r="J544" s="1">
        <f>IFERROR(__xludf.DUMMYFUNCTION("""COMPUTED_VALUE"""),270.0)</f>
        <v>270</v>
      </c>
      <c r="K544" s="1">
        <f>IFERROR(__xludf.DUMMYFUNCTION("""COMPUTED_VALUE"""),54.0)</f>
        <v>54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>
        <f>IFERROR(__xludf.DUMMYFUNCTION("""COMPUTED_VALUE"""),22.0)</f>
        <v>22</v>
      </c>
      <c r="E545" s="1">
        <f>IFERROR(__xludf.DUMMYFUNCTION("""COMPUTED_VALUE"""),93.0)</f>
        <v>93</v>
      </c>
      <c r="F545" s="1">
        <f>IFERROR(__xludf.DUMMYFUNCTION("""COMPUTED_VALUE"""),72.0)</f>
        <v>72</v>
      </c>
      <c r="G545" s="1">
        <f>IFERROR(__xludf.DUMMYFUNCTION("""COMPUTED_VALUE"""),47.0)</f>
        <v>47</v>
      </c>
      <c r="H545" s="1">
        <f>IFERROR(__xludf.DUMMYFUNCTION("""COMPUTED_VALUE"""),83.0)</f>
        <v>83</v>
      </c>
      <c r="I545" s="1">
        <f>IFERROR(__xludf.DUMMYFUNCTION("""COMPUTED_VALUE"""),82.0)</f>
        <v>82</v>
      </c>
      <c r="J545" s="1">
        <f>IFERROR(__xludf.DUMMYFUNCTION("""COMPUTED_VALUE"""),377.0)</f>
        <v>377</v>
      </c>
      <c r="K545" s="1">
        <f>IFERROR(__xludf.DUMMYFUNCTION("""COMPUTED_VALUE"""),75.4)</f>
        <v>75.4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>
        <f>IFERROR(__xludf.DUMMYFUNCTION("""COMPUTED_VALUE"""),89.0)</f>
        <v>89</v>
      </c>
      <c r="E546" s="1">
        <f>IFERROR(__xludf.DUMMYFUNCTION("""COMPUTED_VALUE"""),92.0)</f>
        <v>92</v>
      </c>
      <c r="F546" s="1">
        <f>IFERROR(__xludf.DUMMYFUNCTION("""COMPUTED_VALUE"""),35.0)</f>
        <v>35</v>
      </c>
      <c r="G546" s="1">
        <f>IFERROR(__xludf.DUMMYFUNCTION("""COMPUTED_VALUE"""),46.0)</f>
        <v>46</v>
      </c>
      <c r="H546" s="1">
        <f>IFERROR(__xludf.DUMMYFUNCTION("""COMPUTED_VALUE"""),24.0)</f>
        <v>24</v>
      </c>
      <c r="I546" s="1">
        <f>IFERROR(__xludf.DUMMYFUNCTION("""COMPUTED_VALUE"""),57.0)</f>
        <v>57</v>
      </c>
      <c r="J546" s="1">
        <f>IFERROR(__xludf.DUMMYFUNCTION("""COMPUTED_VALUE"""),254.0)</f>
        <v>254</v>
      </c>
      <c r="K546" s="1">
        <f>IFERROR(__xludf.DUMMYFUNCTION("""COMPUTED_VALUE"""),50.8)</f>
        <v>50.8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>
        <f>IFERROR(__xludf.DUMMYFUNCTION("""COMPUTED_VALUE"""),22.0)</f>
        <v>22</v>
      </c>
      <c r="E547" s="1">
        <f>IFERROR(__xludf.DUMMYFUNCTION("""COMPUTED_VALUE"""),80.0)</f>
        <v>80</v>
      </c>
      <c r="F547" s="1">
        <f>IFERROR(__xludf.DUMMYFUNCTION("""COMPUTED_VALUE"""),61.0)</f>
        <v>61</v>
      </c>
      <c r="G547" s="1">
        <f>IFERROR(__xludf.DUMMYFUNCTION("""COMPUTED_VALUE"""),97.0)</f>
        <v>97</v>
      </c>
      <c r="H547" s="1">
        <f>IFERROR(__xludf.DUMMYFUNCTION("""COMPUTED_VALUE"""),33.0)</f>
        <v>33</v>
      </c>
      <c r="I547" s="1">
        <f>IFERROR(__xludf.DUMMYFUNCTION("""COMPUTED_VALUE"""),48.0)</f>
        <v>48</v>
      </c>
      <c r="J547" s="1">
        <f>IFERROR(__xludf.DUMMYFUNCTION("""COMPUTED_VALUE"""),319.0)</f>
        <v>319</v>
      </c>
      <c r="K547" s="1">
        <f>IFERROR(__xludf.DUMMYFUNCTION("""COMPUTED_VALUE"""),63.800000000000004)</f>
        <v>63.8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>
        <f>IFERROR(__xludf.DUMMYFUNCTION("""COMPUTED_VALUE"""),16.0)</f>
        <v>16</v>
      </c>
      <c r="E548" s="1">
        <f>IFERROR(__xludf.DUMMYFUNCTION("""COMPUTED_VALUE"""),59.0)</f>
        <v>59</v>
      </c>
      <c r="F548" s="1">
        <f>IFERROR(__xludf.DUMMYFUNCTION("""COMPUTED_VALUE"""),38.0)</f>
        <v>38</v>
      </c>
      <c r="G548" s="1">
        <f>IFERROR(__xludf.DUMMYFUNCTION("""COMPUTED_VALUE"""),96.0)</f>
        <v>96</v>
      </c>
      <c r="H548" s="1">
        <f>IFERROR(__xludf.DUMMYFUNCTION("""COMPUTED_VALUE"""),21.0)</f>
        <v>21</v>
      </c>
      <c r="I548" s="1">
        <f>IFERROR(__xludf.DUMMYFUNCTION("""COMPUTED_VALUE"""),78.0)</f>
        <v>78</v>
      </c>
      <c r="J548" s="1">
        <f>IFERROR(__xludf.DUMMYFUNCTION("""COMPUTED_VALUE"""),292.0)</f>
        <v>292</v>
      </c>
      <c r="K548" s="1">
        <f>IFERROR(__xludf.DUMMYFUNCTION("""COMPUTED_VALUE"""),58.4)</f>
        <v>58.4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>
        <f>IFERROR(__xludf.DUMMYFUNCTION("""COMPUTED_VALUE"""),99.0)</f>
        <v>99</v>
      </c>
      <c r="E549" s="1">
        <f>IFERROR(__xludf.DUMMYFUNCTION("""COMPUTED_VALUE"""),52.0)</f>
        <v>52</v>
      </c>
      <c r="F549" s="1">
        <f>IFERROR(__xludf.DUMMYFUNCTION("""COMPUTED_VALUE"""),67.0)</f>
        <v>67</v>
      </c>
      <c r="G549" s="1">
        <f>IFERROR(__xludf.DUMMYFUNCTION("""COMPUTED_VALUE"""),53.0)</f>
        <v>53</v>
      </c>
      <c r="H549" s="1">
        <f>IFERROR(__xludf.DUMMYFUNCTION("""COMPUTED_VALUE"""),95.0)</f>
        <v>95</v>
      </c>
      <c r="I549" s="1">
        <f>IFERROR(__xludf.DUMMYFUNCTION("""COMPUTED_VALUE"""),29.0)</f>
        <v>29</v>
      </c>
      <c r="J549" s="1">
        <f>IFERROR(__xludf.DUMMYFUNCTION("""COMPUTED_VALUE"""),296.0)</f>
        <v>296</v>
      </c>
      <c r="K549" s="1">
        <f>IFERROR(__xludf.DUMMYFUNCTION("""COMPUTED_VALUE"""),59.199999999999996)</f>
        <v>59.2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>
        <f>IFERROR(__xludf.DUMMYFUNCTION("""COMPUTED_VALUE"""),87.0)</f>
        <v>87</v>
      </c>
      <c r="E550" s="1">
        <f>IFERROR(__xludf.DUMMYFUNCTION("""COMPUTED_VALUE"""),47.0)</f>
        <v>47</v>
      </c>
      <c r="F550" s="1">
        <f>IFERROR(__xludf.DUMMYFUNCTION("""COMPUTED_VALUE"""),76.0)</f>
        <v>76</v>
      </c>
      <c r="G550" s="1">
        <f>IFERROR(__xludf.DUMMYFUNCTION("""COMPUTED_VALUE"""),55.0)</f>
        <v>55</v>
      </c>
      <c r="H550" s="1">
        <f>IFERROR(__xludf.DUMMYFUNCTION("""COMPUTED_VALUE"""),43.0)</f>
        <v>43</v>
      </c>
      <c r="I550" s="1">
        <f>IFERROR(__xludf.DUMMYFUNCTION("""COMPUTED_VALUE"""),46.0)</f>
        <v>46</v>
      </c>
      <c r="J550" s="1">
        <f>IFERROR(__xludf.DUMMYFUNCTION("""COMPUTED_VALUE"""),267.0)</f>
        <v>267</v>
      </c>
      <c r="K550" s="1">
        <f>IFERROR(__xludf.DUMMYFUNCTION("""COMPUTED_VALUE"""),53.400000000000006)</f>
        <v>53.4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>
        <f>IFERROR(__xludf.DUMMYFUNCTION("""COMPUTED_VALUE"""),33.0)</f>
        <v>33</v>
      </c>
      <c r="E551" s="1">
        <f>IFERROR(__xludf.DUMMYFUNCTION("""COMPUTED_VALUE"""),28.0)</f>
        <v>28</v>
      </c>
      <c r="F551" s="1">
        <f>IFERROR(__xludf.DUMMYFUNCTION("""COMPUTED_VALUE"""),51.0)</f>
        <v>51</v>
      </c>
      <c r="G551" s="1">
        <f>IFERROR(__xludf.DUMMYFUNCTION("""COMPUTED_VALUE"""),69.0)</f>
        <v>69</v>
      </c>
      <c r="H551" s="1">
        <f>IFERROR(__xludf.DUMMYFUNCTION("""COMPUTED_VALUE"""),66.0)</f>
        <v>66</v>
      </c>
      <c r="I551" s="1">
        <f>IFERROR(__xludf.DUMMYFUNCTION("""COMPUTED_VALUE"""),72.0)</f>
        <v>72</v>
      </c>
      <c r="J551" s="1">
        <f>IFERROR(__xludf.DUMMYFUNCTION("""COMPUTED_VALUE"""),286.0)</f>
        <v>286</v>
      </c>
      <c r="K551" s="1">
        <f>IFERROR(__xludf.DUMMYFUNCTION("""COMPUTED_VALUE"""),57.199999999999996)</f>
        <v>57.2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>
        <f>IFERROR(__xludf.DUMMYFUNCTION("""COMPUTED_VALUE"""),98.0)</f>
        <v>98</v>
      </c>
      <c r="E552" s="1">
        <f>IFERROR(__xludf.DUMMYFUNCTION("""COMPUTED_VALUE"""),96.0)</f>
        <v>96</v>
      </c>
      <c r="F552" s="1">
        <f>IFERROR(__xludf.DUMMYFUNCTION("""COMPUTED_VALUE"""),53.0)</f>
        <v>53</v>
      </c>
      <c r="G552" s="1">
        <f>IFERROR(__xludf.DUMMYFUNCTION("""COMPUTED_VALUE"""),67.0)</f>
        <v>67</v>
      </c>
      <c r="H552" s="1">
        <f>IFERROR(__xludf.DUMMYFUNCTION("""COMPUTED_VALUE"""),23.0)</f>
        <v>23</v>
      </c>
      <c r="I552" s="1">
        <f>IFERROR(__xludf.DUMMYFUNCTION("""COMPUTED_VALUE"""),78.0)</f>
        <v>78</v>
      </c>
      <c r="J552" s="1">
        <f>IFERROR(__xludf.DUMMYFUNCTION("""COMPUTED_VALUE"""),317.0)</f>
        <v>317</v>
      </c>
      <c r="K552" s="1">
        <f>IFERROR(__xludf.DUMMYFUNCTION("""COMPUTED_VALUE"""),63.4)</f>
        <v>63.4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>
        <f>IFERROR(__xludf.DUMMYFUNCTION("""COMPUTED_VALUE"""),98.0)</f>
        <v>98</v>
      </c>
      <c r="E553" s="1">
        <f>IFERROR(__xludf.DUMMYFUNCTION("""COMPUTED_VALUE"""),93.0)</f>
        <v>93</v>
      </c>
      <c r="F553" s="1">
        <f>IFERROR(__xludf.DUMMYFUNCTION("""COMPUTED_VALUE"""),85.0)</f>
        <v>85</v>
      </c>
      <c r="G553" s="1">
        <f>IFERROR(__xludf.DUMMYFUNCTION("""COMPUTED_VALUE"""),98.0)</f>
        <v>98</v>
      </c>
      <c r="H553" s="1">
        <f>IFERROR(__xludf.DUMMYFUNCTION("""COMPUTED_VALUE"""),32.0)</f>
        <v>32</v>
      </c>
      <c r="I553" s="1">
        <f>IFERROR(__xludf.DUMMYFUNCTION("""COMPUTED_VALUE"""),39.0)</f>
        <v>39</v>
      </c>
      <c r="J553" s="1">
        <f>IFERROR(__xludf.DUMMYFUNCTION("""COMPUTED_VALUE"""),347.0)</f>
        <v>347</v>
      </c>
      <c r="K553" s="1">
        <f>IFERROR(__xludf.DUMMYFUNCTION("""COMPUTED_VALUE"""),69.39999999999999)</f>
        <v>69.4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>
        <f>IFERROR(__xludf.DUMMYFUNCTION("""COMPUTED_VALUE"""),35.0)</f>
        <v>35</v>
      </c>
      <c r="E554" s="1">
        <f>IFERROR(__xludf.DUMMYFUNCTION("""COMPUTED_VALUE"""),91.0)</f>
        <v>91</v>
      </c>
      <c r="F554" s="1">
        <f>IFERROR(__xludf.DUMMYFUNCTION("""COMPUTED_VALUE"""),90.0)</f>
        <v>90</v>
      </c>
      <c r="G554" s="1">
        <f>IFERROR(__xludf.DUMMYFUNCTION("""COMPUTED_VALUE"""),70.0)</f>
        <v>70</v>
      </c>
      <c r="H554" s="1">
        <f>IFERROR(__xludf.DUMMYFUNCTION("""COMPUTED_VALUE"""),53.0)</f>
        <v>53</v>
      </c>
      <c r="I554" s="1">
        <f>IFERROR(__xludf.DUMMYFUNCTION("""COMPUTED_VALUE"""),48.0)</f>
        <v>48</v>
      </c>
      <c r="J554" s="1">
        <f>IFERROR(__xludf.DUMMYFUNCTION("""COMPUTED_VALUE"""),352.0)</f>
        <v>352</v>
      </c>
      <c r="K554" s="1">
        <f>IFERROR(__xludf.DUMMYFUNCTION("""COMPUTED_VALUE"""),70.39999999999999)</f>
        <v>70.4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>
        <f>IFERROR(__xludf.DUMMYFUNCTION("""COMPUTED_VALUE"""),87.0)</f>
        <v>87</v>
      </c>
      <c r="E555" s="1">
        <f>IFERROR(__xludf.DUMMYFUNCTION("""COMPUTED_VALUE"""),87.0)</f>
        <v>87</v>
      </c>
      <c r="F555" s="1">
        <f>IFERROR(__xludf.DUMMYFUNCTION("""COMPUTED_VALUE"""),52.0)</f>
        <v>52</v>
      </c>
      <c r="G555" s="1">
        <f>IFERROR(__xludf.DUMMYFUNCTION("""COMPUTED_VALUE"""),62.0)</f>
        <v>62</v>
      </c>
      <c r="H555" s="1">
        <f>IFERROR(__xludf.DUMMYFUNCTION("""COMPUTED_VALUE"""),85.0)</f>
        <v>85</v>
      </c>
      <c r="I555" s="1">
        <f>IFERROR(__xludf.DUMMYFUNCTION("""COMPUTED_VALUE"""),35.0)</f>
        <v>35</v>
      </c>
      <c r="J555" s="1">
        <f>IFERROR(__xludf.DUMMYFUNCTION("""COMPUTED_VALUE"""),321.0)</f>
        <v>321</v>
      </c>
      <c r="K555" s="1">
        <f>IFERROR(__xludf.DUMMYFUNCTION("""COMPUTED_VALUE"""),64.2)</f>
        <v>64.2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>
        <f>IFERROR(__xludf.DUMMYFUNCTION("""COMPUTED_VALUE"""),40.0)</f>
        <v>40</v>
      </c>
      <c r="E556" s="1">
        <f>IFERROR(__xludf.DUMMYFUNCTION("""COMPUTED_VALUE"""),33.0)</f>
        <v>33</v>
      </c>
      <c r="F556" s="1">
        <f>IFERROR(__xludf.DUMMYFUNCTION("""COMPUTED_VALUE"""),82.0)</f>
        <v>82</v>
      </c>
      <c r="G556" s="1">
        <f>IFERROR(__xludf.DUMMYFUNCTION("""COMPUTED_VALUE"""),83.0)</f>
        <v>83</v>
      </c>
      <c r="H556" s="1">
        <f>IFERROR(__xludf.DUMMYFUNCTION("""COMPUTED_VALUE"""),39.0)</f>
        <v>39</v>
      </c>
      <c r="I556" s="1">
        <f>IFERROR(__xludf.DUMMYFUNCTION("""COMPUTED_VALUE"""),70.0)</f>
        <v>70</v>
      </c>
      <c r="J556" s="1">
        <f>IFERROR(__xludf.DUMMYFUNCTION("""COMPUTED_VALUE"""),307.0)</f>
        <v>307</v>
      </c>
      <c r="K556" s="1">
        <f>IFERROR(__xludf.DUMMYFUNCTION("""COMPUTED_VALUE"""),61.4)</f>
        <v>61.4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>
        <f>IFERROR(__xludf.DUMMYFUNCTION("""COMPUTED_VALUE"""),13.0)</f>
        <v>13</v>
      </c>
      <c r="E557" s="1">
        <f>IFERROR(__xludf.DUMMYFUNCTION("""COMPUTED_VALUE"""),79.0)</f>
        <v>79</v>
      </c>
      <c r="F557" s="1">
        <f>IFERROR(__xludf.DUMMYFUNCTION("""COMPUTED_VALUE"""),77.0)</f>
        <v>77</v>
      </c>
      <c r="G557" s="1">
        <f>IFERROR(__xludf.DUMMYFUNCTION("""COMPUTED_VALUE"""),92.0)</f>
        <v>92</v>
      </c>
      <c r="H557" s="1">
        <f>IFERROR(__xludf.DUMMYFUNCTION("""COMPUTED_VALUE"""),20.0)</f>
        <v>20</v>
      </c>
      <c r="I557" s="1">
        <f>IFERROR(__xludf.DUMMYFUNCTION("""COMPUTED_VALUE"""),24.0)</f>
        <v>24</v>
      </c>
      <c r="J557" s="1">
        <f>IFERROR(__xludf.DUMMYFUNCTION("""COMPUTED_VALUE"""),292.0)</f>
        <v>292</v>
      </c>
      <c r="K557" s="1">
        <f>IFERROR(__xludf.DUMMYFUNCTION("""COMPUTED_VALUE"""),58.4)</f>
        <v>58.4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>
        <f>IFERROR(__xludf.DUMMYFUNCTION("""COMPUTED_VALUE"""),69.0)</f>
        <v>69</v>
      </c>
      <c r="E558" s="1">
        <f>IFERROR(__xludf.DUMMYFUNCTION("""COMPUTED_VALUE"""),32.0)</f>
        <v>32</v>
      </c>
      <c r="F558" s="1">
        <f>IFERROR(__xludf.DUMMYFUNCTION("""COMPUTED_VALUE"""),61.0)</f>
        <v>61</v>
      </c>
      <c r="G558" s="1">
        <f>IFERROR(__xludf.DUMMYFUNCTION("""COMPUTED_VALUE"""),57.0)</f>
        <v>57</v>
      </c>
      <c r="H558" s="1">
        <f>IFERROR(__xludf.DUMMYFUNCTION("""COMPUTED_VALUE"""),88.0)</f>
        <v>88</v>
      </c>
      <c r="I558" s="1">
        <f>IFERROR(__xludf.DUMMYFUNCTION("""COMPUTED_VALUE"""),61.0)</f>
        <v>61</v>
      </c>
      <c r="J558" s="1">
        <f>IFERROR(__xludf.DUMMYFUNCTION("""COMPUTED_VALUE"""),299.0)</f>
        <v>299</v>
      </c>
      <c r="K558" s="1">
        <f>IFERROR(__xludf.DUMMYFUNCTION("""COMPUTED_VALUE"""),59.8)</f>
        <v>59.8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>
        <f>IFERROR(__xludf.DUMMYFUNCTION("""COMPUTED_VALUE"""),83.0)</f>
        <v>83</v>
      </c>
      <c r="E559" s="1">
        <f>IFERROR(__xludf.DUMMYFUNCTION("""COMPUTED_VALUE"""),62.0)</f>
        <v>62</v>
      </c>
      <c r="F559" s="1">
        <f>IFERROR(__xludf.DUMMYFUNCTION("""COMPUTED_VALUE"""),87.0)</f>
        <v>87</v>
      </c>
      <c r="G559" s="1">
        <f>IFERROR(__xludf.DUMMYFUNCTION("""COMPUTED_VALUE"""),69.0)</f>
        <v>69</v>
      </c>
      <c r="H559" s="1">
        <f>IFERROR(__xludf.DUMMYFUNCTION("""COMPUTED_VALUE"""),35.0)</f>
        <v>35</v>
      </c>
      <c r="I559" s="1">
        <f>IFERROR(__xludf.DUMMYFUNCTION("""COMPUTED_VALUE"""),27.0)</f>
        <v>27</v>
      </c>
      <c r="J559" s="1">
        <f>IFERROR(__xludf.DUMMYFUNCTION("""COMPUTED_VALUE"""),280.0)</f>
        <v>280</v>
      </c>
      <c r="K559" s="1">
        <f>IFERROR(__xludf.DUMMYFUNCTION("""COMPUTED_VALUE"""),56.00000000000001)</f>
        <v>56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>
        <f>IFERROR(__xludf.DUMMYFUNCTION("""COMPUTED_VALUE"""),63.0)</f>
        <v>63</v>
      </c>
      <c r="E560" s="1">
        <f>IFERROR(__xludf.DUMMYFUNCTION("""COMPUTED_VALUE"""),34.0)</f>
        <v>34</v>
      </c>
      <c r="F560" s="1">
        <f>IFERROR(__xludf.DUMMYFUNCTION("""COMPUTED_VALUE"""),27.0)</f>
        <v>27</v>
      </c>
      <c r="G560" s="1">
        <f>IFERROR(__xludf.DUMMYFUNCTION("""COMPUTED_VALUE"""),50.0)</f>
        <v>50</v>
      </c>
      <c r="H560" s="1">
        <f>IFERROR(__xludf.DUMMYFUNCTION("""COMPUTED_VALUE"""),90.0)</f>
        <v>90</v>
      </c>
      <c r="I560" s="1">
        <f>IFERROR(__xludf.DUMMYFUNCTION("""COMPUTED_VALUE"""),66.0)</f>
        <v>66</v>
      </c>
      <c r="J560" s="1">
        <f>IFERROR(__xludf.DUMMYFUNCTION("""COMPUTED_VALUE"""),267.0)</f>
        <v>267</v>
      </c>
      <c r="K560" s="1">
        <f>IFERROR(__xludf.DUMMYFUNCTION("""COMPUTED_VALUE"""),53.400000000000006)</f>
        <v>53.4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>
        <f>IFERROR(__xludf.DUMMYFUNCTION("""COMPUTED_VALUE"""),12.0)</f>
        <v>12</v>
      </c>
      <c r="E561" s="1">
        <f>IFERROR(__xludf.DUMMYFUNCTION("""COMPUTED_VALUE"""),23.0)</f>
        <v>23</v>
      </c>
      <c r="F561" s="1">
        <f>IFERROR(__xludf.DUMMYFUNCTION("""COMPUTED_VALUE"""),90.0)</f>
        <v>90</v>
      </c>
      <c r="G561" s="1">
        <f>IFERROR(__xludf.DUMMYFUNCTION("""COMPUTED_VALUE"""),24.0)</f>
        <v>24</v>
      </c>
      <c r="H561" s="1">
        <f>IFERROR(__xludf.DUMMYFUNCTION("""COMPUTED_VALUE"""),66.0)</f>
        <v>66</v>
      </c>
      <c r="I561" s="1">
        <f>IFERROR(__xludf.DUMMYFUNCTION("""COMPUTED_VALUE"""),33.0)</f>
        <v>33</v>
      </c>
      <c r="J561" s="1">
        <f>IFERROR(__xludf.DUMMYFUNCTION("""COMPUTED_VALUE"""),236.0)</f>
        <v>236</v>
      </c>
      <c r="K561" s="1">
        <f>IFERROR(__xludf.DUMMYFUNCTION("""COMPUTED_VALUE"""),47.199999999999996)</f>
        <v>47.2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>
        <f>IFERROR(__xludf.DUMMYFUNCTION("""COMPUTED_VALUE"""),35.0)</f>
        <v>35</v>
      </c>
      <c r="E562" s="1">
        <f>IFERROR(__xludf.DUMMYFUNCTION("""COMPUTED_VALUE"""),47.0)</f>
        <v>47</v>
      </c>
      <c r="F562" s="1">
        <f>IFERROR(__xludf.DUMMYFUNCTION("""COMPUTED_VALUE"""),62.0)</f>
        <v>62</v>
      </c>
      <c r="G562" s="1">
        <f>IFERROR(__xludf.DUMMYFUNCTION("""COMPUTED_VALUE"""),67.0)</f>
        <v>67</v>
      </c>
      <c r="H562" s="1">
        <f>IFERROR(__xludf.DUMMYFUNCTION("""COMPUTED_VALUE"""),97.0)</f>
        <v>97</v>
      </c>
      <c r="I562" s="1">
        <f>IFERROR(__xludf.DUMMYFUNCTION("""COMPUTED_VALUE"""),67.0)</f>
        <v>67</v>
      </c>
      <c r="J562" s="1">
        <f>IFERROR(__xludf.DUMMYFUNCTION("""COMPUTED_VALUE"""),340.0)</f>
        <v>340</v>
      </c>
      <c r="K562" s="1">
        <f>IFERROR(__xludf.DUMMYFUNCTION("""COMPUTED_VALUE"""),68.0)</f>
        <v>68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>
        <f>IFERROR(__xludf.DUMMYFUNCTION("""COMPUTED_VALUE"""),17.0)</f>
        <v>17</v>
      </c>
      <c r="E563" s="1">
        <f>IFERROR(__xludf.DUMMYFUNCTION("""COMPUTED_VALUE"""),59.0)</f>
        <v>59</v>
      </c>
      <c r="F563" s="1">
        <f>IFERROR(__xludf.DUMMYFUNCTION("""COMPUTED_VALUE"""),98.0)</f>
        <v>98</v>
      </c>
      <c r="G563" s="1">
        <f>IFERROR(__xludf.DUMMYFUNCTION("""COMPUTED_VALUE"""),34.0)</f>
        <v>34</v>
      </c>
      <c r="H563" s="1">
        <f>IFERROR(__xludf.DUMMYFUNCTION("""COMPUTED_VALUE"""),71.0)</f>
        <v>71</v>
      </c>
      <c r="I563" s="1">
        <f>IFERROR(__xludf.DUMMYFUNCTION("""COMPUTED_VALUE"""),44.0)</f>
        <v>44</v>
      </c>
      <c r="J563" s="1">
        <f>IFERROR(__xludf.DUMMYFUNCTION("""COMPUTED_VALUE"""),306.0)</f>
        <v>306</v>
      </c>
      <c r="K563" s="1">
        <f>IFERROR(__xludf.DUMMYFUNCTION("""COMPUTED_VALUE"""),61.199999999999996)</f>
        <v>61.2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>
        <f>IFERROR(__xludf.DUMMYFUNCTION("""COMPUTED_VALUE"""),71.0)</f>
        <v>71</v>
      </c>
      <c r="E564" s="1">
        <f>IFERROR(__xludf.DUMMYFUNCTION("""COMPUTED_VALUE"""),47.0)</f>
        <v>47</v>
      </c>
      <c r="F564" s="1">
        <f>IFERROR(__xludf.DUMMYFUNCTION("""COMPUTED_VALUE"""),67.0)</f>
        <v>67</v>
      </c>
      <c r="G564" s="1">
        <f>IFERROR(__xludf.DUMMYFUNCTION("""COMPUTED_VALUE"""),40.0)</f>
        <v>40</v>
      </c>
      <c r="H564" s="1">
        <f>IFERROR(__xludf.DUMMYFUNCTION("""COMPUTED_VALUE"""),20.0)</f>
        <v>20</v>
      </c>
      <c r="I564" s="1">
        <f>IFERROR(__xludf.DUMMYFUNCTION("""COMPUTED_VALUE"""),74.0)</f>
        <v>74</v>
      </c>
      <c r="J564" s="1">
        <f>IFERROR(__xludf.DUMMYFUNCTION("""COMPUTED_VALUE"""),248.0)</f>
        <v>248</v>
      </c>
      <c r="K564" s="1">
        <f>IFERROR(__xludf.DUMMYFUNCTION("""COMPUTED_VALUE"""),49.6)</f>
        <v>49.6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>
        <f>IFERROR(__xludf.DUMMYFUNCTION("""COMPUTED_VALUE"""),21.0)</f>
        <v>21</v>
      </c>
      <c r="E565" s="1">
        <f>IFERROR(__xludf.DUMMYFUNCTION("""COMPUTED_VALUE"""),61.0)</f>
        <v>61</v>
      </c>
      <c r="F565" s="1">
        <f>IFERROR(__xludf.DUMMYFUNCTION("""COMPUTED_VALUE"""),60.0)</f>
        <v>60</v>
      </c>
      <c r="G565" s="1">
        <f>IFERROR(__xludf.DUMMYFUNCTION("""COMPUTED_VALUE"""),91.0)</f>
        <v>91</v>
      </c>
      <c r="H565" s="1">
        <f>IFERROR(__xludf.DUMMYFUNCTION("""COMPUTED_VALUE"""),43.0)</f>
        <v>43</v>
      </c>
      <c r="I565" s="1">
        <f>IFERROR(__xludf.DUMMYFUNCTION("""COMPUTED_VALUE"""),75.0)</f>
        <v>75</v>
      </c>
      <c r="J565" s="1">
        <f>IFERROR(__xludf.DUMMYFUNCTION("""COMPUTED_VALUE"""),330.0)</f>
        <v>330</v>
      </c>
      <c r="K565" s="1">
        <f>IFERROR(__xludf.DUMMYFUNCTION("""COMPUTED_VALUE"""),66.0)</f>
        <v>66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>
        <f>IFERROR(__xludf.DUMMYFUNCTION("""COMPUTED_VALUE"""),39.0)</f>
        <v>39</v>
      </c>
      <c r="E566" s="1">
        <f>IFERROR(__xludf.DUMMYFUNCTION("""COMPUTED_VALUE"""),57.0)</f>
        <v>57</v>
      </c>
      <c r="F566" s="1">
        <f>IFERROR(__xludf.DUMMYFUNCTION("""COMPUTED_VALUE"""),23.0)</f>
        <v>23</v>
      </c>
      <c r="G566" s="1">
        <f>IFERROR(__xludf.DUMMYFUNCTION("""COMPUTED_VALUE"""),87.0)</f>
        <v>87</v>
      </c>
      <c r="H566" s="1">
        <f>IFERROR(__xludf.DUMMYFUNCTION("""COMPUTED_VALUE"""),35.0)</f>
        <v>35</v>
      </c>
      <c r="I566" s="1">
        <f>IFERROR(__xludf.DUMMYFUNCTION("""COMPUTED_VALUE"""),88.0)</f>
        <v>88</v>
      </c>
      <c r="J566" s="1">
        <f>IFERROR(__xludf.DUMMYFUNCTION("""COMPUTED_VALUE"""),290.0)</f>
        <v>290</v>
      </c>
      <c r="K566" s="1">
        <f>IFERROR(__xludf.DUMMYFUNCTION("""COMPUTED_VALUE"""),57.99999999999999)</f>
        <v>58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>
        <f>IFERROR(__xludf.DUMMYFUNCTION("""COMPUTED_VALUE"""),84.0)</f>
        <v>84</v>
      </c>
      <c r="E567" s="1">
        <f>IFERROR(__xludf.DUMMYFUNCTION("""COMPUTED_VALUE"""),69.0)</f>
        <v>69</v>
      </c>
      <c r="F567" s="1">
        <f>IFERROR(__xludf.DUMMYFUNCTION("""COMPUTED_VALUE"""),22.0)</f>
        <v>22</v>
      </c>
      <c r="G567" s="1">
        <f>IFERROR(__xludf.DUMMYFUNCTION("""COMPUTED_VALUE"""),46.0)</f>
        <v>46</v>
      </c>
      <c r="H567" s="1">
        <f>IFERROR(__xludf.DUMMYFUNCTION("""COMPUTED_VALUE"""),23.0)</f>
        <v>23</v>
      </c>
      <c r="I567" s="1">
        <f>IFERROR(__xludf.DUMMYFUNCTION("""COMPUTED_VALUE"""),98.0)</f>
        <v>98</v>
      </c>
      <c r="J567" s="1">
        <f>IFERROR(__xludf.DUMMYFUNCTION("""COMPUTED_VALUE"""),258.0)</f>
        <v>258</v>
      </c>
      <c r="K567" s="1">
        <f>IFERROR(__xludf.DUMMYFUNCTION("""COMPUTED_VALUE"""),51.6)</f>
        <v>51.6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>
        <f>IFERROR(__xludf.DUMMYFUNCTION("""COMPUTED_VALUE"""),10.0)</f>
        <v>10</v>
      </c>
      <c r="E568" s="1">
        <f>IFERROR(__xludf.DUMMYFUNCTION("""COMPUTED_VALUE"""),84.0)</f>
        <v>84</v>
      </c>
      <c r="F568" s="1">
        <f>IFERROR(__xludf.DUMMYFUNCTION("""COMPUTED_VALUE"""),61.0)</f>
        <v>61</v>
      </c>
      <c r="G568" s="1">
        <f>IFERROR(__xludf.DUMMYFUNCTION("""COMPUTED_VALUE"""),30.0)</f>
        <v>30</v>
      </c>
      <c r="H568" s="1">
        <f>IFERROR(__xludf.DUMMYFUNCTION("""COMPUTED_VALUE"""),78.0)</f>
        <v>78</v>
      </c>
      <c r="I568" s="1">
        <f>IFERROR(__xludf.DUMMYFUNCTION("""COMPUTED_VALUE"""),34.0)</f>
        <v>34</v>
      </c>
      <c r="J568" s="1">
        <f>IFERROR(__xludf.DUMMYFUNCTION("""COMPUTED_VALUE"""),287.0)</f>
        <v>287</v>
      </c>
      <c r="K568" s="1">
        <f>IFERROR(__xludf.DUMMYFUNCTION("""COMPUTED_VALUE"""),57.4)</f>
        <v>57.4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>
        <f>IFERROR(__xludf.DUMMYFUNCTION("""COMPUTED_VALUE"""),36.0)</f>
        <v>36</v>
      </c>
      <c r="E569" s="1">
        <f>IFERROR(__xludf.DUMMYFUNCTION("""COMPUTED_VALUE"""),84.0)</f>
        <v>84</v>
      </c>
      <c r="F569" s="1">
        <f>IFERROR(__xludf.DUMMYFUNCTION("""COMPUTED_VALUE"""),80.0)</f>
        <v>80</v>
      </c>
      <c r="G569" s="1">
        <f>IFERROR(__xludf.DUMMYFUNCTION("""COMPUTED_VALUE"""),68.0)</f>
        <v>68</v>
      </c>
      <c r="H569" s="1">
        <f>IFERROR(__xludf.DUMMYFUNCTION("""COMPUTED_VALUE"""),73.0)</f>
        <v>73</v>
      </c>
      <c r="I569" s="1">
        <f>IFERROR(__xludf.DUMMYFUNCTION("""COMPUTED_VALUE"""),83.0)</f>
        <v>83</v>
      </c>
      <c r="J569" s="1">
        <f>IFERROR(__xludf.DUMMYFUNCTION("""COMPUTED_VALUE"""),388.0)</f>
        <v>388</v>
      </c>
      <c r="K569" s="1">
        <f>IFERROR(__xludf.DUMMYFUNCTION("""COMPUTED_VALUE"""),77.60000000000001)</f>
        <v>77.6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>
        <f>IFERROR(__xludf.DUMMYFUNCTION("""COMPUTED_VALUE"""),58.0)</f>
        <v>58</v>
      </c>
      <c r="E570" s="1">
        <f>IFERROR(__xludf.DUMMYFUNCTION("""COMPUTED_VALUE"""),71.0)</f>
        <v>71</v>
      </c>
      <c r="F570" s="1">
        <f>IFERROR(__xludf.DUMMYFUNCTION("""COMPUTED_VALUE"""),40.0)</f>
        <v>40</v>
      </c>
      <c r="G570" s="1">
        <f>IFERROR(__xludf.DUMMYFUNCTION("""COMPUTED_VALUE"""),35.0)</f>
        <v>35</v>
      </c>
      <c r="H570" s="1">
        <f>IFERROR(__xludf.DUMMYFUNCTION("""COMPUTED_VALUE"""),44.0)</f>
        <v>44</v>
      </c>
      <c r="I570" s="1">
        <f>IFERROR(__xludf.DUMMYFUNCTION("""COMPUTED_VALUE"""),67.0)</f>
        <v>67</v>
      </c>
      <c r="J570" s="1">
        <f>IFERROR(__xludf.DUMMYFUNCTION("""COMPUTED_VALUE"""),257.0)</f>
        <v>257</v>
      </c>
      <c r="K570" s="1">
        <f>IFERROR(__xludf.DUMMYFUNCTION("""COMPUTED_VALUE"""),51.4)</f>
        <v>51.4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>
        <f>IFERROR(__xludf.DUMMYFUNCTION("""COMPUTED_VALUE"""),83.0)</f>
        <v>83</v>
      </c>
      <c r="E571" s="1">
        <f>IFERROR(__xludf.DUMMYFUNCTION("""COMPUTED_VALUE"""),46.0)</f>
        <v>46</v>
      </c>
      <c r="F571" s="1">
        <f>IFERROR(__xludf.DUMMYFUNCTION("""COMPUTED_VALUE"""),69.0)</f>
        <v>69</v>
      </c>
      <c r="G571" s="1">
        <f>IFERROR(__xludf.DUMMYFUNCTION("""COMPUTED_VALUE"""),70.0)</f>
        <v>70</v>
      </c>
      <c r="H571" s="1">
        <f>IFERROR(__xludf.DUMMYFUNCTION("""COMPUTED_VALUE"""),93.0)</f>
        <v>93</v>
      </c>
      <c r="I571" s="1">
        <f>IFERROR(__xludf.DUMMYFUNCTION("""COMPUTED_VALUE"""),67.0)</f>
        <v>67</v>
      </c>
      <c r="J571" s="1">
        <f>IFERROR(__xludf.DUMMYFUNCTION("""COMPUTED_VALUE"""),345.0)</f>
        <v>345</v>
      </c>
      <c r="K571" s="1">
        <f>IFERROR(__xludf.DUMMYFUNCTION("""COMPUTED_VALUE"""),69.0)</f>
        <v>69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>
        <f>IFERROR(__xludf.DUMMYFUNCTION("""COMPUTED_VALUE"""),67.0)</f>
        <v>67</v>
      </c>
      <c r="E572" s="1">
        <f>IFERROR(__xludf.DUMMYFUNCTION("""COMPUTED_VALUE"""),67.0)</f>
        <v>67</v>
      </c>
      <c r="F572" s="1">
        <f>IFERROR(__xludf.DUMMYFUNCTION("""COMPUTED_VALUE"""),59.0)</f>
        <v>59</v>
      </c>
      <c r="G572" s="1">
        <f>IFERROR(__xludf.DUMMYFUNCTION("""COMPUTED_VALUE"""),58.0)</f>
        <v>58</v>
      </c>
      <c r="H572" s="1">
        <f>IFERROR(__xludf.DUMMYFUNCTION("""COMPUTED_VALUE"""),74.0)</f>
        <v>74</v>
      </c>
      <c r="I572" s="1">
        <f>IFERROR(__xludf.DUMMYFUNCTION("""COMPUTED_VALUE"""),70.0)</f>
        <v>70</v>
      </c>
      <c r="J572" s="1">
        <f>IFERROR(__xludf.DUMMYFUNCTION("""COMPUTED_VALUE"""),328.0)</f>
        <v>328</v>
      </c>
      <c r="K572" s="1">
        <f>IFERROR(__xludf.DUMMYFUNCTION("""COMPUTED_VALUE"""),65.60000000000001)</f>
        <v>65.6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>
        <f>IFERROR(__xludf.DUMMYFUNCTION("""COMPUTED_VALUE"""),93.0)</f>
        <v>93</v>
      </c>
      <c r="E573" s="1">
        <f>IFERROR(__xludf.DUMMYFUNCTION("""COMPUTED_VALUE"""),31.0)</f>
        <v>31</v>
      </c>
      <c r="F573" s="1">
        <f>IFERROR(__xludf.DUMMYFUNCTION("""COMPUTED_VALUE"""),99.0)</f>
        <v>99</v>
      </c>
      <c r="G573" s="1">
        <f>IFERROR(__xludf.DUMMYFUNCTION("""COMPUTED_VALUE"""),43.0)</f>
        <v>43</v>
      </c>
      <c r="H573" s="1">
        <f>IFERROR(__xludf.DUMMYFUNCTION("""COMPUTED_VALUE"""),78.0)</f>
        <v>78</v>
      </c>
      <c r="I573" s="1">
        <f>IFERROR(__xludf.DUMMYFUNCTION("""COMPUTED_VALUE"""),49.0)</f>
        <v>49</v>
      </c>
      <c r="J573" s="1">
        <f>IFERROR(__xludf.DUMMYFUNCTION("""COMPUTED_VALUE"""),300.0)</f>
        <v>300</v>
      </c>
      <c r="K573" s="1">
        <f>IFERROR(__xludf.DUMMYFUNCTION("""COMPUTED_VALUE"""),60.0)</f>
        <v>60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>
        <f>IFERROR(__xludf.DUMMYFUNCTION("""COMPUTED_VALUE"""),26.0)</f>
        <v>26</v>
      </c>
      <c r="E574" s="1">
        <f>IFERROR(__xludf.DUMMYFUNCTION("""COMPUTED_VALUE"""),26.0)</f>
        <v>26</v>
      </c>
      <c r="F574" s="1">
        <f>IFERROR(__xludf.DUMMYFUNCTION("""COMPUTED_VALUE"""),56.0)</f>
        <v>56</v>
      </c>
      <c r="G574" s="1">
        <f>IFERROR(__xludf.DUMMYFUNCTION("""COMPUTED_VALUE"""),35.0)</f>
        <v>35</v>
      </c>
      <c r="H574" s="1">
        <f>IFERROR(__xludf.DUMMYFUNCTION("""COMPUTED_VALUE"""),96.0)</f>
        <v>96</v>
      </c>
      <c r="I574" s="1">
        <f>IFERROR(__xludf.DUMMYFUNCTION("""COMPUTED_VALUE"""),91.0)</f>
        <v>91</v>
      </c>
      <c r="J574" s="1">
        <f>IFERROR(__xludf.DUMMYFUNCTION("""COMPUTED_VALUE"""),304.0)</f>
        <v>304</v>
      </c>
      <c r="K574" s="1">
        <f>IFERROR(__xludf.DUMMYFUNCTION("""COMPUTED_VALUE"""),60.8)</f>
        <v>60.8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>
        <f>IFERROR(__xludf.DUMMYFUNCTION("""COMPUTED_VALUE"""),98.0)</f>
        <v>98</v>
      </c>
      <c r="E575" s="1">
        <f>IFERROR(__xludf.DUMMYFUNCTION("""COMPUTED_VALUE"""),96.0)</f>
        <v>96</v>
      </c>
      <c r="F575" s="1">
        <f>IFERROR(__xludf.DUMMYFUNCTION("""COMPUTED_VALUE"""),81.0)</f>
        <v>81</v>
      </c>
      <c r="G575" s="1">
        <f>IFERROR(__xludf.DUMMYFUNCTION("""COMPUTED_VALUE"""),54.0)</f>
        <v>54</v>
      </c>
      <c r="H575" s="1">
        <f>IFERROR(__xludf.DUMMYFUNCTION("""COMPUTED_VALUE"""),74.0)</f>
        <v>74</v>
      </c>
      <c r="I575" s="1">
        <f>IFERROR(__xludf.DUMMYFUNCTION("""COMPUTED_VALUE"""),32.0)</f>
        <v>32</v>
      </c>
      <c r="J575" s="1">
        <f>IFERROR(__xludf.DUMMYFUNCTION("""COMPUTED_VALUE"""),337.0)</f>
        <v>337</v>
      </c>
      <c r="K575" s="1">
        <f>IFERROR(__xludf.DUMMYFUNCTION("""COMPUTED_VALUE"""),67.4)</f>
        <v>67.4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>
        <f>IFERROR(__xludf.DUMMYFUNCTION("""COMPUTED_VALUE"""),35.0)</f>
        <v>35</v>
      </c>
      <c r="E576" s="1">
        <f>IFERROR(__xludf.DUMMYFUNCTION("""COMPUTED_VALUE"""),89.0)</f>
        <v>89</v>
      </c>
      <c r="F576" s="1">
        <f>IFERROR(__xludf.DUMMYFUNCTION("""COMPUTED_VALUE"""),69.0)</f>
        <v>69</v>
      </c>
      <c r="G576" s="1">
        <f>IFERROR(__xludf.DUMMYFUNCTION("""COMPUTED_VALUE"""),58.0)</f>
        <v>58</v>
      </c>
      <c r="H576" s="1">
        <f>IFERROR(__xludf.DUMMYFUNCTION("""COMPUTED_VALUE"""),39.0)</f>
        <v>39</v>
      </c>
      <c r="I576" s="1">
        <f>IFERROR(__xludf.DUMMYFUNCTION("""COMPUTED_VALUE"""),73.0)</f>
        <v>73</v>
      </c>
      <c r="J576" s="1">
        <f>IFERROR(__xludf.DUMMYFUNCTION("""COMPUTED_VALUE"""),328.0)</f>
        <v>328</v>
      </c>
      <c r="K576" s="1">
        <f>IFERROR(__xludf.DUMMYFUNCTION("""COMPUTED_VALUE"""),65.60000000000001)</f>
        <v>65.6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>
        <f>IFERROR(__xludf.DUMMYFUNCTION("""COMPUTED_VALUE"""),62.0)</f>
        <v>62</v>
      </c>
      <c r="E577" s="1">
        <f>IFERROR(__xludf.DUMMYFUNCTION("""COMPUTED_VALUE"""),62.0)</f>
        <v>62</v>
      </c>
      <c r="F577" s="1">
        <f>IFERROR(__xludf.DUMMYFUNCTION("""COMPUTED_VALUE"""),38.0)</f>
        <v>38</v>
      </c>
      <c r="G577" s="1">
        <f>IFERROR(__xludf.DUMMYFUNCTION("""COMPUTED_VALUE"""),90.0)</f>
        <v>90</v>
      </c>
      <c r="H577" s="1">
        <f>IFERROR(__xludf.DUMMYFUNCTION("""COMPUTED_VALUE"""),60.0)</f>
        <v>60</v>
      </c>
      <c r="I577" s="1">
        <f>IFERROR(__xludf.DUMMYFUNCTION("""COMPUTED_VALUE"""),98.0)</f>
        <v>98</v>
      </c>
      <c r="J577" s="1">
        <f>IFERROR(__xludf.DUMMYFUNCTION("""COMPUTED_VALUE"""),348.0)</f>
        <v>348</v>
      </c>
      <c r="K577" s="1">
        <f>IFERROR(__xludf.DUMMYFUNCTION("""COMPUTED_VALUE"""),69.6)</f>
        <v>69.6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>
        <f>IFERROR(__xludf.DUMMYFUNCTION("""COMPUTED_VALUE"""),74.0)</f>
        <v>74</v>
      </c>
      <c r="E578" s="1">
        <f>IFERROR(__xludf.DUMMYFUNCTION("""COMPUTED_VALUE"""),28.0)</f>
        <v>28</v>
      </c>
      <c r="F578" s="1">
        <f>IFERROR(__xludf.DUMMYFUNCTION("""COMPUTED_VALUE"""),84.0)</f>
        <v>84</v>
      </c>
      <c r="G578" s="1">
        <f>IFERROR(__xludf.DUMMYFUNCTION("""COMPUTED_VALUE"""),36.0)</f>
        <v>36</v>
      </c>
      <c r="H578" s="1">
        <f>IFERROR(__xludf.DUMMYFUNCTION("""COMPUTED_VALUE"""),90.0)</f>
        <v>90</v>
      </c>
      <c r="I578" s="1">
        <f>IFERROR(__xludf.DUMMYFUNCTION("""COMPUTED_VALUE"""),98.0)</f>
        <v>98</v>
      </c>
      <c r="J578" s="1">
        <f>IFERROR(__xludf.DUMMYFUNCTION("""COMPUTED_VALUE"""),336.0)</f>
        <v>336</v>
      </c>
      <c r="K578" s="1">
        <f>IFERROR(__xludf.DUMMYFUNCTION("""COMPUTED_VALUE"""),67.2)</f>
        <v>67.2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>
        <f>IFERROR(__xludf.DUMMYFUNCTION("""COMPUTED_VALUE"""),78.0)</f>
        <v>78</v>
      </c>
      <c r="E579" s="1">
        <f>IFERROR(__xludf.DUMMYFUNCTION("""COMPUTED_VALUE"""),37.0)</f>
        <v>37</v>
      </c>
      <c r="F579" s="1">
        <f>IFERROR(__xludf.DUMMYFUNCTION("""COMPUTED_VALUE"""),69.0)</f>
        <v>69</v>
      </c>
      <c r="G579" s="1">
        <f>IFERROR(__xludf.DUMMYFUNCTION("""COMPUTED_VALUE"""),35.0)</f>
        <v>35</v>
      </c>
      <c r="H579" s="1">
        <f>IFERROR(__xludf.DUMMYFUNCTION("""COMPUTED_VALUE"""),79.0)</f>
        <v>79</v>
      </c>
      <c r="I579" s="1">
        <f>IFERROR(__xludf.DUMMYFUNCTION("""COMPUTED_VALUE"""),42.0)</f>
        <v>42</v>
      </c>
      <c r="J579" s="1">
        <f>IFERROR(__xludf.DUMMYFUNCTION("""COMPUTED_VALUE"""),262.0)</f>
        <v>262</v>
      </c>
      <c r="K579" s="1">
        <f>IFERROR(__xludf.DUMMYFUNCTION("""COMPUTED_VALUE"""),52.400000000000006)</f>
        <v>52.4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>
        <f>IFERROR(__xludf.DUMMYFUNCTION("""COMPUTED_VALUE"""),90.0)</f>
        <v>90</v>
      </c>
      <c r="E580" s="1">
        <f>IFERROR(__xludf.DUMMYFUNCTION("""COMPUTED_VALUE"""),94.0)</f>
        <v>94</v>
      </c>
      <c r="F580" s="1">
        <f>IFERROR(__xludf.DUMMYFUNCTION("""COMPUTED_VALUE"""),67.0)</f>
        <v>67</v>
      </c>
      <c r="G580" s="1">
        <f>IFERROR(__xludf.DUMMYFUNCTION("""COMPUTED_VALUE"""),69.0)</f>
        <v>69</v>
      </c>
      <c r="H580" s="1">
        <f>IFERROR(__xludf.DUMMYFUNCTION("""COMPUTED_VALUE"""),91.0)</f>
        <v>91</v>
      </c>
      <c r="I580" s="1">
        <f>IFERROR(__xludf.DUMMYFUNCTION("""COMPUTED_VALUE"""),48.0)</f>
        <v>48</v>
      </c>
      <c r="J580" s="1">
        <f>IFERROR(__xludf.DUMMYFUNCTION("""COMPUTED_VALUE"""),369.0)</f>
        <v>369</v>
      </c>
      <c r="K580" s="1">
        <f>IFERROR(__xludf.DUMMYFUNCTION("""COMPUTED_VALUE"""),73.8)</f>
        <v>73.8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>
        <f>IFERROR(__xludf.DUMMYFUNCTION("""COMPUTED_VALUE"""),80.0)</f>
        <v>80</v>
      </c>
      <c r="E581" s="1">
        <f>IFERROR(__xludf.DUMMYFUNCTION("""COMPUTED_VALUE"""),50.0)</f>
        <v>50</v>
      </c>
      <c r="F581" s="1">
        <f>IFERROR(__xludf.DUMMYFUNCTION("""COMPUTED_VALUE"""),33.0)</f>
        <v>33</v>
      </c>
      <c r="G581" s="1">
        <f>IFERROR(__xludf.DUMMYFUNCTION("""COMPUTED_VALUE"""),43.0)</f>
        <v>43</v>
      </c>
      <c r="H581" s="1">
        <f>IFERROR(__xludf.DUMMYFUNCTION("""COMPUTED_VALUE"""),29.0)</f>
        <v>29</v>
      </c>
      <c r="I581" s="1">
        <f>IFERROR(__xludf.DUMMYFUNCTION("""COMPUTED_VALUE"""),88.0)</f>
        <v>88</v>
      </c>
      <c r="J581" s="1">
        <f>IFERROR(__xludf.DUMMYFUNCTION("""COMPUTED_VALUE"""),243.0)</f>
        <v>243</v>
      </c>
      <c r="K581" s="1">
        <f>IFERROR(__xludf.DUMMYFUNCTION("""COMPUTED_VALUE"""),48.6)</f>
        <v>48.6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>
        <f>IFERROR(__xludf.DUMMYFUNCTION("""COMPUTED_VALUE"""),60.0)</f>
        <v>60</v>
      </c>
      <c r="E582" s="1">
        <f>IFERROR(__xludf.DUMMYFUNCTION("""COMPUTED_VALUE"""),44.0)</f>
        <v>44</v>
      </c>
      <c r="F582" s="1">
        <f>IFERROR(__xludf.DUMMYFUNCTION("""COMPUTED_VALUE"""),94.0)</f>
        <v>94</v>
      </c>
      <c r="G582" s="1">
        <f>IFERROR(__xludf.DUMMYFUNCTION("""COMPUTED_VALUE"""),83.0)</f>
        <v>83</v>
      </c>
      <c r="H582" s="1">
        <f>IFERROR(__xludf.DUMMYFUNCTION("""COMPUTED_VALUE"""),45.0)</f>
        <v>45</v>
      </c>
      <c r="I582" s="1">
        <f>IFERROR(__xludf.DUMMYFUNCTION("""COMPUTED_VALUE"""),41.0)</f>
        <v>41</v>
      </c>
      <c r="J582" s="1">
        <f>IFERROR(__xludf.DUMMYFUNCTION("""COMPUTED_VALUE"""),307.0)</f>
        <v>307</v>
      </c>
      <c r="K582" s="1">
        <f>IFERROR(__xludf.DUMMYFUNCTION("""COMPUTED_VALUE"""),61.4)</f>
        <v>61.4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>
        <f>IFERROR(__xludf.DUMMYFUNCTION("""COMPUTED_VALUE"""),75.0)</f>
        <v>75</v>
      </c>
      <c r="E583" s="1">
        <f>IFERROR(__xludf.DUMMYFUNCTION("""COMPUTED_VALUE"""),33.0)</f>
        <v>33</v>
      </c>
      <c r="F583" s="1">
        <f>IFERROR(__xludf.DUMMYFUNCTION("""COMPUTED_VALUE"""),72.0)</f>
        <v>72</v>
      </c>
      <c r="G583" s="1">
        <f>IFERROR(__xludf.DUMMYFUNCTION("""COMPUTED_VALUE"""),73.0)</f>
        <v>73</v>
      </c>
      <c r="H583" s="1">
        <f>IFERROR(__xludf.DUMMYFUNCTION("""COMPUTED_VALUE"""),56.0)</f>
        <v>56</v>
      </c>
      <c r="I583" s="1">
        <f>IFERROR(__xludf.DUMMYFUNCTION("""COMPUTED_VALUE"""),70.0)</f>
        <v>70</v>
      </c>
      <c r="J583" s="1">
        <f>IFERROR(__xludf.DUMMYFUNCTION("""COMPUTED_VALUE"""),304.0)</f>
        <v>304</v>
      </c>
      <c r="K583" s="1">
        <f>IFERROR(__xludf.DUMMYFUNCTION("""COMPUTED_VALUE"""),60.8)</f>
        <v>60.8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>
        <f>IFERROR(__xludf.DUMMYFUNCTION("""COMPUTED_VALUE"""),88.0)</f>
        <v>88</v>
      </c>
      <c r="E584" s="1">
        <f>IFERROR(__xludf.DUMMYFUNCTION("""COMPUTED_VALUE"""),35.0)</f>
        <v>35</v>
      </c>
      <c r="F584" s="1">
        <f>IFERROR(__xludf.DUMMYFUNCTION("""COMPUTED_VALUE"""),48.0)</f>
        <v>48</v>
      </c>
      <c r="G584" s="1">
        <f>IFERROR(__xludf.DUMMYFUNCTION("""COMPUTED_VALUE"""),55.0)</f>
        <v>55</v>
      </c>
      <c r="H584" s="1">
        <f>IFERROR(__xludf.DUMMYFUNCTION("""COMPUTED_VALUE"""),52.0)</f>
        <v>52</v>
      </c>
      <c r="I584" s="1">
        <f>IFERROR(__xludf.DUMMYFUNCTION("""COMPUTED_VALUE"""),39.0)</f>
        <v>39</v>
      </c>
      <c r="J584" s="1">
        <f>IFERROR(__xludf.DUMMYFUNCTION("""COMPUTED_VALUE"""),229.0)</f>
        <v>229</v>
      </c>
      <c r="K584" s="1">
        <f>IFERROR(__xludf.DUMMYFUNCTION("""COMPUTED_VALUE"""),45.800000000000004)</f>
        <v>45.8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>
        <f>IFERROR(__xludf.DUMMYFUNCTION("""COMPUTED_VALUE"""),61.0)</f>
        <v>61</v>
      </c>
      <c r="E585" s="1">
        <f>IFERROR(__xludf.DUMMYFUNCTION("""COMPUTED_VALUE"""),48.0)</f>
        <v>48</v>
      </c>
      <c r="F585" s="1">
        <f>IFERROR(__xludf.DUMMYFUNCTION("""COMPUTED_VALUE"""),25.0)</f>
        <v>25</v>
      </c>
      <c r="G585" s="1">
        <f>IFERROR(__xludf.DUMMYFUNCTION("""COMPUTED_VALUE"""),61.0)</f>
        <v>61</v>
      </c>
      <c r="H585" s="1">
        <f>IFERROR(__xludf.DUMMYFUNCTION("""COMPUTED_VALUE"""),97.0)</f>
        <v>97</v>
      </c>
      <c r="I585" s="1">
        <f>IFERROR(__xludf.DUMMYFUNCTION("""COMPUTED_VALUE"""),81.0)</f>
        <v>81</v>
      </c>
      <c r="J585" s="1">
        <f>IFERROR(__xludf.DUMMYFUNCTION("""COMPUTED_VALUE"""),312.0)</f>
        <v>312</v>
      </c>
      <c r="K585" s="1">
        <f>IFERROR(__xludf.DUMMYFUNCTION("""COMPUTED_VALUE"""),62.4)</f>
        <v>62.4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>
        <f>IFERROR(__xludf.DUMMYFUNCTION("""COMPUTED_VALUE"""),52.0)</f>
        <v>52</v>
      </c>
      <c r="E586" s="1">
        <f>IFERROR(__xludf.DUMMYFUNCTION("""COMPUTED_VALUE"""),34.0)</f>
        <v>34</v>
      </c>
      <c r="F586" s="1">
        <f>IFERROR(__xludf.DUMMYFUNCTION("""COMPUTED_VALUE"""),90.0)</f>
        <v>90</v>
      </c>
      <c r="G586" s="1">
        <f>IFERROR(__xludf.DUMMYFUNCTION("""COMPUTED_VALUE"""),28.0)</f>
        <v>28</v>
      </c>
      <c r="H586" s="1">
        <f>IFERROR(__xludf.DUMMYFUNCTION("""COMPUTED_VALUE"""),37.0)</f>
        <v>37</v>
      </c>
      <c r="I586" s="1">
        <f>IFERROR(__xludf.DUMMYFUNCTION("""COMPUTED_VALUE"""),96.0)</f>
        <v>96</v>
      </c>
      <c r="J586" s="1">
        <f>IFERROR(__xludf.DUMMYFUNCTION("""COMPUTED_VALUE"""),285.0)</f>
        <v>285</v>
      </c>
      <c r="K586" s="1">
        <f>IFERROR(__xludf.DUMMYFUNCTION("""COMPUTED_VALUE"""),56.99999999999999)</f>
        <v>57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>
        <f>IFERROR(__xludf.DUMMYFUNCTION("""COMPUTED_VALUE"""),21.0)</f>
        <v>21</v>
      </c>
      <c r="E587" s="1">
        <f>IFERROR(__xludf.DUMMYFUNCTION("""COMPUTED_VALUE"""),87.0)</f>
        <v>87</v>
      </c>
      <c r="F587" s="1">
        <f>IFERROR(__xludf.DUMMYFUNCTION("""COMPUTED_VALUE"""),37.0)</f>
        <v>37</v>
      </c>
      <c r="G587" s="1">
        <f>IFERROR(__xludf.DUMMYFUNCTION("""COMPUTED_VALUE"""),40.0)</f>
        <v>40</v>
      </c>
      <c r="H587" s="1">
        <f>IFERROR(__xludf.DUMMYFUNCTION("""COMPUTED_VALUE"""),83.0)</f>
        <v>83</v>
      </c>
      <c r="I587" s="1">
        <f>IFERROR(__xludf.DUMMYFUNCTION("""COMPUTED_VALUE"""),21.0)</f>
        <v>21</v>
      </c>
      <c r="J587" s="1">
        <f>IFERROR(__xludf.DUMMYFUNCTION("""COMPUTED_VALUE"""),268.0)</f>
        <v>268</v>
      </c>
      <c r="K587" s="1">
        <f>IFERROR(__xludf.DUMMYFUNCTION("""COMPUTED_VALUE"""),53.6)</f>
        <v>53.6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>
        <f>IFERROR(__xludf.DUMMYFUNCTION("""COMPUTED_VALUE"""),50.0)</f>
        <v>50</v>
      </c>
      <c r="E588" s="1">
        <f>IFERROR(__xludf.DUMMYFUNCTION("""COMPUTED_VALUE"""),82.0)</f>
        <v>82</v>
      </c>
      <c r="F588" s="1">
        <f>IFERROR(__xludf.DUMMYFUNCTION("""COMPUTED_VALUE"""),59.0)</f>
        <v>59</v>
      </c>
      <c r="G588" s="1">
        <f>IFERROR(__xludf.DUMMYFUNCTION("""COMPUTED_VALUE"""),73.0)</f>
        <v>73</v>
      </c>
      <c r="H588" s="1">
        <f>IFERROR(__xludf.DUMMYFUNCTION("""COMPUTED_VALUE"""),88.0)</f>
        <v>88</v>
      </c>
      <c r="I588" s="1">
        <f>IFERROR(__xludf.DUMMYFUNCTION("""COMPUTED_VALUE"""),93.0)</f>
        <v>93</v>
      </c>
      <c r="J588" s="1">
        <f>IFERROR(__xludf.DUMMYFUNCTION("""COMPUTED_VALUE"""),395.0)</f>
        <v>395</v>
      </c>
      <c r="K588" s="1">
        <f>IFERROR(__xludf.DUMMYFUNCTION("""COMPUTED_VALUE"""),79.0)</f>
        <v>79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>
        <f>IFERROR(__xludf.DUMMYFUNCTION("""COMPUTED_VALUE"""),18.0)</f>
        <v>18</v>
      </c>
      <c r="E589" s="1">
        <f>IFERROR(__xludf.DUMMYFUNCTION("""COMPUTED_VALUE"""),97.0)</f>
        <v>97</v>
      </c>
      <c r="F589" s="1">
        <f>IFERROR(__xludf.DUMMYFUNCTION("""COMPUTED_VALUE"""),82.0)</f>
        <v>82</v>
      </c>
      <c r="G589" s="1">
        <f>IFERROR(__xludf.DUMMYFUNCTION("""COMPUTED_VALUE"""),49.0)</f>
        <v>49</v>
      </c>
      <c r="H589" s="1">
        <f>IFERROR(__xludf.DUMMYFUNCTION("""COMPUTED_VALUE"""),65.0)</f>
        <v>65</v>
      </c>
      <c r="I589" s="1">
        <f>IFERROR(__xludf.DUMMYFUNCTION("""COMPUTED_VALUE"""),85.0)</f>
        <v>85</v>
      </c>
      <c r="J589" s="1">
        <f>IFERROR(__xludf.DUMMYFUNCTION("""COMPUTED_VALUE"""),378.0)</f>
        <v>378</v>
      </c>
      <c r="K589" s="1">
        <f>IFERROR(__xludf.DUMMYFUNCTION("""COMPUTED_VALUE"""),75.6)</f>
        <v>75.6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>
        <f>IFERROR(__xludf.DUMMYFUNCTION("""COMPUTED_VALUE"""),68.0)</f>
        <v>68</v>
      </c>
      <c r="E590" s="1">
        <f>IFERROR(__xludf.DUMMYFUNCTION("""COMPUTED_VALUE"""),22.0)</f>
        <v>22</v>
      </c>
      <c r="F590" s="1">
        <f>IFERROR(__xludf.DUMMYFUNCTION("""COMPUTED_VALUE"""),76.0)</f>
        <v>76</v>
      </c>
      <c r="G590" s="1">
        <f>IFERROR(__xludf.DUMMYFUNCTION("""COMPUTED_VALUE"""),62.0)</f>
        <v>62</v>
      </c>
      <c r="H590" s="1">
        <f>IFERROR(__xludf.DUMMYFUNCTION("""COMPUTED_VALUE"""),86.0)</f>
        <v>86</v>
      </c>
      <c r="I590" s="1">
        <f>IFERROR(__xludf.DUMMYFUNCTION("""COMPUTED_VALUE"""),99.0)</f>
        <v>99</v>
      </c>
      <c r="J590" s="1">
        <f>IFERROR(__xludf.DUMMYFUNCTION("""COMPUTED_VALUE"""),345.0)</f>
        <v>345</v>
      </c>
      <c r="K590" s="1">
        <f>IFERROR(__xludf.DUMMYFUNCTION("""COMPUTED_VALUE"""),69.0)</f>
        <v>69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>
        <f>IFERROR(__xludf.DUMMYFUNCTION("""COMPUTED_VALUE"""),70.0)</f>
        <v>70</v>
      </c>
      <c r="E591" s="1">
        <f>IFERROR(__xludf.DUMMYFUNCTION("""COMPUTED_VALUE"""),91.0)</f>
        <v>91</v>
      </c>
      <c r="F591" s="1">
        <f>IFERROR(__xludf.DUMMYFUNCTION("""COMPUTED_VALUE"""),94.0)</f>
        <v>94</v>
      </c>
      <c r="G591" s="1">
        <f>IFERROR(__xludf.DUMMYFUNCTION("""COMPUTED_VALUE"""),86.0)</f>
        <v>86</v>
      </c>
      <c r="H591" s="1">
        <f>IFERROR(__xludf.DUMMYFUNCTION("""COMPUTED_VALUE"""),57.0)</f>
        <v>57</v>
      </c>
      <c r="I591" s="1">
        <f>IFERROR(__xludf.DUMMYFUNCTION("""COMPUTED_VALUE"""),72.0)</f>
        <v>72</v>
      </c>
      <c r="J591" s="1">
        <f>IFERROR(__xludf.DUMMYFUNCTION("""COMPUTED_VALUE"""),400.0)</f>
        <v>400</v>
      </c>
      <c r="K591" s="1">
        <f>IFERROR(__xludf.DUMMYFUNCTION("""COMPUTED_VALUE"""),80.0)</f>
        <v>80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>
        <f>IFERROR(__xludf.DUMMYFUNCTION("""COMPUTED_VALUE"""),63.0)</f>
        <v>63</v>
      </c>
      <c r="E592" s="1">
        <f>IFERROR(__xludf.DUMMYFUNCTION("""COMPUTED_VALUE"""),34.0)</f>
        <v>34</v>
      </c>
      <c r="F592" s="1">
        <f>IFERROR(__xludf.DUMMYFUNCTION("""COMPUTED_VALUE"""),93.0)</f>
        <v>93</v>
      </c>
      <c r="G592" s="1">
        <f>IFERROR(__xludf.DUMMYFUNCTION("""COMPUTED_VALUE"""),80.0)</f>
        <v>80</v>
      </c>
      <c r="H592" s="1">
        <f>IFERROR(__xludf.DUMMYFUNCTION("""COMPUTED_VALUE"""),57.0)</f>
        <v>57</v>
      </c>
      <c r="I592" s="1">
        <f>IFERROR(__xludf.DUMMYFUNCTION("""COMPUTED_VALUE"""),42.0)</f>
        <v>42</v>
      </c>
      <c r="J592" s="1">
        <f>IFERROR(__xludf.DUMMYFUNCTION("""COMPUTED_VALUE"""),306.0)</f>
        <v>306</v>
      </c>
      <c r="K592" s="1">
        <f>IFERROR(__xludf.DUMMYFUNCTION("""COMPUTED_VALUE"""),61.199999999999996)</f>
        <v>61.2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>
        <f>IFERROR(__xludf.DUMMYFUNCTION("""COMPUTED_VALUE"""),59.0)</f>
        <v>59</v>
      </c>
      <c r="E593" s="1">
        <f>IFERROR(__xludf.DUMMYFUNCTION("""COMPUTED_VALUE"""),69.0)</f>
        <v>69</v>
      </c>
      <c r="F593" s="1">
        <f>IFERROR(__xludf.DUMMYFUNCTION("""COMPUTED_VALUE"""),91.0)</f>
        <v>91</v>
      </c>
      <c r="G593" s="1">
        <f>IFERROR(__xludf.DUMMYFUNCTION("""COMPUTED_VALUE"""),20.0)</f>
        <v>20</v>
      </c>
      <c r="H593" s="1">
        <f>IFERROR(__xludf.DUMMYFUNCTION("""COMPUTED_VALUE"""),46.0)</f>
        <v>46</v>
      </c>
      <c r="I593" s="1">
        <f>IFERROR(__xludf.DUMMYFUNCTION("""COMPUTED_VALUE"""),87.0)</f>
        <v>87</v>
      </c>
      <c r="J593" s="1">
        <f>IFERROR(__xludf.DUMMYFUNCTION("""COMPUTED_VALUE"""),313.0)</f>
        <v>313</v>
      </c>
      <c r="K593" s="1">
        <f>IFERROR(__xludf.DUMMYFUNCTION("""COMPUTED_VALUE"""),62.6)</f>
        <v>62.6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>
        <f>IFERROR(__xludf.DUMMYFUNCTION("""COMPUTED_VALUE"""),38.0)</f>
        <v>38</v>
      </c>
      <c r="E594" s="1">
        <f>IFERROR(__xludf.DUMMYFUNCTION("""COMPUTED_VALUE"""),88.0)</f>
        <v>88</v>
      </c>
      <c r="F594" s="1">
        <f>IFERROR(__xludf.DUMMYFUNCTION("""COMPUTED_VALUE"""),64.0)</f>
        <v>64</v>
      </c>
      <c r="G594" s="1">
        <f>IFERROR(__xludf.DUMMYFUNCTION("""COMPUTED_VALUE"""),39.0)</f>
        <v>39</v>
      </c>
      <c r="H594" s="1">
        <f>IFERROR(__xludf.DUMMYFUNCTION("""COMPUTED_VALUE"""),71.0)</f>
        <v>71</v>
      </c>
      <c r="I594" s="1">
        <f>IFERROR(__xludf.DUMMYFUNCTION("""COMPUTED_VALUE"""),29.0)</f>
        <v>29</v>
      </c>
      <c r="J594" s="1">
        <f>IFERROR(__xludf.DUMMYFUNCTION("""COMPUTED_VALUE"""),291.0)</f>
        <v>291</v>
      </c>
      <c r="K594" s="1">
        <f>IFERROR(__xludf.DUMMYFUNCTION("""COMPUTED_VALUE"""),58.199999999999996)</f>
        <v>58.2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>
        <f>IFERROR(__xludf.DUMMYFUNCTION("""COMPUTED_VALUE"""),49.0)</f>
        <v>49</v>
      </c>
      <c r="E595" s="1">
        <f>IFERROR(__xludf.DUMMYFUNCTION("""COMPUTED_VALUE"""),79.0)</f>
        <v>79</v>
      </c>
      <c r="F595" s="1">
        <f>IFERROR(__xludf.DUMMYFUNCTION("""COMPUTED_VALUE"""),70.0)</f>
        <v>70</v>
      </c>
      <c r="G595" s="1">
        <f>IFERROR(__xludf.DUMMYFUNCTION("""COMPUTED_VALUE"""),80.0)</f>
        <v>80</v>
      </c>
      <c r="H595" s="1">
        <f>IFERROR(__xludf.DUMMYFUNCTION("""COMPUTED_VALUE"""),38.0)</f>
        <v>38</v>
      </c>
      <c r="I595" s="1">
        <f>IFERROR(__xludf.DUMMYFUNCTION("""COMPUTED_VALUE"""),26.0)</f>
        <v>26</v>
      </c>
      <c r="J595" s="1">
        <f>IFERROR(__xludf.DUMMYFUNCTION("""COMPUTED_VALUE"""),293.0)</f>
        <v>293</v>
      </c>
      <c r="K595" s="1">
        <f>IFERROR(__xludf.DUMMYFUNCTION("""COMPUTED_VALUE"""),58.599999999999994)</f>
        <v>58.6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>
        <f>IFERROR(__xludf.DUMMYFUNCTION("""COMPUTED_VALUE"""),20.0)</f>
        <v>20</v>
      </c>
      <c r="E596" s="1">
        <f>IFERROR(__xludf.DUMMYFUNCTION("""COMPUTED_VALUE"""),34.0)</f>
        <v>34</v>
      </c>
      <c r="F596" s="1">
        <f>IFERROR(__xludf.DUMMYFUNCTION("""COMPUTED_VALUE"""),94.0)</f>
        <v>94</v>
      </c>
      <c r="G596" s="1">
        <f>IFERROR(__xludf.DUMMYFUNCTION("""COMPUTED_VALUE"""),20.0)</f>
        <v>20</v>
      </c>
      <c r="H596" s="1">
        <f>IFERROR(__xludf.DUMMYFUNCTION("""COMPUTED_VALUE"""),28.0)</f>
        <v>28</v>
      </c>
      <c r="I596" s="1">
        <f>IFERROR(__xludf.DUMMYFUNCTION("""COMPUTED_VALUE"""),45.0)</f>
        <v>45</v>
      </c>
      <c r="J596" s="1">
        <f>IFERROR(__xludf.DUMMYFUNCTION("""COMPUTED_VALUE"""),221.0)</f>
        <v>221</v>
      </c>
      <c r="K596" s="1">
        <f>IFERROR(__xludf.DUMMYFUNCTION("""COMPUTED_VALUE"""),44.2)</f>
        <v>44.2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>
        <f>IFERROR(__xludf.DUMMYFUNCTION("""COMPUTED_VALUE"""),74.0)</f>
        <v>74</v>
      </c>
      <c r="E597" s="1">
        <f>IFERROR(__xludf.DUMMYFUNCTION("""COMPUTED_VALUE"""),46.0)</f>
        <v>46</v>
      </c>
      <c r="F597" s="1">
        <f>IFERROR(__xludf.DUMMYFUNCTION("""COMPUTED_VALUE"""),75.0)</f>
        <v>75</v>
      </c>
      <c r="G597" s="1">
        <f>IFERROR(__xludf.DUMMYFUNCTION("""COMPUTED_VALUE"""),78.0)</f>
        <v>78</v>
      </c>
      <c r="H597" s="1">
        <f>IFERROR(__xludf.DUMMYFUNCTION("""COMPUTED_VALUE"""),80.0)</f>
        <v>80</v>
      </c>
      <c r="I597" s="1">
        <f>IFERROR(__xludf.DUMMYFUNCTION("""COMPUTED_VALUE"""),32.0)</f>
        <v>32</v>
      </c>
      <c r="J597" s="1">
        <f>IFERROR(__xludf.DUMMYFUNCTION("""COMPUTED_VALUE"""),311.0)</f>
        <v>311</v>
      </c>
      <c r="K597" s="1">
        <f>IFERROR(__xludf.DUMMYFUNCTION("""COMPUTED_VALUE"""),62.2)</f>
        <v>62.2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>
        <f>IFERROR(__xludf.DUMMYFUNCTION("""COMPUTED_VALUE"""),25.0)</f>
        <v>25</v>
      </c>
      <c r="E598" s="1">
        <f>IFERROR(__xludf.DUMMYFUNCTION("""COMPUTED_VALUE"""),80.0)</f>
        <v>80</v>
      </c>
      <c r="F598" s="1">
        <f>IFERROR(__xludf.DUMMYFUNCTION("""COMPUTED_VALUE"""),46.0)</f>
        <v>46</v>
      </c>
      <c r="G598" s="1">
        <f>IFERROR(__xludf.DUMMYFUNCTION("""COMPUTED_VALUE"""),27.0)</f>
        <v>27</v>
      </c>
      <c r="H598" s="1">
        <f>IFERROR(__xludf.DUMMYFUNCTION("""COMPUTED_VALUE"""),78.0)</f>
        <v>78</v>
      </c>
      <c r="I598" s="1">
        <f>IFERROR(__xludf.DUMMYFUNCTION("""COMPUTED_VALUE"""),64.0)</f>
        <v>64</v>
      </c>
      <c r="J598" s="1">
        <f>IFERROR(__xludf.DUMMYFUNCTION("""COMPUTED_VALUE"""),295.0)</f>
        <v>295</v>
      </c>
      <c r="K598" s="1">
        <f>IFERROR(__xludf.DUMMYFUNCTION("""COMPUTED_VALUE"""),59.0)</f>
        <v>59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>
        <f>IFERROR(__xludf.DUMMYFUNCTION("""COMPUTED_VALUE"""),51.0)</f>
        <v>51</v>
      </c>
      <c r="E599" s="1">
        <f>IFERROR(__xludf.DUMMYFUNCTION("""COMPUTED_VALUE"""),89.0)</f>
        <v>89</v>
      </c>
      <c r="F599" s="1">
        <f>IFERROR(__xludf.DUMMYFUNCTION("""COMPUTED_VALUE"""),55.0)</f>
        <v>55</v>
      </c>
      <c r="G599" s="1">
        <f>IFERROR(__xludf.DUMMYFUNCTION("""COMPUTED_VALUE"""),25.0)</f>
        <v>25</v>
      </c>
      <c r="H599" s="1">
        <f>IFERROR(__xludf.DUMMYFUNCTION("""COMPUTED_VALUE"""),34.0)</f>
        <v>34</v>
      </c>
      <c r="I599" s="1">
        <f>IFERROR(__xludf.DUMMYFUNCTION("""COMPUTED_VALUE"""),77.0)</f>
        <v>77</v>
      </c>
      <c r="J599" s="1">
        <f>IFERROR(__xludf.DUMMYFUNCTION("""COMPUTED_VALUE"""),280.0)</f>
        <v>280</v>
      </c>
      <c r="K599" s="1">
        <f>IFERROR(__xludf.DUMMYFUNCTION("""COMPUTED_VALUE"""),56.00000000000001)</f>
        <v>56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>
        <f>IFERROR(__xludf.DUMMYFUNCTION("""COMPUTED_VALUE"""),76.0)</f>
        <v>76</v>
      </c>
      <c r="E600" s="1">
        <f>IFERROR(__xludf.DUMMYFUNCTION("""COMPUTED_VALUE"""),80.0)</f>
        <v>80</v>
      </c>
      <c r="F600" s="1">
        <f>IFERROR(__xludf.DUMMYFUNCTION("""COMPUTED_VALUE"""),77.0)</f>
        <v>77</v>
      </c>
      <c r="G600" s="1">
        <f>IFERROR(__xludf.DUMMYFUNCTION("""COMPUTED_VALUE"""),27.0)</f>
        <v>27</v>
      </c>
      <c r="H600" s="1">
        <f>IFERROR(__xludf.DUMMYFUNCTION("""COMPUTED_VALUE"""),31.0)</f>
        <v>31</v>
      </c>
      <c r="I600" s="1">
        <f>IFERROR(__xludf.DUMMYFUNCTION("""COMPUTED_VALUE"""),50.0)</f>
        <v>50</v>
      </c>
      <c r="J600" s="1">
        <f>IFERROR(__xludf.DUMMYFUNCTION("""COMPUTED_VALUE"""),265.0)</f>
        <v>265</v>
      </c>
      <c r="K600" s="1">
        <f>IFERROR(__xludf.DUMMYFUNCTION("""COMPUTED_VALUE"""),53.0)</f>
        <v>53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>
        <f>IFERROR(__xludf.DUMMYFUNCTION("""COMPUTED_VALUE"""),75.0)</f>
        <v>75</v>
      </c>
      <c r="E601" s="1">
        <f>IFERROR(__xludf.DUMMYFUNCTION("""COMPUTED_VALUE"""),97.0)</f>
        <v>97</v>
      </c>
      <c r="F601" s="1">
        <f>IFERROR(__xludf.DUMMYFUNCTION("""COMPUTED_VALUE"""),36.0)</f>
        <v>36</v>
      </c>
      <c r="G601" s="1">
        <f>IFERROR(__xludf.DUMMYFUNCTION("""COMPUTED_VALUE"""),36.0)</f>
        <v>36</v>
      </c>
      <c r="H601" s="1">
        <f>IFERROR(__xludf.DUMMYFUNCTION("""COMPUTED_VALUE"""),55.0)</f>
        <v>55</v>
      </c>
      <c r="I601" s="1">
        <f>IFERROR(__xludf.DUMMYFUNCTION("""COMPUTED_VALUE"""),68.0)</f>
        <v>68</v>
      </c>
      <c r="J601" s="1">
        <f>IFERROR(__xludf.DUMMYFUNCTION("""COMPUTED_VALUE"""),292.0)</f>
        <v>292</v>
      </c>
      <c r="K601" s="1">
        <f>IFERROR(__xludf.DUMMYFUNCTION("""COMPUTED_VALUE"""),58.4)</f>
        <v>58.4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>
        <f>IFERROR(__xludf.DUMMYFUNCTION("""COMPUTED_VALUE"""),34.0)</f>
        <v>34</v>
      </c>
      <c r="E602" s="1">
        <f>IFERROR(__xludf.DUMMYFUNCTION("""COMPUTED_VALUE"""),78.0)</f>
        <v>78</v>
      </c>
      <c r="F602" s="1">
        <f>IFERROR(__xludf.DUMMYFUNCTION("""COMPUTED_VALUE"""),83.0)</f>
        <v>83</v>
      </c>
      <c r="G602" s="1">
        <f>IFERROR(__xludf.DUMMYFUNCTION("""COMPUTED_VALUE"""),63.0)</f>
        <v>63</v>
      </c>
      <c r="H602" s="1">
        <f>IFERROR(__xludf.DUMMYFUNCTION("""COMPUTED_VALUE"""),37.0)</f>
        <v>37</v>
      </c>
      <c r="I602" s="1">
        <f>IFERROR(__xludf.DUMMYFUNCTION("""COMPUTED_VALUE"""),84.0)</f>
        <v>84</v>
      </c>
      <c r="J602" s="1">
        <f>IFERROR(__xludf.DUMMYFUNCTION("""COMPUTED_VALUE"""),345.0)</f>
        <v>345</v>
      </c>
      <c r="K602" s="1">
        <f>IFERROR(__xludf.DUMMYFUNCTION("""COMPUTED_VALUE"""),69.0)</f>
        <v>69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>
        <f>IFERROR(__xludf.DUMMYFUNCTION("""COMPUTED_VALUE"""),86.0)</f>
        <v>86</v>
      </c>
      <c r="E603" s="1">
        <f>IFERROR(__xludf.DUMMYFUNCTION("""COMPUTED_VALUE"""),88.0)</f>
        <v>88</v>
      </c>
      <c r="F603" s="1">
        <f>IFERROR(__xludf.DUMMYFUNCTION("""COMPUTED_VALUE"""),81.0)</f>
        <v>81</v>
      </c>
      <c r="G603" s="1">
        <f>IFERROR(__xludf.DUMMYFUNCTION("""COMPUTED_VALUE"""),24.0)</f>
        <v>24</v>
      </c>
      <c r="H603" s="1">
        <f>IFERROR(__xludf.DUMMYFUNCTION("""COMPUTED_VALUE"""),67.0)</f>
        <v>67</v>
      </c>
      <c r="I603" s="1">
        <f>IFERROR(__xludf.DUMMYFUNCTION("""COMPUTED_VALUE"""),33.0)</f>
        <v>33</v>
      </c>
      <c r="J603" s="1">
        <f>IFERROR(__xludf.DUMMYFUNCTION("""COMPUTED_VALUE"""),293.0)</f>
        <v>293</v>
      </c>
      <c r="K603" s="1">
        <f>IFERROR(__xludf.DUMMYFUNCTION("""COMPUTED_VALUE"""),58.599999999999994)</f>
        <v>58.6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>
        <f>IFERROR(__xludf.DUMMYFUNCTION("""COMPUTED_VALUE"""),95.0)</f>
        <v>95</v>
      </c>
      <c r="E604" s="1">
        <f>IFERROR(__xludf.DUMMYFUNCTION("""COMPUTED_VALUE"""),41.0)</f>
        <v>41</v>
      </c>
      <c r="F604" s="1">
        <f>IFERROR(__xludf.DUMMYFUNCTION("""COMPUTED_VALUE"""),31.0)</f>
        <v>31</v>
      </c>
      <c r="G604" s="1">
        <f>IFERROR(__xludf.DUMMYFUNCTION("""COMPUTED_VALUE"""),55.0)</f>
        <v>55</v>
      </c>
      <c r="H604" s="1">
        <f>IFERROR(__xludf.DUMMYFUNCTION("""COMPUTED_VALUE"""),58.0)</f>
        <v>58</v>
      </c>
      <c r="I604" s="1">
        <f>IFERROR(__xludf.DUMMYFUNCTION("""COMPUTED_VALUE"""),97.0)</f>
        <v>97</v>
      </c>
      <c r="J604" s="1">
        <f>IFERROR(__xludf.DUMMYFUNCTION("""COMPUTED_VALUE"""),282.0)</f>
        <v>282</v>
      </c>
      <c r="K604" s="1">
        <f>IFERROR(__xludf.DUMMYFUNCTION("""COMPUTED_VALUE"""),56.39999999999999)</f>
        <v>56.4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>
        <f>IFERROR(__xludf.DUMMYFUNCTION("""COMPUTED_VALUE"""),95.0)</f>
        <v>95</v>
      </c>
      <c r="E605" s="1">
        <f>IFERROR(__xludf.DUMMYFUNCTION("""COMPUTED_VALUE"""),69.0)</f>
        <v>69</v>
      </c>
      <c r="F605" s="1">
        <f>IFERROR(__xludf.DUMMYFUNCTION("""COMPUTED_VALUE"""),39.0)</f>
        <v>39</v>
      </c>
      <c r="G605" s="1">
        <f>IFERROR(__xludf.DUMMYFUNCTION("""COMPUTED_VALUE"""),51.0)</f>
        <v>51</v>
      </c>
      <c r="H605" s="1">
        <f>IFERROR(__xludf.DUMMYFUNCTION("""COMPUTED_VALUE"""),88.0)</f>
        <v>88</v>
      </c>
      <c r="I605" s="1">
        <f>IFERROR(__xludf.DUMMYFUNCTION("""COMPUTED_VALUE"""),83.0)</f>
        <v>83</v>
      </c>
      <c r="J605" s="1">
        <f>IFERROR(__xludf.DUMMYFUNCTION("""COMPUTED_VALUE"""),330.0)</f>
        <v>330</v>
      </c>
      <c r="K605" s="1">
        <f>IFERROR(__xludf.DUMMYFUNCTION("""COMPUTED_VALUE"""),66.0)</f>
        <v>66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>
        <f>IFERROR(__xludf.DUMMYFUNCTION("""COMPUTED_VALUE"""),89.0)</f>
        <v>89</v>
      </c>
      <c r="E606" s="1">
        <f>IFERROR(__xludf.DUMMYFUNCTION("""COMPUTED_VALUE"""),39.0)</f>
        <v>39</v>
      </c>
      <c r="F606" s="1">
        <f>IFERROR(__xludf.DUMMYFUNCTION("""COMPUTED_VALUE"""),71.0)</f>
        <v>71</v>
      </c>
      <c r="G606" s="1">
        <f>IFERROR(__xludf.DUMMYFUNCTION("""COMPUTED_VALUE"""),46.0)</f>
        <v>46</v>
      </c>
      <c r="H606" s="1">
        <f>IFERROR(__xludf.DUMMYFUNCTION("""COMPUTED_VALUE"""),52.0)</f>
        <v>52</v>
      </c>
      <c r="I606" s="1">
        <f>IFERROR(__xludf.DUMMYFUNCTION("""COMPUTED_VALUE"""),77.0)</f>
        <v>77</v>
      </c>
      <c r="J606" s="1">
        <f>IFERROR(__xludf.DUMMYFUNCTION("""COMPUTED_VALUE"""),285.0)</f>
        <v>285</v>
      </c>
      <c r="K606" s="1">
        <f>IFERROR(__xludf.DUMMYFUNCTION("""COMPUTED_VALUE"""),56.99999999999999)</f>
        <v>57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>
        <f>IFERROR(__xludf.DUMMYFUNCTION("""COMPUTED_VALUE"""),64.0)</f>
        <v>64</v>
      </c>
      <c r="E607" s="1">
        <f>IFERROR(__xludf.DUMMYFUNCTION("""COMPUTED_VALUE"""),54.0)</f>
        <v>54</v>
      </c>
      <c r="F607" s="1">
        <f>IFERROR(__xludf.DUMMYFUNCTION("""COMPUTED_VALUE"""),85.0)</f>
        <v>85</v>
      </c>
      <c r="G607" s="1">
        <f>IFERROR(__xludf.DUMMYFUNCTION("""COMPUTED_VALUE"""),21.0)</f>
        <v>21</v>
      </c>
      <c r="H607" s="1">
        <f>IFERROR(__xludf.DUMMYFUNCTION("""COMPUTED_VALUE"""),30.0)</f>
        <v>30</v>
      </c>
      <c r="I607" s="1">
        <f>IFERROR(__xludf.DUMMYFUNCTION("""COMPUTED_VALUE"""),67.0)</f>
        <v>67</v>
      </c>
      <c r="J607" s="1">
        <f>IFERROR(__xludf.DUMMYFUNCTION("""COMPUTED_VALUE"""),257.0)</f>
        <v>257</v>
      </c>
      <c r="K607" s="1">
        <f>IFERROR(__xludf.DUMMYFUNCTION("""COMPUTED_VALUE"""),51.4)</f>
        <v>51.4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>
        <f>IFERROR(__xludf.DUMMYFUNCTION("""COMPUTED_VALUE"""),17.0)</f>
        <v>17</v>
      </c>
      <c r="E608" s="1">
        <f>IFERROR(__xludf.DUMMYFUNCTION("""COMPUTED_VALUE"""),70.0)</f>
        <v>70</v>
      </c>
      <c r="F608" s="1">
        <f>IFERROR(__xludf.DUMMYFUNCTION("""COMPUTED_VALUE"""),41.0)</f>
        <v>41</v>
      </c>
      <c r="G608" s="1">
        <f>IFERROR(__xludf.DUMMYFUNCTION("""COMPUTED_VALUE"""),59.0)</f>
        <v>59</v>
      </c>
      <c r="H608" s="1">
        <f>IFERROR(__xludf.DUMMYFUNCTION("""COMPUTED_VALUE"""),40.0)</f>
        <v>40</v>
      </c>
      <c r="I608" s="1">
        <f>IFERROR(__xludf.DUMMYFUNCTION("""COMPUTED_VALUE"""),91.0)</f>
        <v>91</v>
      </c>
      <c r="J608" s="1">
        <f>IFERROR(__xludf.DUMMYFUNCTION("""COMPUTED_VALUE"""),301.0)</f>
        <v>301</v>
      </c>
      <c r="K608" s="1">
        <f>IFERROR(__xludf.DUMMYFUNCTION("""COMPUTED_VALUE"""),60.199999999999996)</f>
        <v>60.2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>
        <f>IFERROR(__xludf.DUMMYFUNCTION("""COMPUTED_VALUE"""),82.0)</f>
        <v>82</v>
      </c>
      <c r="E609" s="1">
        <f>IFERROR(__xludf.DUMMYFUNCTION("""COMPUTED_VALUE"""),21.0)</f>
        <v>21</v>
      </c>
      <c r="F609" s="1">
        <f>IFERROR(__xludf.DUMMYFUNCTION("""COMPUTED_VALUE"""),88.0)</f>
        <v>88</v>
      </c>
      <c r="G609" s="1">
        <f>IFERROR(__xludf.DUMMYFUNCTION("""COMPUTED_VALUE"""),73.0)</f>
        <v>73</v>
      </c>
      <c r="H609" s="1">
        <f>IFERROR(__xludf.DUMMYFUNCTION("""COMPUTED_VALUE"""),97.0)</f>
        <v>97</v>
      </c>
      <c r="I609" s="1">
        <f>IFERROR(__xludf.DUMMYFUNCTION("""COMPUTED_VALUE"""),57.0)</f>
        <v>57</v>
      </c>
      <c r="J609" s="1">
        <f>IFERROR(__xludf.DUMMYFUNCTION("""COMPUTED_VALUE"""),336.0)</f>
        <v>336</v>
      </c>
      <c r="K609" s="1">
        <f>IFERROR(__xludf.DUMMYFUNCTION("""COMPUTED_VALUE"""),67.2)</f>
        <v>67.2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>
        <f>IFERROR(__xludf.DUMMYFUNCTION("""COMPUTED_VALUE"""),78.0)</f>
        <v>78</v>
      </c>
      <c r="E610" s="1">
        <f>IFERROR(__xludf.DUMMYFUNCTION("""COMPUTED_VALUE"""),44.0)</f>
        <v>44</v>
      </c>
      <c r="F610" s="1">
        <f>IFERROR(__xludf.DUMMYFUNCTION("""COMPUTED_VALUE"""),30.0)</f>
        <v>30</v>
      </c>
      <c r="G610" s="1">
        <f>IFERROR(__xludf.DUMMYFUNCTION("""COMPUTED_VALUE"""),24.0)</f>
        <v>24</v>
      </c>
      <c r="H610" s="1">
        <f>IFERROR(__xludf.DUMMYFUNCTION("""COMPUTED_VALUE"""),31.0)</f>
        <v>31</v>
      </c>
      <c r="I610" s="1">
        <f>IFERROR(__xludf.DUMMYFUNCTION("""COMPUTED_VALUE"""),27.0)</f>
        <v>27</v>
      </c>
      <c r="J610" s="1">
        <f>IFERROR(__xludf.DUMMYFUNCTION("""COMPUTED_VALUE"""),156.0)</f>
        <v>156</v>
      </c>
      <c r="K610" s="1">
        <f>IFERROR(__xludf.DUMMYFUNCTION("""COMPUTED_VALUE"""),31.2)</f>
        <v>31.2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>
        <f>IFERROR(__xludf.DUMMYFUNCTION("""COMPUTED_VALUE"""),17.0)</f>
        <v>17</v>
      </c>
      <c r="E611" s="1">
        <f>IFERROR(__xludf.DUMMYFUNCTION("""COMPUTED_VALUE"""),56.0)</f>
        <v>56</v>
      </c>
      <c r="F611" s="1">
        <f>IFERROR(__xludf.DUMMYFUNCTION("""COMPUTED_VALUE"""),91.0)</f>
        <v>91</v>
      </c>
      <c r="G611" s="1">
        <f>IFERROR(__xludf.DUMMYFUNCTION("""COMPUTED_VALUE"""),90.0)</f>
        <v>90</v>
      </c>
      <c r="H611" s="1">
        <f>IFERROR(__xludf.DUMMYFUNCTION("""COMPUTED_VALUE"""),70.0)</f>
        <v>70</v>
      </c>
      <c r="I611" s="1">
        <f>IFERROR(__xludf.DUMMYFUNCTION("""COMPUTED_VALUE"""),92.0)</f>
        <v>92</v>
      </c>
      <c r="J611" s="1">
        <f>IFERROR(__xludf.DUMMYFUNCTION("""COMPUTED_VALUE"""),399.0)</f>
        <v>399</v>
      </c>
      <c r="K611" s="1">
        <f>IFERROR(__xludf.DUMMYFUNCTION("""COMPUTED_VALUE"""),79.80000000000001)</f>
        <v>79.8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>
        <f>IFERROR(__xludf.DUMMYFUNCTION("""COMPUTED_VALUE"""),61.0)</f>
        <v>61</v>
      </c>
      <c r="E612" s="1">
        <f>IFERROR(__xludf.DUMMYFUNCTION("""COMPUTED_VALUE"""),89.0)</f>
        <v>89</v>
      </c>
      <c r="F612" s="1">
        <f>IFERROR(__xludf.DUMMYFUNCTION("""COMPUTED_VALUE"""),99.0)</f>
        <v>99</v>
      </c>
      <c r="G612" s="1">
        <f>IFERROR(__xludf.DUMMYFUNCTION("""COMPUTED_VALUE"""),52.0)</f>
        <v>52</v>
      </c>
      <c r="H612" s="1">
        <f>IFERROR(__xludf.DUMMYFUNCTION("""COMPUTED_VALUE"""),24.0)</f>
        <v>24</v>
      </c>
      <c r="I612" s="1">
        <f>IFERROR(__xludf.DUMMYFUNCTION("""COMPUTED_VALUE"""),36.0)</f>
        <v>36</v>
      </c>
      <c r="J612" s="1">
        <f>IFERROR(__xludf.DUMMYFUNCTION("""COMPUTED_VALUE"""),300.0)</f>
        <v>300</v>
      </c>
      <c r="K612" s="1">
        <f>IFERROR(__xludf.DUMMYFUNCTION("""COMPUTED_VALUE"""),60.0)</f>
        <v>60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>
        <f>IFERROR(__xludf.DUMMYFUNCTION("""COMPUTED_VALUE"""),91.0)</f>
        <v>91</v>
      </c>
      <c r="E613" s="1">
        <f>IFERROR(__xludf.DUMMYFUNCTION("""COMPUTED_VALUE"""),69.0)</f>
        <v>69</v>
      </c>
      <c r="F613" s="1">
        <f>IFERROR(__xludf.DUMMYFUNCTION("""COMPUTED_VALUE"""),95.0)</f>
        <v>95</v>
      </c>
      <c r="G613" s="1">
        <f>IFERROR(__xludf.DUMMYFUNCTION("""COMPUTED_VALUE"""),53.0)</f>
        <v>53</v>
      </c>
      <c r="H613" s="1">
        <f>IFERROR(__xludf.DUMMYFUNCTION("""COMPUTED_VALUE"""),65.0)</f>
        <v>65</v>
      </c>
      <c r="I613" s="1">
        <f>IFERROR(__xludf.DUMMYFUNCTION("""COMPUTED_VALUE"""),35.0)</f>
        <v>35</v>
      </c>
      <c r="J613" s="1">
        <f>IFERROR(__xludf.DUMMYFUNCTION("""COMPUTED_VALUE"""),317.0)</f>
        <v>317</v>
      </c>
      <c r="K613" s="1">
        <f>IFERROR(__xludf.DUMMYFUNCTION("""COMPUTED_VALUE"""),63.4)</f>
        <v>63.4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>
        <f>IFERROR(__xludf.DUMMYFUNCTION("""COMPUTED_VALUE"""),99.0)</f>
        <v>99</v>
      </c>
      <c r="E614" s="1">
        <f>IFERROR(__xludf.DUMMYFUNCTION("""COMPUTED_VALUE"""),90.0)</f>
        <v>90</v>
      </c>
      <c r="F614" s="1">
        <f>IFERROR(__xludf.DUMMYFUNCTION("""COMPUTED_VALUE"""),62.0)</f>
        <v>62</v>
      </c>
      <c r="G614" s="1">
        <f>IFERROR(__xludf.DUMMYFUNCTION("""COMPUTED_VALUE"""),94.0)</f>
        <v>94</v>
      </c>
      <c r="H614" s="1">
        <f>IFERROR(__xludf.DUMMYFUNCTION("""COMPUTED_VALUE"""),77.0)</f>
        <v>77</v>
      </c>
      <c r="I614" s="1">
        <f>IFERROR(__xludf.DUMMYFUNCTION("""COMPUTED_VALUE"""),93.0)</f>
        <v>93</v>
      </c>
      <c r="J614" s="1">
        <f>IFERROR(__xludf.DUMMYFUNCTION("""COMPUTED_VALUE"""),416.0)</f>
        <v>416</v>
      </c>
      <c r="K614" s="1">
        <f>IFERROR(__xludf.DUMMYFUNCTION("""COMPUTED_VALUE"""),83.2)</f>
        <v>83.2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>
        <f>IFERROR(__xludf.DUMMYFUNCTION("""COMPUTED_VALUE"""),85.0)</f>
        <v>85</v>
      </c>
      <c r="E615" s="1">
        <f>IFERROR(__xludf.DUMMYFUNCTION("""COMPUTED_VALUE"""),55.0)</f>
        <v>55</v>
      </c>
      <c r="F615" s="1">
        <f>IFERROR(__xludf.DUMMYFUNCTION("""COMPUTED_VALUE"""),61.0)</f>
        <v>61</v>
      </c>
      <c r="G615" s="1">
        <f>IFERROR(__xludf.DUMMYFUNCTION("""COMPUTED_VALUE"""),58.0)</f>
        <v>58</v>
      </c>
      <c r="H615" s="1">
        <f>IFERROR(__xludf.DUMMYFUNCTION("""COMPUTED_VALUE"""),30.0)</f>
        <v>30</v>
      </c>
      <c r="I615" s="1">
        <f>IFERROR(__xludf.DUMMYFUNCTION("""COMPUTED_VALUE"""),30.0)</f>
        <v>30</v>
      </c>
      <c r="J615" s="1">
        <f>IFERROR(__xludf.DUMMYFUNCTION("""COMPUTED_VALUE"""),234.0)</f>
        <v>234</v>
      </c>
      <c r="K615" s="1">
        <f>IFERROR(__xludf.DUMMYFUNCTION("""COMPUTED_VALUE"""),46.800000000000004)</f>
        <v>46.8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>
        <f>IFERROR(__xludf.DUMMYFUNCTION("""COMPUTED_VALUE"""),24.0)</f>
        <v>24</v>
      </c>
      <c r="E616" s="1">
        <f>IFERROR(__xludf.DUMMYFUNCTION("""COMPUTED_VALUE"""),25.0)</f>
        <v>25</v>
      </c>
      <c r="F616" s="1">
        <f>IFERROR(__xludf.DUMMYFUNCTION("""COMPUTED_VALUE"""),77.0)</f>
        <v>77</v>
      </c>
      <c r="G616" s="1">
        <f>IFERROR(__xludf.DUMMYFUNCTION("""COMPUTED_VALUE"""),96.0)</f>
        <v>96</v>
      </c>
      <c r="H616" s="1">
        <f>IFERROR(__xludf.DUMMYFUNCTION("""COMPUTED_VALUE"""),54.0)</f>
        <v>54</v>
      </c>
      <c r="I616" s="1">
        <f>IFERROR(__xludf.DUMMYFUNCTION("""COMPUTED_VALUE"""),37.0)</f>
        <v>37</v>
      </c>
      <c r="J616" s="1">
        <f>IFERROR(__xludf.DUMMYFUNCTION("""COMPUTED_VALUE"""),289.0)</f>
        <v>289</v>
      </c>
      <c r="K616" s="1">
        <f>IFERROR(__xludf.DUMMYFUNCTION("""COMPUTED_VALUE"""),57.8)</f>
        <v>57.8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>
        <f>IFERROR(__xludf.DUMMYFUNCTION("""COMPUTED_VALUE"""),32.0)</f>
        <v>32</v>
      </c>
      <c r="E617" s="1">
        <f>IFERROR(__xludf.DUMMYFUNCTION("""COMPUTED_VALUE"""),96.0)</f>
        <v>96</v>
      </c>
      <c r="F617" s="1">
        <f>IFERROR(__xludf.DUMMYFUNCTION("""COMPUTED_VALUE"""),80.0)</f>
        <v>80</v>
      </c>
      <c r="G617" s="1">
        <f>IFERROR(__xludf.DUMMYFUNCTION("""COMPUTED_VALUE"""),44.0)</f>
        <v>44</v>
      </c>
      <c r="H617" s="1">
        <f>IFERROR(__xludf.DUMMYFUNCTION("""COMPUTED_VALUE"""),65.0)</f>
        <v>65</v>
      </c>
      <c r="I617" s="1">
        <f>IFERROR(__xludf.DUMMYFUNCTION("""COMPUTED_VALUE"""),48.0)</f>
        <v>48</v>
      </c>
      <c r="J617" s="1">
        <f>IFERROR(__xludf.DUMMYFUNCTION("""COMPUTED_VALUE"""),333.0)</f>
        <v>333</v>
      </c>
      <c r="K617" s="1">
        <f>IFERROR(__xludf.DUMMYFUNCTION("""COMPUTED_VALUE"""),66.60000000000001)</f>
        <v>66.6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>
        <f>IFERROR(__xludf.DUMMYFUNCTION("""COMPUTED_VALUE"""),34.0)</f>
        <v>34</v>
      </c>
      <c r="E618" s="1">
        <f>IFERROR(__xludf.DUMMYFUNCTION("""COMPUTED_VALUE"""),80.0)</f>
        <v>80</v>
      </c>
      <c r="F618" s="1">
        <f>IFERROR(__xludf.DUMMYFUNCTION("""COMPUTED_VALUE"""),37.0)</f>
        <v>37</v>
      </c>
      <c r="G618" s="1">
        <f>IFERROR(__xludf.DUMMYFUNCTION("""COMPUTED_VALUE"""),99.0)</f>
        <v>99</v>
      </c>
      <c r="H618" s="1">
        <f>IFERROR(__xludf.DUMMYFUNCTION("""COMPUTED_VALUE"""),29.0)</f>
        <v>29</v>
      </c>
      <c r="I618" s="1">
        <f>IFERROR(__xludf.DUMMYFUNCTION("""COMPUTED_VALUE"""),39.0)</f>
        <v>39</v>
      </c>
      <c r="J618" s="1">
        <f>IFERROR(__xludf.DUMMYFUNCTION("""COMPUTED_VALUE"""),284.0)</f>
        <v>284</v>
      </c>
      <c r="K618" s="1">
        <f>IFERROR(__xludf.DUMMYFUNCTION("""COMPUTED_VALUE"""),56.8)</f>
        <v>56.8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>
        <f>IFERROR(__xludf.DUMMYFUNCTION("""COMPUTED_VALUE"""),45.0)</f>
        <v>45</v>
      </c>
      <c r="E619" s="1">
        <f>IFERROR(__xludf.DUMMYFUNCTION("""COMPUTED_VALUE"""),28.0)</f>
        <v>28</v>
      </c>
      <c r="F619" s="1">
        <f>IFERROR(__xludf.DUMMYFUNCTION("""COMPUTED_VALUE"""),66.0)</f>
        <v>66</v>
      </c>
      <c r="G619" s="1">
        <f>IFERROR(__xludf.DUMMYFUNCTION("""COMPUTED_VALUE"""),55.0)</f>
        <v>55</v>
      </c>
      <c r="H619" s="1">
        <f>IFERROR(__xludf.DUMMYFUNCTION("""COMPUTED_VALUE"""),88.0)</f>
        <v>88</v>
      </c>
      <c r="I619" s="1">
        <f>IFERROR(__xludf.DUMMYFUNCTION("""COMPUTED_VALUE"""),21.0)</f>
        <v>21</v>
      </c>
      <c r="J619" s="1">
        <f>IFERROR(__xludf.DUMMYFUNCTION("""COMPUTED_VALUE"""),258.0)</f>
        <v>258</v>
      </c>
      <c r="K619" s="1">
        <f>IFERROR(__xludf.DUMMYFUNCTION("""COMPUTED_VALUE"""),51.6)</f>
        <v>51.6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>
        <f>IFERROR(__xludf.DUMMYFUNCTION("""COMPUTED_VALUE"""),23.0)</f>
        <v>23</v>
      </c>
      <c r="E620" s="1">
        <f>IFERROR(__xludf.DUMMYFUNCTION("""COMPUTED_VALUE"""),73.0)</f>
        <v>73</v>
      </c>
      <c r="F620" s="1">
        <f>IFERROR(__xludf.DUMMYFUNCTION("""COMPUTED_VALUE"""),52.0)</f>
        <v>52</v>
      </c>
      <c r="G620" s="1">
        <f>IFERROR(__xludf.DUMMYFUNCTION("""COMPUTED_VALUE"""),92.0)</f>
        <v>92</v>
      </c>
      <c r="H620" s="1">
        <f>IFERROR(__xludf.DUMMYFUNCTION("""COMPUTED_VALUE"""),47.0)</f>
        <v>47</v>
      </c>
      <c r="I620" s="1">
        <f>IFERROR(__xludf.DUMMYFUNCTION("""COMPUTED_VALUE"""),42.0)</f>
        <v>42</v>
      </c>
      <c r="J620" s="1">
        <f>IFERROR(__xludf.DUMMYFUNCTION("""COMPUTED_VALUE"""),306.0)</f>
        <v>306</v>
      </c>
      <c r="K620" s="1">
        <f>IFERROR(__xludf.DUMMYFUNCTION("""COMPUTED_VALUE"""),61.199999999999996)</f>
        <v>61.2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>
        <f>IFERROR(__xludf.DUMMYFUNCTION("""COMPUTED_VALUE"""),62.0)</f>
        <v>62</v>
      </c>
      <c r="E621" s="1">
        <f>IFERROR(__xludf.DUMMYFUNCTION("""COMPUTED_VALUE"""),58.0)</f>
        <v>58</v>
      </c>
      <c r="F621" s="1">
        <f>IFERROR(__xludf.DUMMYFUNCTION("""COMPUTED_VALUE"""),27.0)</f>
        <v>27</v>
      </c>
      <c r="G621" s="1">
        <f>IFERROR(__xludf.DUMMYFUNCTION("""COMPUTED_VALUE"""),43.0)</f>
        <v>43</v>
      </c>
      <c r="H621" s="1">
        <f>IFERROR(__xludf.DUMMYFUNCTION("""COMPUTED_VALUE"""),72.0)</f>
        <v>72</v>
      </c>
      <c r="I621" s="1">
        <f>IFERROR(__xludf.DUMMYFUNCTION("""COMPUTED_VALUE"""),44.0)</f>
        <v>44</v>
      </c>
      <c r="J621" s="1">
        <f>IFERROR(__xludf.DUMMYFUNCTION("""COMPUTED_VALUE"""),244.0)</f>
        <v>244</v>
      </c>
      <c r="K621" s="1">
        <f>IFERROR(__xludf.DUMMYFUNCTION("""COMPUTED_VALUE"""),48.8)</f>
        <v>48.8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>
        <f>IFERROR(__xludf.DUMMYFUNCTION("""COMPUTED_VALUE"""),98.0)</f>
        <v>98</v>
      </c>
      <c r="E622" s="1">
        <f>IFERROR(__xludf.DUMMYFUNCTION("""COMPUTED_VALUE"""),98.0)</f>
        <v>98</v>
      </c>
      <c r="F622" s="1">
        <f>IFERROR(__xludf.DUMMYFUNCTION("""COMPUTED_VALUE"""),68.0)</f>
        <v>68</v>
      </c>
      <c r="G622" s="1">
        <f>IFERROR(__xludf.DUMMYFUNCTION("""COMPUTED_VALUE"""),62.0)</f>
        <v>62</v>
      </c>
      <c r="H622" s="1">
        <f>IFERROR(__xludf.DUMMYFUNCTION("""COMPUTED_VALUE"""),68.0)</f>
        <v>68</v>
      </c>
      <c r="I622" s="1">
        <f>IFERROR(__xludf.DUMMYFUNCTION("""COMPUTED_VALUE"""),27.0)</f>
        <v>27</v>
      </c>
      <c r="J622" s="1">
        <f>IFERROR(__xludf.DUMMYFUNCTION("""COMPUTED_VALUE"""),323.0)</f>
        <v>323</v>
      </c>
      <c r="K622" s="1">
        <f>IFERROR(__xludf.DUMMYFUNCTION("""COMPUTED_VALUE"""),64.60000000000001)</f>
        <v>64.6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>
        <f>IFERROR(__xludf.DUMMYFUNCTION("""COMPUTED_VALUE"""),33.0)</f>
        <v>33</v>
      </c>
      <c r="E623" s="1">
        <f>IFERROR(__xludf.DUMMYFUNCTION("""COMPUTED_VALUE"""),34.0)</f>
        <v>34</v>
      </c>
      <c r="F623" s="1">
        <f>IFERROR(__xludf.DUMMYFUNCTION("""COMPUTED_VALUE"""),54.0)</f>
        <v>54</v>
      </c>
      <c r="G623" s="1">
        <f>IFERROR(__xludf.DUMMYFUNCTION("""COMPUTED_VALUE"""),82.0)</f>
        <v>82</v>
      </c>
      <c r="H623" s="1">
        <f>IFERROR(__xludf.DUMMYFUNCTION("""COMPUTED_VALUE"""),48.0)</f>
        <v>48</v>
      </c>
      <c r="I623" s="1">
        <f>IFERROR(__xludf.DUMMYFUNCTION("""COMPUTED_VALUE"""),85.0)</f>
        <v>85</v>
      </c>
      <c r="J623" s="1">
        <f>IFERROR(__xludf.DUMMYFUNCTION("""COMPUTED_VALUE"""),303.0)</f>
        <v>303</v>
      </c>
      <c r="K623" s="1">
        <f>IFERROR(__xludf.DUMMYFUNCTION("""COMPUTED_VALUE"""),60.6)</f>
        <v>60.6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>
        <f>IFERROR(__xludf.DUMMYFUNCTION("""COMPUTED_VALUE"""),10.0)</f>
        <v>10</v>
      </c>
      <c r="E624" s="1">
        <f>IFERROR(__xludf.DUMMYFUNCTION("""COMPUTED_VALUE"""),57.0)</f>
        <v>57</v>
      </c>
      <c r="F624" s="1">
        <f>IFERROR(__xludf.DUMMYFUNCTION("""COMPUTED_VALUE"""),25.0)</f>
        <v>25</v>
      </c>
      <c r="G624" s="1">
        <f>IFERROR(__xludf.DUMMYFUNCTION("""COMPUTED_VALUE"""),28.0)</f>
        <v>28</v>
      </c>
      <c r="H624" s="1">
        <f>IFERROR(__xludf.DUMMYFUNCTION("""COMPUTED_VALUE"""),89.0)</f>
        <v>89</v>
      </c>
      <c r="I624" s="1">
        <f>IFERROR(__xludf.DUMMYFUNCTION("""COMPUTED_VALUE"""),20.0)</f>
        <v>20</v>
      </c>
      <c r="J624" s="1">
        <f>IFERROR(__xludf.DUMMYFUNCTION("""COMPUTED_VALUE"""),219.0)</f>
        <v>219</v>
      </c>
      <c r="K624" s="1">
        <f>IFERROR(__xludf.DUMMYFUNCTION("""COMPUTED_VALUE"""),43.8)</f>
        <v>43.8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>
        <f>IFERROR(__xludf.DUMMYFUNCTION("""COMPUTED_VALUE"""),74.0)</f>
        <v>74</v>
      </c>
      <c r="E625" s="1">
        <f>IFERROR(__xludf.DUMMYFUNCTION("""COMPUTED_VALUE"""),63.0)</f>
        <v>63</v>
      </c>
      <c r="F625" s="1">
        <f>IFERROR(__xludf.DUMMYFUNCTION("""COMPUTED_VALUE"""),52.0)</f>
        <v>52</v>
      </c>
      <c r="G625" s="1">
        <f>IFERROR(__xludf.DUMMYFUNCTION("""COMPUTED_VALUE"""),39.0)</f>
        <v>39</v>
      </c>
      <c r="H625" s="1">
        <f>IFERROR(__xludf.DUMMYFUNCTION("""COMPUTED_VALUE"""),54.0)</f>
        <v>54</v>
      </c>
      <c r="I625" s="1">
        <f>IFERROR(__xludf.DUMMYFUNCTION("""COMPUTED_VALUE"""),73.0)</f>
        <v>73</v>
      </c>
      <c r="J625" s="1">
        <f>IFERROR(__xludf.DUMMYFUNCTION("""COMPUTED_VALUE"""),281.0)</f>
        <v>281</v>
      </c>
      <c r="K625" s="1">
        <f>IFERROR(__xludf.DUMMYFUNCTION("""COMPUTED_VALUE"""),56.2)</f>
        <v>56.2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>
        <f>IFERROR(__xludf.DUMMYFUNCTION("""COMPUTED_VALUE"""),61.0)</f>
        <v>61</v>
      </c>
      <c r="E626" s="1">
        <f>IFERROR(__xludf.DUMMYFUNCTION("""COMPUTED_VALUE"""),84.0)</f>
        <v>84</v>
      </c>
      <c r="F626" s="1">
        <f>IFERROR(__xludf.DUMMYFUNCTION("""COMPUTED_VALUE"""),74.0)</f>
        <v>74</v>
      </c>
      <c r="G626" s="1">
        <f>IFERROR(__xludf.DUMMYFUNCTION("""COMPUTED_VALUE"""),84.0)</f>
        <v>84</v>
      </c>
      <c r="H626" s="1">
        <f>IFERROR(__xludf.DUMMYFUNCTION("""COMPUTED_VALUE"""),63.0)</f>
        <v>63</v>
      </c>
      <c r="I626" s="1">
        <f>IFERROR(__xludf.DUMMYFUNCTION("""COMPUTED_VALUE"""),64.0)</f>
        <v>64</v>
      </c>
      <c r="J626" s="1">
        <f>IFERROR(__xludf.DUMMYFUNCTION("""COMPUTED_VALUE"""),369.0)</f>
        <v>369</v>
      </c>
      <c r="K626" s="1">
        <f>IFERROR(__xludf.DUMMYFUNCTION("""COMPUTED_VALUE"""),73.8)</f>
        <v>73.8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>
        <f>IFERROR(__xludf.DUMMYFUNCTION("""COMPUTED_VALUE"""),35.0)</f>
        <v>35</v>
      </c>
      <c r="E627" s="1">
        <f>IFERROR(__xludf.DUMMYFUNCTION("""COMPUTED_VALUE"""),28.0)</f>
        <v>28</v>
      </c>
      <c r="F627" s="1">
        <f>IFERROR(__xludf.DUMMYFUNCTION("""COMPUTED_VALUE"""),45.0)</f>
        <v>45</v>
      </c>
      <c r="G627" s="1">
        <f>IFERROR(__xludf.DUMMYFUNCTION("""COMPUTED_VALUE"""),73.0)</f>
        <v>73</v>
      </c>
      <c r="H627" s="1">
        <f>IFERROR(__xludf.DUMMYFUNCTION("""COMPUTED_VALUE"""),84.0)</f>
        <v>84</v>
      </c>
      <c r="I627" s="1">
        <f>IFERROR(__xludf.DUMMYFUNCTION("""COMPUTED_VALUE"""),64.0)</f>
        <v>64</v>
      </c>
      <c r="J627" s="1">
        <f>IFERROR(__xludf.DUMMYFUNCTION("""COMPUTED_VALUE"""),294.0)</f>
        <v>294</v>
      </c>
      <c r="K627" s="1">
        <f>IFERROR(__xludf.DUMMYFUNCTION("""COMPUTED_VALUE"""),58.8)</f>
        <v>58.8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>
        <f>IFERROR(__xludf.DUMMYFUNCTION("""COMPUTED_VALUE"""),38.0)</f>
        <v>38</v>
      </c>
      <c r="E628" s="1">
        <f>IFERROR(__xludf.DUMMYFUNCTION("""COMPUTED_VALUE"""),54.0)</f>
        <v>54</v>
      </c>
      <c r="F628" s="1">
        <f>IFERROR(__xludf.DUMMYFUNCTION("""COMPUTED_VALUE"""),27.0)</f>
        <v>27</v>
      </c>
      <c r="G628" s="1">
        <f>IFERROR(__xludf.DUMMYFUNCTION("""COMPUTED_VALUE"""),41.0)</f>
        <v>41</v>
      </c>
      <c r="H628" s="1">
        <f>IFERROR(__xludf.DUMMYFUNCTION("""COMPUTED_VALUE"""),90.0)</f>
        <v>90</v>
      </c>
      <c r="I628" s="1">
        <f>IFERROR(__xludf.DUMMYFUNCTION("""COMPUTED_VALUE"""),43.0)</f>
        <v>43</v>
      </c>
      <c r="J628" s="1">
        <f>IFERROR(__xludf.DUMMYFUNCTION("""COMPUTED_VALUE"""),255.0)</f>
        <v>255</v>
      </c>
      <c r="K628" s="1">
        <f>IFERROR(__xludf.DUMMYFUNCTION("""COMPUTED_VALUE"""),51.0)</f>
        <v>51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>
        <f>IFERROR(__xludf.DUMMYFUNCTION("""COMPUTED_VALUE"""),72.0)</f>
        <v>72</v>
      </c>
      <c r="E629" s="1">
        <f>IFERROR(__xludf.DUMMYFUNCTION("""COMPUTED_VALUE"""),38.0)</f>
        <v>38</v>
      </c>
      <c r="F629" s="1">
        <f>IFERROR(__xludf.DUMMYFUNCTION("""COMPUTED_VALUE"""),49.0)</f>
        <v>49</v>
      </c>
      <c r="G629" s="1">
        <f>IFERROR(__xludf.DUMMYFUNCTION("""COMPUTED_VALUE"""),44.0)</f>
        <v>44</v>
      </c>
      <c r="H629" s="1">
        <f>IFERROR(__xludf.DUMMYFUNCTION("""COMPUTED_VALUE"""),70.0)</f>
        <v>70</v>
      </c>
      <c r="I629" s="1">
        <f>IFERROR(__xludf.DUMMYFUNCTION("""COMPUTED_VALUE"""),49.0)</f>
        <v>49</v>
      </c>
      <c r="J629" s="1">
        <f>IFERROR(__xludf.DUMMYFUNCTION("""COMPUTED_VALUE"""),250.0)</f>
        <v>250</v>
      </c>
      <c r="K629" s="1">
        <f>IFERROR(__xludf.DUMMYFUNCTION("""COMPUTED_VALUE"""),50.0)</f>
        <v>50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>
        <f>IFERROR(__xludf.DUMMYFUNCTION("""COMPUTED_VALUE"""),43.0)</f>
        <v>43</v>
      </c>
      <c r="E630" s="1">
        <f>IFERROR(__xludf.DUMMYFUNCTION("""COMPUTED_VALUE"""),78.0)</f>
        <v>78</v>
      </c>
      <c r="F630" s="1">
        <f>IFERROR(__xludf.DUMMYFUNCTION("""COMPUTED_VALUE"""),84.0)</f>
        <v>84</v>
      </c>
      <c r="G630" s="1">
        <f>IFERROR(__xludf.DUMMYFUNCTION("""COMPUTED_VALUE"""),75.0)</f>
        <v>75</v>
      </c>
      <c r="H630" s="1">
        <f>IFERROR(__xludf.DUMMYFUNCTION("""COMPUTED_VALUE"""),92.0)</f>
        <v>92</v>
      </c>
      <c r="I630" s="1">
        <f>IFERROR(__xludf.DUMMYFUNCTION("""COMPUTED_VALUE"""),83.0)</f>
        <v>83</v>
      </c>
      <c r="J630" s="1">
        <f>IFERROR(__xludf.DUMMYFUNCTION("""COMPUTED_VALUE"""),412.0)</f>
        <v>412</v>
      </c>
      <c r="K630" s="1">
        <f>IFERROR(__xludf.DUMMYFUNCTION("""COMPUTED_VALUE"""),82.39999999999999)</f>
        <v>82.4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>
        <f>IFERROR(__xludf.DUMMYFUNCTION("""COMPUTED_VALUE"""),68.0)</f>
        <v>68</v>
      </c>
      <c r="E631" s="1">
        <f>IFERROR(__xludf.DUMMYFUNCTION("""COMPUTED_VALUE"""),85.0)</f>
        <v>85</v>
      </c>
      <c r="F631" s="1">
        <f>IFERROR(__xludf.DUMMYFUNCTION("""COMPUTED_VALUE"""),98.0)</f>
        <v>98</v>
      </c>
      <c r="G631" s="1">
        <f>IFERROR(__xludf.DUMMYFUNCTION("""COMPUTED_VALUE"""),21.0)</f>
        <v>21</v>
      </c>
      <c r="H631" s="1">
        <f>IFERROR(__xludf.DUMMYFUNCTION("""COMPUTED_VALUE"""),53.0)</f>
        <v>53</v>
      </c>
      <c r="I631" s="1">
        <f>IFERROR(__xludf.DUMMYFUNCTION("""COMPUTED_VALUE"""),56.0)</f>
        <v>56</v>
      </c>
      <c r="J631" s="1">
        <f>IFERROR(__xludf.DUMMYFUNCTION("""COMPUTED_VALUE"""),313.0)</f>
        <v>313</v>
      </c>
      <c r="K631" s="1">
        <f>IFERROR(__xludf.DUMMYFUNCTION("""COMPUTED_VALUE"""),62.6)</f>
        <v>62.6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>
        <f>IFERROR(__xludf.DUMMYFUNCTION("""COMPUTED_VALUE"""),68.0)</f>
        <v>68</v>
      </c>
      <c r="E632" s="1">
        <f>IFERROR(__xludf.DUMMYFUNCTION("""COMPUTED_VALUE"""),49.0)</f>
        <v>49</v>
      </c>
      <c r="F632" s="1">
        <f>IFERROR(__xludf.DUMMYFUNCTION("""COMPUTED_VALUE"""),42.0)</f>
        <v>42</v>
      </c>
      <c r="G632" s="1">
        <f>IFERROR(__xludf.DUMMYFUNCTION("""COMPUTED_VALUE"""),91.0)</f>
        <v>91</v>
      </c>
      <c r="H632" s="1">
        <f>IFERROR(__xludf.DUMMYFUNCTION("""COMPUTED_VALUE"""),74.0)</f>
        <v>74</v>
      </c>
      <c r="I632" s="1">
        <f>IFERROR(__xludf.DUMMYFUNCTION("""COMPUTED_VALUE"""),43.0)</f>
        <v>43</v>
      </c>
      <c r="J632" s="1">
        <f>IFERROR(__xludf.DUMMYFUNCTION("""COMPUTED_VALUE"""),299.0)</f>
        <v>299</v>
      </c>
      <c r="K632" s="1">
        <f>IFERROR(__xludf.DUMMYFUNCTION("""COMPUTED_VALUE"""),59.8)</f>
        <v>59.8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>
        <f>IFERROR(__xludf.DUMMYFUNCTION("""COMPUTED_VALUE"""),16.0)</f>
        <v>16</v>
      </c>
      <c r="E633" s="1">
        <f>IFERROR(__xludf.DUMMYFUNCTION("""COMPUTED_VALUE"""),31.0)</f>
        <v>31</v>
      </c>
      <c r="F633" s="1">
        <f>IFERROR(__xludf.DUMMYFUNCTION("""COMPUTED_VALUE"""),97.0)</f>
        <v>97</v>
      </c>
      <c r="G633" s="1">
        <f>IFERROR(__xludf.DUMMYFUNCTION("""COMPUTED_VALUE"""),94.0)</f>
        <v>94</v>
      </c>
      <c r="H633" s="1">
        <f>IFERROR(__xludf.DUMMYFUNCTION("""COMPUTED_VALUE"""),82.0)</f>
        <v>82</v>
      </c>
      <c r="I633" s="1">
        <f>IFERROR(__xludf.DUMMYFUNCTION("""COMPUTED_VALUE"""),97.0)</f>
        <v>97</v>
      </c>
      <c r="J633" s="1">
        <f>IFERROR(__xludf.DUMMYFUNCTION("""COMPUTED_VALUE"""),401.0)</f>
        <v>401</v>
      </c>
      <c r="K633" s="1">
        <f>IFERROR(__xludf.DUMMYFUNCTION("""COMPUTED_VALUE"""),80.2)</f>
        <v>80.2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>
        <f>IFERROR(__xludf.DUMMYFUNCTION("""COMPUTED_VALUE"""),29.0)</f>
        <v>29</v>
      </c>
      <c r="E634" s="1">
        <f>IFERROR(__xludf.DUMMYFUNCTION("""COMPUTED_VALUE"""),32.0)</f>
        <v>32</v>
      </c>
      <c r="F634" s="1">
        <f>IFERROR(__xludf.DUMMYFUNCTION("""COMPUTED_VALUE"""),53.0)</f>
        <v>53</v>
      </c>
      <c r="G634" s="1">
        <f>IFERROR(__xludf.DUMMYFUNCTION("""COMPUTED_VALUE"""),37.0)</f>
        <v>37</v>
      </c>
      <c r="H634" s="1">
        <f>IFERROR(__xludf.DUMMYFUNCTION("""COMPUTED_VALUE"""),69.0)</f>
        <v>69</v>
      </c>
      <c r="I634" s="1">
        <f>IFERROR(__xludf.DUMMYFUNCTION("""COMPUTED_VALUE"""),26.0)</f>
        <v>26</v>
      </c>
      <c r="J634" s="1">
        <f>IFERROR(__xludf.DUMMYFUNCTION("""COMPUTED_VALUE"""),217.0)</f>
        <v>217</v>
      </c>
      <c r="K634" s="1">
        <f>IFERROR(__xludf.DUMMYFUNCTION("""COMPUTED_VALUE"""),43.4)</f>
        <v>43.4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>
        <f>IFERROR(__xludf.DUMMYFUNCTION("""COMPUTED_VALUE"""),28.0)</f>
        <v>28</v>
      </c>
      <c r="E635" s="1">
        <f>IFERROR(__xludf.DUMMYFUNCTION("""COMPUTED_VALUE"""),84.0)</f>
        <v>84</v>
      </c>
      <c r="F635" s="1">
        <f>IFERROR(__xludf.DUMMYFUNCTION("""COMPUTED_VALUE"""),71.0)</f>
        <v>71</v>
      </c>
      <c r="G635" s="1">
        <f>IFERROR(__xludf.DUMMYFUNCTION("""COMPUTED_VALUE"""),39.0)</f>
        <v>39</v>
      </c>
      <c r="H635" s="1">
        <f>IFERROR(__xludf.DUMMYFUNCTION("""COMPUTED_VALUE"""),51.0)</f>
        <v>51</v>
      </c>
      <c r="I635" s="1">
        <f>IFERROR(__xludf.DUMMYFUNCTION("""COMPUTED_VALUE"""),42.0)</f>
        <v>42</v>
      </c>
      <c r="J635" s="1">
        <f>IFERROR(__xludf.DUMMYFUNCTION("""COMPUTED_VALUE"""),287.0)</f>
        <v>287</v>
      </c>
      <c r="K635" s="1">
        <f>IFERROR(__xludf.DUMMYFUNCTION("""COMPUTED_VALUE"""),57.4)</f>
        <v>57.4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>
        <f>IFERROR(__xludf.DUMMYFUNCTION("""COMPUTED_VALUE"""),25.0)</f>
        <v>25</v>
      </c>
      <c r="E636" s="1">
        <f>IFERROR(__xludf.DUMMYFUNCTION("""COMPUTED_VALUE"""),64.0)</f>
        <v>64</v>
      </c>
      <c r="F636" s="1">
        <f>IFERROR(__xludf.DUMMYFUNCTION("""COMPUTED_VALUE"""),39.0)</f>
        <v>39</v>
      </c>
      <c r="G636" s="1">
        <f>IFERROR(__xludf.DUMMYFUNCTION("""COMPUTED_VALUE"""),39.0)</f>
        <v>39</v>
      </c>
      <c r="H636" s="1">
        <f>IFERROR(__xludf.DUMMYFUNCTION("""COMPUTED_VALUE"""),63.0)</f>
        <v>63</v>
      </c>
      <c r="I636" s="1">
        <f>IFERROR(__xludf.DUMMYFUNCTION("""COMPUTED_VALUE"""),58.0)</f>
        <v>58</v>
      </c>
      <c r="J636" s="1">
        <f>IFERROR(__xludf.DUMMYFUNCTION("""COMPUTED_VALUE"""),263.0)</f>
        <v>263</v>
      </c>
      <c r="K636" s="1">
        <f>IFERROR(__xludf.DUMMYFUNCTION("""COMPUTED_VALUE"""),52.6)</f>
        <v>52.6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>
        <f>IFERROR(__xludf.DUMMYFUNCTION("""COMPUTED_VALUE"""),56.0)</f>
        <v>56</v>
      </c>
      <c r="E637" s="1">
        <f>IFERROR(__xludf.DUMMYFUNCTION("""COMPUTED_VALUE"""),36.0)</f>
        <v>36</v>
      </c>
      <c r="F637" s="1">
        <f>IFERROR(__xludf.DUMMYFUNCTION("""COMPUTED_VALUE"""),22.0)</f>
        <v>22</v>
      </c>
      <c r="G637" s="1">
        <f>IFERROR(__xludf.DUMMYFUNCTION("""COMPUTED_VALUE"""),60.0)</f>
        <v>60</v>
      </c>
      <c r="H637" s="1">
        <f>IFERROR(__xludf.DUMMYFUNCTION("""COMPUTED_VALUE"""),32.0)</f>
        <v>32</v>
      </c>
      <c r="I637" s="1">
        <f>IFERROR(__xludf.DUMMYFUNCTION("""COMPUTED_VALUE"""),29.0)</f>
        <v>29</v>
      </c>
      <c r="J637" s="1">
        <f>IFERROR(__xludf.DUMMYFUNCTION("""COMPUTED_VALUE"""),179.0)</f>
        <v>179</v>
      </c>
      <c r="K637" s="1">
        <f>IFERROR(__xludf.DUMMYFUNCTION("""COMPUTED_VALUE"""),35.8)</f>
        <v>35.8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>
        <f>IFERROR(__xludf.DUMMYFUNCTION("""COMPUTED_VALUE"""),73.0)</f>
        <v>73</v>
      </c>
      <c r="E638" s="1">
        <f>IFERROR(__xludf.DUMMYFUNCTION("""COMPUTED_VALUE"""),90.0)</f>
        <v>90</v>
      </c>
      <c r="F638" s="1">
        <f>IFERROR(__xludf.DUMMYFUNCTION("""COMPUTED_VALUE"""),66.0)</f>
        <v>66</v>
      </c>
      <c r="G638" s="1">
        <f>IFERROR(__xludf.DUMMYFUNCTION("""COMPUTED_VALUE"""),40.0)</f>
        <v>40</v>
      </c>
      <c r="H638" s="1">
        <f>IFERROR(__xludf.DUMMYFUNCTION("""COMPUTED_VALUE"""),63.0)</f>
        <v>63</v>
      </c>
      <c r="I638" s="1">
        <f>IFERROR(__xludf.DUMMYFUNCTION("""COMPUTED_VALUE"""),49.0)</f>
        <v>49</v>
      </c>
      <c r="J638" s="1">
        <f>IFERROR(__xludf.DUMMYFUNCTION("""COMPUTED_VALUE"""),308.0)</f>
        <v>308</v>
      </c>
      <c r="K638" s="1">
        <f>IFERROR(__xludf.DUMMYFUNCTION("""COMPUTED_VALUE"""),61.6)</f>
        <v>61.6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>
        <f>IFERROR(__xludf.DUMMYFUNCTION("""COMPUTED_VALUE"""),75.0)</f>
        <v>75</v>
      </c>
      <c r="E639" s="1">
        <f>IFERROR(__xludf.DUMMYFUNCTION("""COMPUTED_VALUE"""),56.0)</f>
        <v>56</v>
      </c>
      <c r="F639" s="1">
        <f>IFERROR(__xludf.DUMMYFUNCTION("""COMPUTED_VALUE"""),84.0)</f>
        <v>84</v>
      </c>
      <c r="G639" s="1">
        <f>IFERROR(__xludf.DUMMYFUNCTION("""COMPUTED_VALUE"""),49.0)</f>
        <v>49</v>
      </c>
      <c r="H639" s="1">
        <f>IFERROR(__xludf.DUMMYFUNCTION("""COMPUTED_VALUE"""),63.0)</f>
        <v>63</v>
      </c>
      <c r="I639" s="1">
        <f>IFERROR(__xludf.DUMMYFUNCTION("""COMPUTED_VALUE"""),42.0)</f>
        <v>42</v>
      </c>
      <c r="J639" s="1">
        <f>IFERROR(__xludf.DUMMYFUNCTION("""COMPUTED_VALUE"""),294.0)</f>
        <v>294</v>
      </c>
      <c r="K639" s="1">
        <f>IFERROR(__xludf.DUMMYFUNCTION("""COMPUTED_VALUE"""),58.8)</f>
        <v>58.8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>
        <f>IFERROR(__xludf.DUMMYFUNCTION("""COMPUTED_VALUE"""),42.0)</f>
        <v>42</v>
      </c>
      <c r="E640" s="1">
        <f>IFERROR(__xludf.DUMMYFUNCTION("""COMPUTED_VALUE"""),25.0)</f>
        <v>25</v>
      </c>
      <c r="F640" s="1">
        <f>IFERROR(__xludf.DUMMYFUNCTION("""COMPUTED_VALUE"""),41.0)</f>
        <v>41</v>
      </c>
      <c r="G640" s="1">
        <f>IFERROR(__xludf.DUMMYFUNCTION("""COMPUTED_VALUE"""),84.0)</f>
        <v>84</v>
      </c>
      <c r="H640" s="1">
        <f>IFERROR(__xludf.DUMMYFUNCTION("""COMPUTED_VALUE"""),53.0)</f>
        <v>53</v>
      </c>
      <c r="I640" s="1">
        <f>IFERROR(__xludf.DUMMYFUNCTION("""COMPUTED_VALUE"""),54.0)</f>
        <v>54</v>
      </c>
      <c r="J640" s="1">
        <f>IFERROR(__xludf.DUMMYFUNCTION("""COMPUTED_VALUE"""),257.0)</f>
        <v>257</v>
      </c>
      <c r="K640" s="1">
        <f>IFERROR(__xludf.DUMMYFUNCTION("""COMPUTED_VALUE"""),51.4)</f>
        <v>51.4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>
        <f>IFERROR(__xludf.DUMMYFUNCTION("""COMPUTED_VALUE"""),31.0)</f>
        <v>31</v>
      </c>
      <c r="E641" s="1">
        <f>IFERROR(__xludf.DUMMYFUNCTION("""COMPUTED_VALUE"""),30.0)</f>
        <v>30</v>
      </c>
      <c r="F641" s="1">
        <f>IFERROR(__xludf.DUMMYFUNCTION("""COMPUTED_VALUE"""),30.0)</f>
        <v>30</v>
      </c>
      <c r="G641" s="1">
        <f>IFERROR(__xludf.DUMMYFUNCTION("""COMPUTED_VALUE"""),24.0)</f>
        <v>24</v>
      </c>
      <c r="H641" s="1">
        <f>IFERROR(__xludf.DUMMYFUNCTION("""COMPUTED_VALUE"""),57.0)</f>
        <v>57</v>
      </c>
      <c r="I641" s="1">
        <f>IFERROR(__xludf.DUMMYFUNCTION("""COMPUTED_VALUE"""),62.0)</f>
        <v>62</v>
      </c>
      <c r="J641" s="1">
        <f>IFERROR(__xludf.DUMMYFUNCTION("""COMPUTED_VALUE"""),203.0)</f>
        <v>203</v>
      </c>
      <c r="K641" s="1">
        <f>IFERROR(__xludf.DUMMYFUNCTION("""COMPUTED_VALUE"""),40.6)</f>
        <v>40.6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>
        <f>IFERROR(__xludf.DUMMYFUNCTION("""COMPUTED_VALUE"""),40.0)</f>
        <v>40</v>
      </c>
      <c r="E642" s="1">
        <f>IFERROR(__xludf.DUMMYFUNCTION("""COMPUTED_VALUE"""),50.0)</f>
        <v>50</v>
      </c>
      <c r="F642" s="1">
        <f>IFERROR(__xludf.DUMMYFUNCTION("""COMPUTED_VALUE"""),39.0)</f>
        <v>39</v>
      </c>
      <c r="G642" s="1">
        <f>IFERROR(__xludf.DUMMYFUNCTION("""COMPUTED_VALUE"""),85.0)</f>
        <v>85</v>
      </c>
      <c r="H642" s="1">
        <f>IFERROR(__xludf.DUMMYFUNCTION("""COMPUTED_VALUE"""),25.0)</f>
        <v>25</v>
      </c>
      <c r="I642" s="1">
        <f>IFERROR(__xludf.DUMMYFUNCTION("""COMPUTED_VALUE"""),99.0)</f>
        <v>99</v>
      </c>
      <c r="J642" s="1">
        <f>IFERROR(__xludf.DUMMYFUNCTION("""COMPUTED_VALUE"""),298.0)</f>
        <v>298</v>
      </c>
      <c r="K642" s="1">
        <f>IFERROR(__xludf.DUMMYFUNCTION("""COMPUTED_VALUE"""),59.599999999999994)</f>
        <v>59.6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>
        <f>IFERROR(__xludf.DUMMYFUNCTION("""COMPUTED_VALUE"""),20.0)</f>
        <v>20</v>
      </c>
      <c r="E643" s="1">
        <f>IFERROR(__xludf.DUMMYFUNCTION("""COMPUTED_VALUE"""),42.0)</f>
        <v>42</v>
      </c>
      <c r="F643" s="1">
        <f>IFERROR(__xludf.DUMMYFUNCTION("""COMPUTED_VALUE"""),25.0)</f>
        <v>25</v>
      </c>
      <c r="G643" s="1">
        <f>IFERROR(__xludf.DUMMYFUNCTION("""COMPUTED_VALUE"""),52.0)</f>
        <v>52</v>
      </c>
      <c r="H643" s="1">
        <f>IFERROR(__xludf.DUMMYFUNCTION("""COMPUTED_VALUE"""),54.0)</f>
        <v>54</v>
      </c>
      <c r="I643" s="1">
        <f>IFERROR(__xludf.DUMMYFUNCTION("""COMPUTED_VALUE"""),63.0)</f>
        <v>63</v>
      </c>
      <c r="J643" s="1">
        <f>IFERROR(__xludf.DUMMYFUNCTION("""COMPUTED_VALUE"""),236.0)</f>
        <v>236</v>
      </c>
      <c r="K643" s="1">
        <f>IFERROR(__xludf.DUMMYFUNCTION("""COMPUTED_VALUE"""),47.199999999999996)</f>
        <v>47.2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>
        <f>IFERROR(__xludf.DUMMYFUNCTION("""COMPUTED_VALUE"""),63.0)</f>
        <v>63</v>
      </c>
      <c r="E644" s="1">
        <f>IFERROR(__xludf.DUMMYFUNCTION("""COMPUTED_VALUE"""),33.0)</f>
        <v>33</v>
      </c>
      <c r="F644" s="1">
        <f>IFERROR(__xludf.DUMMYFUNCTION("""COMPUTED_VALUE"""),99.0)</f>
        <v>99</v>
      </c>
      <c r="G644" s="1">
        <f>IFERROR(__xludf.DUMMYFUNCTION("""COMPUTED_VALUE"""),40.0)</f>
        <v>40</v>
      </c>
      <c r="H644" s="1">
        <f>IFERROR(__xludf.DUMMYFUNCTION("""COMPUTED_VALUE"""),60.0)</f>
        <v>60</v>
      </c>
      <c r="I644" s="1">
        <f>IFERROR(__xludf.DUMMYFUNCTION("""COMPUTED_VALUE"""),34.0)</f>
        <v>34</v>
      </c>
      <c r="J644" s="1">
        <f>IFERROR(__xludf.DUMMYFUNCTION("""COMPUTED_VALUE"""),266.0)</f>
        <v>266</v>
      </c>
      <c r="K644" s="1">
        <f>IFERROR(__xludf.DUMMYFUNCTION("""COMPUTED_VALUE"""),53.2)</f>
        <v>53.2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>
        <f>IFERROR(__xludf.DUMMYFUNCTION("""COMPUTED_VALUE"""),53.0)</f>
        <v>53</v>
      </c>
      <c r="E645" s="1">
        <f>IFERROR(__xludf.DUMMYFUNCTION("""COMPUTED_VALUE"""),79.0)</f>
        <v>79</v>
      </c>
      <c r="F645" s="1">
        <f>IFERROR(__xludf.DUMMYFUNCTION("""COMPUTED_VALUE"""),90.0)</f>
        <v>90</v>
      </c>
      <c r="G645" s="1">
        <f>IFERROR(__xludf.DUMMYFUNCTION("""COMPUTED_VALUE"""),85.0)</f>
        <v>85</v>
      </c>
      <c r="H645" s="1">
        <f>IFERROR(__xludf.DUMMYFUNCTION("""COMPUTED_VALUE"""),31.0)</f>
        <v>31</v>
      </c>
      <c r="I645" s="1">
        <f>IFERROR(__xludf.DUMMYFUNCTION("""COMPUTED_VALUE"""),28.0)</f>
        <v>28</v>
      </c>
      <c r="J645" s="1">
        <f>IFERROR(__xludf.DUMMYFUNCTION("""COMPUTED_VALUE"""),313.0)</f>
        <v>313</v>
      </c>
      <c r="K645" s="1">
        <f>IFERROR(__xludf.DUMMYFUNCTION("""COMPUTED_VALUE"""),62.6)</f>
        <v>62.6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>
        <f>IFERROR(__xludf.DUMMYFUNCTION("""COMPUTED_VALUE"""),49.0)</f>
        <v>49</v>
      </c>
      <c r="E646" s="1">
        <f>IFERROR(__xludf.DUMMYFUNCTION("""COMPUTED_VALUE"""),46.0)</f>
        <v>46</v>
      </c>
      <c r="F646" s="1">
        <f>IFERROR(__xludf.DUMMYFUNCTION("""COMPUTED_VALUE"""),51.0)</f>
        <v>51</v>
      </c>
      <c r="G646" s="1">
        <f>IFERROR(__xludf.DUMMYFUNCTION("""COMPUTED_VALUE"""),66.0)</f>
        <v>66</v>
      </c>
      <c r="H646" s="1">
        <f>IFERROR(__xludf.DUMMYFUNCTION("""COMPUTED_VALUE"""),97.0)</f>
        <v>97</v>
      </c>
      <c r="I646" s="1">
        <f>IFERROR(__xludf.DUMMYFUNCTION("""COMPUTED_VALUE"""),95.0)</f>
        <v>95</v>
      </c>
      <c r="J646" s="1">
        <f>IFERROR(__xludf.DUMMYFUNCTION("""COMPUTED_VALUE"""),355.0)</f>
        <v>355</v>
      </c>
      <c r="K646" s="1">
        <f>IFERROR(__xludf.DUMMYFUNCTION("""COMPUTED_VALUE"""),71.0)</f>
        <v>71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>
        <f>IFERROR(__xludf.DUMMYFUNCTION("""COMPUTED_VALUE"""),90.0)</f>
        <v>90</v>
      </c>
      <c r="E647" s="1">
        <f>IFERROR(__xludf.DUMMYFUNCTION("""COMPUTED_VALUE"""),64.0)</f>
        <v>64</v>
      </c>
      <c r="F647" s="1">
        <f>IFERROR(__xludf.DUMMYFUNCTION("""COMPUTED_VALUE"""),99.0)</f>
        <v>99</v>
      </c>
      <c r="G647" s="1">
        <f>IFERROR(__xludf.DUMMYFUNCTION("""COMPUTED_VALUE"""),95.0)</f>
        <v>95</v>
      </c>
      <c r="H647" s="1">
        <f>IFERROR(__xludf.DUMMYFUNCTION("""COMPUTED_VALUE"""),58.0)</f>
        <v>58</v>
      </c>
      <c r="I647" s="1">
        <f>IFERROR(__xludf.DUMMYFUNCTION("""COMPUTED_VALUE"""),92.0)</f>
        <v>92</v>
      </c>
      <c r="J647" s="1">
        <f>IFERROR(__xludf.DUMMYFUNCTION("""COMPUTED_VALUE"""),408.0)</f>
        <v>408</v>
      </c>
      <c r="K647" s="1">
        <f>IFERROR(__xludf.DUMMYFUNCTION("""COMPUTED_VALUE"""),81.6)</f>
        <v>81.6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>
        <f>IFERROR(__xludf.DUMMYFUNCTION("""COMPUTED_VALUE"""),90.0)</f>
        <v>90</v>
      </c>
      <c r="E648" s="1">
        <f>IFERROR(__xludf.DUMMYFUNCTION("""COMPUTED_VALUE"""),58.0)</f>
        <v>58</v>
      </c>
      <c r="F648" s="1">
        <f>IFERROR(__xludf.DUMMYFUNCTION("""COMPUTED_VALUE"""),31.0)</f>
        <v>31</v>
      </c>
      <c r="G648" s="1">
        <f>IFERROR(__xludf.DUMMYFUNCTION("""COMPUTED_VALUE"""),91.0)</f>
        <v>91</v>
      </c>
      <c r="H648" s="1">
        <f>IFERROR(__xludf.DUMMYFUNCTION("""COMPUTED_VALUE"""),38.0)</f>
        <v>38</v>
      </c>
      <c r="I648" s="1">
        <f>IFERROR(__xludf.DUMMYFUNCTION("""COMPUTED_VALUE"""),24.0)</f>
        <v>24</v>
      </c>
      <c r="J648" s="1">
        <f>IFERROR(__xludf.DUMMYFUNCTION("""COMPUTED_VALUE"""),242.0)</f>
        <v>242</v>
      </c>
      <c r="K648" s="1">
        <f>IFERROR(__xludf.DUMMYFUNCTION("""COMPUTED_VALUE"""),48.4)</f>
        <v>48.4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>
        <f>IFERROR(__xludf.DUMMYFUNCTION("""COMPUTED_VALUE"""),12.0)</f>
        <v>12</v>
      </c>
      <c r="E649" s="1">
        <f>IFERROR(__xludf.DUMMYFUNCTION("""COMPUTED_VALUE"""),39.0)</f>
        <v>39</v>
      </c>
      <c r="F649" s="1">
        <f>IFERROR(__xludf.DUMMYFUNCTION("""COMPUTED_VALUE"""),38.0)</f>
        <v>38</v>
      </c>
      <c r="G649" s="1">
        <f>IFERROR(__xludf.DUMMYFUNCTION("""COMPUTED_VALUE"""),99.0)</f>
        <v>99</v>
      </c>
      <c r="H649" s="1">
        <f>IFERROR(__xludf.DUMMYFUNCTION("""COMPUTED_VALUE"""),67.0)</f>
        <v>67</v>
      </c>
      <c r="I649" s="1">
        <f>IFERROR(__xludf.DUMMYFUNCTION("""COMPUTED_VALUE"""),35.0)</f>
        <v>35</v>
      </c>
      <c r="J649" s="1">
        <f>IFERROR(__xludf.DUMMYFUNCTION("""COMPUTED_VALUE"""),278.0)</f>
        <v>278</v>
      </c>
      <c r="K649" s="1">
        <f>IFERROR(__xludf.DUMMYFUNCTION("""COMPUTED_VALUE"""),55.60000000000001)</f>
        <v>55.6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>
        <f>IFERROR(__xludf.DUMMYFUNCTION("""COMPUTED_VALUE"""),17.0)</f>
        <v>17</v>
      </c>
      <c r="E650" s="1">
        <f>IFERROR(__xludf.DUMMYFUNCTION("""COMPUTED_VALUE"""),91.0)</f>
        <v>91</v>
      </c>
      <c r="F650" s="1">
        <f>IFERROR(__xludf.DUMMYFUNCTION("""COMPUTED_VALUE"""),75.0)</f>
        <v>75</v>
      </c>
      <c r="G650" s="1">
        <f>IFERROR(__xludf.DUMMYFUNCTION("""COMPUTED_VALUE"""),95.0)</f>
        <v>95</v>
      </c>
      <c r="H650" s="1">
        <f>IFERROR(__xludf.DUMMYFUNCTION("""COMPUTED_VALUE"""),52.0)</f>
        <v>52</v>
      </c>
      <c r="I650" s="1">
        <f>IFERROR(__xludf.DUMMYFUNCTION("""COMPUTED_VALUE"""),32.0)</f>
        <v>32</v>
      </c>
      <c r="J650" s="1">
        <f>IFERROR(__xludf.DUMMYFUNCTION("""COMPUTED_VALUE"""),345.0)</f>
        <v>345</v>
      </c>
      <c r="K650" s="1">
        <f>IFERROR(__xludf.DUMMYFUNCTION("""COMPUTED_VALUE"""),69.0)</f>
        <v>69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>
        <f>IFERROR(__xludf.DUMMYFUNCTION("""COMPUTED_VALUE"""),79.0)</f>
        <v>79</v>
      </c>
      <c r="E651" s="1">
        <f>IFERROR(__xludf.DUMMYFUNCTION("""COMPUTED_VALUE"""),28.0)</f>
        <v>28</v>
      </c>
      <c r="F651" s="1">
        <f>IFERROR(__xludf.DUMMYFUNCTION("""COMPUTED_VALUE"""),65.0)</f>
        <v>65</v>
      </c>
      <c r="G651" s="1">
        <f>IFERROR(__xludf.DUMMYFUNCTION("""COMPUTED_VALUE"""),66.0)</f>
        <v>66</v>
      </c>
      <c r="H651" s="1">
        <f>IFERROR(__xludf.DUMMYFUNCTION("""COMPUTED_VALUE"""),99.0)</f>
        <v>99</v>
      </c>
      <c r="I651" s="1">
        <f>IFERROR(__xludf.DUMMYFUNCTION("""COMPUTED_VALUE"""),57.0)</f>
        <v>57</v>
      </c>
      <c r="J651" s="1">
        <f>IFERROR(__xludf.DUMMYFUNCTION("""COMPUTED_VALUE"""),315.0)</f>
        <v>315</v>
      </c>
      <c r="K651" s="1">
        <f>IFERROR(__xludf.DUMMYFUNCTION("""COMPUTED_VALUE"""),63.0)</f>
        <v>63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>
        <f>IFERROR(__xludf.DUMMYFUNCTION("""COMPUTED_VALUE"""),76.0)</f>
        <v>76</v>
      </c>
      <c r="E652" s="1">
        <f>IFERROR(__xludf.DUMMYFUNCTION("""COMPUTED_VALUE"""),60.0)</f>
        <v>60</v>
      </c>
      <c r="F652" s="1">
        <f>IFERROR(__xludf.DUMMYFUNCTION("""COMPUTED_VALUE"""),60.0)</f>
        <v>60</v>
      </c>
      <c r="G652" s="1">
        <f>IFERROR(__xludf.DUMMYFUNCTION("""COMPUTED_VALUE"""),28.0)</f>
        <v>28</v>
      </c>
      <c r="H652" s="1">
        <f>IFERROR(__xludf.DUMMYFUNCTION("""COMPUTED_VALUE"""),89.0)</f>
        <v>89</v>
      </c>
      <c r="I652" s="1">
        <f>IFERROR(__xludf.DUMMYFUNCTION("""COMPUTED_VALUE"""),65.0)</f>
        <v>65</v>
      </c>
      <c r="J652" s="1">
        <f>IFERROR(__xludf.DUMMYFUNCTION("""COMPUTED_VALUE"""),302.0)</f>
        <v>302</v>
      </c>
      <c r="K652" s="1">
        <f>IFERROR(__xludf.DUMMYFUNCTION("""COMPUTED_VALUE"""),60.4)</f>
        <v>60.4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>
        <f>IFERROR(__xludf.DUMMYFUNCTION("""COMPUTED_VALUE"""),11.0)</f>
        <v>11</v>
      </c>
      <c r="E653" s="1">
        <f>IFERROR(__xludf.DUMMYFUNCTION("""COMPUTED_VALUE"""),32.0)</f>
        <v>32</v>
      </c>
      <c r="F653" s="1">
        <f>IFERROR(__xludf.DUMMYFUNCTION("""COMPUTED_VALUE"""),37.0)</f>
        <v>37</v>
      </c>
      <c r="G653" s="1">
        <f>IFERROR(__xludf.DUMMYFUNCTION("""COMPUTED_VALUE"""),83.0)</f>
        <v>83</v>
      </c>
      <c r="H653" s="1">
        <f>IFERROR(__xludf.DUMMYFUNCTION("""COMPUTED_VALUE"""),22.0)</f>
        <v>22</v>
      </c>
      <c r="I653" s="1">
        <f>IFERROR(__xludf.DUMMYFUNCTION("""COMPUTED_VALUE"""),40.0)</f>
        <v>40</v>
      </c>
      <c r="J653" s="1">
        <f>IFERROR(__xludf.DUMMYFUNCTION("""COMPUTED_VALUE"""),214.0)</f>
        <v>214</v>
      </c>
      <c r="K653" s="1">
        <f>IFERROR(__xludf.DUMMYFUNCTION("""COMPUTED_VALUE"""),42.8)</f>
        <v>42.8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>
        <f>IFERROR(__xludf.DUMMYFUNCTION("""COMPUTED_VALUE"""),43.0)</f>
        <v>43</v>
      </c>
      <c r="E654" s="1">
        <f>IFERROR(__xludf.DUMMYFUNCTION("""COMPUTED_VALUE"""),78.0)</f>
        <v>78</v>
      </c>
      <c r="F654" s="1">
        <f>IFERROR(__xludf.DUMMYFUNCTION("""COMPUTED_VALUE"""),23.0)</f>
        <v>23</v>
      </c>
      <c r="G654" s="1">
        <f>IFERROR(__xludf.DUMMYFUNCTION("""COMPUTED_VALUE"""),87.0)</f>
        <v>87</v>
      </c>
      <c r="H654" s="1">
        <f>IFERROR(__xludf.DUMMYFUNCTION("""COMPUTED_VALUE"""),44.0)</f>
        <v>44</v>
      </c>
      <c r="I654" s="1">
        <f>IFERROR(__xludf.DUMMYFUNCTION("""COMPUTED_VALUE"""),51.0)</f>
        <v>51</v>
      </c>
      <c r="J654" s="1">
        <f>IFERROR(__xludf.DUMMYFUNCTION("""COMPUTED_VALUE"""),283.0)</f>
        <v>283</v>
      </c>
      <c r="K654" s="1">
        <f>IFERROR(__xludf.DUMMYFUNCTION("""COMPUTED_VALUE"""),56.599999999999994)</f>
        <v>56.6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>
        <f>IFERROR(__xludf.DUMMYFUNCTION("""COMPUTED_VALUE"""),52.0)</f>
        <v>52</v>
      </c>
      <c r="E655" s="1">
        <f>IFERROR(__xludf.DUMMYFUNCTION("""COMPUTED_VALUE"""),90.0)</f>
        <v>90</v>
      </c>
      <c r="F655" s="1">
        <f>IFERROR(__xludf.DUMMYFUNCTION("""COMPUTED_VALUE"""),84.0)</f>
        <v>84</v>
      </c>
      <c r="G655" s="1">
        <f>IFERROR(__xludf.DUMMYFUNCTION("""COMPUTED_VALUE"""),80.0)</f>
        <v>80</v>
      </c>
      <c r="H655" s="1">
        <f>IFERROR(__xludf.DUMMYFUNCTION("""COMPUTED_VALUE"""),40.0)</f>
        <v>40</v>
      </c>
      <c r="I655" s="1">
        <f>IFERROR(__xludf.DUMMYFUNCTION("""COMPUTED_VALUE"""),67.0)</f>
        <v>67</v>
      </c>
      <c r="J655" s="1">
        <f>IFERROR(__xludf.DUMMYFUNCTION("""COMPUTED_VALUE"""),361.0)</f>
        <v>361</v>
      </c>
      <c r="K655" s="1">
        <f>IFERROR(__xludf.DUMMYFUNCTION("""COMPUTED_VALUE"""),72.2)</f>
        <v>72.2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>
        <f>IFERROR(__xludf.DUMMYFUNCTION("""COMPUTED_VALUE"""),81.0)</f>
        <v>81</v>
      </c>
      <c r="E656" s="1">
        <f>IFERROR(__xludf.DUMMYFUNCTION("""COMPUTED_VALUE"""),66.0)</f>
        <v>66</v>
      </c>
      <c r="F656" s="1">
        <f>IFERROR(__xludf.DUMMYFUNCTION("""COMPUTED_VALUE"""),48.0)</f>
        <v>48</v>
      </c>
      <c r="G656" s="1">
        <f>IFERROR(__xludf.DUMMYFUNCTION("""COMPUTED_VALUE"""),94.0)</f>
        <v>94</v>
      </c>
      <c r="H656" s="1">
        <f>IFERROR(__xludf.DUMMYFUNCTION("""COMPUTED_VALUE"""),66.0)</f>
        <v>66</v>
      </c>
      <c r="I656" s="1">
        <f>IFERROR(__xludf.DUMMYFUNCTION("""COMPUTED_VALUE"""),77.0)</f>
        <v>77</v>
      </c>
      <c r="J656" s="1">
        <f>IFERROR(__xludf.DUMMYFUNCTION("""COMPUTED_VALUE"""),351.0)</f>
        <v>351</v>
      </c>
      <c r="K656" s="1">
        <f>IFERROR(__xludf.DUMMYFUNCTION("""COMPUTED_VALUE"""),70.19999999999999)</f>
        <v>70.2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>
        <f>IFERROR(__xludf.DUMMYFUNCTION("""COMPUTED_VALUE"""),50.0)</f>
        <v>50</v>
      </c>
      <c r="E657" s="1">
        <f>IFERROR(__xludf.DUMMYFUNCTION("""COMPUTED_VALUE"""),93.0)</f>
        <v>93</v>
      </c>
      <c r="F657" s="1">
        <f>IFERROR(__xludf.DUMMYFUNCTION("""COMPUTED_VALUE"""),21.0)</f>
        <v>21</v>
      </c>
      <c r="G657" s="1">
        <f>IFERROR(__xludf.DUMMYFUNCTION("""COMPUTED_VALUE"""),35.0)</f>
        <v>35</v>
      </c>
      <c r="H657" s="1">
        <f>IFERROR(__xludf.DUMMYFUNCTION("""COMPUTED_VALUE"""),76.0)</f>
        <v>76</v>
      </c>
      <c r="I657" s="1">
        <f>IFERROR(__xludf.DUMMYFUNCTION("""COMPUTED_VALUE"""),69.0)</f>
        <v>69</v>
      </c>
      <c r="J657" s="1">
        <f>IFERROR(__xludf.DUMMYFUNCTION("""COMPUTED_VALUE"""),294.0)</f>
        <v>294</v>
      </c>
      <c r="K657" s="1">
        <f>IFERROR(__xludf.DUMMYFUNCTION("""COMPUTED_VALUE"""),58.8)</f>
        <v>58.8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>
        <f>IFERROR(__xludf.DUMMYFUNCTION("""COMPUTED_VALUE"""),36.0)</f>
        <v>36</v>
      </c>
      <c r="E658" s="1">
        <f>IFERROR(__xludf.DUMMYFUNCTION("""COMPUTED_VALUE"""),26.0)</f>
        <v>26</v>
      </c>
      <c r="F658" s="1">
        <f>IFERROR(__xludf.DUMMYFUNCTION("""COMPUTED_VALUE"""),76.0)</f>
        <v>76</v>
      </c>
      <c r="G658" s="1">
        <f>IFERROR(__xludf.DUMMYFUNCTION("""COMPUTED_VALUE"""),25.0)</f>
        <v>25</v>
      </c>
      <c r="H658" s="1">
        <f>IFERROR(__xludf.DUMMYFUNCTION("""COMPUTED_VALUE"""),65.0)</f>
        <v>65</v>
      </c>
      <c r="I658" s="1">
        <f>IFERROR(__xludf.DUMMYFUNCTION("""COMPUTED_VALUE"""),52.0)</f>
        <v>52</v>
      </c>
      <c r="J658" s="1">
        <f>IFERROR(__xludf.DUMMYFUNCTION("""COMPUTED_VALUE"""),244.0)</f>
        <v>244</v>
      </c>
      <c r="K658" s="1">
        <f>IFERROR(__xludf.DUMMYFUNCTION("""COMPUTED_VALUE"""),48.8)</f>
        <v>48.8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>
        <f>IFERROR(__xludf.DUMMYFUNCTION("""COMPUTED_VALUE"""),12.0)</f>
        <v>12</v>
      </c>
      <c r="E659" s="1">
        <f>IFERROR(__xludf.DUMMYFUNCTION("""COMPUTED_VALUE"""),87.0)</f>
        <v>87</v>
      </c>
      <c r="F659" s="1">
        <f>IFERROR(__xludf.DUMMYFUNCTION("""COMPUTED_VALUE"""),42.0)</f>
        <v>42</v>
      </c>
      <c r="G659" s="1">
        <f>IFERROR(__xludf.DUMMYFUNCTION("""COMPUTED_VALUE"""),68.0)</f>
        <v>68</v>
      </c>
      <c r="H659" s="1">
        <f>IFERROR(__xludf.DUMMYFUNCTION("""COMPUTED_VALUE"""),67.0)</f>
        <v>67</v>
      </c>
      <c r="I659" s="1">
        <f>IFERROR(__xludf.DUMMYFUNCTION("""COMPUTED_VALUE"""),57.0)</f>
        <v>57</v>
      </c>
      <c r="J659" s="1">
        <f>IFERROR(__xludf.DUMMYFUNCTION("""COMPUTED_VALUE"""),321.0)</f>
        <v>321</v>
      </c>
      <c r="K659" s="1">
        <f>IFERROR(__xludf.DUMMYFUNCTION("""COMPUTED_VALUE"""),64.2)</f>
        <v>64.2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>
        <f>IFERROR(__xludf.DUMMYFUNCTION("""COMPUTED_VALUE"""),35.0)</f>
        <v>35</v>
      </c>
      <c r="E660" s="1">
        <f>IFERROR(__xludf.DUMMYFUNCTION("""COMPUTED_VALUE"""),65.0)</f>
        <v>65</v>
      </c>
      <c r="F660" s="1">
        <f>IFERROR(__xludf.DUMMYFUNCTION("""COMPUTED_VALUE"""),85.0)</f>
        <v>85</v>
      </c>
      <c r="G660" s="1">
        <f>IFERROR(__xludf.DUMMYFUNCTION("""COMPUTED_VALUE"""),31.0)</f>
        <v>31</v>
      </c>
      <c r="H660" s="1">
        <f>IFERROR(__xludf.DUMMYFUNCTION("""COMPUTED_VALUE"""),98.0)</f>
        <v>98</v>
      </c>
      <c r="I660" s="1">
        <f>IFERROR(__xludf.DUMMYFUNCTION("""COMPUTED_VALUE"""),90.0)</f>
        <v>90</v>
      </c>
      <c r="J660" s="1">
        <f>IFERROR(__xludf.DUMMYFUNCTION("""COMPUTED_VALUE"""),369.0)</f>
        <v>369</v>
      </c>
      <c r="K660" s="1">
        <f>IFERROR(__xludf.DUMMYFUNCTION("""COMPUTED_VALUE"""),73.8)</f>
        <v>73.8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>
        <f>IFERROR(__xludf.DUMMYFUNCTION("""COMPUTED_VALUE"""),50.0)</f>
        <v>50</v>
      </c>
      <c r="E661" s="1">
        <f>IFERROR(__xludf.DUMMYFUNCTION("""COMPUTED_VALUE"""),80.0)</f>
        <v>80</v>
      </c>
      <c r="F661" s="1">
        <f>IFERROR(__xludf.DUMMYFUNCTION("""COMPUTED_VALUE"""),61.0)</f>
        <v>61</v>
      </c>
      <c r="G661" s="1">
        <f>IFERROR(__xludf.DUMMYFUNCTION("""COMPUTED_VALUE"""),53.0)</f>
        <v>53</v>
      </c>
      <c r="H661" s="1">
        <f>IFERROR(__xludf.DUMMYFUNCTION("""COMPUTED_VALUE"""),62.0)</f>
        <v>62</v>
      </c>
      <c r="I661" s="1">
        <f>IFERROR(__xludf.DUMMYFUNCTION("""COMPUTED_VALUE"""),88.0)</f>
        <v>88</v>
      </c>
      <c r="J661" s="1">
        <f>IFERROR(__xludf.DUMMYFUNCTION("""COMPUTED_VALUE"""),344.0)</f>
        <v>344</v>
      </c>
      <c r="K661" s="1">
        <f>IFERROR(__xludf.DUMMYFUNCTION("""COMPUTED_VALUE"""),68.8)</f>
        <v>68.8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>
        <f>IFERROR(__xludf.DUMMYFUNCTION("""COMPUTED_VALUE"""),31.0)</f>
        <v>31</v>
      </c>
      <c r="E662" s="1">
        <f>IFERROR(__xludf.DUMMYFUNCTION("""COMPUTED_VALUE"""),57.0)</f>
        <v>57</v>
      </c>
      <c r="F662" s="1">
        <f>IFERROR(__xludf.DUMMYFUNCTION("""COMPUTED_VALUE"""),99.0)</f>
        <v>99</v>
      </c>
      <c r="G662" s="1">
        <f>IFERROR(__xludf.DUMMYFUNCTION("""COMPUTED_VALUE"""),48.0)</f>
        <v>48</v>
      </c>
      <c r="H662" s="1">
        <f>IFERROR(__xludf.DUMMYFUNCTION("""COMPUTED_VALUE"""),95.0)</f>
        <v>95</v>
      </c>
      <c r="I662" s="1">
        <f>IFERROR(__xludf.DUMMYFUNCTION("""COMPUTED_VALUE"""),76.0)</f>
        <v>76</v>
      </c>
      <c r="J662" s="1">
        <f>IFERROR(__xludf.DUMMYFUNCTION("""COMPUTED_VALUE"""),375.0)</f>
        <v>375</v>
      </c>
      <c r="K662" s="1">
        <f>IFERROR(__xludf.DUMMYFUNCTION("""COMPUTED_VALUE"""),75.0)</f>
        <v>75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>
        <f>IFERROR(__xludf.DUMMYFUNCTION("""COMPUTED_VALUE"""),72.0)</f>
        <v>72</v>
      </c>
      <c r="E663" s="1">
        <f>IFERROR(__xludf.DUMMYFUNCTION("""COMPUTED_VALUE"""),40.0)</f>
        <v>40</v>
      </c>
      <c r="F663" s="1">
        <f>IFERROR(__xludf.DUMMYFUNCTION("""COMPUTED_VALUE"""),70.0)</f>
        <v>70</v>
      </c>
      <c r="G663" s="1">
        <f>IFERROR(__xludf.DUMMYFUNCTION("""COMPUTED_VALUE"""),41.0)</f>
        <v>41</v>
      </c>
      <c r="H663" s="1">
        <f>IFERROR(__xludf.DUMMYFUNCTION("""COMPUTED_VALUE"""),92.0)</f>
        <v>92</v>
      </c>
      <c r="I663" s="1">
        <f>IFERROR(__xludf.DUMMYFUNCTION("""COMPUTED_VALUE"""),33.0)</f>
        <v>33</v>
      </c>
      <c r="J663" s="1">
        <f>IFERROR(__xludf.DUMMYFUNCTION("""COMPUTED_VALUE"""),276.0)</f>
        <v>276</v>
      </c>
      <c r="K663" s="1">
        <f>IFERROR(__xludf.DUMMYFUNCTION("""COMPUTED_VALUE"""),55.2)</f>
        <v>55.2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>
        <f>IFERROR(__xludf.DUMMYFUNCTION("""COMPUTED_VALUE"""),43.0)</f>
        <v>43</v>
      </c>
      <c r="E664" s="1">
        <f>IFERROR(__xludf.DUMMYFUNCTION("""COMPUTED_VALUE"""),53.0)</f>
        <v>53</v>
      </c>
      <c r="F664" s="1">
        <f>IFERROR(__xludf.DUMMYFUNCTION("""COMPUTED_VALUE"""),81.0)</f>
        <v>81</v>
      </c>
      <c r="G664" s="1">
        <f>IFERROR(__xludf.DUMMYFUNCTION("""COMPUTED_VALUE"""),98.0)</f>
        <v>98</v>
      </c>
      <c r="H664" s="1">
        <f>IFERROR(__xludf.DUMMYFUNCTION("""COMPUTED_VALUE"""),48.0)</f>
        <v>48</v>
      </c>
      <c r="I664" s="1">
        <f>IFERROR(__xludf.DUMMYFUNCTION("""COMPUTED_VALUE"""),83.0)</f>
        <v>83</v>
      </c>
      <c r="J664" s="1">
        <f>IFERROR(__xludf.DUMMYFUNCTION("""COMPUTED_VALUE"""),363.0)</f>
        <v>363</v>
      </c>
      <c r="K664" s="1">
        <f>IFERROR(__xludf.DUMMYFUNCTION("""COMPUTED_VALUE"""),72.6)</f>
        <v>72.6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>
        <f>IFERROR(__xludf.DUMMYFUNCTION("""COMPUTED_VALUE"""),81.0)</f>
        <v>81</v>
      </c>
      <c r="E665" s="1">
        <f>IFERROR(__xludf.DUMMYFUNCTION("""COMPUTED_VALUE"""),59.0)</f>
        <v>59</v>
      </c>
      <c r="F665" s="1">
        <f>IFERROR(__xludf.DUMMYFUNCTION("""COMPUTED_VALUE"""),39.0)</f>
        <v>39</v>
      </c>
      <c r="G665" s="1">
        <f>IFERROR(__xludf.DUMMYFUNCTION("""COMPUTED_VALUE"""),97.0)</f>
        <v>97</v>
      </c>
      <c r="H665" s="1">
        <f>IFERROR(__xludf.DUMMYFUNCTION("""COMPUTED_VALUE"""),68.0)</f>
        <v>68</v>
      </c>
      <c r="I665" s="1">
        <f>IFERROR(__xludf.DUMMYFUNCTION("""COMPUTED_VALUE"""),39.0)</f>
        <v>39</v>
      </c>
      <c r="J665" s="1">
        <f>IFERROR(__xludf.DUMMYFUNCTION("""COMPUTED_VALUE"""),302.0)</f>
        <v>302</v>
      </c>
      <c r="K665" s="1">
        <f>IFERROR(__xludf.DUMMYFUNCTION("""COMPUTED_VALUE"""),60.4)</f>
        <v>60.4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>
        <f>IFERROR(__xludf.DUMMYFUNCTION("""COMPUTED_VALUE"""),25.0)</f>
        <v>25</v>
      </c>
      <c r="E666" s="1">
        <f>IFERROR(__xludf.DUMMYFUNCTION("""COMPUTED_VALUE"""),66.0)</f>
        <v>66</v>
      </c>
      <c r="F666" s="1">
        <f>IFERROR(__xludf.DUMMYFUNCTION("""COMPUTED_VALUE"""),55.0)</f>
        <v>55</v>
      </c>
      <c r="G666" s="1">
        <f>IFERROR(__xludf.DUMMYFUNCTION("""COMPUTED_VALUE"""),96.0)</f>
        <v>96</v>
      </c>
      <c r="H666" s="1">
        <f>IFERROR(__xludf.DUMMYFUNCTION("""COMPUTED_VALUE"""),31.0)</f>
        <v>31</v>
      </c>
      <c r="I666" s="1">
        <f>IFERROR(__xludf.DUMMYFUNCTION("""COMPUTED_VALUE"""),99.0)</f>
        <v>99</v>
      </c>
      <c r="J666" s="1">
        <f>IFERROR(__xludf.DUMMYFUNCTION("""COMPUTED_VALUE"""),347.0)</f>
        <v>347</v>
      </c>
      <c r="K666" s="1">
        <f>IFERROR(__xludf.DUMMYFUNCTION("""COMPUTED_VALUE"""),69.39999999999999)</f>
        <v>69.4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>
        <f>IFERROR(__xludf.DUMMYFUNCTION("""COMPUTED_VALUE"""),34.0)</f>
        <v>34</v>
      </c>
      <c r="E667" s="1">
        <f>IFERROR(__xludf.DUMMYFUNCTION("""COMPUTED_VALUE"""),46.0)</f>
        <v>46</v>
      </c>
      <c r="F667" s="1">
        <f>IFERROR(__xludf.DUMMYFUNCTION("""COMPUTED_VALUE"""),70.0)</f>
        <v>70</v>
      </c>
      <c r="G667" s="1">
        <f>IFERROR(__xludf.DUMMYFUNCTION("""COMPUTED_VALUE"""),89.0)</f>
        <v>89</v>
      </c>
      <c r="H667" s="1">
        <f>IFERROR(__xludf.DUMMYFUNCTION("""COMPUTED_VALUE"""),56.0)</f>
        <v>56</v>
      </c>
      <c r="I667" s="1">
        <f>IFERROR(__xludf.DUMMYFUNCTION("""COMPUTED_VALUE"""),80.0)</f>
        <v>80</v>
      </c>
      <c r="J667" s="1">
        <f>IFERROR(__xludf.DUMMYFUNCTION("""COMPUTED_VALUE"""),341.0)</f>
        <v>341</v>
      </c>
      <c r="K667" s="1">
        <f>IFERROR(__xludf.DUMMYFUNCTION("""COMPUTED_VALUE"""),68.2)</f>
        <v>68.2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>
        <f>IFERROR(__xludf.DUMMYFUNCTION("""COMPUTED_VALUE"""),10.0)</f>
        <v>10</v>
      </c>
      <c r="E668" s="1">
        <f>IFERROR(__xludf.DUMMYFUNCTION("""COMPUTED_VALUE"""),53.0)</f>
        <v>53</v>
      </c>
      <c r="F668" s="1">
        <f>IFERROR(__xludf.DUMMYFUNCTION("""COMPUTED_VALUE"""),73.0)</f>
        <v>73</v>
      </c>
      <c r="G668" s="1">
        <f>IFERROR(__xludf.DUMMYFUNCTION("""COMPUTED_VALUE"""),83.0)</f>
        <v>83</v>
      </c>
      <c r="H668" s="1">
        <f>IFERROR(__xludf.DUMMYFUNCTION("""COMPUTED_VALUE"""),41.0)</f>
        <v>41</v>
      </c>
      <c r="I668" s="1">
        <f>IFERROR(__xludf.DUMMYFUNCTION("""COMPUTED_VALUE"""),30.0)</f>
        <v>30</v>
      </c>
      <c r="J668" s="1">
        <f>IFERROR(__xludf.DUMMYFUNCTION("""COMPUTED_VALUE"""),280.0)</f>
        <v>280</v>
      </c>
      <c r="K668" s="1">
        <f>IFERROR(__xludf.DUMMYFUNCTION("""COMPUTED_VALUE"""),56.00000000000001)</f>
        <v>56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>
        <f>IFERROR(__xludf.DUMMYFUNCTION("""COMPUTED_VALUE"""),67.0)</f>
        <v>67</v>
      </c>
      <c r="E669" s="1">
        <f>IFERROR(__xludf.DUMMYFUNCTION("""COMPUTED_VALUE"""),83.0)</f>
        <v>83</v>
      </c>
      <c r="F669" s="1">
        <f>IFERROR(__xludf.DUMMYFUNCTION("""COMPUTED_VALUE"""),85.0)</f>
        <v>85</v>
      </c>
      <c r="G669" s="1">
        <f>IFERROR(__xludf.DUMMYFUNCTION("""COMPUTED_VALUE"""),34.0)</f>
        <v>34</v>
      </c>
      <c r="H669" s="1">
        <f>IFERROR(__xludf.DUMMYFUNCTION("""COMPUTED_VALUE"""),22.0)</f>
        <v>22</v>
      </c>
      <c r="I669" s="1">
        <f>IFERROR(__xludf.DUMMYFUNCTION("""COMPUTED_VALUE"""),46.0)</f>
        <v>46</v>
      </c>
      <c r="J669" s="1">
        <f>IFERROR(__xludf.DUMMYFUNCTION("""COMPUTED_VALUE"""),270.0)</f>
        <v>270</v>
      </c>
      <c r="K669" s="1">
        <f>IFERROR(__xludf.DUMMYFUNCTION("""COMPUTED_VALUE"""),54.0)</f>
        <v>54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>
        <f>IFERROR(__xludf.DUMMYFUNCTION("""COMPUTED_VALUE"""),85.0)</f>
        <v>85</v>
      </c>
      <c r="E670" s="1">
        <f>IFERROR(__xludf.DUMMYFUNCTION("""COMPUTED_VALUE"""),20.0)</f>
        <v>20</v>
      </c>
      <c r="F670" s="1">
        <f>IFERROR(__xludf.DUMMYFUNCTION("""COMPUTED_VALUE"""),67.0)</f>
        <v>67</v>
      </c>
      <c r="G670" s="1">
        <f>IFERROR(__xludf.DUMMYFUNCTION("""COMPUTED_VALUE"""),88.0)</f>
        <v>88</v>
      </c>
      <c r="H670" s="1">
        <f>IFERROR(__xludf.DUMMYFUNCTION("""COMPUTED_VALUE"""),97.0)</f>
        <v>97</v>
      </c>
      <c r="I670" s="1">
        <f>IFERROR(__xludf.DUMMYFUNCTION("""COMPUTED_VALUE"""),70.0)</f>
        <v>70</v>
      </c>
      <c r="J670" s="1">
        <f>IFERROR(__xludf.DUMMYFUNCTION("""COMPUTED_VALUE"""),342.0)</f>
        <v>342</v>
      </c>
      <c r="K670" s="1">
        <f>IFERROR(__xludf.DUMMYFUNCTION("""COMPUTED_VALUE"""),68.4)</f>
        <v>68.4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>
        <f>IFERROR(__xludf.DUMMYFUNCTION("""COMPUTED_VALUE"""),64.0)</f>
        <v>64</v>
      </c>
      <c r="E671" s="1">
        <f>IFERROR(__xludf.DUMMYFUNCTION("""COMPUTED_VALUE"""),62.0)</f>
        <v>62</v>
      </c>
      <c r="F671" s="1">
        <f>IFERROR(__xludf.DUMMYFUNCTION("""COMPUTED_VALUE"""),69.0)</f>
        <v>69</v>
      </c>
      <c r="G671" s="1">
        <f>IFERROR(__xludf.DUMMYFUNCTION("""COMPUTED_VALUE"""),22.0)</f>
        <v>22</v>
      </c>
      <c r="H671" s="1">
        <f>IFERROR(__xludf.DUMMYFUNCTION("""COMPUTED_VALUE"""),75.0)</f>
        <v>75</v>
      </c>
      <c r="I671" s="1">
        <f>IFERROR(__xludf.DUMMYFUNCTION("""COMPUTED_VALUE"""),68.0)</f>
        <v>68</v>
      </c>
      <c r="J671" s="1">
        <f>IFERROR(__xludf.DUMMYFUNCTION("""COMPUTED_VALUE"""),296.0)</f>
        <v>296</v>
      </c>
      <c r="K671" s="1">
        <f>IFERROR(__xludf.DUMMYFUNCTION("""COMPUTED_VALUE"""),59.199999999999996)</f>
        <v>59.2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>
        <f>IFERROR(__xludf.DUMMYFUNCTION("""COMPUTED_VALUE"""),44.0)</f>
        <v>44</v>
      </c>
      <c r="E672" s="1">
        <f>IFERROR(__xludf.DUMMYFUNCTION("""COMPUTED_VALUE"""),35.0)</f>
        <v>35</v>
      </c>
      <c r="F672" s="1">
        <f>IFERROR(__xludf.DUMMYFUNCTION("""COMPUTED_VALUE"""),27.0)</f>
        <v>27</v>
      </c>
      <c r="G672" s="1">
        <f>IFERROR(__xludf.DUMMYFUNCTION("""COMPUTED_VALUE"""),60.0)</f>
        <v>60</v>
      </c>
      <c r="H672" s="1">
        <f>IFERROR(__xludf.DUMMYFUNCTION("""COMPUTED_VALUE"""),53.0)</f>
        <v>53</v>
      </c>
      <c r="I672" s="1">
        <f>IFERROR(__xludf.DUMMYFUNCTION("""COMPUTED_VALUE"""),74.0)</f>
        <v>74</v>
      </c>
      <c r="J672" s="1">
        <f>IFERROR(__xludf.DUMMYFUNCTION("""COMPUTED_VALUE"""),249.0)</f>
        <v>249</v>
      </c>
      <c r="K672" s="1">
        <f>IFERROR(__xludf.DUMMYFUNCTION("""COMPUTED_VALUE"""),49.8)</f>
        <v>49.8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>
        <f>IFERROR(__xludf.DUMMYFUNCTION("""COMPUTED_VALUE"""),56.0)</f>
        <v>56</v>
      </c>
      <c r="E673" s="1">
        <f>IFERROR(__xludf.DUMMYFUNCTION("""COMPUTED_VALUE"""),36.0)</f>
        <v>36</v>
      </c>
      <c r="F673" s="1">
        <f>IFERROR(__xludf.DUMMYFUNCTION("""COMPUTED_VALUE"""),26.0)</f>
        <v>26</v>
      </c>
      <c r="G673" s="1">
        <f>IFERROR(__xludf.DUMMYFUNCTION("""COMPUTED_VALUE"""),44.0)</f>
        <v>44</v>
      </c>
      <c r="H673" s="1">
        <f>IFERROR(__xludf.DUMMYFUNCTION("""COMPUTED_VALUE"""),47.0)</f>
        <v>47</v>
      </c>
      <c r="I673" s="1">
        <f>IFERROR(__xludf.DUMMYFUNCTION("""COMPUTED_VALUE"""),44.0)</f>
        <v>44</v>
      </c>
      <c r="J673" s="1">
        <f>IFERROR(__xludf.DUMMYFUNCTION("""COMPUTED_VALUE"""),197.0)</f>
        <v>197</v>
      </c>
      <c r="K673" s="1">
        <f>IFERROR(__xludf.DUMMYFUNCTION("""COMPUTED_VALUE"""),39.4)</f>
        <v>39.4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>
        <f>IFERROR(__xludf.DUMMYFUNCTION("""COMPUTED_VALUE"""),33.0)</f>
        <v>33</v>
      </c>
      <c r="E674" s="1">
        <f>IFERROR(__xludf.DUMMYFUNCTION("""COMPUTED_VALUE"""),22.0)</f>
        <v>22</v>
      </c>
      <c r="F674" s="1">
        <f>IFERROR(__xludf.DUMMYFUNCTION("""COMPUTED_VALUE"""),65.0)</f>
        <v>65</v>
      </c>
      <c r="G674" s="1">
        <f>IFERROR(__xludf.DUMMYFUNCTION("""COMPUTED_VALUE"""),52.0)</f>
        <v>52</v>
      </c>
      <c r="H674" s="1">
        <f>IFERROR(__xludf.DUMMYFUNCTION("""COMPUTED_VALUE"""),29.0)</f>
        <v>29</v>
      </c>
      <c r="I674" s="1">
        <f>IFERROR(__xludf.DUMMYFUNCTION("""COMPUTED_VALUE"""),91.0)</f>
        <v>91</v>
      </c>
      <c r="J674" s="1">
        <f>IFERROR(__xludf.DUMMYFUNCTION("""COMPUTED_VALUE"""),259.0)</f>
        <v>259</v>
      </c>
      <c r="K674" s="1">
        <f>IFERROR(__xludf.DUMMYFUNCTION("""COMPUTED_VALUE"""),51.800000000000004)</f>
        <v>51.8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>
        <f>IFERROR(__xludf.DUMMYFUNCTION("""COMPUTED_VALUE"""),75.0)</f>
        <v>75</v>
      </c>
      <c r="E675" s="1">
        <f>IFERROR(__xludf.DUMMYFUNCTION("""COMPUTED_VALUE"""),92.0)</f>
        <v>92</v>
      </c>
      <c r="F675" s="1">
        <f>IFERROR(__xludf.DUMMYFUNCTION("""COMPUTED_VALUE"""),91.0)</f>
        <v>91</v>
      </c>
      <c r="G675" s="1">
        <f>IFERROR(__xludf.DUMMYFUNCTION("""COMPUTED_VALUE"""),78.0)</f>
        <v>78</v>
      </c>
      <c r="H675" s="1">
        <f>IFERROR(__xludf.DUMMYFUNCTION("""COMPUTED_VALUE"""),23.0)</f>
        <v>23</v>
      </c>
      <c r="I675" s="1">
        <f>IFERROR(__xludf.DUMMYFUNCTION("""COMPUTED_VALUE"""),74.0)</f>
        <v>74</v>
      </c>
      <c r="J675" s="1">
        <f>IFERROR(__xludf.DUMMYFUNCTION("""COMPUTED_VALUE"""),358.0)</f>
        <v>358</v>
      </c>
      <c r="K675" s="1">
        <f>IFERROR(__xludf.DUMMYFUNCTION("""COMPUTED_VALUE"""),71.6)</f>
        <v>71.6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>
        <f>IFERROR(__xludf.DUMMYFUNCTION("""COMPUTED_VALUE"""),34.0)</f>
        <v>34</v>
      </c>
      <c r="E676" s="1">
        <f>IFERROR(__xludf.DUMMYFUNCTION("""COMPUTED_VALUE"""),29.0)</f>
        <v>29</v>
      </c>
      <c r="F676" s="1">
        <f>IFERROR(__xludf.DUMMYFUNCTION("""COMPUTED_VALUE"""),84.0)</f>
        <v>84</v>
      </c>
      <c r="G676" s="1">
        <f>IFERROR(__xludf.DUMMYFUNCTION("""COMPUTED_VALUE"""),66.0)</f>
        <v>66</v>
      </c>
      <c r="H676" s="1">
        <f>IFERROR(__xludf.DUMMYFUNCTION("""COMPUTED_VALUE"""),35.0)</f>
        <v>35</v>
      </c>
      <c r="I676" s="1">
        <f>IFERROR(__xludf.DUMMYFUNCTION("""COMPUTED_VALUE"""),45.0)</f>
        <v>45</v>
      </c>
      <c r="J676" s="1">
        <f>IFERROR(__xludf.DUMMYFUNCTION("""COMPUTED_VALUE"""),259.0)</f>
        <v>259</v>
      </c>
      <c r="K676" s="1">
        <f>IFERROR(__xludf.DUMMYFUNCTION("""COMPUTED_VALUE"""),51.800000000000004)</f>
        <v>51.8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>
        <f>IFERROR(__xludf.DUMMYFUNCTION("""COMPUTED_VALUE"""),93.0)</f>
        <v>93</v>
      </c>
      <c r="E677" s="1">
        <f>IFERROR(__xludf.DUMMYFUNCTION("""COMPUTED_VALUE"""),79.0)</f>
        <v>79</v>
      </c>
      <c r="F677" s="1">
        <f>IFERROR(__xludf.DUMMYFUNCTION("""COMPUTED_VALUE"""),32.0)</f>
        <v>32</v>
      </c>
      <c r="G677" s="1">
        <f>IFERROR(__xludf.DUMMYFUNCTION("""COMPUTED_VALUE"""),58.0)</f>
        <v>58</v>
      </c>
      <c r="H677" s="1">
        <f>IFERROR(__xludf.DUMMYFUNCTION("""COMPUTED_VALUE"""),27.0)</f>
        <v>27</v>
      </c>
      <c r="I677" s="1">
        <f>IFERROR(__xludf.DUMMYFUNCTION("""COMPUTED_VALUE"""),42.0)</f>
        <v>42</v>
      </c>
      <c r="J677" s="1">
        <f>IFERROR(__xludf.DUMMYFUNCTION("""COMPUTED_VALUE"""),238.0)</f>
        <v>238</v>
      </c>
      <c r="K677" s="1">
        <f>IFERROR(__xludf.DUMMYFUNCTION("""COMPUTED_VALUE"""),47.599999999999994)</f>
        <v>47.6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>
        <f>IFERROR(__xludf.DUMMYFUNCTION("""COMPUTED_VALUE"""),45.0)</f>
        <v>45</v>
      </c>
      <c r="E678" s="1">
        <f>IFERROR(__xludf.DUMMYFUNCTION("""COMPUTED_VALUE"""),31.0)</f>
        <v>31</v>
      </c>
      <c r="F678" s="1">
        <f>IFERROR(__xludf.DUMMYFUNCTION("""COMPUTED_VALUE"""),80.0)</f>
        <v>80</v>
      </c>
      <c r="G678" s="1">
        <f>IFERROR(__xludf.DUMMYFUNCTION("""COMPUTED_VALUE"""),88.0)</f>
        <v>88</v>
      </c>
      <c r="H678" s="1">
        <f>IFERROR(__xludf.DUMMYFUNCTION("""COMPUTED_VALUE"""),97.0)</f>
        <v>97</v>
      </c>
      <c r="I678" s="1">
        <f>IFERROR(__xludf.DUMMYFUNCTION("""COMPUTED_VALUE"""),57.0)</f>
        <v>57</v>
      </c>
      <c r="J678" s="1">
        <f>IFERROR(__xludf.DUMMYFUNCTION("""COMPUTED_VALUE"""),353.0)</f>
        <v>353</v>
      </c>
      <c r="K678" s="1">
        <f>IFERROR(__xludf.DUMMYFUNCTION("""COMPUTED_VALUE"""),70.6)</f>
        <v>70.6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>
        <f>IFERROR(__xludf.DUMMYFUNCTION("""COMPUTED_VALUE"""),73.0)</f>
        <v>73</v>
      </c>
      <c r="E679" s="1">
        <f>IFERROR(__xludf.DUMMYFUNCTION("""COMPUTED_VALUE"""),51.0)</f>
        <v>51</v>
      </c>
      <c r="F679" s="1">
        <f>IFERROR(__xludf.DUMMYFUNCTION("""COMPUTED_VALUE"""),79.0)</f>
        <v>79</v>
      </c>
      <c r="G679" s="1">
        <f>IFERROR(__xludf.DUMMYFUNCTION("""COMPUTED_VALUE"""),89.0)</f>
        <v>89</v>
      </c>
      <c r="H679" s="1">
        <f>IFERROR(__xludf.DUMMYFUNCTION("""COMPUTED_VALUE"""),92.0)</f>
        <v>92</v>
      </c>
      <c r="I679" s="1">
        <f>IFERROR(__xludf.DUMMYFUNCTION("""COMPUTED_VALUE"""),27.0)</f>
        <v>27</v>
      </c>
      <c r="J679" s="1">
        <f>IFERROR(__xludf.DUMMYFUNCTION("""COMPUTED_VALUE"""),338.0)</f>
        <v>338</v>
      </c>
      <c r="K679" s="1">
        <f>IFERROR(__xludf.DUMMYFUNCTION("""COMPUTED_VALUE"""),67.60000000000001)</f>
        <v>67.6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>
        <f>IFERROR(__xludf.DUMMYFUNCTION("""COMPUTED_VALUE"""),53.0)</f>
        <v>53</v>
      </c>
      <c r="E680" s="1">
        <f>IFERROR(__xludf.DUMMYFUNCTION("""COMPUTED_VALUE"""),71.0)</f>
        <v>71</v>
      </c>
      <c r="F680" s="1">
        <f>IFERROR(__xludf.DUMMYFUNCTION("""COMPUTED_VALUE"""),31.0)</f>
        <v>31</v>
      </c>
      <c r="G680" s="1">
        <f>IFERROR(__xludf.DUMMYFUNCTION("""COMPUTED_VALUE"""),65.0)</f>
        <v>65</v>
      </c>
      <c r="H680" s="1">
        <f>IFERROR(__xludf.DUMMYFUNCTION("""COMPUTED_VALUE"""),45.0)</f>
        <v>45</v>
      </c>
      <c r="I680" s="1">
        <f>IFERROR(__xludf.DUMMYFUNCTION("""COMPUTED_VALUE"""),26.0)</f>
        <v>26</v>
      </c>
      <c r="J680" s="1">
        <f>IFERROR(__xludf.DUMMYFUNCTION("""COMPUTED_VALUE"""),238.0)</f>
        <v>238</v>
      </c>
      <c r="K680" s="1">
        <f>IFERROR(__xludf.DUMMYFUNCTION("""COMPUTED_VALUE"""),47.599999999999994)</f>
        <v>47.6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>
        <f>IFERROR(__xludf.DUMMYFUNCTION("""COMPUTED_VALUE"""),33.0)</f>
        <v>33</v>
      </c>
      <c r="E681" s="1">
        <f>IFERROR(__xludf.DUMMYFUNCTION("""COMPUTED_VALUE"""),28.0)</f>
        <v>28</v>
      </c>
      <c r="F681" s="1">
        <f>IFERROR(__xludf.DUMMYFUNCTION("""COMPUTED_VALUE"""),75.0)</f>
        <v>75</v>
      </c>
      <c r="G681" s="1">
        <f>IFERROR(__xludf.DUMMYFUNCTION("""COMPUTED_VALUE"""),73.0)</f>
        <v>73</v>
      </c>
      <c r="H681" s="1">
        <f>IFERROR(__xludf.DUMMYFUNCTION("""COMPUTED_VALUE"""),74.0)</f>
        <v>74</v>
      </c>
      <c r="I681" s="1">
        <f>IFERROR(__xludf.DUMMYFUNCTION("""COMPUTED_VALUE"""),91.0)</f>
        <v>91</v>
      </c>
      <c r="J681" s="1">
        <f>IFERROR(__xludf.DUMMYFUNCTION("""COMPUTED_VALUE"""),341.0)</f>
        <v>341</v>
      </c>
      <c r="K681" s="1">
        <f>IFERROR(__xludf.DUMMYFUNCTION("""COMPUTED_VALUE"""),68.2)</f>
        <v>68.2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>
        <f>IFERROR(__xludf.DUMMYFUNCTION("""COMPUTED_VALUE"""),56.0)</f>
        <v>56</v>
      </c>
      <c r="E682" s="1">
        <f>IFERROR(__xludf.DUMMYFUNCTION("""COMPUTED_VALUE"""),85.0)</f>
        <v>85</v>
      </c>
      <c r="F682" s="1">
        <f>IFERROR(__xludf.DUMMYFUNCTION("""COMPUTED_VALUE"""),37.0)</f>
        <v>37</v>
      </c>
      <c r="G682" s="1">
        <f>IFERROR(__xludf.DUMMYFUNCTION("""COMPUTED_VALUE"""),69.0)</f>
        <v>69</v>
      </c>
      <c r="H682" s="1">
        <f>IFERROR(__xludf.DUMMYFUNCTION("""COMPUTED_VALUE"""),84.0)</f>
        <v>84</v>
      </c>
      <c r="I682" s="1">
        <f>IFERROR(__xludf.DUMMYFUNCTION("""COMPUTED_VALUE"""),31.0)</f>
        <v>31</v>
      </c>
      <c r="J682" s="1">
        <f>IFERROR(__xludf.DUMMYFUNCTION("""COMPUTED_VALUE"""),306.0)</f>
        <v>306</v>
      </c>
      <c r="K682" s="1">
        <f>IFERROR(__xludf.DUMMYFUNCTION("""COMPUTED_VALUE"""),61.199999999999996)</f>
        <v>61.2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>
        <f>IFERROR(__xludf.DUMMYFUNCTION("""COMPUTED_VALUE"""),18.0)</f>
        <v>18</v>
      </c>
      <c r="E683" s="1">
        <f>IFERROR(__xludf.DUMMYFUNCTION("""COMPUTED_VALUE"""),79.0)</f>
        <v>79</v>
      </c>
      <c r="F683" s="1">
        <f>IFERROR(__xludf.DUMMYFUNCTION("""COMPUTED_VALUE"""),56.0)</f>
        <v>56</v>
      </c>
      <c r="G683" s="1">
        <f>IFERROR(__xludf.DUMMYFUNCTION("""COMPUTED_VALUE"""),75.0)</f>
        <v>75</v>
      </c>
      <c r="H683" s="1">
        <f>IFERROR(__xludf.DUMMYFUNCTION("""COMPUTED_VALUE"""),22.0)</f>
        <v>22</v>
      </c>
      <c r="I683" s="1">
        <f>IFERROR(__xludf.DUMMYFUNCTION("""COMPUTED_VALUE"""),50.0)</f>
        <v>50</v>
      </c>
      <c r="J683" s="1">
        <f>IFERROR(__xludf.DUMMYFUNCTION("""COMPUTED_VALUE"""),282.0)</f>
        <v>282</v>
      </c>
      <c r="K683" s="1">
        <f>IFERROR(__xludf.DUMMYFUNCTION("""COMPUTED_VALUE"""),56.39999999999999)</f>
        <v>56.4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>
        <f>IFERROR(__xludf.DUMMYFUNCTION("""COMPUTED_VALUE"""),54.0)</f>
        <v>54</v>
      </c>
      <c r="E684" s="1">
        <f>IFERROR(__xludf.DUMMYFUNCTION("""COMPUTED_VALUE"""),80.0)</f>
        <v>80</v>
      </c>
      <c r="F684" s="1">
        <f>IFERROR(__xludf.DUMMYFUNCTION("""COMPUTED_VALUE"""),94.0)</f>
        <v>94</v>
      </c>
      <c r="G684" s="1">
        <f>IFERROR(__xludf.DUMMYFUNCTION("""COMPUTED_VALUE"""),79.0)</f>
        <v>79</v>
      </c>
      <c r="H684" s="1">
        <f>IFERROR(__xludf.DUMMYFUNCTION("""COMPUTED_VALUE"""),69.0)</f>
        <v>69</v>
      </c>
      <c r="I684" s="1">
        <f>IFERROR(__xludf.DUMMYFUNCTION("""COMPUTED_VALUE"""),87.0)</f>
        <v>87</v>
      </c>
      <c r="J684" s="1">
        <f>IFERROR(__xludf.DUMMYFUNCTION("""COMPUTED_VALUE"""),409.0)</f>
        <v>409</v>
      </c>
      <c r="K684" s="1">
        <f>IFERROR(__xludf.DUMMYFUNCTION("""COMPUTED_VALUE"""),81.8)</f>
        <v>81.8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>
        <f>IFERROR(__xludf.DUMMYFUNCTION("""COMPUTED_VALUE"""),67.0)</f>
        <v>67</v>
      </c>
      <c r="E685" s="1">
        <f>IFERROR(__xludf.DUMMYFUNCTION("""COMPUTED_VALUE"""),21.0)</f>
        <v>21</v>
      </c>
      <c r="F685" s="1">
        <f>IFERROR(__xludf.DUMMYFUNCTION("""COMPUTED_VALUE"""),45.0)</f>
        <v>45</v>
      </c>
      <c r="G685" s="1">
        <f>IFERROR(__xludf.DUMMYFUNCTION("""COMPUTED_VALUE"""),59.0)</f>
        <v>59</v>
      </c>
      <c r="H685" s="1">
        <f>IFERROR(__xludf.DUMMYFUNCTION("""COMPUTED_VALUE"""),84.0)</f>
        <v>84</v>
      </c>
      <c r="I685" s="1">
        <f>IFERROR(__xludf.DUMMYFUNCTION("""COMPUTED_VALUE"""),59.0)</f>
        <v>59</v>
      </c>
      <c r="J685" s="1">
        <f>IFERROR(__xludf.DUMMYFUNCTION("""COMPUTED_VALUE"""),268.0)</f>
        <v>268</v>
      </c>
      <c r="K685" s="1">
        <f>IFERROR(__xludf.DUMMYFUNCTION("""COMPUTED_VALUE"""),53.6)</f>
        <v>53.6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>
        <f>IFERROR(__xludf.DUMMYFUNCTION("""COMPUTED_VALUE"""),21.0)</f>
        <v>21</v>
      </c>
      <c r="E686" s="1">
        <f>IFERROR(__xludf.DUMMYFUNCTION("""COMPUTED_VALUE"""),25.0)</f>
        <v>25</v>
      </c>
      <c r="F686" s="1">
        <f>IFERROR(__xludf.DUMMYFUNCTION("""COMPUTED_VALUE"""),24.0)</f>
        <v>24</v>
      </c>
      <c r="G686" s="1">
        <f>IFERROR(__xludf.DUMMYFUNCTION("""COMPUTED_VALUE"""),44.0)</f>
        <v>44</v>
      </c>
      <c r="H686" s="1">
        <f>IFERROR(__xludf.DUMMYFUNCTION("""COMPUTED_VALUE"""),82.0)</f>
        <v>82</v>
      </c>
      <c r="I686" s="1">
        <f>IFERROR(__xludf.DUMMYFUNCTION("""COMPUTED_VALUE"""),64.0)</f>
        <v>64</v>
      </c>
      <c r="J686" s="1">
        <f>IFERROR(__xludf.DUMMYFUNCTION("""COMPUTED_VALUE"""),239.0)</f>
        <v>239</v>
      </c>
      <c r="K686" s="1">
        <f>IFERROR(__xludf.DUMMYFUNCTION("""COMPUTED_VALUE"""),47.8)</f>
        <v>47.8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>
        <f>IFERROR(__xludf.DUMMYFUNCTION("""COMPUTED_VALUE"""),53.0)</f>
        <v>53</v>
      </c>
      <c r="E687" s="1">
        <f>IFERROR(__xludf.DUMMYFUNCTION("""COMPUTED_VALUE"""),35.0)</f>
        <v>35</v>
      </c>
      <c r="F687" s="1">
        <f>IFERROR(__xludf.DUMMYFUNCTION("""COMPUTED_VALUE"""),42.0)</f>
        <v>42</v>
      </c>
      <c r="G687" s="1">
        <f>IFERROR(__xludf.DUMMYFUNCTION("""COMPUTED_VALUE"""),49.0)</f>
        <v>49</v>
      </c>
      <c r="H687" s="1">
        <f>IFERROR(__xludf.DUMMYFUNCTION("""COMPUTED_VALUE"""),33.0)</f>
        <v>33</v>
      </c>
      <c r="I687" s="1">
        <f>IFERROR(__xludf.DUMMYFUNCTION("""COMPUTED_VALUE"""),50.0)</f>
        <v>50</v>
      </c>
      <c r="J687" s="1">
        <f>IFERROR(__xludf.DUMMYFUNCTION("""COMPUTED_VALUE"""),209.0)</f>
        <v>209</v>
      </c>
      <c r="K687" s="1">
        <f>IFERROR(__xludf.DUMMYFUNCTION("""COMPUTED_VALUE"""),41.8)</f>
        <v>41.8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>
        <f>IFERROR(__xludf.DUMMYFUNCTION("""COMPUTED_VALUE"""),52.0)</f>
        <v>52</v>
      </c>
      <c r="E688" s="1">
        <f>IFERROR(__xludf.DUMMYFUNCTION("""COMPUTED_VALUE"""),50.0)</f>
        <v>50</v>
      </c>
      <c r="F688" s="1">
        <f>IFERROR(__xludf.DUMMYFUNCTION("""COMPUTED_VALUE"""),41.0)</f>
        <v>41</v>
      </c>
      <c r="G688" s="1">
        <f>IFERROR(__xludf.DUMMYFUNCTION("""COMPUTED_VALUE"""),57.0)</f>
        <v>57</v>
      </c>
      <c r="H688" s="1">
        <f>IFERROR(__xludf.DUMMYFUNCTION("""COMPUTED_VALUE"""),56.0)</f>
        <v>56</v>
      </c>
      <c r="I688" s="1">
        <f>IFERROR(__xludf.DUMMYFUNCTION("""COMPUTED_VALUE"""),53.0)</f>
        <v>53</v>
      </c>
      <c r="J688" s="1">
        <f>IFERROR(__xludf.DUMMYFUNCTION("""COMPUTED_VALUE"""),257.0)</f>
        <v>257</v>
      </c>
      <c r="K688" s="1">
        <f>IFERROR(__xludf.DUMMYFUNCTION("""COMPUTED_VALUE"""),51.4)</f>
        <v>51.4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>
        <f>IFERROR(__xludf.DUMMYFUNCTION("""COMPUTED_VALUE"""),29.0)</f>
        <v>29</v>
      </c>
      <c r="E689" s="1">
        <f>IFERROR(__xludf.DUMMYFUNCTION("""COMPUTED_VALUE"""),70.0)</f>
        <v>70</v>
      </c>
      <c r="F689" s="1">
        <f>IFERROR(__xludf.DUMMYFUNCTION("""COMPUTED_VALUE"""),44.0)</f>
        <v>44</v>
      </c>
      <c r="G689" s="1">
        <f>IFERROR(__xludf.DUMMYFUNCTION("""COMPUTED_VALUE"""),79.0)</f>
        <v>79</v>
      </c>
      <c r="H689" s="1">
        <f>IFERROR(__xludf.DUMMYFUNCTION("""COMPUTED_VALUE"""),73.0)</f>
        <v>73</v>
      </c>
      <c r="I689" s="1">
        <f>IFERROR(__xludf.DUMMYFUNCTION("""COMPUTED_VALUE"""),27.0)</f>
        <v>27</v>
      </c>
      <c r="J689" s="1">
        <f>IFERROR(__xludf.DUMMYFUNCTION("""COMPUTED_VALUE"""),293.0)</f>
        <v>293</v>
      </c>
      <c r="K689" s="1">
        <f>IFERROR(__xludf.DUMMYFUNCTION("""COMPUTED_VALUE"""),58.599999999999994)</f>
        <v>58.6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>
        <f>IFERROR(__xludf.DUMMYFUNCTION("""COMPUTED_VALUE"""),68.0)</f>
        <v>68</v>
      </c>
      <c r="E690" s="1">
        <f>IFERROR(__xludf.DUMMYFUNCTION("""COMPUTED_VALUE"""),94.0)</f>
        <v>94</v>
      </c>
      <c r="F690" s="1">
        <f>IFERROR(__xludf.DUMMYFUNCTION("""COMPUTED_VALUE"""),71.0)</f>
        <v>71</v>
      </c>
      <c r="G690" s="1">
        <f>IFERROR(__xludf.DUMMYFUNCTION("""COMPUTED_VALUE"""),98.0)</f>
        <v>98</v>
      </c>
      <c r="H690" s="1">
        <f>IFERROR(__xludf.DUMMYFUNCTION("""COMPUTED_VALUE"""),40.0)</f>
        <v>40</v>
      </c>
      <c r="I690" s="1">
        <f>IFERROR(__xludf.DUMMYFUNCTION("""COMPUTED_VALUE"""),25.0)</f>
        <v>25</v>
      </c>
      <c r="J690" s="1">
        <f>IFERROR(__xludf.DUMMYFUNCTION("""COMPUTED_VALUE"""),328.0)</f>
        <v>328</v>
      </c>
      <c r="K690" s="1">
        <f>IFERROR(__xludf.DUMMYFUNCTION("""COMPUTED_VALUE"""),65.60000000000001)</f>
        <v>65.6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>
        <f>IFERROR(__xludf.DUMMYFUNCTION("""COMPUTED_VALUE"""),79.0)</f>
        <v>79</v>
      </c>
      <c r="E691" s="1">
        <f>IFERROR(__xludf.DUMMYFUNCTION("""COMPUTED_VALUE"""),68.0)</f>
        <v>68</v>
      </c>
      <c r="F691" s="1">
        <f>IFERROR(__xludf.DUMMYFUNCTION("""COMPUTED_VALUE"""),95.0)</f>
        <v>95</v>
      </c>
      <c r="G691" s="1">
        <f>IFERROR(__xludf.DUMMYFUNCTION("""COMPUTED_VALUE"""),73.0)</f>
        <v>73</v>
      </c>
      <c r="H691" s="1">
        <f>IFERROR(__xludf.DUMMYFUNCTION("""COMPUTED_VALUE"""),71.0)</f>
        <v>71</v>
      </c>
      <c r="I691" s="1">
        <f>IFERROR(__xludf.DUMMYFUNCTION("""COMPUTED_VALUE"""),70.0)</f>
        <v>70</v>
      </c>
      <c r="J691" s="1">
        <f>IFERROR(__xludf.DUMMYFUNCTION("""COMPUTED_VALUE"""),377.0)</f>
        <v>377</v>
      </c>
      <c r="K691" s="1">
        <f>IFERROR(__xludf.DUMMYFUNCTION("""COMPUTED_VALUE"""),75.4)</f>
        <v>75.4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>
        <f>IFERROR(__xludf.DUMMYFUNCTION("""COMPUTED_VALUE"""),59.0)</f>
        <v>59</v>
      </c>
      <c r="E692" s="1">
        <f>IFERROR(__xludf.DUMMYFUNCTION("""COMPUTED_VALUE"""),92.0)</f>
        <v>92</v>
      </c>
      <c r="F692" s="1">
        <f>IFERROR(__xludf.DUMMYFUNCTION("""COMPUTED_VALUE"""),61.0)</f>
        <v>61</v>
      </c>
      <c r="G692" s="1">
        <f>IFERROR(__xludf.DUMMYFUNCTION("""COMPUTED_VALUE"""),29.0)</f>
        <v>29</v>
      </c>
      <c r="H692" s="1">
        <f>IFERROR(__xludf.DUMMYFUNCTION("""COMPUTED_VALUE"""),98.0)</f>
        <v>98</v>
      </c>
      <c r="I692" s="1">
        <f>IFERROR(__xludf.DUMMYFUNCTION("""COMPUTED_VALUE"""),43.0)</f>
        <v>43</v>
      </c>
      <c r="J692" s="1">
        <f>IFERROR(__xludf.DUMMYFUNCTION("""COMPUTED_VALUE"""),323.0)</f>
        <v>323</v>
      </c>
      <c r="K692" s="1">
        <f>IFERROR(__xludf.DUMMYFUNCTION("""COMPUTED_VALUE"""),64.60000000000001)</f>
        <v>64.6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>
        <f>IFERROR(__xludf.DUMMYFUNCTION("""COMPUTED_VALUE"""),55.0)</f>
        <v>55</v>
      </c>
      <c r="E693" s="1">
        <f>IFERROR(__xludf.DUMMYFUNCTION("""COMPUTED_VALUE"""),49.0)</f>
        <v>49</v>
      </c>
      <c r="F693" s="1">
        <f>IFERROR(__xludf.DUMMYFUNCTION("""COMPUTED_VALUE"""),79.0)</f>
        <v>79</v>
      </c>
      <c r="G693" s="1">
        <f>IFERROR(__xludf.DUMMYFUNCTION("""COMPUTED_VALUE"""),24.0)</f>
        <v>24</v>
      </c>
      <c r="H693" s="1">
        <f>IFERROR(__xludf.DUMMYFUNCTION("""COMPUTED_VALUE"""),28.0)</f>
        <v>28</v>
      </c>
      <c r="I693" s="1">
        <f>IFERROR(__xludf.DUMMYFUNCTION("""COMPUTED_VALUE"""),49.0)</f>
        <v>49</v>
      </c>
      <c r="J693" s="1">
        <f>IFERROR(__xludf.DUMMYFUNCTION("""COMPUTED_VALUE"""),229.0)</f>
        <v>229</v>
      </c>
      <c r="K693" s="1">
        <f>IFERROR(__xludf.DUMMYFUNCTION("""COMPUTED_VALUE"""),45.800000000000004)</f>
        <v>45.8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>
        <f>IFERROR(__xludf.DUMMYFUNCTION("""COMPUTED_VALUE"""),91.0)</f>
        <v>91</v>
      </c>
      <c r="E694" s="1">
        <f>IFERROR(__xludf.DUMMYFUNCTION("""COMPUTED_VALUE"""),50.0)</f>
        <v>50</v>
      </c>
      <c r="F694" s="1">
        <f>IFERROR(__xludf.DUMMYFUNCTION("""COMPUTED_VALUE"""),53.0)</f>
        <v>53</v>
      </c>
      <c r="G694" s="1">
        <f>IFERROR(__xludf.DUMMYFUNCTION("""COMPUTED_VALUE"""),35.0)</f>
        <v>35</v>
      </c>
      <c r="H694" s="1">
        <f>IFERROR(__xludf.DUMMYFUNCTION("""COMPUTED_VALUE"""),97.0)</f>
        <v>97</v>
      </c>
      <c r="I694" s="1">
        <f>IFERROR(__xludf.DUMMYFUNCTION("""COMPUTED_VALUE"""),58.0)</f>
        <v>58</v>
      </c>
      <c r="J694" s="1">
        <f>IFERROR(__xludf.DUMMYFUNCTION("""COMPUTED_VALUE"""),293.0)</f>
        <v>293</v>
      </c>
      <c r="K694" s="1">
        <f>IFERROR(__xludf.DUMMYFUNCTION("""COMPUTED_VALUE"""),58.599999999999994)</f>
        <v>58.6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>
        <f>IFERROR(__xludf.DUMMYFUNCTION("""COMPUTED_VALUE"""),31.0)</f>
        <v>31</v>
      </c>
      <c r="E695" s="1">
        <f>IFERROR(__xludf.DUMMYFUNCTION("""COMPUTED_VALUE"""),91.0)</f>
        <v>91</v>
      </c>
      <c r="F695" s="1">
        <f>IFERROR(__xludf.DUMMYFUNCTION("""COMPUTED_VALUE"""),25.0)</f>
        <v>25</v>
      </c>
      <c r="G695" s="1">
        <f>IFERROR(__xludf.DUMMYFUNCTION("""COMPUTED_VALUE"""),59.0)</f>
        <v>59</v>
      </c>
      <c r="H695" s="1">
        <f>IFERROR(__xludf.DUMMYFUNCTION("""COMPUTED_VALUE"""),57.0)</f>
        <v>57</v>
      </c>
      <c r="I695" s="1">
        <f>IFERROR(__xludf.DUMMYFUNCTION("""COMPUTED_VALUE"""),96.0)</f>
        <v>96</v>
      </c>
      <c r="J695" s="1">
        <f>IFERROR(__xludf.DUMMYFUNCTION("""COMPUTED_VALUE"""),328.0)</f>
        <v>328</v>
      </c>
      <c r="K695" s="1">
        <f>IFERROR(__xludf.DUMMYFUNCTION("""COMPUTED_VALUE"""),65.60000000000001)</f>
        <v>65.6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>
        <f>IFERROR(__xludf.DUMMYFUNCTION("""COMPUTED_VALUE"""),80.0)</f>
        <v>80</v>
      </c>
      <c r="E696" s="1">
        <f>IFERROR(__xludf.DUMMYFUNCTION("""COMPUTED_VALUE"""),23.0)</f>
        <v>23</v>
      </c>
      <c r="F696" s="1">
        <f>IFERROR(__xludf.DUMMYFUNCTION("""COMPUTED_VALUE"""),43.0)</f>
        <v>43</v>
      </c>
      <c r="G696" s="1">
        <f>IFERROR(__xludf.DUMMYFUNCTION("""COMPUTED_VALUE"""),40.0)</f>
        <v>40</v>
      </c>
      <c r="H696" s="1">
        <f>IFERROR(__xludf.DUMMYFUNCTION("""COMPUTED_VALUE"""),82.0)</f>
        <v>82</v>
      </c>
      <c r="I696" s="1">
        <f>IFERROR(__xludf.DUMMYFUNCTION("""COMPUTED_VALUE"""),73.0)</f>
        <v>73</v>
      </c>
      <c r="J696" s="1">
        <f>IFERROR(__xludf.DUMMYFUNCTION("""COMPUTED_VALUE"""),261.0)</f>
        <v>261</v>
      </c>
      <c r="K696" s="1">
        <f>IFERROR(__xludf.DUMMYFUNCTION("""COMPUTED_VALUE"""),52.2)</f>
        <v>52.2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>
        <f>IFERROR(__xludf.DUMMYFUNCTION("""COMPUTED_VALUE"""),97.0)</f>
        <v>97</v>
      </c>
      <c r="E697" s="1">
        <f>IFERROR(__xludf.DUMMYFUNCTION("""COMPUTED_VALUE"""),54.0)</f>
        <v>54</v>
      </c>
      <c r="F697" s="1">
        <f>IFERROR(__xludf.DUMMYFUNCTION("""COMPUTED_VALUE"""),38.0)</f>
        <v>38</v>
      </c>
      <c r="G697" s="1">
        <f>IFERROR(__xludf.DUMMYFUNCTION("""COMPUTED_VALUE"""),69.0)</f>
        <v>69</v>
      </c>
      <c r="H697" s="1">
        <f>IFERROR(__xludf.DUMMYFUNCTION("""COMPUTED_VALUE"""),86.0)</f>
        <v>86</v>
      </c>
      <c r="I697" s="1">
        <f>IFERROR(__xludf.DUMMYFUNCTION("""COMPUTED_VALUE"""),70.0)</f>
        <v>70</v>
      </c>
      <c r="J697" s="1">
        <f>IFERROR(__xludf.DUMMYFUNCTION("""COMPUTED_VALUE"""),317.0)</f>
        <v>317</v>
      </c>
      <c r="K697" s="1">
        <f>IFERROR(__xludf.DUMMYFUNCTION("""COMPUTED_VALUE"""),63.4)</f>
        <v>63.4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>
        <f>IFERROR(__xludf.DUMMYFUNCTION("""COMPUTED_VALUE"""),38.0)</f>
        <v>38</v>
      </c>
      <c r="E698" s="1">
        <f>IFERROR(__xludf.DUMMYFUNCTION("""COMPUTED_VALUE"""),24.0)</f>
        <v>24</v>
      </c>
      <c r="F698" s="1">
        <f>IFERROR(__xludf.DUMMYFUNCTION("""COMPUTED_VALUE"""),70.0)</f>
        <v>70</v>
      </c>
      <c r="G698" s="1">
        <f>IFERROR(__xludf.DUMMYFUNCTION("""COMPUTED_VALUE"""),22.0)</f>
        <v>22</v>
      </c>
      <c r="H698" s="1">
        <f>IFERROR(__xludf.DUMMYFUNCTION("""COMPUTED_VALUE"""),35.0)</f>
        <v>35</v>
      </c>
      <c r="I698" s="1">
        <f>IFERROR(__xludf.DUMMYFUNCTION("""COMPUTED_VALUE"""),22.0)</f>
        <v>22</v>
      </c>
      <c r="J698" s="1">
        <f>IFERROR(__xludf.DUMMYFUNCTION("""COMPUTED_VALUE"""),173.0)</f>
        <v>173</v>
      </c>
      <c r="K698" s="1">
        <f>IFERROR(__xludf.DUMMYFUNCTION("""COMPUTED_VALUE"""),34.599999999999994)</f>
        <v>34.6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>
        <f>IFERROR(__xludf.DUMMYFUNCTION("""COMPUTED_VALUE"""),15.0)</f>
        <v>15</v>
      </c>
      <c r="E699" s="1">
        <f>IFERROR(__xludf.DUMMYFUNCTION("""COMPUTED_VALUE"""),98.0)</f>
        <v>98</v>
      </c>
      <c r="F699" s="1">
        <f>IFERROR(__xludf.DUMMYFUNCTION("""COMPUTED_VALUE"""),90.0)</f>
        <v>90</v>
      </c>
      <c r="G699" s="1">
        <f>IFERROR(__xludf.DUMMYFUNCTION("""COMPUTED_VALUE"""),99.0)</f>
        <v>99</v>
      </c>
      <c r="H699" s="1">
        <f>IFERROR(__xludf.DUMMYFUNCTION("""COMPUTED_VALUE"""),95.0)</f>
        <v>95</v>
      </c>
      <c r="I699" s="1">
        <f>IFERROR(__xludf.DUMMYFUNCTION("""COMPUTED_VALUE"""),84.0)</f>
        <v>84</v>
      </c>
      <c r="J699" s="1">
        <f>IFERROR(__xludf.DUMMYFUNCTION("""COMPUTED_VALUE"""),466.0)</f>
        <v>466</v>
      </c>
      <c r="K699" s="1">
        <f>IFERROR(__xludf.DUMMYFUNCTION("""COMPUTED_VALUE"""),93.2)</f>
        <v>93.2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>
        <f>IFERROR(__xludf.DUMMYFUNCTION("""COMPUTED_VALUE"""),64.0)</f>
        <v>64</v>
      </c>
      <c r="E700" s="1">
        <f>IFERROR(__xludf.DUMMYFUNCTION("""COMPUTED_VALUE"""),90.0)</f>
        <v>90</v>
      </c>
      <c r="F700" s="1">
        <f>IFERROR(__xludf.DUMMYFUNCTION("""COMPUTED_VALUE"""),91.0)</f>
        <v>91</v>
      </c>
      <c r="G700" s="1">
        <f>IFERROR(__xludf.DUMMYFUNCTION("""COMPUTED_VALUE"""),91.0)</f>
        <v>91</v>
      </c>
      <c r="H700" s="1">
        <f>IFERROR(__xludf.DUMMYFUNCTION("""COMPUTED_VALUE"""),20.0)</f>
        <v>20</v>
      </c>
      <c r="I700" s="1">
        <f>IFERROR(__xludf.DUMMYFUNCTION("""COMPUTED_VALUE"""),80.0)</f>
        <v>80</v>
      </c>
      <c r="J700" s="1">
        <f>IFERROR(__xludf.DUMMYFUNCTION("""COMPUTED_VALUE"""),372.0)</f>
        <v>372</v>
      </c>
      <c r="K700" s="1">
        <f>IFERROR(__xludf.DUMMYFUNCTION("""COMPUTED_VALUE"""),74.4)</f>
        <v>74.4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>
        <f>IFERROR(__xludf.DUMMYFUNCTION("""COMPUTED_VALUE"""),43.0)</f>
        <v>43</v>
      </c>
      <c r="E701" s="1">
        <f>IFERROR(__xludf.DUMMYFUNCTION("""COMPUTED_VALUE"""),72.0)</f>
        <v>72</v>
      </c>
      <c r="F701" s="1">
        <f>IFERROR(__xludf.DUMMYFUNCTION("""COMPUTED_VALUE"""),86.0)</f>
        <v>86</v>
      </c>
      <c r="G701" s="1">
        <f>IFERROR(__xludf.DUMMYFUNCTION("""COMPUTED_VALUE"""),55.0)</f>
        <v>55</v>
      </c>
      <c r="H701" s="1">
        <f>IFERROR(__xludf.DUMMYFUNCTION("""COMPUTED_VALUE"""),48.0)</f>
        <v>48</v>
      </c>
      <c r="I701" s="1">
        <f>IFERROR(__xludf.DUMMYFUNCTION("""COMPUTED_VALUE"""),25.0)</f>
        <v>25</v>
      </c>
      <c r="J701" s="1">
        <f>IFERROR(__xludf.DUMMYFUNCTION("""COMPUTED_VALUE"""),286.0)</f>
        <v>286</v>
      </c>
      <c r="K701" s="1">
        <f>IFERROR(__xludf.DUMMYFUNCTION("""COMPUTED_VALUE"""),57.199999999999996)</f>
        <v>57.2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>
        <f>IFERROR(__xludf.DUMMYFUNCTION("""COMPUTED_VALUE"""),82.0)</f>
        <v>82</v>
      </c>
      <c r="E702" s="1">
        <f>IFERROR(__xludf.DUMMYFUNCTION("""COMPUTED_VALUE"""),36.0)</f>
        <v>36</v>
      </c>
      <c r="F702" s="1">
        <f>IFERROR(__xludf.DUMMYFUNCTION("""COMPUTED_VALUE"""),85.0)</f>
        <v>85</v>
      </c>
      <c r="G702" s="1">
        <f>IFERROR(__xludf.DUMMYFUNCTION("""COMPUTED_VALUE"""),67.0)</f>
        <v>67</v>
      </c>
      <c r="H702" s="1">
        <f>IFERROR(__xludf.DUMMYFUNCTION("""COMPUTED_VALUE"""),58.0)</f>
        <v>58</v>
      </c>
      <c r="I702" s="1">
        <f>IFERROR(__xludf.DUMMYFUNCTION("""COMPUTED_VALUE"""),52.0)</f>
        <v>52</v>
      </c>
      <c r="J702" s="1">
        <f>IFERROR(__xludf.DUMMYFUNCTION("""COMPUTED_VALUE"""),298.0)</f>
        <v>298</v>
      </c>
      <c r="K702" s="1">
        <f>IFERROR(__xludf.DUMMYFUNCTION("""COMPUTED_VALUE"""),59.599999999999994)</f>
        <v>59.6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>
        <f>IFERROR(__xludf.DUMMYFUNCTION("""COMPUTED_VALUE"""),63.0)</f>
        <v>63</v>
      </c>
      <c r="E703" s="1">
        <f>IFERROR(__xludf.DUMMYFUNCTION("""COMPUTED_VALUE"""),88.0)</f>
        <v>88</v>
      </c>
      <c r="F703" s="1">
        <f>IFERROR(__xludf.DUMMYFUNCTION("""COMPUTED_VALUE"""),61.0)</f>
        <v>61</v>
      </c>
      <c r="G703" s="1">
        <f>IFERROR(__xludf.DUMMYFUNCTION("""COMPUTED_VALUE"""),89.0)</f>
        <v>89</v>
      </c>
      <c r="H703" s="1">
        <f>IFERROR(__xludf.DUMMYFUNCTION("""COMPUTED_VALUE"""),55.0)</f>
        <v>55</v>
      </c>
      <c r="I703" s="1">
        <f>IFERROR(__xludf.DUMMYFUNCTION("""COMPUTED_VALUE"""),22.0)</f>
        <v>22</v>
      </c>
      <c r="J703" s="1">
        <f>IFERROR(__xludf.DUMMYFUNCTION("""COMPUTED_VALUE"""),315.0)</f>
        <v>315</v>
      </c>
      <c r="K703" s="1">
        <f>IFERROR(__xludf.DUMMYFUNCTION("""COMPUTED_VALUE"""),63.0)</f>
        <v>63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>
        <f>IFERROR(__xludf.DUMMYFUNCTION("""COMPUTED_VALUE"""),77.0)</f>
        <v>77</v>
      </c>
      <c r="E704" s="1">
        <f>IFERROR(__xludf.DUMMYFUNCTION("""COMPUTED_VALUE"""),74.0)</f>
        <v>74</v>
      </c>
      <c r="F704" s="1">
        <f>IFERROR(__xludf.DUMMYFUNCTION("""COMPUTED_VALUE"""),63.0)</f>
        <v>63</v>
      </c>
      <c r="G704" s="1">
        <f>IFERROR(__xludf.DUMMYFUNCTION("""COMPUTED_VALUE"""),52.0)</f>
        <v>52</v>
      </c>
      <c r="H704" s="1">
        <f>IFERROR(__xludf.DUMMYFUNCTION("""COMPUTED_VALUE"""),57.0)</f>
        <v>57</v>
      </c>
      <c r="I704" s="1">
        <f>IFERROR(__xludf.DUMMYFUNCTION("""COMPUTED_VALUE"""),41.0)</f>
        <v>41</v>
      </c>
      <c r="J704" s="1">
        <f>IFERROR(__xludf.DUMMYFUNCTION("""COMPUTED_VALUE"""),287.0)</f>
        <v>287</v>
      </c>
      <c r="K704" s="1">
        <f>IFERROR(__xludf.DUMMYFUNCTION("""COMPUTED_VALUE"""),57.4)</f>
        <v>57.4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>
        <f>IFERROR(__xludf.DUMMYFUNCTION("""COMPUTED_VALUE"""),68.0)</f>
        <v>68</v>
      </c>
      <c r="E705" s="1">
        <f>IFERROR(__xludf.DUMMYFUNCTION("""COMPUTED_VALUE"""),66.0)</f>
        <v>66</v>
      </c>
      <c r="F705" s="1">
        <f>IFERROR(__xludf.DUMMYFUNCTION("""COMPUTED_VALUE"""),88.0)</f>
        <v>88</v>
      </c>
      <c r="G705" s="1">
        <f>IFERROR(__xludf.DUMMYFUNCTION("""COMPUTED_VALUE"""),37.0)</f>
        <v>37</v>
      </c>
      <c r="H705" s="1">
        <f>IFERROR(__xludf.DUMMYFUNCTION("""COMPUTED_VALUE"""),65.0)</f>
        <v>65</v>
      </c>
      <c r="I705" s="1">
        <f>IFERROR(__xludf.DUMMYFUNCTION("""COMPUTED_VALUE"""),24.0)</f>
        <v>24</v>
      </c>
      <c r="J705" s="1">
        <f>IFERROR(__xludf.DUMMYFUNCTION("""COMPUTED_VALUE"""),280.0)</f>
        <v>280</v>
      </c>
      <c r="K705" s="1">
        <f>IFERROR(__xludf.DUMMYFUNCTION("""COMPUTED_VALUE"""),56.00000000000001)</f>
        <v>56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>
        <f>IFERROR(__xludf.DUMMYFUNCTION("""COMPUTED_VALUE"""),23.0)</f>
        <v>23</v>
      </c>
      <c r="E706" s="1">
        <f>IFERROR(__xludf.DUMMYFUNCTION("""COMPUTED_VALUE"""),60.0)</f>
        <v>60</v>
      </c>
      <c r="F706" s="1">
        <f>IFERROR(__xludf.DUMMYFUNCTION("""COMPUTED_VALUE"""),20.0)</f>
        <v>20</v>
      </c>
      <c r="G706" s="1">
        <f>IFERROR(__xludf.DUMMYFUNCTION("""COMPUTED_VALUE"""),54.0)</f>
        <v>54</v>
      </c>
      <c r="H706" s="1">
        <f>IFERROR(__xludf.DUMMYFUNCTION("""COMPUTED_VALUE"""),66.0)</f>
        <v>66</v>
      </c>
      <c r="I706" s="1">
        <f>IFERROR(__xludf.DUMMYFUNCTION("""COMPUTED_VALUE"""),39.0)</f>
        <v>39</v>
      </c>
      <c r="J706" s="1">
        <f>IFERROR(__xludf.DUMMYFUNCTION("""COMPUTED_VALUE"""),239.0)</f>
        <v>239</v>
      </c>
      <c r="K706" s="1">
        <f>IFERROR(__xludf.DUMMYFUNCTION("""COMPUTED_VALUE"""),47.8)</f>
        <v>47.8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>
        <f>IFERROR(__xludf.DUMMYFUNCTION("""COMPUTED_VALUE"""),14.0)</f>
        <v>14</v>
      </c>
      <c r="E707" s="1">
        <f>IFERROR(__xludf.DUMMYFUNCTION("""COMPUTED_VALUE"""),39.0)</f>
        <v>39</v>
      </c>
      <c r="F707" s="1">
        <f>IFERROR(__xludf.DUMMYFUNCTION("""COMPUTED_VALUE"""),29.0)</f>
        <v>29</v>
      </c>
      <c r="G707" s="1">
        <f>IFERROR(__xludf.DUMMYFUNCTION("""COMPUTED_VALUE"""),69.0)</f>
        <v>69</v>
      </c>
      <c r="H707" s="1">
        <f>IFERROR(__xludf.DUMMYFUNCTION("""COMPUTED_VALUE"""),67.0)</f>
        <v>67</v>
      </c>
      <c r="I707" s="1">
        <f>IFERROR(__xludf.DUMMYFUNCTION("""COMPUTED_VALUE"""),93.0)</f>
        <v>93</v>
      </c>
      <c r="J707" s="1">
        <f>IFERROR(__xludf.DUMMYFUNCTION("""COMPUTED_VALUE"""),297.0)</f>
        <v>297</v>
      </c>
      <c r="K707" s="1">
        <f>IFERROR(__xludf.DUMMYFUNCTION("""COMPUTED_VALUE"""),59.4)</f>
        <v>59.4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>
        <f>IFERROR(__xludf.DUMMYFUNCTION("""COMPUTED_VALUE"""),50.0)</f>
        <v>50</v>
      </c>
      <c r="E708" s="1">
        <f>IFERROR(__xludf.DUMMYFUNCTION("""COMPUTED_VALUE"""),51.0)</f>
        <v>51</v>
      </c>
      <c r="F708" s="1">
        <f>IFERROR(__xludf.DUMMYFUNCTION("""COMPUTED_VALUE"""),96.0)</f>
        <v>96</v>
      </c>
      <c r="G708" s="1">
        <f>IFERROR(__xludf.DUMMYFUNCTION("""COMPUTED_VALUE"""),58.0)</f>
        <v>58</v>
      </c>
      <c r="H708" s="1">
        <f>IFERROR(__xludf.DUMMYFUNCTION("""COMPUTED_VALUE"""),63.0)</f>
        <v>63</v>
      </c>
      <c r="I708" s="1">
        <f>IFERROR(__xludf.DUMMYFUNCTION("""COMPUTED_VALUE"""),24.0)</f>
        <v>24</v>
      </c>
      <c r="J708" s="1">
        <f>IFERROR(__xludf.DUMMYFUNCTION("""COMPUTED_VALUE"""),292.0)</f>
        <v>292</v>
      </c>
      <c r="K708" s="1">
        <f>IFERROR(__xludf.DUMMYFUNCTION("""COMPUTED_VALUE"""),58.4)</f>
        <v>58.4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>
        <f>IFERROR(__xludf.DUMMYFUNCTION("""COMPUTED_VALUE"""),70.0)</f>
        <v>70</v>
      </c>
      <c r="E709" s="1">
        <f>IFERROR(__xludf.DUMMYFUNCTION("""COMPUTED_VALUE"""),77.0)</f>
        <v>77</v>
      </c>
      <c r="F709" s="1">
        <f>IFERROR(__xludf.DUMMYFUNCTION("""COMPUTED_VALUE"""),55.0)</f>
        <v>55</v>
      </c>
      <c r="G709" s="1">
        <f>IFERROR(__xludf.DUMMYFUNCTION("""COMPUTED_VALUE"""),43.0)</f>
        <v>43</v>
      </c>
      <c r="H709" s="1">
        <f>IFERROR(__xludf.DUMMYFUNCTION("""COMPUTED_VALUE"""),82.0)</f>
        <v>82</v>
      </c>
      <c r="I709" s="1">
        <f>IFERROR(__xludf.DUMMYFUNCTION("""COMPUTED_VALUE"""),55.0)</f>
        <v>55</v>
      </c>
      <c r="J709" s="1">
        <f>IFERROR(__xludf.DUMMYFUNCTION("""COMPUTED_VALUE"""),312.0)</f>
        <v>312</v>
      </c>
      <c r="K709" s="1">
        <f>IFERROR(__xludf.DUMMYFUNCTION("""COMPUTED_VALUE"""),62.4)</f>
        <v>62.4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>
        <f>IFERROR(__xludf.DUMMYFUNCTION("""COMPUTED_VALUE"""),50.0)</f>
        <v>50</v>
      </c>
      <c r="E710" s="1">
        <f>IFERROR(__xludf.DUMMYFUNCTION("""COMPUTED_VALUE"""),63.0)</f>
        <v>63</v>
      </c>
      <c r="F710" s="1">
        <f>IFERROR(__xludf.DUMMYFUNCTION("""COMPUTED_VALUE"""),21.0)</f>
        <v>21</v>
      </c>
      <c r="G710" s="1">
        <f>IFERROR(__xludf.DUMMYFUNCTION("""COMPUTED_VALUE"""),69.0)</f>
        <v>69</v>
      </c>
      <c r="H710" s="1">
        <f>IFERROR(__xludf.DUMMYFUNCTION("""COMPUTED_VALUE"""),55.0)</f>
        <v>55</v>
      </c>
      <c r="I710" s="1">
        <f>IFERROR(__xludf.DUMMYFUNCTION("""COMPUTED_VALUE"""),93.0)</f>
        <v>93</v>
      </c>
      <c r="J710" s="1">
        <f>IFERROR(__xludf.DUMMYFUNCTION("""COMPUTED_VALUE"""),301.0)</f>
        <v>301</v>
      </c>
      <c r="K710" s="1">
        <f>IFERROR(__xludf.DUMMYFUNCTION("""COMPUTED_VALUE"""),60.199999999999996)</f>
        <v>60.2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>
        <f>IFERROR(__xludf.DUMMYFUNCTION("""COMPUTED_VALUE"""),89.0)</f>
        <v>89</v>
      </c>
      <c r="E711" s="1">
        <f>IFERROR(__xludf.DUMMYFUNCTION("""COMPUTED_VALUE"""),26.0)</f>
        <v>26</v>
      </c>
      <c r="F711" s="1">
        <f>IFERROR(__xludf.DUMMYFUNCTION("""COMPUTED_VALUE"""),63.0)</f>
        <v>63</v>
      </c>
      <c r="G711" s="1">
        <f>IFERROR(__xludf.DUMMYFUNCTION("""COMPUTED_VALUE"""),59.0)</f>
        <v>59</v>
      </c>
      <c r="H711" s="1">
        <f>IFERROR(__xludf.DUMMYFUNCTION("""COMPUTED_VALUE"""),46.0)</f>
        <v>46</v>
      </c>
      <c r="I711" s="1">
        <f>IFERROR(__xludf.DUMMYFUNCTION("""COMPUTED_VALUE"""),84.0)</f>
        <v>84</v>
      </c>
      <c r="J711" s="1">
        <f>IFERROR(__xludf.DUMMYFUNCTION("""COMPUTED_VALUE"""),278.0)</f>
        <v>278</v>
      </c>
      <c r="K711" s="1">
        <f>IFERROR(__xludf.DUMMYFUNCTION("""COMPUTED_VALUE"""),55.60000000000001)</f>
        <v>55.6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>
        <f>IFERROR(__xludf.DUMMYFUNCTION("""COMPUTED_VALUE"""),62.0)</f>
        <v>62</v>
      </c>
      <c r="E712" s="1">
        <f>IFERROR(__xludf.DUMMYFUNCTION("""COMPUTED_VALUE"""),44.0)</f>
        <v>44</v>
      </c>
      <c r="F712" s="1">
        <f>IFERROR(__xludf.DUMMYFUNCTION("""COMPUTED_VALUE"""),33.0)</f>
        <v>33</v>
      </c>
      <c r="G712" s="1">
        <f>IFERROR(__xludf.DUMMYFUNCTION("""COMPUTED_VALUE"""),47.0)</f>
        <v>47</v>
      </c>
      <c r="H712" s="1">
        <f>IFERROR(__xludf.DUMMYFUNCTION("""COMPUTED_VALUE"""),89.0)</f>
        <v>89</v>
      </c>
      <c r="I712" s="1">
        <f>IFERROR(__xludf.DUMMYFUNCTION("""COMPUTED_VALUE"""),97.0)</f>
        <v>97</v>
      </c>
      <c r="J712" s="1">
        <f>IFERROR(__xludf.DUMMYFUNCTION("""COMPUTED_VALUE"""),310.0)</f>
        <v>310</v>
      </c>
      <c r="K712" s="1">
        <f>IFERROR(__xludf.DUMMYFUNCTION("""COMPUTED_VALUE"""),62.0)</f>
        <v>62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>
        <f>IFERROR(__xludf.DUMMYFUNCTION("""COMPUTED_VALUE"""),63.0)</f>
        <v>63</v>
      </c>
      <c r="E713" s="1">
        <f>IFERROR(__xludf.DUMMYFUNCTION("""COMPUTED_VALUE"""),75.0)</f>
        <v>75</v>
      </c>
      <c r="F713" s="1">
        <f>IFERROR(__xludf.DUMMYFUNCTION("""COMPUTED_VALUE"""),86.0)</f>
        <v>86</v>
      </c>
      <c r="G713" s="1">
        <f>IFERROR(__xludf.DUMMYFUNCTION("""COMPUTED_VALUE"""),58.0)</f>
        <v>58</v>
      </c>
      <c r="H713" s="1">
        <f>IFERROR(__xludf.DUMMYFUNCTION("""COMPUTED_VALUE"""),52.0)</f>
        <v>52</v>
      </c>
      <c r="I713" s="1">
        <f>IFERROR(__xludf.DUMMYFUNCTION("""COMPUTED_VALUE"""),90.0)</f>
        <v>90</v>
      </c>
      <c r="J713" s="1">
        <f>IFERROR(__xludf.DUMMYFUNCTION("""COMPUTED_VALUE"""),361.0)</f>
        <v>361</v>
      </c>
      <c r="K713" s="1">
        <f>IFERROR(__xludf.DUMMYFUNCTION("""COMPUTED_VALUE"""),72.2)</f>
        <v>72.2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>
        <f>IFERROR(__xludf.DUMMYFUNCTION("""COMPUTED_VALUE"""),74.0)</f>
        <v>74</v>
      </c>
      <c r="E714" s="1">
        <f>IFERROR(__xludf.DUMMYFUNCTION("""COMPUTED_VALUE"""),58.0)</f>
        <v>58</v>
      </c>
      <c r="F714" s="1">
        <f>IFERROR(__xludf.DUMMYFUNCTION("""COMPUTED_VALUE"""),94.0)</f>
        <v>94</v>
      </c>
      <c r="G714" s="1">
        <f>IFERROR(__xludf.DUMMYFUNCTION("""COMPUTED_VALUE"""),33.0)</f>
        <v>33</v>
      </c>
      <c r="H714" s="1">
        <f>IFERROR(__xludf.DUMMYFUNCTION("""COMPUTED_VALUE"""),57.0)</f>
        <v>57</v>
      </c>
      <c r="I714" s="1">
        <f>IFERROR(__xludf.DUMMYFUNCTION("""COMPUTED_VALUE"""),83.0)</f>
        <v>83</v>
      </c>
      <c r="J714" s="1">
        <f>IFERROR(__xludf.DUMMYFUNCTION("""COMPUTED_VALUE"""),325.0)</f>
        <v>325</v>
      </c>
      <c r="K714" s="1">
        <f>IFERROR(__xludf.DUMMYFUNCTION("""COMPUTED_VALUE"""),65.0)</f>
        <v>65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>
        <f>IFERROR(__xludf.DUMMYFUNCTION("""COMPUTED_VALUE"""),68.0)</f>
        <v>68</v>
      </c>
      <c r="E715" s="1">
        <f>IFERROR(__xludf.DUMMYFUNCTION("""COMPUTED_VALUE"""),77.0)</f>
        <v>77</v>
      </c>
      <c r="F715" s="1">
        <f>IFERROR(__xludf.DUMMYFUNCTION("""COMPUTED_VALUE"""),29.0)</f>
        <v>29</v>
      </c>
      <c r="G715" s="1">
        <f>IFERROR(__xludf.DUMMYFUNCTION("""COMPUTED_VALUE"""),61.0)</f>
        <v>61</v>
      </c>
      <c r="H715" s="1">
        <f>IFERROR(__xludf.DUMMYFUNCTION("""COMPUTED_VALUE"""),98.0)</f>
        <v>98</v>
      </c>
      <c r="I715" s="1">
        <f>IFERROR(__xludf.DUMMYFUNCTION("""COMPUTED_VALUE"""),49.0)</f>
        <v>49</v>
      </c>
      <c r="J715" s="1">
        <f>IFERROR(__xludf.DUMMYFUNCTION("""COMPUTED_VALUE"""),314.0)</f>
        <v>314</v>
      </c>
      <c r="K715" s="1">
        <f>IFERROR(__xludf.DUMMYFUNCTION("""COMPUTED_VALUE"""),62.8)</f>
        <v>62.8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>
        <f>IFERROR(__xludf.DUMMYFUNCTION("""COMPUTED_VALUE"""),36.0)</f>
        <v>36</v>
      </c>
      <c r="E716" s="1">
        <f>IFERROR(__xludf.DUMMYFUNCTION("""COMPUTED_VALUE"""),24.0)</f>
        <v>24</v>
      </c>
      <c r="F716" s="1">
        <f>IFERROR(__xludf.DUMMYFUNCTION("""COMPUTED_VALUE"""),22.0)</f>
        <v>22</v>
      </c>
      <c r="G716" s="1">
        <f>IFERROR(__xludf.DUMMYFUNCTION("""COMPUTED_VALUE"""),29.0)</f>
        <v>29</v>
      </c>
      <c r="H716" s="1">
        <f>IFERROR(__xludf.DUMMYFUNCTION("""COMPUTED_VALUE"""),39.0)</f>
        <v>39</v>
      </c>
      <c r="I716" s="1">
        <f>IFERROR(__xludf.DUMMYFUNCTION("""COMPUTED_VALUE"""),39.0)</f>
        <v>39</v>
      </c>
      <c r="J716" s="1">
        <f>IFERROR(__xludf.DUMMYFUNCTION("""COMPUTED_VALUE"""),153.0)</f>
        <v>153</v>
      </c>
      <c r="K716" s="1">
        <f>IFERROR(__xludf.DUMMYFUNCTION("""COMPUTED_VALUE"""),30.599999999999998)</f>
        <v>30.6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>
        <f>IFERROR(__xludf.DUMMYFUNCTION("""COMPUTED_VALUE"""),99.0)</f>
        <v>99</v>
      </c>
      <c r="E717" s="1">
        <f>IFERROR(__xludf.DUMMYFUNCTION("""COMPUTED_VALUE"""),66.0)</f>
        <v>66</v>
      </c>
      <c r="F717" s="1">
        <f>IFERROR(__xludf.DUMMYFUNCTION("""COMPUTED_VALUE"""),51.0)</f>
        <v>51</v>
      </c>
      <c r="G717" s="1">
        <f>IFERROR(__xludf.DUMMYFUNCTION("""COMPUTED_VALUE"""),29.0)</f>
        <v>29</v>
      </c>
      <c r="H717" s="1">
        <f>IFERROR(__xludf.DUMMYFUNCTION("""COMPUTED_VALUE"""),52.0)</f>
        <v>52</v>
      </c>
      <c r="I717" s="1">
        <f>IFERROR(__xludf.DUMMYFUNCTION("""COMPUTED_VALUE"""),95.0)</f>
        <v>95</v>
      </c>
      <c r="J717" s="1">
        <f>IFERROR(__xludf.DUMMYFUNCTION("""COMPUTED_VALUE"""),293.0)</f>
        <v>293</v>
      </c>
      <c r="K717" s="1">
        <f>IFERROR(__xludf.DUMMYFUNCTION("""COMPUTED_VALUE"""),58.599999999999994)</f>
        <v>58.6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>
        <f>IFERROR(__xludf.DUMMYFUNCTION("""COMPUTED_VALUE"""),87.0)</f>
        <v>87</v>
      </c>
      <c r="E718" s="1">
        <f>IFERROR(__xludf.DUMMYFUNCTION("""COMPUTED_VALUE"""),66.0)</f>
        <v>66</v>
      </c>
      <c r="F718" s="1">
        <f>IFERROR(__xludf.DUMMYFUNCTION("""COMPUTED_VALUE"""),42.0)</f>
        <v>42</v>
      </c>
      <c r="G718" s="1">
        <f>IFERROR(__xludf.DUMMYFUNCTION("""COMPUTED_VALUE"""),28.0)</f>
        <v>28</v>
      </c>
      <c r="H718" s="1">
        <f>IFERROR(__xludf.DUMMYFUNCTION("""COMPUTED_VALUE"""),85.0)</f>
        <v>85</v>
      </c>
      <c r="I718" s="1">
        <f>IFERROR(__xludf.DUMMYFUNCTION("""COMPUTED_VALUE"""),98.0)</f>
        <v>98</v>
      </c>
      <c r="J718" s="1">
        <f>IFERROR(__xludf.DUMMYFUNCTION("""COMPUTED_VALUE"""),319.0)</f>
        <v>319</v>
      </c>
      <c r="K718" s="1">
        <f>IFERROR(__xludf.DUMMYFUNCTION("""COMPUTED_VALUE"""),63.800000000000004)</f>
        <v>63.8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>
        <f>IFERROR(__xludf.DUMMYFUNCTION("""COMPUTED_VALUE"""),28.0)</f>
        <v>28</v>
      </c>
      <c r="E719" s="1">
        <f>IFERROR(__xludf.DUMMYFUNCTION("""COMPUTED_VALUE"""),22.0)</f>
        <v>22</v>
      </c>
      <c r="F719" s="1">
        <f>IFERROR(__xludf.DUMMYFUNCTION("""COMPUTED_VALUE"""),52.0)</f>
        <v>52</v>
      </c>
      <c r="G719" s="1">
        <f>IFERROR(__xludf.DUMMYFUNCTION("""COMPUTED_VALUE"""),35.0)</f>
        <v>35</v>
      </c>
      <c r="H719" s="1">
        <f>IFERROR(__xludf.DUMMYFUNCTION("""COMPUTED_VALUE"""),79.0)</f>
        <v>79</v>
      </c>
      <c r="I719" s="1">
        <f>IFERROR(__xludf.DUMMYFUNCTION("""COMPUTED_VALUE"""),50.0)</f>
        <v>50</v>
      </c>
      <c r="J719" s="1">
        <f>IFERROR(__xludf.DUMMYFUNCTION("""COMPUTED_VALUE"""),238.0)</f>
        <v>238</v>
      </c>
      <c r="K719" s="1">
        <f>IFERROR(__xludf.DUMMYFUNCTION("""COMPUTED_VALUE"""),47.599999999999994)</f>
        <v>47.6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>
        <f>IFERROR(__xludf.DUMMYFUNCTION("""COMPUTED_VALUE"""),54.0)</f>
        <v>54</v>
      </c>
      <c r="E720" s="1">
        <f>IFERROR(__xludf.DUMMYFUNCTION("""COMPUTED_VALUE"""),38.0)</f>
        <v>38</v>
      </c>
      <c r="F720" s="1">
        <f>IFERROR(__xludf.DUMMYFUNCTION("""COMPUTED_VALUE"""),92.0)</f>
        <v>92</v>
      </c>
      <c r="G720" s="1">
        <f>IFERROR(__xludf.DUMMYFUNCTION("""COMPUTED_VALUE"""),95.0)</f>
        <v>95</v>
      </c>
      <c r="H720" s="1">
        <f>IFERROR(__xludf.DUMMYFUNCTION("""COMPUTED_VALUE"""),89.0)</f>
        <v>89</v>
      </c>
      <c r="I720" s="1">
        <f>IFERROR(__xludf.DUMMYFUNCTION("""COMPUTED_VALUE"""),54.0)</f>
        <v>54</v>
      </c>
      <c r="J720" s="1">
        <f>IFERROR(__xludf.DUMMYFUNCTION("""COMPUTED_VALUE"""),368.0)</f>
        <v>368</v>
      </c>
      <c r="K720" s="1">
        <f>IFERROR(__xludf.DUMMYFUNCTION("""COMPUTED_VALUE"""),73.6)</f>
        <v>73.6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>
        <f>IFERROR(__xludf.DUMMYFUNCTION("""COMPUTED_VALUE"""),37.0)</f>
        <v>37</v>
      </c>
      <c r="E721" s="1">
        <f>IFERROR(__xludf.DUMMYFUNCTION("""COMPUTED_VALUE"""),80.0)</f>
        <v>80</v>
      </c>
      <c r="F721" s="1">
        <f>IFERROR(__xludf.DUMMYFUNCTION("""COMPUTED_VALUE"""),58.0)</f>
        <v>58</v>
      </c>
      <c r="G721" s="1">
        <f>IFERROR(__xludf.DUMMYFUNCTION("""COMPUTED_VALUE"""),58.0)</f>
        <v>58</v>
      </c>
      <c r="H721" s="1">
        <f>IFERROR(__xludf.DUMMYFUNCTION("""COMPUTED_VALUE"""),92.0)</f>
        <v>92</v>
      </c>
      <c r="I721" s="1">
        <f>IFERROR(__xludf.DUMMYFUNCTION("""COMPUTED_VALUE"""),90.0)</f>
        <v>90</v>
      </c>
      <c r="J721" s="1">
        <f>IFERROR(__xludf.DUMMYFUNCTION("""COMPUTED_VALUE"""),378.0)</f>
        <v>378</v>
      </c>
      <c r="K721" s="1">
        <f>IFERROR(__xludf.DUMMYFUNCTION("""COMPUTED_VALUE"""),75.6)</f>
        <v>75.6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>
        <f>IFERROR(__xludf.DUMMYFUNCTION("""COMPUTED_VALUE"""),42.0)</f>
        <v>42</v>
      </c>
      <c r="E722" s="1">
        <f>IFERROR(__xludf.DUMMYFUNCTION("""COMPUTED_VALUE"""),62.0)</f>
        <v>62</v>
      </c>
      <c r="F722" s="1">
        <f>IFERROR(__xludf.DUMMYFUNCTION("""COMPUTED_VALUE"""),91.0)</f>
        <v>91</v>
      </c>
      <c r="G722" s="1">
        <f>IFERROR(__xludf.DUMMYFUNCTION("""COMPUTED_VALUE"""),96.0)</f>
        <v>96</v>
      </c>
      <c r="H722" s="1">
        <f>IFERROR(__xludf.DUMMYFUNCTION("""COMPUTED_VALUE"""),88.0)</f>
        <v>88</v>
      </c>
      <c r="I722" s="1">
        <f>IFERROR(__xludf.DUMMYFUNCTION("""COMPUTED_VALUE"""),41.0)</f>
        <v>41</v>
      </c>
      <c r="J722" s="1">
        <f>IFERROR(__xludf.DUMMYFUNCTION("""COMPUTED_VALUE"""),378.0)</f>
        <v>378</v>
      </c>
      <c r="K722" s="1">
        <f>IFERROR(__xludf.DUMMYFUNCTION("""COMPUTED_VALUE"""),75.6)</f>
        <v>75.6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>
        <f>IFERROR(__xludf.DUMMYFUNCTION("""COMPUTED_VALUE"""),95.0)</f>
        <v>95</v>
      </c>
      <c r="E723" s="1">
        <f>IFERROR(__xludf.DUMMYFUNCTION("""COMPUTED_VALUE"""),75.0)</f>
        <v>75</v>
      </c>
      <c r="F723" s="1">
        <f>IFERROR(__xludf.DUMMYFUNCTION("""COMPUTED_VALUE"""),50.0)</f>
        <v>50</v>
      </c>
      <c r="G723" s="1">
        <f>IFERROR(__xludf.DUMMYFUNCTION("""COMPUTED_VALUE"""),76.0)</f>
        <v>76</v>
      </c>
      <c r="H723" s="1">
        <f>IFERROR(__xludf.DUMMYFUNCTION("""COMPUTED_VALUE"""),40.0)</f>
        <v>40</v>
      </c>
      <c r="I723" s="1">
        <f>IFERROR(__xludf.DUMMYFUNCTION("""COMPUTED_VALUE"""),52.0)</f>
        <v>52</v>
      </c>
      <c r="J723" s="1">
        <f>IFERROR(__xludf.DUMMYFUNCTION("""COMPUTED_VALUE"""),293.0)</f>
        <v>293</v>
      </c>
      <c r="K723" s="1">
        <f>IFERROR(__xludf.DUMMYFUNCTION("""COMPUTED_VALUE"""),58.599999999999994)</f>
        <v>58.6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>
        <f>IFERROR(__xludf.DUMMYFUNCTION("""COMPUTED_VALUE"""),69.0)</f>
        <v>69</v>
      </c>
      <c r="E724" s="1">
        <f>IFERROR(__xludf.DUMMYFUNCTION("""COMPUTED_VALUE"""),28.0)</f>
        <v>28</v>
      </c>
      <c r="F724" s="1">
        <f>IFERROR(__xludf.DUMMYFUNCTION("""COMPUTED_VALUE"""),47.0)</f>
        <v>47</v>
      </c>
      <c r="G724" s="1">
        <f>IFERROR(__xludf.DUMMYFUNCTION("""COMPUTED_VALUE"""),99.0)</f>
        <v>99</v>
      </c>
      <c r="H724" s="1">
        <f>IFERROR(__xludf.DUMMYFUNCTION("""COMPUTED_VALUE"""),74.0)</f>
        <v>74</v>
      </c>
      <c r="I724" s="1">
        <f>IFERROR(__xludf.DUMMYFUNCTION("""COMPUTED_VALUE"""),25.0)</f>
        <v>25</v>
      </c>
      <c r="J724" s="1">
        <f>IFERROR(__xludf.DUMMYFUNCTION("""COMPUTED_VALUE"""),273.0)</f>
        <v>273</v>
      </c>
      <c r="K724" s="1">
        <f>IFERROR(__xludf.DUMMYFUNCTION("""COMPUTED_VALUE"""),54.6)</f>
        <v>54.6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>
        <f>IFERROR(__xludf.DUMMYFUNCTION("""COMPUTED_VALUE"""),88.0)</f>
        <v>88</v>
      </c>
      <c r="E725" s="1">
        <f>IFERROR(__xludf.DUMMYFUNCTION("""COMPUTED_VALUE"""),62.0)</f>
        <v>62</v>
      </c>
      <c r="F725" s="1">
        <f>IFERROR(__xludf.DUMMYFUNCTION("""COMPUTED_VALUE"""),79.0)</f>
        <v>79</v>
      </c>
      <c r="G725" s="1">
        <f>IFERROR(__xludf.DUMMYFUNCTION("""COMPUTED_VALUE"""),97.0)</f>
        <v>97</v>
      </c>
      <c r="H725" s="1">
        <f>IFERROR(__xludf.DUMMYFUNCTION("""COMPUTED_VALUE"""),55.0)</f>
        <v>55</v>
      </c>
      <c r="I725" s="1">
        <f>IFERROR(__xludf.DUMMYFUNCTION("""COMPUTED_VALUE"""),74.0)</f>
        <v>74</v>
      </c>
      <c r="J725" s="1">
        <f>IFERROR(__xludf.DUMMYFUNCTION("""COMPUTED_VALUE"""),367.0)</f>
        <v>367</v>
      </c>
      <c r="K725" s="1">
        <f>IFERROR(__xludf.DUMMYFUNCTION("""COMPUTED_VALUE"""),73.4)</f>
        <v>73.4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>
        <f>IFERROR(__xludf.DUMMYFUNCTION("""COMPUTED_VALUE"""),31.0)</f>
        <v>31</v>
      </c>
      <c r="E726" s="1">
        <f>IFERROR(__xludf.DUMMYFUNCTION("""COMPUTED_VALUE"""),40.0)</f>
        <v>40</v>
      </c>
      <c r="F726" s="1">
        <f>IFERROR(__xludf.DUMMYFUNCTION("""COMPUTED_VALUE"""),90.0)</f>
        <v>90</v>
      </c>
      <c r="G726" s="1">
        <f>IFERROR(__xludf.DUMMYFUNCTION("""COMPUTED_VALUE"""),38.0)</f>
        <v>38</v>
      </c>
      <c r="H726" s="1">
        <f>IFERROR(__xludf.DUMMYFUNCTION("""COMPUTED_VALUE"""),36.0)</f>
        <v>36</v>
      </c>
      <c r="I726" s="1">
        <f>IFERROR(__xludf.DUMMYFUNCTION("""COMPUTED_VALUE"""),70.0)</f>
        <v>70</v>
      </c>
      <c r="J726" s="1">
        <f>IFERROR(__xludf.DUMMYFUNCTION("""COMPUTED_VALUE"""),274.0)</f>
        <v>274</v>
      </c>
      <c r="K726" s="1">
        <f>IFERROR(__xludf.DUMMYFUNCTION("""COMPUTED_VALUE"""),54.800000000000004)</f>
        <v>54.8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>
        <f>IFERROR(__xludf.DUMMYFUNCTION("""COMPUTED_VALUE"""),23.0)</f>
        <v>23</v>
      </c>
      <c r="E727" s="1">
        <f>IFERROR(__xludf.DUMMYFUNCTION("""COMPUTED_VALUE"""),39.0)</f>
        <v>39</v>
      </c>
      <c r="F727" s="1">
        <f>IFERROR(__xludf.DUMMYFUNCTION("""COMPUTED_VALUE"""),97.0)</f>
        <v>97</v>
      </c>
      <c r="G727" s="1">
        <f>IFERROR(__xludf.DUMMYFUNCTION("""COMPUTED_VALUE"""),87.0)</f>
        <v>87</v>
      </c>
      <c r="H727" s="1">
        <f>IFERROR(__xludf.DUMMYFUNCTION("""COMPUTED_VALUE"""),53.0)</f>
        <v>53</v>
      </c>
      <c r="I727" s="1">
        <f>IFERROR(__xludf.DUMMYFUNCTION("""COMPUTED_VALUE"""),89.0)</f>
        <v>89</v>
      </c>
      <c r="J727" s="1">
        <f>IFERROR(__xludf.DUMMYFUNCTION("""COMPUTED_VALUE"""),365.0)</f>
        <v>365</v>
      </c>
      <c r="K727" s="1">
        <f>IFERROR(__xludf.DUMMYFUNCTION("""COMPUTED_VALUE"""),73.0)</f>
        <v>73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>
        <f>IFERROR(__xludf.DUMMYFUNCTION("""COMPUTED_VALUE"""),95.0)</f>
        <v>95</v>
      </c>
      <c r="E728" s="1">
        <f>IFERROR(__xludf.DUMMYFUNCTION("""COMPUTED_VALUE"""),21.0)</f>
        <v>21</v>
      </c>
      <c r="F728" s="1">
        <f>IFERROR(__xludf.DUMMYFUNCTION("""COMPUTED_VALUE"""),29.0)</f>
        <v>29</v>
      </c>
      <c r="G728" s="1">
        <f>IFERROR(__xludf.DUMMYFUNCTION("""COMPUTED_VALUE"""),29.0)</f>
        <v>29</v>
      </c>
      <c r="H728" s="1">
        <f>IFERROR(__xludf.DUMMYFUNCTION("""COMPUTED_VALUE"""),50.0)</f>
        <v>50</v>
      </c>
      <c r="I728" s="1">
        <f>IFERROR(__xludf.DUMMYFUNCTION("""COMPUTED_VALUE"""),54.0)</f>
        <v>54</v>
      </c>
      <c r="J728" s="1">
        <f>IFERROR(__xludf.DUMMYFUNCTION("""COMPUTED_VALUE"""),183.0)</f>
        <v>183</v>
      </c>
      <c r="K728" s="1">
        <f>IFERROR(__xludf.DUMMYFUNCTION("""COMPUTED_VALUE"""),36.6)</f>
        <v>36.6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>
        <f>IFERROR(__xludf.DUMMYFUNCTION("""COMPUTED_VALUE"""),88.0)</f>
        <v>88</v>
      </c>
      <c r="E729" s="1">
        <f>IFERROR(__xludf.DUMMYFUNCTION("""COMPUTED_VALUE"""),57.0)</f>
        <v>57</v>
      </c>
      <c r="F729" s="1">
        <f>IFERROR(__xludf.DUMMYFUNCTION("""COMPUTED_VALUE"""),62.0)</f>
        <v>62</v>
      </c>
      <c r="G729" s="1">
        <f>IFERROR(__xludf.DUMMYFUNCTION("""COMPUTED_VALUE"""),74.0)</f>
        <v>74</v>
      </c>
      <c r="H729" s="1">
        <f>IFERROR(__xludf.DUMMYFUNCTION("""COMPUTED_VALUE"""),44.0)</f>
        <v>44</v>
      </c>
      <c r="I729" s="1">
        <f>IFERROR(__xludf.DUMMYFUNCTION("""COMPUTED_VALUE"""),24.0)</f>
        <v>24</v>
      </c>
      <c r="J729" s="1">
        <f>IFERROR(__xludf.DUMMYFUNCTION("""COMPUTED_VALUE"""),261.0)</f>
        <v>261</v>
      </c>
      <c r="K729" s="1">
        <f>IFERROR(__xludf.DUMMYFUNCTION("""COMPUTED_VALUE"""),52.2)</f>
        <v>52.2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>
        <f>IFERROR(__xludf.DUMMYFUNCTION("""COMPUTED_VALUE"""),94.0)</f>
        <v>94</v>
      </c>
      <c r="E730" s="1">
        <f>IFERROR(__xludf.DUMMYFUNCTION("""COMPUTED_VALUE"""),60.0)</f>
        <v>60</v>
      </c>
      <c r="F730" s="1">
        <f>IFERROR(__xludf.DUMMYFUNCTION("""COMPUTED_VALUE"""),54.0)</f>
        <v>54</v>
      </c>
      <c r="G730" s="1">
        <f>IFERROR(__xludf.DUMMYFUNCTION("""COMPUTED_VALUE"""),81.0)</f>
        <v>81</v>
      </c>
      <c r="H730" s="1">
        <f>IFERROR(__xludf.DUMMYFUNCTION("""COMPUTED_VALUE"""),25.0)</f>
        <v>25</v>
      </c>
      <c r="I730" s="1">
        <f>IFERROR(__xludf.DUMMYFUNCTION("""COMPUTED_VALUE"""),84.0)</f>
        <v>84</v>
      </c>
      <c r="J730" s="1">
        <f>IFERROR(__xludf.DUMMYFUNCTION("""COMPUTED_VALUE"""),304.0)</f>
        <v>304</v>
      </c>
      <c r="K730" s="1">
        <f>IFERROR(__xludf.DUMMYFUNCTION("""COMPUTED_VALUE"""),60.8)</f>
        <v>60.8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>
        <f>IFERROR(__xludf.DUMMYFUNCTION("""COMPUTED_VALUE"""),62.0)</f>
        <v>62</v>
      </c>
      <c r="E731" s="1">
        <f>IFERROR(__xludf.DUMMYFUNCTION("""COMPUTED_VALUE"""),53.0)</f>
        <v>53</v>
      </c>
      <c r="F731" s="1">
        <f>IFERROR(__xludf.DUMMYFUNCTION("""COMPUTED_VALUE"""),40.0)</f>
        <v>40</v>
      </c>
      <c r="G731" s="1">
        <f>IFERROR(__xludf.DUMMYFUNCTION("""COMPUTED_VALUE"""),47.0)</f>
        <v>47</v>
      </c>
      <c r="H731" s="1">
        <f>IFERROR(__xludf.DUMMYFUNCTION("""COMPUTED_VALUE"""),66.0)</f>
        <v>66</v>
      </c>
      <c r="I731" s="1">
        <f>IFERROR(__xludf.DUMMYFUNCTION("""COMPUTED_VALUE"""),45.0)</f>
        <v>45</v>
      </c>
      <c r="J731" s="1">
        <f>IFERROR(__xludf.DUMMYFUNCTION("""COMPUTED_VALUE"""),251.0)</f>
        <v>251</v>
      </c>
      <c r="K731" s="1">
        <f>IFERROR(__xludf.DUMMYFUNCTION("""COMPUTED_VALUE"""),50.2)</f>
        <v>50.2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>
        <f>IFERROR(__xludf.DUMMYFUNCTION("""COMPUTED_VALUE"""),12.0)</f>
        <v>12</v>
      </c>
      <c r="E732" s="1">
        <f>IFERROR(__xludf.DUMMYFUNCTION("""COMPUTED_VALUE"""),61.0)</f>
        <v>61</v>
      </c>
      <c r="F732" s="1">
        <f>IFERROR(__xludf.DUMMYFUNCTION("""COMPUTED_VALUE"""),26.0)</f>
        <v>26</v>
      </c>
      <c r="G732" s="1">
        <f>IFERROR(__xludf.DUMMYFUNCTION("""COMPUTED_VALUE"""),30.0)</f>
        <v>30</v>
      </c>
      <c r="H732" s="1">
        <f>IFERROR(__xludf.DUMMYFUNCTION("""COMPUTED_VALUE"""),97.0)</f>
        <v>97</v>
      </c>
      <c r="I732" s="1">
        <f>IFERROR(__xludf.DUMMYFUNCTION("""COMPUTED_VALUE"""),97.0)</f>
        <v>97</v>
      </c>
      <c r="J732" s="1">
        <f>IFERROR(__xludf.DUMMYFUNCTION("""COMPUTED_VALUE"""),311.0)</f>
        <v>311</v>
      </c>
      <c r="K732" s="1">
        <f>IFERROR(__xludf.DUMMYFUNCTION("""COMPUTED_VALUE"""),62.2)</f>
        <v>62.2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>
        <f>IFERROR(__xludf.DUMMYFUNCTION("""COMPUTED_VALUE"""),25.0)</f>
        <v>25</v>
      </c>
      <c r="E733" s="1">
        <f>IFERROR(__xludf.DUMMYFUNCTION("""COMPUTED_VALUE"""),82.0)</f>
        <v>82</v>
      </c>
      <c r="F733" s="1">
        <f>IFERROR(__xludf.DUMMYFUNCTION("""COMPUTED_VALUE"""),96.0)</f>
        <v>96</v>
      </c>
      <c r="G733" s="1">
        <f>IFERROR(__xludf.DUMMYFUNCTION("""COMPUTED_VALUE"""),75.0)</f>
        <v>75</v>
      </c>
      <c r="H733" s="1">
        <f>IFERROR(__xludf.DUMMYFUNCTION("""COMPUTED_VALUE"""),76.0)</f>
        <v>76</v>
      </c>
      <c r="I733" s="1">
        <f>IFERROR(__xludf.DUMMYFUNCTION("""COMPUTED_VALUE"""),86.0)</f>
        <v>86</v>
      </c>
      <c r="J733" s="1">
        <f>IFERROR(__xludf.DUMMYFUNCTION("""COMPUTED_VALUE"""),415.0)</f>
        <v>415</v>
      </c>
      <c r="K733" s="1">
        <f>IFERROR(__xludf.DUMMYFUNCTION("""COMPUTED_VALUE"""),83.0)</f>
        <v>83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>
        <f>IFERROR(__xludf.DUMMYFUNCTION("""COMPUTED_VALUE"""),18.0)</f>
        <v>18</v>
      </c>
      <c r="E734" s="1">
        <f>IFERROR(__xludf.DUMMYFUNCTION("""COMPUTED_VALUE"""),36.0)</f>
        <v>36</v>
      </c>
      <c r="F734" s="1">
        <f>IFERROR(__xludf.DUMMYFUNCTION("""COMPUTED_VALUE"""),69.0)</f>
        <v>69</v>
      </c>
      <c r="G734" s="1">
        <f>IFERROR(__xludf.DUMMYFUNCTION("""COMPUTED_VALUE"""),51.0)</f>
        <v>51</v>
      </c>
      <c r="H734" s="1">
        <f>IFERROR(__xludf.DUMMYFUNCTION("""COMPUTED_VALUE"""),69.0)</f>
        <v>69</v>
      </c>
      <c r="I734" s="1">
        <f>IFERROR(__xludf.DUMMYFUNCTION("""COMPUTED_VALUE"""),53.0)</f>
        <v>53</v>
      </c>
      <c r="J734" s="1">
        <f>IFERROR(__xludf.DUMMYFUNCTION("""COMPUTED_VALUE"""),278.0)</f>
        <v>278</v>
      </c>
      <c r="K734" s="1">
        <f>IFERROR(__xludf.DUMMYFUNCTION("""COMPUTED_VALUE"""),55.60000000000001)</f>
        <v>55.6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>
        <f>IFERROR(__xludf.DUMMYFUNCTION("""COMPUTED_VALUE"""),39.0)</f>
        <v>39</v>
      </c>
      <c r="E735" s="1">
        <f>IFERROR(__xludf.DUMMYFUNCTION("""COMPUTED_VALUE"""),36.0)</f>
        <v>36</v>
      </c>
      <c r="F735" s="1">
        <f>IFERROR(__xludf.DUMMYFUNCTION("""COMPUTED_VALUE"""),22.0)</f>
        <v>22</v>
      </c>
      <c r="G735" s="1">
        <f>IFERROR(__xludf.DUMMYFUNCTION("""COMPUTED_VALUE"""),36.0)</f>
        <v>36</v>
      </c>
      <c r="H735" s="1">
        <f>IFERROR(__xludf.DUMMYFUNCTION("""COMPUTED_VALUE"""),27.0)</f>
        <v>27</v>
      </c>
      <c r="I735" s="1">
        <f>IFERROR(__xludf.DUMMYFUNCTION("""COMPUTED_VALUE"""),76.0)</f>
        <v>76</v>
      </c>
      <c r="J735" s="1">
        <f>IFERROR(__xludf.DUMMYFUNCTION("""COMPUTED_VALUE"""),197.0)</f>
        <v>197</v>
      </c>
      <c r="K735" s="1">
        <f>IFERROR(__xludf.DUMMYFUNCTION("""COMPUTED_VALUE"""),39.4)</f>
        <v>39.4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>
        <f>IFERROR(__xludf.DUMMYFUNCTION("""COMPUTED_VALUE"""),58.0)</f>
        <v>58</v>
      </c>
      <c r="E736" s="1">
        <f>IFERROR(__xludf.DUMMYFUNCTION("""COMPUTED_VALUE"""),74.0)</f>
        <v>74</v>
      </c>
      <c r="F736" s="1">
        <f>IFERROR(__xludf.DUMMYFUNCTION("""COMPUTED_VALUE"""),73.0)</f>
        <v>73</v>
      </c>
      <c r="G736" s="1">
        <f>IFERROR(__xludf.DUMMYFUNCTION("""COMPUTED_VALUE"""),71.0)</f>
        <v>71</v>
      </c>
      <c r="H736" s="1">
        <f>IFERROR(__xludf.DUMMYFUNCTION("""COMPUTED_VALUE"""),65.0)</f>
        <v>65</v>
      </c>
      <c r="I736" s="1">
        <f>IFERROR(__xludf.DUMMYFUNCTION("""COMPUTED_VALUE"""),71.0)</f>
        <v>71</v>
      </c>
      <c r="J736" s="1">
        <f>IFERROR(__xludf.DUMMYFUNCTION("""COMPUTED_VALUE"""),354.0)</f>
        <v>354</v>
      </c>
      <c r="K736" s="1">
        <f>IFERROR(__xludf.DUMMYFUNCTION("""COMPUTED_VALUE"""),70.8)</f>
        <v>70.8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>
        <f>IFERROR(__xludf.DUMMYFUNCTION("""COMPUTED_VALUE"""),12.0)</f>
        <v>12</v>
      </c>
      <c r="E737" s="1">
        <f>IFERROR(__xludf.DUMMYFUNCTION("""COMPUTED_VALUE"""),80.0)</f>
        <v>80</v>
      </c>
      <c r="F737" s="1">
        <f>IFERROR(__xludf.DUMMYFUNCTION("""COMPUTED_VALUE"""),70.0)</f>
        <v>70</v>
      </c>
      <c r="G737" s="1">
        <f>IFERROR(__xludf.DUMMYFUNCTION("""COMPUTED_VALUE"""),76.0)</f>
        <v>76</v>
      </c>
      <c r="H737" s="1">
        <f>IFERROR(__xludf.DUMMYFUNCTION("""COMPUTED_VALUE"""),47.0)</f>
        <v>47</v>
      </c>
      <c r="I737" s="1">
        <f>IFERROR(__xludf.DUMMYFUNCTION("""COMPUTED_VALUE"""),88.0)</f>
        <v>88</v>
      </c>
      <c r="J737" s="1">
        <f>IFERROR(__xludf.DUMMYFUNCTION("""COMPUTED_VALUE"""),361.0)</f>
        <v>361</v>
      </c>
      <c r="K737" s="1">
        <f>IFERROR(__xludf.DUMMYFUNCTION("""COMPUTED_VALUE"""),72.2)</f>
        <v>72.2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>
        <f>IFERROR(__xludf.DUMMYFUNCTION("""COMPUTED_VALUE"""),94.0)</f>
        <v>94</v>
      </c>
      <c r="E738" s="1">
        <f>IFERROR(__xludf.DUMMYFUNCTION("""COMPUTED_VALUE"""),99.0)</f>
        <v>99</v>
      </c>
      <c r="F738" s="1">
        <f>IFERROR(__xludf.DUMMYFUNCTION("""COMPUTED_VALUE"""),51.0)</f>
        <v>51</v>
      </c>
      <c r="G738" s="1">
        <f>IFERROR(__xludf.DUMMYFUNCTION("""COMPUTED_VALUE"""),40.0)</f>
        <v>40</v>
      </c>
      <c r="H738" s="1">
        <f>IFERROR(__xludf.DUMMYFUNCTION("""COMPUTED_VALUE"""),77.0)</f>
        <v>77</v>
      </c>
      <c r="I738" s="1">
        <f>IFERROR(__xludf.DUMMYFUNCTION("""COMPUTED_VALUE"""),42.0)</f>
        <v>42</v>
      </c>
      <c r="J738" s="1">
        <f>IFERROR(__xludf.DUMMYFUNCTION("""COMPUTED_VALUE"""),309.0)</f>
        <v>309</v>
      </c>
      <c r="K738" s="1">
        <f>IFERROR(__xludf.DUMMYFUNCTION("""COMPUTED_VALUE"""),61.8)</f>
        <v>61.8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>
        <f>IFERROR(__xludf.DUMMYFUNCTION("""COMPUTED_VALUE"""),60.0)</f>
        <v>60</v>
      </c>
      <c r="E739" s="1">
        <f>IFERROR(__xludf.DUMMYFUNCTION("""COMPUTED_VALUE"""),48.0)</f>
        <v>48</v>
      </c>
      <c r="F739" s="1">
        <f>IFERROR(__xludf.DUMMYFUNCTION("""COMPUTED_VALUE"""),71.0)</f>
        <v>71</v>
      </c>
      <c r="G739" s="1">
        <f>IFERROR(__xludf.DUMMYFUNCTION("""COMPUTED_VALUE"""),78.0)</f>
        <v>78</v>
      </c>
      <c r="H739" s="1">
        <f>IFERROR(__xludf.DUMMYFUNCTION("""COMPUTED_VALUE"""),89.0)</f>
        <v>89</v>
      </c>
      <c r="I739" s="1">
        <f>IFERROR(__xludf.DUMMYFUNCTION("""COMPUTED_VALUE"""),49.0)</f>
        <v>49</v>
      </c>
      <c r="J739" s="1">
        <f>IFERROR(__xludf.DUMMYFUNCTION("""COMPUTED_VALUE"""),335.0)</f>
        <v>335</v>
      </c>
      <c r="K739" s="1">
        <f>IFERROR(__xludf.DUMMYFUNCTION("""COMPUTED_VALUE"""),67.0)</f>
        <v>67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>
        <f>IFERROR(__xludf.DUMMYFUNCTION("""COMPUTED_VALUE"""),89.0)</f>
        <v>89</v>
      </c>
      <c r="E740" s="1">
        <f>IFERROR(__xludf.DUMMYFUNCTION("""COMPUTED_VALUE"""),33.0)</f>
        <v>33</v>
      </c>
      <c r="F740" s="1">
        <f>IFERROR(__xludf.DUMMYFUNCTION("""COMPUTED_VALUE"""),96.0)</f>
        <v>96</v>
      </c>
      <c r="G740" s="1">
        <f>IFERROR(__xludf.DUMMYFUNCTION("""COMPUTED_VALUE"""),36.0)</f>
        <v>36</v>
      </c>
      <c r="H740" s="1">
        <f>IFERROR(__xludf.DUMMYFUNCTION("""COMPUTED_VALUE"""),48.0)</f>
        <v>48</v>
      </c>
      <c r="I740" s="1">
        <f>IFERROR(__xludf.DUMMYFUNCTION("""COMPUTED_VALUE"""),78.0)</f>
        <v>78</v>
      </c>
      <c r="J740" s="1">
        <f>IFERROR(__xludf.DUMMYFUNCTION("""COMPUTED_VALUE"""),291.0)</f>
        <v>291</v>
      </c>
      <c r="K740" s="1">
        <f>IFERROR(__xludf.DUMMYFUNCTION("""COMPUTED_VALUE"""),58.199999999999996)</f>
        <v>58.2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>
        <f>IFERROR(__xludf.DUMMYFUNCTION("""COMPUTED_VALUE"""),41.0)</f>
        <v>41</v>
      </c>
      <c r="E741" s="1">
        <f>IFERROR(__xludf.DUMMYFUNCTION("""COMPUTED_VALUE"""),46.0)</f>
        <v>46</v>
      </c>
      <c r="F741" s="1">
        <f>IFERROR(__xludf.DUMMYFUNCTION("""COMPUTED_VALUE"""),82.0)</f>
        <v>82</v>
      </c>
      <c r="G741" s="1">
        <f>IFERROR(__xludf.DUMMYFUNCTION("""COMPUTED_VALUE"""),21.0)</f>
        <v>21</v>
      </c>
      <c r="H741" s="1">
        <f>IFERROR(__xludf.DUMMYFUNCTION("""COMPUTED_VALUE"""),35.0)</f>
        <v>35</v>
      </c>
      <c r="I741" s="1">
        <f>IFERROR(__xludf.DUMMYFUNCTION("""COMPUTED_VALUE"""),30.0)</f>
        <v>30</v>
      </c>
      <c r="J741" s="1">
        <f>IFERROR(__xludf.DUMMYFUNCTION("""COMPUTED_VALUE"""),214.0)</f>
        <v>214</v>
      </c>
      <c r="K741" s="1">
        <f>IFERROR(__xludf.DUMMYFUNCTION("""COMPUTED_VALUE"""),42.8)</f>
        <v>42.8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>
        <f>IFERROR(__xludf.DUMMYFUNCTION("""COMPUTED_VALUE"""),17.0)</f>
        <v>17</v>
      </c>
      <c r="E742" s="1">
        <f>IFERROR(__xludf.DUMMYFUNCTION("""COMPUTED_VALUE"""),34.0)</f>
        <v>34</v>
      </c>
      <c r="F742" s="1">
        <f>IFERROR(__xludf.DUMMYFUNCTION("""COMPUTED_VALUE"""),48.0)</f>
        <v>48</v>
      </c>
      <c r="G742" s="1">
        <f>IFERROR(__xludf.DUMMYFUNCTION("""COMPUTED_VALUE"""),48.0)</f>
        <v>48</v>
      </c>
      <c r="H742" s="1">
        <f>IFERROR(__xludf.DUMMYFUNCTION("""COMPUTED_VALUE"""),63.0)</f>
        <v>63</v>
      </c>
      <c r="I742" s="1">
        <f>IFERROR(__xludf.DUMMYFUNCTION("""COMPUTED_VALUE"""),27.0)</f>
        <v>27</v>
      </c>
      <c r="J742" s="1">
        <f>IFERROR(__xludf.DUMMYFUNCTION("""COMPUTED_VALUE"""),220.0)</f>
        <v>220</v>
      </c>
      <c r="K742" s="1">
        <f>IFERROR(__xludf.DUMMYFUNCTION("""COMPUTED_VALUE"""),44.0)</f>
        <v>44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>
        <f>IFERROR(__xludf.DUMMYFUNCTION("""COMPUTED_VALUE"""),49.0)</f>
        <v>49</v>
      </c>
      <c r="E743" s="1">
        <f>IFERROR(__xludf.DUMMYFUNCTION("""COMPUTED_VALUE"""),92.0)</f>
        <v>92</v>
      </c>
      <c r="F743" s="1">
        <f>IFERROR(__xludf.DUMMYFUNCTION("""COMPUTED_VALUE"""),26.0)</f>
        <v>26</v>
      </c>
      <c r="G743" s="1">
        <f>IFERROR(__xludf.DUMMYFUNCTION("""COMPUTED_VALUE"""),41.0)</f>
        <v>41</v>
      </c>
      <c r="H743" s="1">
        <f>IFERROR(__xludf.DUMMYFUNCTION("""COMPUTED_VALUE"""),37.0)</f>
        <v>37</v>
      </c>
      <c r="I743" s="1">
        <f>IFERROR(__xludf.DUMMYFUNCTION("""COMPUTED_VALUE"""),96.0)</f>
        <v>96</v>
      </c>
      <c r="J743" s="1">
        <f>IFERROR(__xludf.DUMMYFUNCTION("""COMPUTED_VALUE"""),292.0)</f>
        <v>292</v>
      </c>
      <c r="K743" s="1">
        <f>IFERROR(__xludf.DUMMYFUNCTION("""COMPUTED_VALUE"""),58.4)</f>
        <v>58.4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>
        <f>IFERROR(__xludf.DUMMYFUNCTION("""COMPUTED_VALUE"""),34.0)</f>
        <v>34</v>
      </c>
      <c r="E744" s="1">
        <f>IFERROR(__xludf.DUMMYFUNCTION("""COMPUTED_VALUE"""),62.0)</f>
        <v>62</v>
      </c>
      <c r="F744" s="1">
        <f>IFERROR(__xludf.DUMMYFUNCTION("""COMPUTED_VALUE"""),59.0)</f>
        <v>59</v>
      </c>
      <c r="G744" s="1">
        <f>IFERROR(__xludf.DUMMYFUNCTION("""COMPUTED_VALUE"""),43.0)</f>
        <v>43</v>
      </c>
      <c r="H744" s="1">
        <f>IFERROR(__xludf.DUMMYFUNCTION("""COMPUTED_VALUE"""),51.0)</f>
        <v>51</v>
      </c>
      <c r="I744" s="1">
        <f>IFERROR(__xludf.DUMMYFUNCTION("""COMPUTED_VALUE"""),69.0)</f>
        <v>69</v>
      </c>
      <c r="J744" s="1">
        <f>IFERROR(__xludf.DUMMYFUNCTION("""COMPUTED_VALUE"""),284.0)</f>
        <v>284</v>
      </c>
      <c r="K744" s="1">
        <f>IFERROR(__xludf.DUMMYFUNCTION("""COMPUTED_VALUE"""),56.8)</f>
        <v>56.8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>
        <f>IFERROR(__xludf.DUMMYFUNCTION("""COMPUTED_VALUE"""),57.0)</f>
        <v>57</v>
      </c>
      <c r="E745" s="1">
        <f>IFERROR(__xludf.DUMMYFUNCTION("""COMPUTED_VALUE"""),89.0)</f>
        <v>89</v>
      </c>
      <c r="F745" s="1">
        <f>IFERROR(__xludf.DUMMYFUNCTION("""COMPUTED_VALUE"""),30.0)</f>
        <v>30</v>
      </c>
      <c r="G745" s="1">
        <f>IFERROR(__xludf.DUMMYFUNCTION("""COMPUTED_VALUE"""),86.0)</f>
        <v>86</v>
      </c>
      <c r="H745" s="1">
        <f>IFERROR(__xludf.DUMMYFUNCTION("""COMPUTED_VALUE"""),90.0)</f>
        <v>90</v>
      </c>
      <c r="I745" s="1">
        <f>IFERROR(__xludf.DUMMYFUNCTION("""COMPUTED_VALUE"""),36.0)</f>
        <v>36</v>
      </c>
      <c r="J745" s="1">
        <f>IFERROR(__xludf.DUMMYFUNCTION("""COMPUTED_VALUE"""),331.0)</f>
        <v>331</v>
      </c>
      <c r="K745" s="1">
        <f>IFERROR(__xludf.DUMMYFUNCTION("""COMPUTED_VALUE"""),66.2)</f>
        <v>66.2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>
        <f>IFERROR(__xludf.DUMMYFUNCTION("""COMPUTED_VALUE"""),27.0)</f>
        <v>27</v>
      </c>
      <c r="E746" s="1">
        <f>IFERROR(__xludf.DUMMYFUNCTION("""COMPUTED_VALUE"""),36.0)</f>
        <v>36</v>
      </c>
      <c r="F746" s="1">
        <f>IFERROR(__xludf.DUMMYFUNCTION("""COMPUTED_VALUE"""),67.0)</f>
        <v>67</v>
      </c>
      <c r="G746" s="1">
        <f>IFERROR(__xludf.DUMMYFUNCTION("""COMPUTED_VALUE"""),65.0)</f>
        <v>65</v>
      </c>
      <c r="H746" s="1">
        <f>IFERROR(__xludf.DUMMYFUNCTION("""COMPUTED_VALUE"""),37.0)</f>
        <v>37</v>
      </c>
      <c r="I746" s="1">
        <f>IFERROR(__xludf.DUMMYFUNCTION("""COMPUTED_VALUE"""),87.0)</f>
        <v>87</v>
      </c>
      <c r="J746" s="1">
        <f>IFERROR(__xludf.DUMMYFUNCTION("""COMPUTED_VALUE"""),292.0)</f>
        <v>292</v>
      </c>
      <c r="K746" s="1">
        <f>IFERROR(__xludf.DUMMYFUNCTION("""COMPUTED_VALUE"""),58.4)</f>
        <v>58.4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>
        <f>IFERROR(__xludf.DUMMYFUNCTION("""COMPUTED_VALUE"""),100.0)</f>
        <v>100</v>
      </c>
      <c r="E747" s="1">
        <f>IFERROR(__xludf.DUMMYFUNCTION("""COMPUTED_VALUE"""),75.0)</f>
        <v>75</v>
      </c>
      <c r="F747" s="1">
        <f>IFERROR(__xludf.DUMMYFUNCTION("""COMPUTED_VALUE"""),69.0)</f>
        <v>69</v>
      </c>
      <c r="G747" s="1">
        <f>IFERROR(__xludf.DUMMYFUNCTION("""COMPUTED_VALUE"""),37.0)</f>
        <v>37</v>
      </c>
      <c r="H747" s="1">
        <f>IFERROR(__xludf.DUMMYFUNCTION("""COMPUTED_VALUE"""),54.0)</f>
        <v>54</v>
      </c>
      <c r="I747" s="1">
        <f>IFERROR(__xludf.DUMMYFUNCTION("""COMPUTED_VALUE"""),43.0)</f>
        <v>43</v>
      </c>
      <c r="J747" s="1">
        <f>IFERROR(__xludf.DUMMYFUNCTION("""COMPUTED_VALUE"""),278.0)</f>
        <v>278</v>
      </c>
      <c r="K747" s="1">
        <f>IFERROR(__xludf.DUMMYFUNCTION("""COMPUTED_VALUE"""),55.60000000000001)</f>
        <v>55.6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>
        <f>IFERROR(__xludf.DUMMYFUNCTION("""COMPUTED_VALUE"""),66.0)</f>
        <v>66</v>
      </c>
      <c r="E748" s="1">
        <f>IFERROR(__xludf.DUMMYFUNCTION("""COMPUTED_VALUE"""),79.0)</f>
        <v>79</v>
      </c>
      <c r="F748" s="1">
        <f>IFERROR(__xludf.DUMMYFUNCTION("""COMPUTED_VALUE"""),52.0)</f>
        <v>52</v>
      </c>
      <c r="G748" s="1">
        <f>IFERROR(__xludf.DUMMYFUNCTION("""COMPUTED_VALUE"""),87.0)</f>
        <v>87</v>
      </c>
      <c r="H748" s="1">
        <f>IFERROR(__xludf.DUMMYFUNCTION("""COMPUTED_VALUE"""),94.0)</f>
        <v>94</v>
      </c>
      <c r="I748" s="1">
        <f>IFERROR(__xludf.DUMMYFUNCTION("""COMPUTED_VALUE"""),91.0)</f>
        <v>91</v>
      </c>
      <c r="J748" s="1">
        <f>IFERROR(__xludf.DUMMYFUNCTION("""COMPUTED_VALUE"""),403.0)</f>
        <v>403</v>
      </c>
      <c r="K748" s="1">
        <f>IFERROR(__xludf.DUMMYFUNCTION("""COMPUTED_VALUE"""),80.60000000000001)</f>
        <v>80.6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>
        <f>IFERROR(__xludf.DUMMYFUNCTION("""COMPUTED_VALUE"""),77.0)</f>
        <v>77</v>
      </c>
      <c r="E749" s="1">
        <f>IFERROR(__xludf.DUMMYFUNCTION("""COMPUTED_VALUE"""),31.0)</f>
        <v>31</v>
      </c>
      <c r="F749" s="1">
        <f>IFERROR(__xludf.DUMMYFUNCTION("""COMPUTED_VALUE"""),69.0)</f>
        <v>69</v>
      </c>
      <c r="G749" s="1">
        <f>IFERROR(__xludf.DUMMYFUNCTION("""COMPUTED_VALUE"""),93.0)</f>
        <v>93</v>
      </c>
      <c r="H749" s="1">
        <f>IFERROR(__xludf.DUMMYFUNCTION("""COMPUTED_VALUE"""),93.0)</f>
        <v>93</v>
      </c>
      <c r="I749" s="1">
        <f>IFERROR(__xludf.DUMMYFUNCTION("""COMPUTED_VALUE"""),60.0)</f>
        <v>60</v>
      </c>
      <c r="J749" s="1">
        <f>IFERROR(__xludf.DUMMYFUNCTION("""COMPUTED_VALUE"""),346.0)</f>
        <v>346</v>
      </c>
      <c r="K749" s="1">
        <f>IFERROR(__xludf.DUMMYFUNCTION("""COMPUTED_VALUE"""),69.19999999999999)</f>
        <v>69.2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>
        <f>IFERROR(__xludf.DUMMYFUNCTION("""COMPUTED_VALUE"""),29.0)</f>
        <v>29</v>
      </c>
      <c r="E750" s="1">
        <f>IFERROR(__xludf.DUMMYFUNCTION("""COMPUTED_VALUE"""),66.0)</f>
        <v>66</v>
      </c>
      <c r="F750" s="1">
        <f>IFERROR(__xludf.DUMMYFUNCTION("""COMPUTED_VALUE"""),53.0)</f>
        <v>53</v>
      </c>
      <c r="G750" s="1">
        <f>IFERROR(__xludf.DUMMYFUNCTION("""COMPUTED_VALUE"""),21.0)</f>
        <v>21</v>
      </c>
      <c r="H750" s="1">
        <f>IFERROR(__xludf.DUMMYFUNCTION("""COMPUTED_VALUE"""),91.0)</f>
        <v>91</v>
      </c>
      <c r="I750" s="1">
        <f>IFERROR(__xludf.DUMMYFUNCTION("""COMPUTED_VALUE"""),60.0)</f>
        <v>60</v>
      </c>
      <c r="J750" s="1">
        <f>IFERROR(__xludf.DUMMYFUNCTION("""COMPUTED_VALUE"""),291.0)</f>
        <v>291</v>
      </c>
      <c r="K750" s="1">
        <f>IFERROR(__xludf.DUMMYFUNCTION("""COMPUTED_VALUE"""),58.199999999999996)</f>
        <v>58.2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>
        <f>IFERROR(__xludf.DUMMYFUNCTION("""COMPUTED_VALUE"""),77.0)</f>
        <v>77</v>
      </c>
      <c r="E751" s="1">
        <f>IFERROR(__xludf.DUMMYFUNCTION("""COMPUTED_VALUE"""),40.0)</f>
        <v>40</v>
      </c>
      <c r="F751" s="1">
        <f>IFERROR(__xludf.DUMMYFUNCTION("""COMPUTED_VALUE"""),69.0)</f>
        <v>69</v>
      </c>
      <c r="G751" s="1">
        <f>IFERROR(__xludf.DUMMYFUNCTION("""COMPUTED_VALUE"""),35.0)</f>
        <v>35</v>
      </c>
      <c r="H751" s="1">
        <f>IFERROR(__xludf.DUMMYFUNCTION("""COMPUTED_VALUE"""),35.0)</f>
        <v>35</v>
      </c>
      <c r="I751" s="1">
        <f>IFERROR(__xludf.DUMMYFUNCTION("""COMPUTED_VALUE"""),94.0)</f>
        <v>94</v>
      </c>
      <c r="J751" s="1">
        <f>IFERROR(__xludf.DUMMYFUNCTION("""COMPUTED_VALUE"""),273.0)</f>
        <v>273</v>
      </c>
      <c r="K751" s="1">
        <f>IFERROR(__xludf.DUMMYFUNCTION("""COMPUTED_VALUE"""),54.6)</f>
        <v>54.6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>
        <f>IFERROR(__xludf.DUMMYFUNCTION("""COMPUTED_VALUE"""),13.0)</f>
        <v>13</v>
      </c>
      <c r="E752" s="1">
        <f>IFERROR(__xludf.DUMMYFUNCTION("""COMPUTED_VALUE"""),36.0)</f>
        <v>36</v>
      </c>
      <c r="F752" s="1">
        <f>IFERROR(__xludf.DUMMYFUNCTION("""COMPUTED_VALUE"""),67.0)</f>
        <v>67</v>
      </c>
      <c r="G752" s="1">
        <f>IFERROR(__xludf.DUMMYFUNCTION("""COMPUTED_VALUE"""),78.0)</f>
        <v>78</v>
      </c>
      <c r="H752" s="1">
        <f>IFERROR(__xludf.DUMMYFUNCTION("""COMPUTED_VALUE"""),48.0)</f>
        <v>48</v>
      </c>
      <c r="I752" s="1">
        <f>IFERROR(__xludf.DUMMYFUNCTION("""COMPUTED_VALUE"""),77.0)</f>
        <v>77</v>
      </c>
      <c r="J752" s="1">
        <f>IFERROR(__xludf.DUMMYFUNCTION("""COMPUTED_VALUE"""),306.0)</f>
        <v>306</v>
      </c>
      <c r="K752" s="1">
        <f>IFERROR(__xludf.DUMMYFUNCTION("""COMPUTED_VALUE"""),61.199999999999996)</f>
        <v>61.2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>
        <f>IFERROR(__xludf.DUMMYFUNCTION("""COMPUTED_VALUE"""),39.0)</f>
        <v>39</v>
      </c>
      <c r="E753" s="1">
        <f>IFERROR(__xludf.DUMMYFUNCTION("""COMPUTED_VALUE"""),96.0)</f>
        <v>96</v>
      </c>
      <c r="F753" s="1">
        <f>IFERROR(__xludf.DUMMYFUNCTION("""COMPUTED_VALUE"""),93.0)</f>
        <v>93</v>
      </c>
      <c r="G753" s="1">
        <f>IFERROR(__xludf.DUMMYFUNCTION("""COMPUTED_VALUE"""),88.0)</f>
        <v>88</v>
      </c>
      <c r="H753" s="1">
        <f>IFERROR(__xludf.DUMMYFUNCTION("""COMPUTED_VALUE"""),59.0)</f>
        <v>59</v>
      </c>
      <c r="I753" s="1">
        <f>IFERROR(__xludf.DUMMYFUNCTION("""COMPUTED_VALUE"""),86.0)</f>
        <v>86</v>
      </c>
      <c r="J753" s="1">
        <f>IFERROR(__xludf.DUMMYFUNCTION("""COMPUTED_VALUE"""),422.0)</f>
        <v>422</v>
      </c>
      <c r="K753" s="1">
        <f>IFERROR(__xludf.DUMMYFUNCTION("""COMPUTED_VALUE"""),84.39999999999999)</f>
        <v>84.4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>
        <f>IFERROR(__xludf.DUMMYFUNCTION("""COMPUTED_VALUE"""),38.0)</f>
        <v>38</v>
      </c>
      <c r="E754" s="1">
        <f>IFERROR(__xludf.DUMMYFUNCTION("""COMPUTED_VALUE"""),28.0)</f>
        <v>28</v>
      </c>
      <c r="F754" s="1">
        <f>IFERROR(__xludf.DUMMYFUNCTION("""COMPUTED_VALUE"""),29.0)</f>
        <v>29</v>
      </c>
      <c r="G754" s="1">
        <f>IFERROR(__xludf.DUMMYFUNCTION("""COMPUTED_VALUE"""),55.0)</f>
        <v>55</v>
      </c>
      <c r="H754" s="1">
        <f>IFERROR(__xludf.DUMMYFUNCTION("""COMPUTED_VALUE"""),50.0)</f>
        <v>50</v>
      </c>
      <c r="I754" s="1">
        <f>IFERROR(__xludf.DUMMYFUNCTION("""COMPUTED_VALUE"""),55.0)</f>
        <v>55</v>
      </c>
      <c r="J754" s="1">
        <f>IFERROR(__xludf.DUMMYFUNCTION("""COMPUTED_VALUE"""),217.0)</f>
        <v>217</v>
      </c>
      <c r="K754" s="1">
        <f>IFERROR(__xludf.DUMMYFUNCTION("""COMPUTED_VALUE"""),43.4)</f>
        <v>43.4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>
        <f>IFERROR(__xludf.DUMMYFUNCTION("""COMPUTED_VALUE"""),57.0)</f>
        <v>57</v>
      </c>
      <c r="E755" s="1">
        <f>IFERROR(__xludf.DUMMYFUNCTION("""COMPUTED_VALUE"""),43.0)</f>
        <v>43</v>
      </c>
      <c r="F755" s="1">
        <f>IFERROR(__xludf.DUMMYFUNCTION("""COMPUTED_VALUE"""),26.0)</f>
        <v>26</v>
      </c>
      <c r="G755" s="1">
        <f>IFERROR(__xludf.DUMMYFUNCTION("""COMPUTED_VALUE"""),32.0)</f>
        <v>32</v>
      </c>
      <c r="H755" s="1">
        <f>IFERROR(__xludf.DUMMYFUNCTION("""COMPUTED_VALUE"""),42.0)</f>
        <v>42</v>
      </c>
      <c r="I755" s="1">
        <f>IFERROR(__xludf.DUMMYFUNCTION("""COMPUTED_VALUE"""),92.0)</f>
        <v>92</v>
      </c>
      <c r="J755" s="1">
        <f>IFERROR(__xludf.DUMMYFUNCTION("""COMPUTED_VALUE"""),235.0)</f>
        <v>235</v>
      </c>
      <c r="K755" s="1">
        <f>IFERROR(__xludf.DUMMYFUNCTION("""COMPUTED_VALUE"""),47.0)</f>
        <v>47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>
        <f>IFERROR(__xludf.DUMMYFUNCTION("""COMPUTED_VALUE"""),92.0)</f>
        <v>92</v>
      </c>
      <c r="E756" s="1">
        <f>IFERROR(__xludf.DUMMYFUNCTION("""COMPUTED_VALUE"""),77.0)</f>
        <v>77</v>
      </c>
      <c r="F756" s="1">
        <f>IFERROR(__xludf.DUMMYFUNCTION("""COMPUTED_VALUE"""),32.0)</f>
        <v>32</v>
      </c>
      <c r="G756" s="1">
        <f>IFERROR(__xludf.DUMMYFUNCTION("""COMPUTED_VALUE"""),87.0)</f>
        <v>87</v>
      </c>
      <c r="H756" s="1">
        <f>IFERROR(__xludf.DUMMYFUNCTION("""COMPUTED_VALUE"""),47.0)</f>
        <v>47</v>
      </c>
      <c r="I756" s="1">
        <f>IFERROR(__xludf.DUMMYFUNCTION("""COMPUTED_VALUE"""),98.0)</f>
        <v>98</v>
      </c>
      <c r="J756" s="1">
        <f>IFERROR(__xludf.DUMMYFUNCTION("""COMPUTED_VALUE"""),341.0)</f>
        <v>341</v>
      </c>
      <c r="K756" s="1">
        <f>IFERROR(__xludf.DUMMYFUNCTION("""COMPUTED_VALUE"""),68.2)</f>
        <v>68.2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>
        <f>IFERROR(__xludf.DUMMYFUNCTION("""COMPUTED_VALUE"""),27.0)</f>
        <v>27</v>
      </c>
      <c r="E757" s="1">
        <f>IFERROR(__xludf.DUMMYFUNCTION("""COMPUTED_VALUE"""),40.0)</f>
        <v>40</v>
      </c>
      <c r="F757" s="1">
        <f>IFERROR(__xludf.DUMMYFUNCTION("""COMPUTED_VALUE"""),87.0)</f>
        <v>87</v>
      </c>
      <c r="G757" s="1">
        <f>IFERROR(__xludf.DUMMYFUNCTION("""COMPUTED_VALUE"""),73.0)</f>
        <v>73</v>
      </c>
      <c r="H757" s="1">
        <f>IFERROR(__xludf.DUMMYFUNCTION("""COMPUTED_VALUE"""),72.0)</f>
        <v>72</v>
      </c>
      <c r="I757" s="1">
        <f>IFERROR(__xludf.DUMMYFUNCTION("""COMPUTED_VALUE"""),78.0)</f>
        <v>78</v>
      </c>
      <c r="J757" s="1">
        <f>IFERROR(__xludf.DUMMYFUNCTION("""COMPUTED_VALUE"""),350.0)</f>
        <v>350</v>
      </c>
      <c r="K757" s="1">
        <f>IFERROR(__xludf.DUMMYFUNCTION("""COMPUTED_VALUE"""),70.0)</f>
        <v>70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>
        <f>IFERROR(__xludf.DUMMYFUNCTION("""COMPUTED_VALUE"""),12.0)</f>
        <v>12</v>
      </c>
      <c r="E758" s="1">
        <f>IFERROR(__xludf.DUMMYFUNCTION("""COMPUTED_VALUE"""),65.0)</f>
        <v>65</v>
      </c>
      <c r="F758" s="1">
        <f>IFERROR(__xludf.DUMMYFUNCTION("""COMPUTED_VALUE"""),67.0)</f>
        <v>67</v>
      </c>
      <c r="G758" s="1">
        <f>IFERROR(__xludf.DUMMYFUNCTION("""COMPUTED_VALUE"""),36.0)</f>
        <v>36</v>
      </c>
      <c r="H758" s="1">
        <f>IFERROR(__xludf.DUMMYFUNCTION("""COMPUTED_VALUE"""),46.0)</f>
        <v>46</v>
      </c>
      <c r="I758" s="1">
        <f>IFERROR(__xludf.DUMMYFUNCTION("""COMPUTED_VALUE"""),24.0)</f>
        <v>24</v>
      </c>
      <c r="J758" s="1">
        <f>IFERROR(__xludf.DUMMYFUNCTION("""COMPUTED_VALUE"""),238.0)</f>
        <v>238</v>
      </c>
      <c r="K758" s="1">
        <f>IFERROR(__xludf.DUMMYFUNCTION("""COMPUTED_VALUE"""),47.599999999999994)</f>
        <v>47.6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>
        <f>IFERROR(__xludf.DUMMYFUNCTION("""COMPUTED_VALUE"""),19.0)</f>
        <v>19</v>
      </c>
      <c r="E759" s="1">
        <f>IFERROR(__xludf.DUMMYFUNCTION("""COMPUTED_VALUE"""),93.0)</f>
        <v>93</v>
      </c>
      <c r="F759" s="1">
        <f>IFERROR(__xludf.DUMMYFUNCTION("""COMPUTED_VALUE"""),85.0)</f>
        <v>85</v>
      </c>
      <c r="G759" s="1">
        <f>IFERROR(__xludf.DUMMYFUNCTION("""COMPUTED_VALUE"""),64.0)</f>
        <v>64</v>
      </c>
      <c r="H759" s="1">
        <f>IFERROR(__xludf.DUMMYFUNCTION("""COMPUTED_VALUE"""),20.0)</f>
        <v>20</v>
      </c>
      <c r="I759" s="1">
        <f>IFERROR(__xludf.DUMMYFUNCTION("""COMPUTED_VALUE"""),97.0)</f>
        <v>97</v>
      </c>
      <c r="J759" s="1">
        <f>IFERROR(__xludf.DUMMYFUNCTION("""COMPUTED_VALUE"""),359.0)</f>
        <v>359</v>
      </c>
      <c r="K759" s="1">
        <f>IFERROR(__xludf.DUMMYFUNCTION("""COMPUTED_VALUE"""),71.8)</f>
        <v>71.8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>
        <f>IFERROR(__xludf.DUMMYFUNCTION("""COMPUTED_VALUE"""),29.0)</f>
        <v>29</v>
      </c>
      <c r="E760" s="1">
        <f>IFERROR(__xludf.DUMMYFUNCTION("""COMPUTED_VALUE"""),71.0)</f>
        <v>71</v>
      </c>
      <c r="F760" s="1">
        <f>IFERROR(__xludf.DUMMYFUNCTION("""COMPUTED_VALUE"""),27.0)</f>
        <v>27</v>
      </c>
      <c r="G760" s="1">
        <f>IFERROR(__xludf.DUMMYFUNCTION("""COMPUTED_VALUE"""),83.0)</f>
        <v>83</v>
      </c>
      <c r="H760" s="1">
        <f>IFERROR(__xludf.DUMMYFUNCTION("""COMPUTED_VALUE"""),59.0)</f>
        <v>59</v>
      </c>
      <c r="I760" s="1">
        <f>IFERROR(__xludf.DUMMYFUNCTION("""COMPUTED_VALUE"""),31.0)</f>
        <v>31</v>
      </c>
      <c r="J760" s="1">
        <f>IFERROR(__xludf.DUMMYFUNCTION("""COMPUTED_VALUE"""),271.0)</f>
        <v>271</v>
      </c>
      <c r="K760" s="1">
        <f>IFERROR(__xludf.DUMMYFUNCTION("""COMPUTED_VALUE"""),54.2)</f>
        <v>54.2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>
        <f>IFERROR(__xludf.DUMMYFUNCTION("""COMPUTED_VALUE"""),35.0)</f>
        <v>35</v>
      </c>
      <c r="E761" s="1">
        <f>IFERROR(__xludf.DUMMYFUNCTION("""COMPUTED_VALUE"""),20.0)</f>
        <v>20</v>
      </c>
      <c r="F761" s="1">
        <f>IFERROR(__xludf.DUMMYFUNCTION("""COMPUTED_VALUE"""),20.0)</f>
        <v>20</v>
      </c>
      <c r="G761" s="1">
        <f>IFERROR(__xludf.DUMMYFUNCTION("""COMPUTED_VALUE"""),77.0)</f>
        <v>77</v>
      </c>
      <c r="H761" s="1">
        <f>IFERROR(__xludf.DUMMYFUNCTION("""COMPUTED_VALUE"""),75.0)</f>
        <v>75</v>
      </c>
      <c r="I761" s="1">
        <f>IFERROR(__xludf.DUMMYFUNCTION("""COMPUTED_VALUE"""),35.0)</f>
        <v>35</v>
      </c>
      <c r="J761" s="1">
        <f>IFERROR(__xludf.DUMMYFUNCTION("""COMPUTED_VALUE"""),227.0)</f>
        <v>227</v>
      </c>
      <c r="K761" s="1">
        <f>IFERROR(__xludf.DUMMYFUNCTION("""COMPUTED_VALUE"""),45.4)</f>
        <v>45.4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>
        <f>IFERROR(__xludf.DUMMYFUNCTION("""COMPUTED_VALUE"""),40.0)</f>
        <v>40</v>
      </c>
      <c r="E762" s="1">
        <f>IFERROR(__xludf.DUMMYFUNCTION("""COMPUTED_VALUE"""),64.0)</f>
        <v>64</v>
      </c>
      <c r="F762" s="1">
        <f>IFERROR(__xludf.DUMMYFUNCTION("""COMPUTED_VALUE"""),33.0)</f>
        <v>33</v>
      </c>
      <c r="G762" s="1">
        <f>IFERROR(__xludf.DUMMYFUNCTION("""COMPUTED_VALUE"""),46.0)</f>
        <v>46</v>
      </c>
      <c r="H762" s="1">
        <f>IFERROR(__xludf.DUMMYFUNCTION("""COMPUTED_VALUE"""),41.0)</f>
        <v>41</v>
      </c>
      <c r="I762" s="1">
        <f>IFERROR(__xludf.DUMMYFUNCTION("""COMPUTED_VALUE"""),47.0)</f>
        <v>47</v>
      </c>
      <c r="J762" s="1">
        <f>IFERROR(__xludf.DUMMYFUNCTION("""COMPUTED_VALUE"""),231.0)</f>
        <v>231</v>
      </c>
      <c r="K762" s="1">
        <f>IFERROR(__xludf.DUMMYFUNCTION("""COMPUTED_VALUE"""),46.2)</f>
        <v>46.2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>
        <f>IFERROR(__xludf.DUMMYFUNCTION("""COMPUTED_VALUE"""),82.0)</f>
        <v>82</v>
      </c>
      <c r="E763" s="1">
        <f>IFERROR(__xludf.DUMMYFUNCTION("""COMPUTED_VALUE"""),79.0)</f>
        <v>79</v>
      </c>
      <c r="F763" s="1">
        <f>IFERROR(__xludf.DUMMYFUNCTION("""COMPUTED_VALUE"""),49.0)</f>
        <v>49</v>
      </c>
      <c r="G763" s="1">
        <f>IFERROR(__xludf.DUMMYFUNCTION("""COMPUTED_VALUE"""),77.0)</f>
        <v>77</v>
      </c>
      <c r="H763" s="1">
        <f>IFERROR(__xludf.DUMMYFUNCTION("""COMPUTED_VALUE"""),72.0)</f>
        <v>72</v>
      </c>
      <c r="I763" s="1">
        <f>IFERROR(__xludf.DUMMYFUNCTION("""COMPUTED_VALUE"""),66.0)</f>
        <v>66</v>
      </c>
      <c r="J763" s="1">
        <f>IFERROR(__xludf.DUMMYFUNCTION("""COMPUTED_VALUE"""),343.0)</f>
        <v>343</v>
      </c>
      <c r="K763" s="1">
        <f>IFERROR(__xludf.DUMMYFUNCTION("""COMPUTED_VALUE"""),68.60000000000001)</f>
        <v>68.6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>
        <f>IFERROR(__xludf.DUMMYFUNCTION("""COMPUTED_VALUE"""),69.0)</f>
        <v>69</v>
      </c>
      <c r="E764" s="1">
        <f>IFERROR(__xludf.DUMMYFUNCTION("""COMPUTED_VALUE"""),59.0)</f>
        <v>59</v>
      </c>
      <c r="F764" s="1">
        <f>IFERROR(__xludf.DUMMYFUNCTION("""COMPUTED_VALUE"""),43.0)</f>
        <v>43</v>
      </c>
      <c r="G764" s="1">
        <f>IFERROR(__xludf.DUMMYFUNCTION("""COMPUTED_VALUE"""),29.0)</f>
        <v>29</v>
      </c>
      <c r="H764" s="1">
        <f>IFERROR(__xludf.DUMMYFUNCTION("""COMPUTED_VALUE"""),89.0)</f>
        <v>89</v>
      </c>
      <c r="I764" s="1">
        <f>IFERROR(__xludf.DUMMYFUNCTION("""COMPUTED_VALUE"""),75.0)</f>
        <v>75</v>
      </c>
      <c r="J764" s="1">
        <f>IFERROR(__xludf.DUMMYFUNCTION("""COMPUTED_VALUE"""),295.0)</f>
        <v>295</v>
      </c>
      <c r="K764" s="1">
        <f>IFERROR(__xludf.DUMMYFUNCTION("""COMPUTED_VALUE"""),59.0)</f>
        <v>59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>
        <f>IFERROR(__xludf.DUMMYFUNCTION("""COMPUTED_VALUE"""),20.0)</f>
        <v>20</v>
      </c>
      <c r="E765" s="1">
        <f>IFERROR(__xludf.DUMMYFUNCTION("""COMPUTED_VALUE"""),54.0)</f>
        <v>54</v>
      </c>
      <c r="F765" s="1">
        <f>IFERROR(__xludf.DUMMYFUNCTION("""COMPUTED_VALUE"""),85.0)</f>
        <v>85</v>
      </c>
      <c r="G765" s="1">
        <f>IFERROR(__xludf.DUMMYFUNCTION("""COMPUTED_VALUE"""),51.0)</f>
        <v>51</v>
      </c>
      <c r="H765" s="1">
        <f>IFERROR(__xludf.DUMMYFUNCTION("""COMPUTED_VALUE"""),52.0)</f>
        <v>52</v>
      </c>
      <c r="I765" s="1">
        <f>IFERROR(__xludf.DUMMYFUNCTION("""COMPUTED_VALUE"""),46.0)</f>
        <v>46</v>
      </c>
      <c r="J765" s="1">
        <f>IFERROR(__xludf.DUMMYFUNCTION("""COMPUTED_VALUE"""),288.0)</f>
        <v>288</v>
      </c>
      <c r="K765" s="1">
        <f>IFERROR(__xludf.DUMMYFUNCTION("""COMPUTED_VALUE"""),57.599999999999994)</f>
        <v>57.6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>
        <f>IFERROR(__xludf.DUMMYFUNCTION("""COMPUTED_VALUE"""),37.0)</f>
        <v>37</v>
      </c>
      <c r="E766" s="1">
        <f>IFERROR(__xludf.DUMMYFUNCTION("""COMPUTED_VALUE"""),58.0)</f>
        <v>58</v>
      </c>
      <c r="F766" s="1">
        <f>IFERROR(__xludf.DUMMYFUNCTION("""COMPUTED_VALUE"""),50.0)</f>
        <v>50</v>
      </c>
      <c r="G766" s="1">
        <f>IFERROR(__xludf.DUMMYFUNCTION("""COMPUTED_VALUE"""),85.0)</f>
        <v>85</v>
      </c>
      <c r="H766" s="1">
        <f>IFERROR(__xludf.DUMMYFUNCTION("""COMPUTED_VALUE"""),44.0)</f>
        <v>44</v>
      </c>
      <c r="I766" s="1">
        <f>IFERROR(__xludf.DUMMYFUNCTION("""COMPUTED_VALUE"""),31.0)</f>
        <v>31</v>
      </c>
      <c r="J766" s="1">
        <f>IFERROR(__xludf.DUMMYFUNCTION("""COMPUTED_VALUE"""),268.0)</f>
        <v>268</v>
      </c>
      <c r="K766" s="1">
        <f>IFERROR(__xludf.DUMMYFUNCTION("""COMPUTED_VALUE"""),53.6)</f>
        <v>53.6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>
        <f>IFERROR(__xludf.DUMMYFUNCTION("""COMPUTED_VALUE"""),63.0)</f>
        <v>63</v>
      </c>
      <c r="E767" s="1">
        <f>IFERROR(__xludf.DUMMYFUNCTION("""COMPUTED_VALUE"""),27.0)</f>
        <v>27</v>
      </c>
      <c r="F767" s="1">
        <f>IFERROR(__xludf.DUMMYFUNCTION("""COMPUTED_VALUE"""),65.0)</f>
        <v>65</v>
      </c>
      <c r="G767" s="1">
        <f>IFERROR(__xludf.DUMMYFUNCTION("""COMPUTED_VALUE"""),35.0)</f>
        <v>35</v>
      </c>
      <c r="H767" s="1">
        <f>IFERROR(__xludf.DUMMYFUNCTION("""COMPUTED_VALUE"""),79.0)</f>
        <v>79</v>
      </c>
      <c r="I767" s="1">
        <f>IFERROR(__xludf.DUMMYFUNCTION("""COMPUTED_VALUE"""),88.0)</f>
        <v>88</v>
      </c>
      <c r="J767" s="1">
        <f>IFERROR(__xludf.DUMMYFUNCTION("""COMPUTED_VALUE"""),294.0)</f>
        <v>294</v>
      </c>
      <c r="K767" s="1">
        <f>IFERROR(__xludf.DUMMYFUNCTION("""COMPUTED_VALUE"""),58.8)</f>
        <v>58.8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>
        <f>IFERROR(__xludf.DUMMYFUNCTION("""COMPUTED_VALUE"""),69.0)</f>
        <v>69</v>
      </c>
      <c r="E768" s="1">
        <f>IFERROR(__xludf.DUMMYFUNCTION("""COMPUTED_VALUE"""),53.0)</f>
        <v>53</v>
      </c>
      <c r="F768" s="1">
        <f>IFERROR(__xludf.DUMMYFUNCTION("""COMPUTED_VALUE"""),50.0)</f>
        <v>50</v>
      </c>
      <c r="G768" s="1">
        <f>IFERROR(__xludf.DUMMYFUNCTION("""COMPUTED_VALUE"""),74.0)</f>
        <v>74</v>
      </c>
      <c r="H768" s="1">
        <f>IFERROR(__xludf.DUMMYFUNCTION("""COMPUTED_VALUE"""),78.0)</f>
        <v>78</v>
      </c>
      <c r="I768" s="1">
        <f>IFERROR(__xludf.DUMMYFUNCTION("""COMPUTED_VALUE"""),83.0)</f>
        <v>83</v>
      </c>
      <c r="J768" s="1">
        <f>IFERROR(__xludf.DUMMYFUNCTION("""COMPUTED_VALUE"""),338.0)</f>
        <v>338</v>
      </c>
      <c r="K768" s="1">
        <f>IFERROR(__xludf.DUMMYFUNCTION("""COMPUTED_VALUE"""),67.60000000000001)</f>
        <v>67.6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>
        <f>IFERROR(__xludf.DUMMYFUNCTION("""COMPUTED_VALUE"""),23.0)</f>
        <v>23</v>
      </c>
      <c r="E769" s="1">
        <f>IFERROR(__xludf.DUMMYFUNCTION("""COMPUTED_VALUE"""),67.0)</f>
        <v>67</v>
      </c>
      <c r="F769" s="1">
        <f>IFERROR(__xludf.DUMMYFUNCTION("""COMPUTED_VALUE"""),61.0)</f>
        <v>61</v>
      </c>
      <c r="G769" s="1">
        <f>IFERROR(__xludf.DUMMYFUNCTION("""COMPUTED_VALUE"""),36.0)</f>
        <v>36</v>
      </c>
      <c r="H769" s="1">
        <f>IFERROR(__xludf.DUMMYFUNCTION("""COMPUTED_VALUE"""),93.0)</f>
        <v>93</v>
      </c>
      <c r="I769" s="1">
        <f>IFERROR(__xludf.DUMMYFUNCTION("""COMPUTED_VALUE"""),24.0)</f>
        <v>24</v>
      </c>
      <c r="J769" s="1">
        <f>IFERROR(__xludf.DUMMYFUNCTION("""COMPUTED_VALUE"""),281.0)</f>
        <v>281</v>
      </c>
      <c r="K769" s="1">
        <f>IFERROR(__xludf.DUMMYFUNCTION("""COMPUTED_VALUE"""),56.2)</f>
        <v>56.2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>
        <f>IFERROR(__xludf.DUMMYFUNCTION("""COMPUTED_VALUE"""),19.0)</f>
        <v>19</v>
      </c>
      <c r="E770" s="1">
        <f>IFERROR(__xludf.DUMMYFUNCTION("""COMPUTED_VALUE"""),55.0)</f>
        <v>55</v>
      </c>
      <c r="F770" s="1">
        <f>IFERROR(__xludf.DUMMYFUNCTION("""COMPUTED_VALUE"""),50.0)</f>
        <v>50</v>
      </c>
      <c r="G770" s="1">
        <f>IFERROR(__xludf.DUMMYFUNCTION("""COMPUTED_VALUE"""),96.0)</f>
        <v>96</v>
      </c>
      <c r="H770" s="1">
        <f>IFERROR(__xludf.DUMMYFUNCTION("""COMPUTED_VALUE"""),56.0)</f>
        <v>56</v>
      </c>
      <c r="I770" s="1">
        <f>IFERROR(__xludf.DUMMYFUNCTION("""COMPUTED_VALUE"""),94.0)</f>
        <v>94</v>
      </c>
      <c r="J770" s="1">
        <f>IFERROR(__xludf.DUMMYFUNCTION("""COMPUTED_VALUE"""),351.0)</f>
        <v>351</v>
      </c>
      <c r="K770" s="1">
        <f>IFERROR(__xludf.DUMMYFUNCTION("""COMPUTED_VALUE"""),70.19999999999999)</f>
        <v>70.2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>
        <f>IFERROR(__xludf.DUMMYFUNCTION("""COMPUTED_VALUE"""),40.0)</f>
        <v>40</v>
      </c>
      <c r="E771" s="1">
        <f>IFERROR(__xludf.DUMMYFUNCTION("""COMPUTED_VALUE"""),92.0)</f>
        <v>92</v>
      </c>
      <c r="F771" s="1">
        <f>IFERROR(__xludf.DUMMYFUNCTION("""COMPUTED_VALUE"""),95.0)</f>
        <v>95</v>
      </c>
      <c r="G771" s="1">
        <f>IFERROR(__xludf.DUMMYFUNCTION("""COMPUTED_VALUE"""),70.0)</f>
        <v>70</v>
      </c>
      <c r="H771" s="1">
        <f>IFERROR(__xludf.DUMMYFUNCTION("""COMPUTED_VALUE"""),74.0)</f>
        <v>74</v>
      </c>
      <c r="I771" s="1">
        <f>IFERROR(__xludf.DUMMYFUNCTION("""COMPUTED_VALUE"""),72.0)</f>
        <v>72</v>
      </c>
      <c r="J771" s="1">
        <f>IFERROR(__xludf.DUMMYFUNCTION("""COMPUTED_VALUE"""),403.0)</f>
        <v>403</v>
      </c>
      <c r="K771" s="1">
        <f>IFERROR(__xludf.DUMMYFUNCTION("""COMPUTED_VALUE"""),80.60000000000001)</f>
        <v>80.6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>
        <f>IFERROR(__xludf.DUMMYFUNCTION("""COMPUTED_VALUE"""),100.0)</f>
        <v>100</v>
      </c>
      <c r="E772" s="1">
        <f>IFERROR(__xludf.DUMMYFUNCTION("""COMPUTED_VALUE"""),39.0)</f>
        <v>39</v>
      </c>
      <c r="F772" s="1">
        <f>IFERROR(__xludf.DUMMYFUNCTION("""COMPUTED_VALUE"""),35.0)</f>
        <v>35</v>
      </c>
      <c r="G772" s="1">
        <f>IFERROR(__xludf.DUMMYFUNCTION("""COMPUTED_VALUE"""),82.0)</f>
        <v>82</v>
      </c>
      <c r="H772" s="1">
        <f>IFERROR(__xludf.DUMMYFUNCTION("""COMPUTED_VALUE"""),41.0)</f>
        <v>41</v>
      </c>
      <c r="I772" s="1">
        <f>IFERROR(__xludf.DUMMYFUNCTION("""COMPUTED_VALUE"""),83.0)</f>
        <v>83</v>
      </c>
      <c r="J772" s="1">
        <f>IFERROR(__xludf.DUMMYFUNCTION("""COMPUTED_VALUE"""),280.0)</f>
        <v>280</v>
      </c>
      <c r="K772" s="1">
        <f>IFERROR(__xludf.DUMMYFUNCTION("""COMPUTED_VALUE"""),56.00000000000001)</f>
        <v>56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>
        <f>IFERROR(__xludf.DUMMYFUNCTION("""COMPUTED_VALUE"""),27.0)</f>
        <v>27</v>
      </c>
      <c r="E773" s="1">
        <f>IFERROR(__xludf.DUMMYFUNCTION("""COMPUTED_VALUE"""),92.0)</f>
        <v>92</v>
      </c>
      <c r="F773" s="1">
        <f>IFERROR(__xludf.DUMMYFUNCTION("""COMPUTED_VALUE"""),32.0)</f>
        <v>32</v>
      </c>
      <c r="G773" s="1">
        <f>IFERROR(__xludf.DUMMYFUNCTION("""COMPUTED_VALUE"""),48.0)</f>
        <v>48</v>
      </c>
      <c r="H773" s="1">
        <f>IFERROR(__xludf.DUMMYFUNCTION("""COMPUTED_VALUE"""),90.0)</f>
        <v>90</v>
      </c>
      <c r="I773" s="1">
        <f>IFERROR(__xludf.DUMMYFUNCTION("""COMPUTED_VALUE"""),81.0)</f>
        <v>81</v>
      </c>
      <c r="J773" s="1">
        <f>IFERROR(__xludf.DUMMYFUNCTION("""COMPUTED_VALUE"""),343.0)</f>
        <v>343</v>
      </c>
      <c r="K773" s="1">
        <f>IFERROR(__xludf.DUMMYFUNCTION("""COMPUTED_VALUE"""),68.60000000000001)</f>
        <v>68.6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>
        <f>IFERROR(__xludf.DUMMYFUNCTION("""COMPUTED_VALUE"""),92.0)</f>
        <v>92</v>
      </c>
      <c r="E774" s="1">
        <f>IFERROR(__xludf.DUMMYFUNCTION("""COMPUTED_VALUE"""),69.0)</f>
        <v>69</v>
      </c>
      <c r="F774" s="1">
        <f>IFERROR(__xludf.DUMMYFUNCTION("""COMPUTED_VALUE"""),25.0)</f>
        <v>25</v>
      </c>
      <c r="G774" s="1">
        <f>IFERROR(__xludf.DUMMYFUNCTION("""COMPUTED_VALUE"""),99.0)</f>
        <v>99</v>
      </c>
      <c r="H774" s="1">
        <f>IFERROR(__xludf.DUMMYFUNCTION("""COMPUTED_VALUE"""),31.0)</f>
        <v>31</v>
      </c>
      <c r="I774" s="1">
        <f>IFERROR(__xludf.DUMMYFUNCTION("""COMPUTED_VALUE"""),97.0)</f>
        <v>97</v>
      </c>
      <c r="J774" s="1">
        <f>IFERROR(__xludf.DUMMYFUNCTION("""COMPUTED_VALUE"""),321.0)</f>
        <v>321</v>
      </c>
      <c r="K774" s="1">
        <f>IFERROR(__xludf.DUMMYFUNCTION("""COMPUTED_VALUE"""),64.2)</f>
        <v>64.2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>
        <f>IFERROR(__xludf.DUMMYFUNCTION("""COMPUTED_VALUE"""),71.0)</f>
        <v>71</v>
      </c>
      <c r="E775" s="1">
        <f>IFERROR(__xludf.DUMMYFUNCTION("""COMPUTED_VALUE"""),45.0)</f>
        <v>45</v>
      </c>
      <c r="F775" s="1">
        <f>IFERROR(__xludf.DUMMYFUNCTION("""COMPUTED_VALUE"""),77.0)</f>
        <v>77</v>
      </c>
      <c r="G775" s="1">
        <f>IFERROR(__xludf.DUMMYFUNCTION("""COMPUTED_VALUE"""),79.0)</f>
        <v>79</v>
      </c>
      <c r="H775" s="1">
        <f>IFERROR(__xludf.DUMMYFUNCTION("""COMPUTED_VALUE"""),53.0)</f>
        <v>53</v>
      </c>
      <c r="I775" s="1">
        <f>IFERROR(__xludf.DUMMYFUNCTION("""COMPUTED_VALUE"""),92.0)</f>
        <v>92</v>
      </c>
      <c r="J775" s="1">
        <f>IFERROR(__xludf.DUMMYFUNCTION("""COMPUTED_VALUE"""),346.0)</f>
        <v>346</v>
      </c>
      <c r="K775" s="1">
        <f>IFERROR(__xludf.DUMMYFUNCTION("""COMPUTED_VALUE"""),69.19999999999999)</f>
        <v>69.2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>
        <f>IFERROR(__xludf.DUMMYFUNCTION("""COMPUTED_VALUE"""),84.0)</f>
        <v>84</v>
      </c>
      <c r="E776" s="1">
        <f>IFERROR(__xludf.DUMMYFUNCTION("""COMPUTED_VALUE"""),50.0)</f>
        <v>50</v>
      </c>
      <c r="F776" s="1">
        <f>IFERROR(__xludf.DUMMYFUNCTION("""COMPUTED_VALUE"""),42.0)</f>
        <v>42</v>
      </c>
      <c r="G776" s="1">
        <f>IFERROR(__xludf.DUMMYFUNCTION("""COMPUTED_VALUE"""),93.0)</f>
        <v>93</v>
      </c>
      <c r="H776" s="1">
        <f>IFERROR(__xludf.DUMMYFUNCTION("""COMPUTED_VALUE"""),88.0)</f>
        <v>88</v>
      </c>
      <c r="I776" s="1">
        <f>IFERROR(__xludf.DUMMYFUNCTION("""COMPUTED_VALUE"""),86.0)</f>
        <v>86</v>
      </c>
      <c r="J776" s="1">
        <f>IFERROR(__xludf.DUMMYFUNCTION("""COMPUTED_VALUE"""),359.0)</f>
        <v>359</v>
      </c>
      <c r="K776" s="1">
        <f>IFERROR(__xludf.DUMMYFUNCTION("""COMPUTED_VALUE"""),71.8)</f>
        <v>71.8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>
        <f>IFERROR(__xludf.DUMMYFUNCTION("""COMPUTED_VALUE"""),47.0)</f>
        <v>47</v>
      </c>
      <c r="E777" s="1">
        <f>IFERROR(__xludf.DUMMYFUNCTION("""COMPUTED_VALUE"""),45.0)</f>
        <v>45</v>
      </c>
      <c r="F777" s="1">
        <f>IFERROR(__xludf.DUMMYFUNCTION("""COMPUTED_VALUE"""),88.0)</f>
        <v>88</v>
      </c>
      <c r="G777" s="1">
        <f>IFERROR(__xludf.DUMMYFUNCTION("""COMPUTED_VALUE"""),56.0)</f>
        <v>56</v>
      </c>
      <c r="H777" s="1">
        <f>IFERROR(__xludf.DUMMYFUNCTION("""COMPUTED_VALUE"""),98.0)</f>
        <v>98</v>
      </c>
      <c r="I777" s="1">
        <f>IFERROR(__xludf.DUMMYFUNCTION("""COMPUTED_VALUE"""),41.0)</f>
        <v>41</v>
      </c>
      <c r="J777" s="1">
        <f>IFERROR(__xludf.DUMMYFUNCTION("""COMPUTED_VALUE"""),328.0)</f>
        <v>328</v>
      </c>
      <c r="K777" s="1">
        <f>IFERROR(__xludf.DUMMYFUNCTION("""COMPUTED_VALUE"""),65.60000000000001)</f>
        <v>65.6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>
        <f>IFERROR(__xludf.DUMMYFUNCTION("""COMPUTED_VALUE"""),95.0)</f>
        <v>95</v>
      </c>
      <c r="E778" s="1">
        <f>IFERROR(__xludf.DUMMYFUNCTION("""COMPUTED_VALUE"""),64.0)</f>
        <v>64</v>
      </c>
      <c r="F778" s="1">
        <f>IFERROR(__xludf.DUMMYFUNCTION("""COMPUTED_VALUE"""),69.0)</f>
        <v>69</v>
      </c>
      <c r="G778" s="1">
        <f>IFERROR(__xludf.DUMMYFUNCTION("""COMPUTED_VALUE"""),49.0)</f>
        <v>49</v>
      </c>
      <c r="H778" s="1">
        <f>IFERROR(__xludf.DUMMYFUNCTION("""COMPUTED_VALUE"""),48.0)</f>
        <v>48</v>
      </c>
      <c r="I778" s="1">
        <f>IFERROR(__xludf.DUMMYFUNCTION("""COMPUTED_VALUE"""),93.0)</f>
        <v>93</v>
      </c>
      <c r="J778" s="1">
        <f>IFERROR(__xludf.DUMMYFUNCTION("""COMPUTED_VALUE"""),323.0)</f>
        <v>323</v>
      </c>
      <c r="K778" s="1">
        <f>IFERROR(__xludf.DUMMYFUNCTION("""COMPUTED_VALUE"""),64.60000000000001)</f>
        <v>64.6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>
        <f>IFERROR(__xludf.DUMMYFUNCTION("""COMPUTED_VALUE"""),52.0)</f>
        <v>52</v>
      </c>
      <c r="E779" s="1">
        <f>IFERROR(__xludf.DUMMYFUNCTION("""COMPUTED_VALUE"""),51.0)</f>
        <v>51</v>
      </c>
      <c r="F779" s="1">
        <f>IFERROR(__xludf.DUMMYFUNCTION("""COMPUTED_VALUE"""),43.0)</f>
        <v>43</v>
      </c>
      <c r="G779" s="1">
        <f>IFERROR(__xludf.DUMMYFUNCTION("""COMPUTED_VALUE"""),38.0)</f>
        <v>38</v>
      </c>
      <c r="H779" s="1">
        <f>IFERROR(__xludf.DUMMYFUNCTION("""COMPUTED_VALUE"""),39.0)</f>
        <v>39</v>
      </c>
      <c r="I779" s="1">
        <f>IFERROR(__xludf.DUMMYFUNCTION("""COMPUTED_VALUE"""),43.0)</f>
        <v>43</v>
      </c>
      <c r="J779" s="1">
        <f>IFERROR(__xludf.DUMMYFUNCTION("""COMPUTED_VALUE"""),214.0)</f>
        <v>214</v>
      </c>
      <c r="K779" s="1">
        <f>IFERROR(__xludf.DUMMYFUNCTION("""COMPUTED_VALUE"""),42.8)</f>
        <v>42.8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>
        <f>IFERROR(__xludf.DUMMYFUNCTION("""COMPUTED_VALUE"""),92.0)</f>
        <v>92</v>
      </c>
      <c r="E780" s="1">
        <f>IFERROR(__xludf.DUMMYFUNCTION("""COMPUTED_VALUE"""),28.0)</f>
        <v>28</v>
      </c>
      <c r="F780" s="1">
        <f>IFERROR(__xludf.DUMMYFUNCTION("""COMPUTED_VALUE"""),43.0)</f>
        <v>43</v>
      </c>
      <c r="G780" s="1">
        <f>IFERROR(__xludf.DUMMYFUNCTION("""COMPUTED_VALUE"""),51.0)</f>
        <v>51</v>
      </c>
      <c r="H780" s="1">
        <f>IFERROR(__xludf.DUMMYFUNCTION("""COMPUTED_VALUE"""),69.0)</f>
        <v>69</v>
      </c>
      <c r="I780" s="1">
        <f>IFERROR(__xludf.DUMMYFUNCTION("""COMPUTED_VALUE"""),73.0)</f>
        <v>73</v>
      </c>
      <c r="J780" s="1">
        <f>IFERROR(__xludf.DUMMYFUNCTION("""COMPUTED_VALUE"""),264.0)</f>
        <v>264</v>
      </c>
      <c r="K780" s="1">
        <f>IFERROR(__xludf.DUMMYFUNCTION("""COMPUTED_VALUE"""),52.800000000000004)</f>
        <v>52.8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>
        <f>IFERROR(__xludf.DUMMYFUNCTION("""COMPUTED_VALUE"""),62.0)</f>
        <v>62</v>
      </c>
      <c r="E781" s="1">
        <f>IFERROR(__xludf.DUMMYFUNCTION("""COMPUTED_VALUE"""),67.0)</f>
        <v>67</v>
      </c>
      <c r="F781" s="1">
        <f>IFERROR(__xludf.DUMMYFUNCTION("""COMPUTED_VALUE"""),34.0)</f>
        <v>34</v>
      </c>
      <c r="G781" s="1">
        <f>IFERROR(__xludf.DUMMYFUNCTION("""COMPUTED_VALUE"""),34.0)</f>
        <v>34</v>
      </c>
      <c r="H781" s="1">
        <f>IFERROR(__xludf.DUMMYFUNCTION("""COMPUTED_VALUE"""),62.0)</f>
        <v>62</v>
      </c>
      <c r="I781" s="1">
        <f>IFERROR(__xludf.DUMMYFUNCTION("""COMPUTED_VALUE"""),77.0)</f>
        <v>77</v>
      </c>
      <c r="J781" s="1">
        <f>IFERROR(__xludf.DUMMYFUNCTION("""COMPUTED_VALUE"""),274.0)</f>
        <v>274</v>
      </c>
      <c r="K781" s="1">
        <f>IFERROR(__xludf.DUMMYFUNCTION("""COMPUTED_VALUE"""),54.800000000000004)</f>
        <v>54.8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>
        <f>IFERROR(__xludf.DUMMYFUNCTION("""COMPUTED_VALUE"""),66.0)</f>
        <v>66</v>
      </c>
      <c r="E782" s="1">
        <f>IFERROR(__xludf.DUMMYFUNCTION("""COMPUTED_VALUE"""),57.0)</f>
        <v>57</v>
      </c>
      <c r="F782" s="1">
        <f>IFERROR(__xludf.DUMMYFUNCTION("""COMPUTED_VALUE"""),76.0)</f>
        <v>76</v>
      </c>
      <c r="G782" s="1">
        <f>IFERROR(__xludf.DUMMYFUNCTION("""COMPUTED_VALUE"""),90.0)</f>
        <v>90</v>
      </c>
      <c r="H782" s="1">
        <f>IFERROR(__xludf.DUMMYFUNCTION("""COMPUTED_VALUE"""),95.0)</f>
        <v>95</v>
      </c>
      <c r="I782" s="1">
        <f>IFERROR(__xludf.DUMMYFUNCTION("""COMPUTED_VALUE"""),35.0)</f>
        <v>35</v>
      </c>
      <c r="J782" s="1">
        <f>IFERROR(__xludf.DUMMYFUNCTION("""COMPUTED_VALUE"""),353.0)</f>
        <v>353</v>
      </c>
      <c r="K782" s="1">
        <f>IFERROR(__xludf.DUMMYFUNCTION("""COMPUTED_VALUE"""),70.6)</f>
        <v>70.6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>
        <f>IFERROR(__xludf.DUMMYFUNCTION("""COMPUTED_VALUE"""),38.0)</f>
        <v>38</v>
      </c>
      <c r="E783" s="1">
        <f>IFERROR(__xludf.DUMMYFUNCTION("""COMPUTED_VALUE"""),63.0)</f>
        <v>63</v>
      </c>
      <c r="F783" s="1">
        <f>IFERROR(__xludf.DUMMYFUNCTION("""COMPUTED_VALUE"""),37.0)</f>
        <v>37</v>
      </c>
      <c r="G783" s="1">
        <f>IFERROR(__xludf.DUMMYFUNCTION("""COMPUTED_VALUE"""),89.0)</f>
        <v>89</v>
      </c>
      <c r="H783" s="1">
        <f>IFERROR(__xludf.DUMMYFUNCTION("""COMPUTED_VALUE"""),22.0)</f>
        <v>22</v>
      </c>
      <c r="I783" s="1">
        <f>IFERROR(__xludf.DUMMYFUNCTION("""COMPUTED_VALUE"""),69.0)</f>
        <v>69</v>
      </c>
      <c r="J783" s="1">
        <f>IFERROR(__xludf.DUMMYFUNCTION("""COMPUTED_VALUE"""),280.0)</f>
        <v>280</v>
      </c>
      <c r="K783" s="1">
        <f>IFERROR(__xludf.DUMMYFUNCTION("""COMPUTED_VALUE"""),56.00000000000001)</f>
        <v>56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>
        <f>IFERROR(__xludf.DUMMYFUNCTION("""COMPUTED_VALUE"""),83.0)</f>
        <v>83</v>
      </c>
      <c r="E784" s="1">
        <f>IFERROR(__xludf.DUMMYFUNCTION("""COMPUTED_VALUE"""),63.0)</f>
        <v>63</v>
      </c>
      <c r="F784" s="1">
        <f>IFERROR(__xludf.DUMMYFUNCTION("""COMPUTED_VALUE"""),56.0)</f>
        <v>56</v>
      </c>
      <c r="G784" s="1">
        <f>IFERROR(__xludf.DUMMYFUNCTION("""COMPUTED_VALUE"""),47.0)</f>
        <v>47</v>
      </c>
      <c r="H784" s="1">
        <f>IFERROR(__xludf.DUMMYFUNCTION("""COMPUTED_VALUE"""),50.0)</f>
        <v>50</v>
      </c>
      <c r="I784" s="1">
        <f>IFERROR(__xludf.DUMMYFUNCTION("""COMPUTED_VALUE"""),79.0)</f>
        <v>79</v>
      </c>
      <c r="J784" s="1">
        <f>IFERROR(__xludf.DUMMYFUNCTION("""COMPUTED_VALUE"""),295.0)</f>
        <v>295</v>
      </c>
      <c r="K784" s="1">
        <f>IFERROR(__xludf.DUMMYFUNCTION("""COMPUTED_VALUE"""),59.0)</f>
        <v>59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>
        <f>IFERROR(__xludf.DUMMYFUNCTION("""COMPUTED_VALUE"""),15.0)</f>
        <v>15</v>
      </c>
      <c r="E785" s="1">
        <f>IFERROR(__xludf.DUMMYFUNCTION("""COMPUTED_VALUE"""),93.0)</f>
        <v>93</v>
      </c>
      <c r="F785" s="1">
        <f>IFERROR(__xludf.DUMMYFUNCTION("""COMPUTED_VALUE"""),44.0)</f>
        <v>44</v>
      </c>
      <c r="G785" s="1">
        <f>IFERROR(__xludf.DUMMYFUNCTION("""COMPUTED_VALUE"""),47.0)</f>
        <v>47</v>
      </c>
      <c r="H785" s="1">
        <f>IFERROR(__xludf.DUMMYFUNCTION("""COMPUTED_VALUE"""),79.0)</f>
        <v>79</v>
      </c>
      <c r="I785" s="1">
        <f>IFERROR(__xludf.DUMMYFUNCTION("""COMPUTED_VALUE"""),34.0)</f>
        <v>34</v>
      </c>
      <c r="J785" s="1">
        <f>IFERROR(__xludf.DUMMYFUNCTION("""COMPUTED_VALUE"""),297.0)</f>
        <v>297</v>
      </c>
      <c r="K785" s="1">
        <f>IFERROR(__xludf.DUMMYFUNCTION("""COMPUTED_VALUE"""),59.4)</f>
        <v>59.4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>
        <f>IFERROR(__xludf.DUMMYFUNCTION("""COMPUTED_VALUE"""),55.0)</f>
        <v>55</v>
      </c>
      <c r="E786" s="1">
        <f>IFERROR(__xludf.DUMMYFUNCTION("""COMPUTED_VALUE"""),50.0)</f>
        <v>50</v>
      </c>
      <c r="F786" s="1">
        <f>IFERROR(__xludf.DUMMYFUNCTION("""COMPUTED_VALUE"""),37.0)</f>
        <v>37</v>
      </c>
      <c r="G786" s="1">
        <f>IFERROR(__xludf.DUMMYFUNCTION("""COMPUTED_VALUE"""),72.0)</f>
        <v>72</v>
      </c>
      <c r="H786" s="1">
        <f>IFERROR(__xludf.DUMMYFUNCTION("""COMPUTED_VALUE"""),21.0)</f>
        <v>21</v>
      </c>
      <c r="I786" s="1">
        <f>IFERROR(__xludf.DUMMYFUNCTION("""COMPUTED_VALUE"""),88.0)</f>
        <v>88</v>
      </c>
      <c r="J786" s="1">
        <f>IFERROR(__xludf.DUMMYFUNCTION("""COMPUTED_VALUE"""),268.0)</f>
        <v>268</v>
      </c>
      <c r="K786" s="1">
        <f>IFERROR(__xludf.DUMMYFUNCTION("""COMPUTED_VALUE"""),53.6)</f>
        <v>53.6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>
        <f>IFERROR(__xludf.DUMMYFUNCTION("""COMPUTED_VALUE"""),94.0)</f>
        <v>94</v>
      </c>
      <c r="E787" s="1">
        <f>IFERROR(__xludf.DUMMYFUNCTION("""COMPUTED_VALUE"""),45.0)</f>
        <v>45</v>
      </c>
      <c r="F787" s="1">
        <f>IFERROR(__xludf.DUMMYFUNCTION("""COMPUTED_VALUE"""),89.0)</f>
        <v>89</v>
      </c>
      <c r="G787" s="1">
        <f>IFERROR(__xludf.DUMMYFUNCTION("""COMPUTED_VALUE"""),45.0)</f>
        <v>45</v>
      </c>
      <c r="H787" s="1">
        <f>IFERROR(__xludf.DUMMYFUNCTION("""COMPUTED_VALUE"""),20.0)</f>
        <v>20</v>
      </c>
      <c r="I787" s="1">
        <f>IFERROR(__xludf.DUMMYFUNCTION("""COMPUTED_VALUE"""),37.0)</f>
        <v>37</v>
      </c>
      <c r="J787" s="1">
        <f>IFERROR(__xludf.DUMMYFUNCTION("""COMPUTED_VALUE"""),236.0)</f>
        <v>236</v>
      </c>
      <c r="K787" s="1">
        <f>IFERROR(__xludf.DUMMYFUNCTION("""COMPUTED_VALUE"""),47.199999999999996)</f>
        <v>47.2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>
        <f>IFERROR(__xludf.DUMMYFUNCTION("""COMPUTED_VALUE"""),61.0)</f>
        <v>61</v>
      </c>
      <c r="E788" s="1">
        <f>IFERROR(__xludf.DUMMYFUNCTION("""COMPUTED_VALUE"""),39.0)</f>
        <v>39</v>
      </c>
      <c r="F788" s="1">
        <f>IFERROR(__xludf.DUMMYFUNCTION("""COMPUTED_VALUE"""),33.0)</f>
        <v>33</v>
      </c>
      <c r="G788" s="1">
        <f>IFERROR(__xludf.DUMMYFUNCTION("""COMPUTED_VALUE"""),62.0)</f>
        <v>62</v>
      </c>
      <c r="H788" s="1">
        <f>IFERROR(__xludf.DUMMYFUNCTION("""COMPUTED_VALUE"""),56.0)</f>
        <v>56</v>
      </c>
      <c r="I788" s="1">
        <f>IFERROR(__xludf.DUMMYFUNCTION("""COMPUTED_VALUE"""),56.0)</f>
        <v>56</v>
      </c>
      <c r="J788" s="1">
        <f>IFERROR(__xludf.DUMMYFUNCTION("""COMPUTED_VALUE"""),246.0)</f>
        <v>246</v>
      </c>
      <c r="K788" s="1">
        <f>IFERROR(__xludf.DUMMYFUNCTION("""COMPUTED_VALUE"""),49.2)</f>
        <v>49.2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>
        <f>IFERROR(__xludf.DUMMYFUNCTION("""COMPUTED_VALUE"""),78.0)</f>
        <v>78</v>
      </c>
      <c r="E789" s="1">
        <f>IFERROR(__xludf.DUMMYFUNCTION("""COMPUTED_VALUE"""),63.0)</f>
        <v>63</v>
      </c>
      <c r="F789" s="1">
        <f>IFERROR(__xludf.DUMMYFUNCTION("""COMPUTED_VALUE"""),34.0)</f>
        <v>34</v>
      </c>
      <c r="G789" s="1">
        <f>IFERROR(__xludf.DUMMYFUNCTION("""COMPUTED_VALUE"""),82.0)</f>
        <v>82</v>
      </c>
      <c r="H789" s="1">
        <f>IFERROR(__xludf.DUMMYFUNCTION("""COMPUTED_VALUE"""),21.0)</f>
        <v>21</v>
      </c>
      <c r="I789" s="1">
        <f>IFERROR(__xludf.DUMMYFUNCTION("""COMPUTED_VALUE"""),63.0)</f>
        <v>63</v>
      </c>
      <c r="J789" s="1">
        <f>IFERROR(__xludf.DUMMYFUNCTION("""COMPUTED_VALUE"""),263.0)</f>
        <v>263</v>
      </c>
      <c r="K789" s="1">
        <f>IFERROR(__xludf.DUMMYFUNCTION("""COMPUTED_VALUE"""),52.6)</f>
        <v>52.6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>
        <f>IFERROR(__xludf.DUMMYFUNCTION("""COMPUTED_VALUE"""),39.0)</f>
        <v>39</v>
      </c>
      <c r="E790" s="1">
        <f>IFERROR(__xludf.DUMMYFUNCTION("""COMPUTED_VALUE"""),46.0)</f>
        <v>46</v>
      </c>
      <c r="F790" s="1">
        <f>IFERROR(__xludf.DUMMYFUNCTION("""COMPUTED_VALUE"""),21.0)</f>
        <v>21</v>
      </c>
      <c r="G790" s="1">
        <f>IFERROR(__xludf.DUMMYFUNCTION("""COMPUTED_VALUE"""),62.0)</f>
        <v>62</v>
      </c>
      <c r="H790" s="1">
        <f>IFERROR(__xludf.DUMMYFUNCTION("""COMPUTED_VALUE"""),87.0)</f>
        <v>87</v>
      </c>
      <c r="I790" s="1">
        <f>IFERROR(__xludf.DUMMYFUNCTION("""COMPUTED_VALUE"""),36.0)</f>
        <v>36</v>
      </c>
      <c r="J790" s="1">
        <f>IFERROR(__xludf.DUMMYFUNCTION("""COMPUTED_VALUE"""),252.0)</f>
        <v>252</v>
      </c>
      <c r="K790" s="1">
        <f>IFERROR(__xludf.DUMMYFUNCTION("""COMPUTED_VALUE"""),50.4)</f>
        <v>50.4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>
        <f>IFERROR(__xludf.DUMMYFUNCTION("""COMPUTED_VALUE"""),37.0)</f>
        <v>37</v>
      </c>
      <c r="E791" s="1">
        <f>IFERROR(__xludf.DUMMYFUNCTION("""COMPUTED_VALUE"""),85.0)</f>
        <v>85</v>
      </c>
      <c r="F791" s="1">
        <f>IFERROR(__xludf.DUMMYFUNCTION("""COMPUTED_VALUE"""),49.0)</f>
        <v>49</v>
      </c>
      <c r="G791" s="1">
        <f>IFERROR(__xludf.DUMMYFUNCTION("""COMPUTED_VALUE"""),54.0)</f>
        <v>54</v>
      </c>
      <c r="H791" s="1">
        <f>IFERROR(__xludf.DUMMYFUNCTION("""COMPUTED_VALUE"""),97.0)</f>
        <v>97</v>
      </c>
      <c r="I791" s="1">
        <f>IFERROR(__xludf.DUMMYFUNCTION("""COMPUTED_VALUE"""),25.0)</f>
        <v>25</v>
      </c>
      <c r="J791" s="1">
        <f>IFERROR(__xludf.DUMMYFUNCTION("""COMPUTED_VALUE"""),310.0)</f>
        <v>310</v>
      </c>
      <c r="K791" s="1">
        <f>IFERROR(__xludf.DUMMYFUNCTION("""COMPUTED_VALUE"""),62.0)</f>
        <v>62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>
        <f>IFERROR(__xludf.DUMMYFUNCTION("""COMPUTED_VALUE"""),43.0)</f>
        <v>43</v>
      </c>
      <c r="E792" s="1">
        <f>IFERROR(__xludf.DUMMYFUNCTION("""COMPUTED_VALUE"""),35.0)</f>
        <v>35</v>
      </c>
      <c r="F792" s="1">
        <f>IFERROR(__xludf.DUMMYFUNCTION("""COMPUTED_VALUE"""),37.0)</f>
        <v>37</v>
      </c>
      <c r="G792" s="1">
        <f>IFERROR(__xludf.DUMMYFUNCTION("""COMPUTED_VALUE"""),83.0)</f>
        <v>83</v>
      </c>
      <c r="H792" s="1">
        <f>IFERROR(__xludf.DUMMYFUNCTION("""COMPUTED_VALUE"""),53.0)</f>
        <v>53</v>
      </c>
      <c r="I792" s="1">
        <f>IFERROR(__xludf.DUMMYFUNCTION("""COMPUTED_VALUE"""),43.0)</f>
        <v>43</v>
      </c>
      <c r="J792" s="1">
        <f>IFERROR(__xludf.DUMMYFUNCTION("""COMPUTED_VALUE"""),251.0)</f>
        <v>251</v>
      </c>
      <c r="K792" s="1">
        <f>IFERROR(__xludf.DUMMYFUNCTION("""COMPUTED_VALUE"""),50.2)</f>
        <v>50.2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>
        <f>IFERROR(__xludf.DUMMYFUNCTION("""COMPUTED_VALUE"""),50.0)</f>
        <v>50</v>
      </c>
      <c r="E793" s="1">
        <f>IFERROR(__xludf.DUMMYFUNCTION("""COMPUTED_VALUE"""),28.0)</f>
        <v>28</v>
      </c>
      <c r="F793" s="1">
        <f>IFERROR(__xludf.DUMMYFUNCTION("""COMPUTED_VALUE"""),80.0)</f>
        <v>80</v>
      </c>
      <c r="G793" s="1">
        <f>IFERROR(__xludf.DUMMYFUNCTION("""COMPUTED_VALUE"""),50.0)</f>
        <v>50</v>
      </c>
      <c r="H793" s="1">
        <f>IFERROR(__xludf.DUMMYFUNCTION("""COMPUTED_VALUE"""),91.0)</f>
        <v>91</v>
      </c>
      <c r="I793" s="1">
        <f>IFERROR(__xludf.DUMMYFUNCTION("""COMPUTED_VALUE"""),42.0)</f>
        <v>42</v>
      </c>
      <c r="J793" s="1">
        <f>IFERROR(__xludf.DUMMYFUNCTION("""COMPUTED_VALUE"""),291.0)</f>
        <v>291</v>
      </c>
      <c r="K793" s="1">
        <f>IFERROR(__xludf.DUMMYFUNCTION("""COMPUTED_VALUE"""),58.199999999999996)</f>
        <v>58.2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>
        <f>IFERROR(__xludf.DUMMYFUNCTION("""COMPUTED_VALUE"""),90.0)</f>
        <v>90</v>
      </c>
      <c r="E794" s="1">
        <f>IFERROR(__xludf.DUMMYFUNCTION("""COMPUTED_VALUE"""),39.0)</f>
        <v>39</v>
      </c>
      <c r="F794" s="1">
        <f>IFERROR(__xludf.DUMMYFUNCTION("""COMPUTED_VALUE"""),50.0)</f>
        <v>50</v>
      </c>
      <c r="G794" s="1">
        <f>IFERROR(__xludf.DUMMYFUNCTION("""COMPUTED_VALUE"""),99.0)</f>
        <v>99</v>
      </c>
      <c r="H794" s="1">
        <f>IFERROR(__xludf.DUMMYFUNCTION("""COMPUTED_VALUE"""),40.0)</f>
        <v>40</v>
      </c>
      <c r="I794" s="1">
        <f>IFERROR(__xludf.DUMMYFUNCTION("""COMPUTED_VALUE"""),55.0)</f>
        <v>55</v>
      </c>
      <c r="J794" s="1">
        <f>IFERROR(__xludf.DUMMYFUNCTION("""COMPUTED_VALUE"""),283.0)</f>
        <v>283</v>
      </c>
      <c r="K794" s="1">
        <f>IFERROR(__xludf.DUMMYFUNCTION("""COMPUTED_VALUE"""),56.599999999999994)</f>
        <v>56.6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>
        <f>IFERROR(__xludf.DUMMYFUNCTION("""COMPUTED_VALUE"""),93.0)</f>
        <v>93</v>
      </c>
      <c r="E795" s="1">
        <f>IFERROR(__xludf.DUMMYFUNCTION("""COMPUTED_VALUE"""),88.0)</f>
        <v>88</v>
      </c>
      <c r="F795" s="1">
        <f>IFERROR(__xludf.DUMMYFUNCTION("""COMPUTED_VALUE"""),65.0)</f>
        <v>65</v>
      </c>
      <c r="G795" s="1">
        <f>IFERROR(__xludf.DUMMYFUNCTION("""COMPUTED_VALUE"""),28.0)</f>
        <v>28</v>
      </c>
      <c r="H795" s="1">
        <f>IFERROR(__xludf.DUMMYFUNCTION("""COMPUTED_VALUE"""),83.0)</f>
        <v>83</v>
      </c>
      <c r="I795" s="1">
        <f>IFERROR(__xludf.DUMMYFUNCTION("""COMPUTED_VALUE"""),32.0)</f>
        <v>32</v>
      </c>
      <c r="J795" s="1">
        <f>IFERROR(__xludf.DUMMYFUNCTION("""COMPUTED_VALUE"""),296.0)</f>
        <v>296</v>
      </c>
      <c r="K795" s="1">
        <f>IFERROR(__xludf.DUMMYFUNCTION("""COMPUTED_VALUE"""),59.199999999999996)</f>
        <v>59.2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>
        <f>IFERROR(__xludf.DUMMYFUNCTION("""COMPUTED_VALUE"""),65.0)</f>
        <v>65</v>
      </c>
      <c r="E796" s="1">
        <f>IFERROR(__xludf.DUMMYFUNCTION("""COMPUTED_VALUE"""),36.0)</f>
        <v>36</v>
      </c>
      <c r="F796" s="1">
        <f>IFERROR(__xludf.DUMMYFUNCTION("""COMPUTED_VALUE"""),55.0)</f>
        <v>55</v>
      </c>
      <c r="G796" s="1">
        <f>IFERROR(__xludf.DUMMYFUNCTION("""COMPUTED_VALUE"""),47.0)</f>
        <v>47</v>
      </c>
      <c r="H796" s="1">
        <f>IFERROR(__xludf.DUMMYFUNCTION("""COMPUTED_VALUE"""),50.0)</f>
        <v>50</v>
      </c>
      <c r="I796" s="1">
        <f>IFERROR(__xludf.DUMMYFUNCTION("""COMPUTED_VALUE"""),36.0)</f>
        <v>36</v>
      </c>
      <c r="J796" s="1">
        <f>IFERROR(__xludf.DUMMYFUNCTION("""COMPUTED_VALUE"""),224.0)</f>
        <v>224</v>
      </c>
      <c r="K796" s="1">
        <f>IFERROR(__xludf.DUMMYFUNCTION("""COMPUTED_VALUE"""),44.800000000000004)</f>
        <v>44.8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>
        <f>IFERROR(__xludf.DUMMYFUNCTION("""COMPUTED_VALUE"""),30.0)</f>
        <v>30</v>
      </c>
      <c r="E797" s="1">
        <f>IFERROR(__xludf.DUMMYFUNCTION("""COMPUTED_VALUE"""),31.0)</f>
        <v>31</v>
      </c>
      <c r="F797" s="1">
        <f>IFERROR(__xludf.DUMMYFUNCTION("""COMPUTED_VALUE"""),63.0)</f>
        <v>63</v>
      </c>
      <c r="G797" s="1">
        <f>IFERROR(__xludf.DUMMYFUNCTION("""COMPUTED_VALUE"""),57.0)</f>
        <v>57</v>
      </c>
      <c r="H797" s="1">
        <f>IFERROR(__xludf.DUMMYFUNCTION("""COMPUTED_VALUE"""),84.0)</f>
        <v>84</v>
      </c>
      <c r="I797" s="1">
        <f>IFERROR(__xludf.DUMMYFUNCTION("""COMPUTED_VALUE"""),61.0)</f>
        <v>61</v>
      </c>
      <c r="J797" s="1">
        <f>IFERROR(__xludf.DUMMYFUNCTION("""COMPUTED_VALUE"""),296.0)</f>
        <v>296</v>
      </c>
      <c r="K797" s="1">
        <f>IFERROR(__xludf.DUMMYFUNCTION("""COMPUTED_VALUE"""),59.199999999999996)</f>
        <v>59.2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>
        <f>IFERROR(__xludf.DUMMYFUNCTION("""COMPUTED_VALUE"""),88.0)</f>
        <v>88</v>
      </c>
      <c r="E798" s="1">
        <f>IFERROR(__xludf.DUMMYFUNCTION("""COMPUTED_VALUE"""),65.0)</f>
        <v>65</v>
      </c>
      <c r="F798" s="1">
        <f>IFERROR(__xludf.DUMMYFUNCTION("""COMPUTED_VALUE"""),94.0)</f>
        <v>94</v>
      </c>
      <c r="G798" s="1">
        <f>IFERROR(__xludf.DUMMYFUNCTION("""COMPUTED_VALUE"""),23.0)</f>
        <v>23</v>
      </c>
      <c r="H798" s="1">
        <f>IFERROR(__xludf.DUMMYFUNCTION("""COMPUTED_VALUE"""),25.0)</f>
        <v>25</v>
      </c>
      <c r="I798" s="1">
        <f>IFERROR(__xludf.DUMMYFUNCTION("""COMPUTED_VALUE"""),23.0)</f>
        <v>23</v>
      </c>
      <c r="J798" s="1">
        <f>IFERROR(__xludf.DUMMYFUNCTION("""COMPUTED_VALUE"""),230.0)</f>
        <v>230</v>
      </c>
      <c r="K798" s="1">
        <f>IFERROR(__xludf.DUMMYFUNCTION("""COMPUTED_VALUE"""),46.0)</f>
        <v>46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>
        <f>IFERROR(__xludf.DUMMYFUNCTION("""COMPUTED_VALUE"""),14.0)</f>
        <v>14</v>
      </c>
      <c r="E799" s="1">
        <f>IFERROR(__xludf.DUMMYFUNCTION("""COMPUTED_VALUE"""),51.0)</f>
        <v>51</v>
      </c>
      <c r="F799" s="1">
        <f>IFERROR(__xludf.DUMMYFUNCTION("""COMPUTED_VALUE"""),27.0)</f>
        <v>27</v>
      </c>
      <c r="G799" s="1">
        <f>IFERROR(__xludf.DUMMYFUNCTION("""COMPUTED_VALUE"""),75.0)</f>
        <v>75</v>
      </c>
      <c r="H799" s="1">
        <f>IFERROR(__xludf.DUMMYFUNCTION("""COMPUTED_VALUE"""),57.0)</f>
        <v>57</v>
      </c>
      <c r="I799" s="1">
        <f>IFERROR(__xludf.DUMMYFUNCTION("""COMPUTED_VALUE"""),72.0)</f>
        <v>72</v>
      </c>
      <c r="J799" s="1">
        <f>IFERROR(__xludf.DUMMYFUNCTION("""COMPUTED_VALUE"""),282.0)</f>
        <v>282</v>
      </c>
      <c r="K799" s="1">
        <f>IFERROR(__xludf.DUMMYFUNCTION("""COMPUTED_VALUE"""),56.39999999999999)</f>
        <v>56.4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>
        <f>IFERROR(__xludf.DUMMYFUNCTION("""COMPUTED_VALUE"""),25.0)</f>
        <v>25</v>
      </c>
      <c r="E800" s="1">
        <f>IFERROR(__xludf.DUMMYFUNCTION("""COMPUTED_VALUE"""),90.0)</f>
        <v>90</v>
      </c>
      <c r="F800" s="1">
        <f>IFERROR(__xludf.DUMMYFUNCTION("""COMPUTED_VALUE"""),66.0)</f>
        <v>66</v>
      </c>
      <c r="G800" s="1">
        <f>IFERROR(__xludf.DUMMYFUNCTION("""COMPUTED_VALUE"""),88.0)</f>
        <v>88</v>
      </c>
      <c r="H800" s="1">
        <f>IFERROR(__xludf.DUMMYFUNCTION("""COMPUTED_VALUE"""),73.0)</f>
        <v>73</v>
      </c>
      <c r="I800" s="1">
        <f>IFERROR(__xludf.DUMMYFUNCTION("""COMPUTED_VALUE"""),75.0)</f>
        <v>75</v>
      </c>
      <c r="J800" s="1">
        <f>IFERROR(__xludf.DUMMYFUNCTION("""COMPUTED_VALUE"""),392.0)</f>
        <v>392</v>
      </c>
      <c r="K800" s="1">
        <f>IFERROR(__xludf.DUMMYFUNCTION("""COMPUTED_VALUE"""),78.4)</f>
        <v>78.4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>
        <f>IFERROR(__xludf.DUMMYFUNCTION("""COMPUTED_VALUE"""),97.0)</f>
        <v>97</v>
      </c>
      <c r="E801" s="1">
        <f>IFERROR(__xludf.DUMMYFUNCTION("""COMPUTED_VALUE"""),95.0)</f>
        <v>95</v>
      </c>
      <c r="F801" s="1">
        <f>IFERROR(__xludf.DUMMYFUNCTION("""COMPUTED_VALUE"""),42.0)</f>
        <v>42</v>
      </c>
      <c r="G801" s="1">
        <f>IFERROR(__xludf.DUMMYFUNCTION("""COMPUTED_VALUE"""),60.0)</f>
        <v>60</v>
      </c>
      <c r="H801" s="1">
        <f>IFERROR(__xludf.DUMMYFUNCTION("""COMPUTED_VALUE"""),63.0)</f>
        <v>63</v>
      </c>
      <c r="I801" s="1">
        <f>IFERROR(__xludf.DUMMYFUNCTION("""COMPUTED_VALUE"""),59.0)</f>
        <v>59</v>
      </c>
      <c r="J801" s="1">
        <f>IFERROR(__xludf.DUMMYFUNCTION("""COMPUTED_VALUE"""),319.0)</f>
        <v>319</v>
      </c>
      <c r="K801" s="1">
        <f>IFERROR(__xludf.DUMMYFUNCTION("""COMPUTED_VALUE"""),63.800000000000004)</f>
        <v>63.8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>
        <f>IFERROR(__xludf.DUMMYFUNCTION("""COMPUTED_VALUE"""),20.0)</f>
        <v>20</v>
      </c>
      <c r="E802" s="1">
        <f>IFERROR(__xludf.DUMMYFUNCTION("""COMPUTED_VALUE"""),32.0)</f>
        <v>32</v>
      </c>
      <c r="F802" s="1">
        <f>IFERROR(__xludf.DUMMYFUNCTION("""COMPUTED_VALUE"""),60.0)</f>
        <v>60</v>
      </c>
      <c r="G802" s="1">
        <f>IFERROR(__xludf.DUMMYFUNCTION("""COMPUTED_VALUE"""),58.0)</f>
        <v>58</v>
      </c>
      <c r="H802" s="1">
        <f>IFERROR(__xludf.DUMMYFUNCTION("""COMPUTED_VALUE"""),71.0)</f>
        <v>71</v>
      </c>
      <c r="I802" s="1">
        <f>IFERROR(__xludf.DUMMYFUNCTION("""COMPUTED_VALUE"""),72.0)</f>
        <v>72</v>
      </c>
      <c r="J802" s="1">
        <f>IFERROR(__xludf.DUMMYFUNCTION("""COMPUTED_VALUE"""),293.0)</f>
        <v>293</v>
      </c>
      <c r="K802" s="1">
        <f>IFERROR(__xludf.DUMMYFUNCTION("""COMPUTED_VALUE"""),58.599999999999994)</f>
        <v>58.6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>
        <f>IFERROR(__xludf.DUMMYFUNCTION("""COMPUTED_VALUE"""),25.0)</f>
        <v>25</v>
      </c>
      <c r="E803" s="1">
        <f>IFERROR(__xludf.DUMMYFUNCTION("""COMPUTED_VALUE"""),78.0)</f>
        <v>78</v>
      </c>
      <c r="F803" s="1">
        <f>IFERROR(__xludf.DUMMYFUNCTION("""COMPUTED_VALUE"""),63.0)</f>
        <v>63</v>
      </c>
      <c r="G803" s="1">
        <f>IFERROR(__xludf.DUMMYFUNCTION("""COMPUTED_VALUE"""),55.0)</f>
        <v>55</v>
      </c>
      <c r="H803" s="1">
        <f>IFERROR(__xludf.DUMMYFUNCTION("""COMPUTED_VALUE"""),52.0)</f>
        <v>52</v>
      </c>
      <c r="I803" s="1">
        <f>IFERROR(__xludf.DUMMYFUNCTION("""COMPUTED_VALUE"""),74.0)</f>
        <v>74</v>
      </c>
      <c r="J803" s="1">
        <f>IFERROR(__xludf.DUMMYFUNCTION("""COMPUTED_VALUE"""),322.0)</f>
        <v>322</v>
      </c>
      <c r="K803" s="1">
        <f>IFERROR(__xludf.DUMMYFUNCTION("""COMPUTED_VALUE"""),64.4)</f>
        <v>64.4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>
        <f>IFERROR(__xludf.DUMMYFUNCTION("""COMPUTED_VALUE"""),27.0)</f>
        <v>27</v>
      </c>
      <c r="E804" s="1">
        <f>IFERROR(__xludf.DUMMYFUNCTION("""COMPUTED_VALUE"""),37.0)</f>
        <v>37</v>
      </c>
      <c r="F804" s="1">
        <f>IFERROR(__xludf.DUMMYFUNCTION("""COMPUTED_VALUE"""),73.0)</f>
        <v>73</v>
      </c>
      <c r="G804" s="1">
        <f>IFERROR(__xludf.DUMMYFUNCTION("""COMPUTED_VALUE"""),80.0)</f>
        <v>80</v>
      </c>
      <c r="H804" s="1">
        <f>IFERROR(__xludf.DUMMYFUNCTION("""COMPUTED_VALUE"""),65.0)</f>
        <v>65</v>
      </c>
      <c r="I804" s="1">
        <f>IFERROR(__xludf.DUMMYFUNCTION("""COMPUTED_VALUE"""),68.0)</f>
        <v>68</v>
      </c>
      <c r="J804" s="1">
        <f>IFERROR(__xludf.DUMMYFUNCTION("""COMPUTED_VALUE"""),323.0)</f>
        <v>323</v>
      </c>
      <c r="K804" s="1">
        <f>IFERROR(__xludf.DUMMYFUNCTION("""COMPUTED_VALUE"""),64.60000000000001)</f>
        <v>64.6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>
        <f>IFERROR(__xludf.DUMMYFUNCTION("""COMPUTED_VALUE"""),43.0)</f>
        <v>43</v>
      </c>
      <c r="E805" s="1">
        <f>IFERROR(__xludf.DUMMYFUNCTION("""COMPUTED_VALUE"""),20.0)</f>
        <v>20</v>
      </c>
      <c r="F805" s="1">
        <f>IFERROR(__xludf.DUMMYFUNCTION("""COMPUTED_VALUE"""),74.0)</f>
        <v>74</v>
      </c>
      <c r="G805" s="1">
        <f>IFERROR(__xludf.DUMMYFUNCTION("""COMPUTED_VALUE"""),93.0)</f>
        <v>93</v>
      </c>
      <c r="H805" s="1">
        <f>IFERROR(__xludf.DUMMYFUNCTION("""COMPUTED_VALUE"""),36.0)</f>
        <v>36</v>
      </c>
      <c r="I805" s="1">
        <f>IFERROR(__xludf.DUMMYFUNCTION("""COMPUTED_VALUE"""),68.0)</f>
        <v>68</v>
      </c>
      <c r="J805" s="1">
        <f>IFERROR(__xludf.DUMMYFUNCTION("""COMPUTED_VALUE"""),291.0)</f>
        <v>291</v>
      </c>
      <c r="K805" s="1">
        <f>IFERROR(__xludf.DUMMYFUNCTION("""COMPUTED_VALUE"""),58.199999999999996)</f>
        <v>58.2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>
        <f>IFERROR(__xludf.DUMMYFUNCTION("""COMPUTED_VALUE"""),16.0)</f>
        <v>16</v>
      </c>
      <c r="E806" s="1">
        <f>IFERROR(__xludf.DUMMYFUNCTION("""COMPUTED_VALUE"""),84.0)</f>
        <v>84</v>
      </c>
      <c r="F806" s="1">
        <f>IFERROR(__xludf.DUMMYFUNCTION("""COMPUTED_VALUE"""),41.0)</f>
        <v>41</v>
      </c>
      <c r="G806" s="1">
        <f>IFERROR(__xludf.DUMMYFUNCTION("""COMPUTED_VALUE"""),27.0)</f>
        <v>27</v>
      </c>
      <c r="H806" s="1">
        <f>IFERROR(__xludf.DUMMYFUNCTION("""COMPUTED_VALUE"""),63.0)</f>
        <v>63</v>
      </c>
      <c r="I806" s="1">
        <f>IFERROR(__xludf.DUMMYFUNCTION("""COMPUTED_VALUE"""),36.0)</f>
        <v>36</v>
      </c>
      <c r="J806" s="1">
        <f>IFERROR(__xludf.DUMMYFUNCTION("""COMPUTED_VALUE"""),251.0)</f>
        <v>251</v>
      </c>
      <c r="K806" s="1">
        <f>IFERROR(__xludf.DUMMYFUNCTION("""COMPUTED_VALUE"""),50.2)</f>
        <v>50.2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>
        <f>IFERROR(__xludf.DUMMYFUNCTION("""COMPUTED_VALUE"""),17.0)</f>
        <v>17</v>
      </c>
      <c r="E807" s="1">
        <f>IFERROR(__xludf.DUMMYFUNCTION("""COMPUTED_VALUE"""),53.0)</f>
        <v>53</v>
      </c>
      <c r="F807" s="1">
        <f>IFERROR(__xludf.DUMMYFUNCTION("""COMPUTED_VALUE"""),32.0)</f>
        <v>32</v>
      </c>
      <c r="G807" s="1">
        <f>IFERROR(__xludf.DUMMYFUNCTION("""COMPUTED_VALUE"""),53.0)</f>
        <v>53</v>
      </c>
      <c r="H807" s="1">
        <f>IFERROR(__xludf.DUMMYFUNCTION("""COMPUTED_VALUE"""),31.0)</f>
        <v>31</v>
      </c>
      <c r="I807" s="1">
        <f>IFERROR(__xludf.DUMMYFUNCTION("""COMPUTED_VALUE"""),46.0)</f>
        <v>46</v>
      </c>
      <c r="J807" s="1">
        <f>IFERROR(__xludf.DUMMYFUNCTION("""COMPUTED_VALUE"""),215.0)</f>
        <v>215</v>
      </c>
      <c r="K807" s="1">
        <f>IFERROR(__xludf.DUMMYFUNCTION("""COMPUTED_VALUE"""),43.0)</f>
        <v>43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>
        <f>IFERROR(__xludf.DUMMYFUNCTION("""COMPUTED_VALUE"""),45.0)</f>
        <v>45</v>
      </c>
      <c r="E808" s="1">
        <f>IFERROR(__xludf.DUMMYFUNCTION("""COMPUTED_VALUE"""),97.0)</f>
        <v>97</v>
      </c>
      <c r="F808" s="1">
        <f>IFERROR(__xludf.DUMMYFUNCTION("""COMPUTED_VALUE"""),45.0)</f>
        <v>45</v>
      </c>
      <c r="G808" s="1">
        <f>IFERROR(__xludf.DUMMYFUNCTION("""COMPUTED_VALUE"""),44.0)</f>
        <v>44</v>
      </c>
      <c r="H808" s="1">
        <f>IFERROR(__xludf.DUMMYFUNCTION("""COMPUTED_VALUE"""),98.0)</f>
        <v>98</v>
      </c>
      <c r="I808" s="1">
        <f>IFERROR(__xludf.DUMMYFUNCTION("""COMPUTED_VALUE"""),73.0)</f>
        <v>73</v>
      </c>
      <c r="J808" s="1">
        <f>IFERROR(__xludf.DUMMYFUNCTION("""COMPUTED_VALUE"""),357.0)</f>
        <v>357</v>
      </c>
      <c r="K808" s="1">
        <f>IFERROR(__xludf.DUMMYFUNCTION("""COMPUTED_VALUE"""),71.39999999999999)</f>
        <v>71.4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>
        <f>IFERROR(__xludf.DUMMYFUNCTION("""COMPUTED_VALUE"""),23.0)</f>
        <v>23</v>
      </c>
      <c r="E809" s="1">
        <f>IFERROR(__xludf.DUMMYFUNCTION("""COMPUTED_VALUE"""),47.0)</f>
        <v>47</v>
      </c>
      <c r="F809" s="1">
        <f>IFERROR(__xludf.DUMMYFUNCTION("""COMPUTED_VALUE"""),97.0)</f>
        <v>97</v>
      </c>
      <c r="G809" s="1">
        <f>IFERROR(__xludf.DUMMYFUNCTION("""COMPUTED_VALUE"""),76.0)</f>
        <v>76</v>
      </c>
      <c r="H809" s="1">
        <f>IFERROR(__xludf.DUMMYFUNCTION("""COMPUTED_VALUE"""),93.0)</f>
        <v>93</v>
      </c>
      <c r="I809" s="1">
        <f>IFERROR(__xludf.DUMMYFUNCTION("""COMPUTED_VALUE"""),82.0)</f>
        <v>82</v>
      </c>
      <c r="J809" s="1">
        <f>IFERROR(__xludf.DUMMYFUNCTION("""COMPUTED_VALUE"""),395.0)</f>
        <v>395</v>
      </c>
      <c r="K809" s="1">
        <f>IFERROR(__xludf.DUMMYFUNCTION("""COMPUTED_VALUE"""),79.0)</f>
        <v>79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>
        <f>IFERROR(__xludf.DUMMYFUNCTION("""COMPUTED_VALUE"""),66.0)</f>
        <v>66</v>
      </c>
      <c r="E810" s="1">
        <f>IFERROR(__xludf.DUMMYFUNCTION("""COMPUTED_VALUE"""),35.0)</f>
        <v>35</v>
      </c>
      <c r="F810" s="1">
        <f>IFERROR(__xludf.DUMMYFUNCTION("""COMPUTED_VALUE"""),98.0)</f>
        <v>98</v>
      </c>
      <c r="G810" s="1">
        <f>IFERROR(__xludf.DUMMYFUNCTION("""COMPUTED_VALUE"""),83.0)</f>
        <v>83</v>
      </c>
      <c r="H810" s="1">
        <f>IFERROR(__xludf.DUMMYFUNCTION("""COMPUTED_VALUE"""),81.0)</f>
        <v>81</v>
      </c>
      <c r="I810" s="1">
        <f>IFERROR(__xludf.DUMMYFUNCTION("""COMPUTED_VALUE"""),32.0)</f>
        <v>32</v>
      </c>
      <c r="J810" s="1">
        <f>IFERROR(__xludf.DUMMYFUNCTION("""COMPUTED_VALUE"""),329.0)</f>
        <v>329</v>
      </c>
      <c r="K810" s="1">
        <f>IFERROR(__xludf.DUMMYFUNCTION("""COMPUTED_VALUE"""),65.8)</f>
        <v>65.8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>
        <f>IFERROR(__xludf.DUMMYFUNCTION("""COMPUTED_VALUE"""),97.0)</f>
        <v>97</v>
      </c>
      <c r="E811" s="1">
        <f>IFERROR(__xludf.DUMMYFUNCTION("""COMPUTED_VALUE"""),38.0)</f>
        <v>38</v>
      </c>
      <c r="F811" s="1">
        <f>IFERROR(__xludf.DUMMYFUNCTION("""COMPUTED_VALUE"""),69.0)</f>
        <v>69</v>
      </c>
      <c r="G811" s="1">
        <f>IFERROR(__xludf.DUMMYFUNCTION("""COMPUTED_VALUE"""),41.0)</f>
        <v>41</v>
      </c>
      <c r="H811" s="1">
        <f>IFERROR(__xludf.DUMMYFUNCTION("""COMPUTED_VALUE"""),44.0)</f>
        <v>44</v>
      </c>
      <c r="I811" s="1">
        <f>IFERROR(__xludf.DUMMYFUNCTION("""COMPUTED_VALUE"""),22.0)</f>
        <v>22</v>
      </c>
      <c r="J811" s="1">
        <f>IFERROR(__xludf.DUMMYFUNCTION("""COMPUTED_VALUE"""),214.0)</f>
        <v>214</v>
      </c>
      <c r="K811" s="1">
        <f>IFERROR(__xludf.DUMMYFUNCTION("""COMPUTED_VALUE"""),42.8)</f>
        <v>42.8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>
        <f>IFERROR(__xludf.DUMMYFUNCTION("""COMPUTED_VALUE"""),71.0)</f>
        <v>71</v>
      </c>
      <c r="E812" s="1">
        <f>IFERROR(__xludf.DUMMYFUNCTION("""COMPUTED_VALUE"""),55.0)</f>
        <v>55</v>
      </c>
      <c r="F812" s="1">
        <f>IFERROR(__xludf.DUMMYFUNCTION("""COMPUTED_VALUE"""),33.0)</f>
        <v>33</v>
      </c>
      <c r="G812" s="1">
        <f>IFERROR(__xludf.DUMMYFUNCTION("""COMPUTED_VALUE"""),90.0)</f>
        <v>90</v>
      </c>
      <c r="H812" s="1">
        <f>IFERROR(__xludf.DUMMYFUNCTION("""COMPUTED_VALUE"""),41.0)</f>
        <v>41</v>
      </c>
      <c r="I812" s="1">
        <f>IFERROR(__xludf.DUMMYFUNCTION("""COMPUTED_VALUE"""),31.0)</f>
        <v>31</v>
      </c>
      <c r="J812" s="1">
        <f>IFERROR(__xludf.DUMMYFUNCTION("""COMPUTED_VALUE"""),250.0)</f>
        <v>250</v>
      </c>
      <c r="K812" s="1">
        <f>IFERROR(__xludf.DUMMYFUNCTION("""COMPUTED_VALUE"""),50.0)</f>
        <v>50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>
        <f>IFERROR(__xludf.DUMMYFUNCTION("""COMPUTED_VALUE"""),81.0)</f>
        <v>81</v>
      </c>
      <c r="E813" s="1">
        <f>IFERROR(__xludf.DUMMYFUNCTION("""COMPUTED_VALUE"""),87.0)</f>
        <v>87</v>
      </c>
      <c r="F813" s="1">
        <f>IFERROR(__xludf.DUMMYFUNCTION("""COMPUTED_VALUE"""),31.0)</f>
        <v>31</v>
      </c>
      <c r="G813" s="1">
        <f>IFERROR(__xludf.DUMMYFUNCTION("""COMPUTED_VALUE"""),86.0)</f>
        <v>86</v>
      </c>
      <c r="H813" s="1">
        <f>IFERROR(__xludf.DUMMYFUNCTION("""COMPUTED_VALUE"""),58.0)</f>
        <v>58</v>
      </c>
      <c r="I813" s="1">
        <f>IFERROR(__xludf.DUMMYFUNCTION("""COMPUTED_VALUE"""),85.0)</f>
        <v>85</v>
      </c>
      <c r="J813" s="1">
        <f>IFERROR(__xludf.DUMMYFUNCTION("""COMPUTED_VALUE"""),347.0)</f>
        <v>347</v>
      </c>
      <c r="K813" s="1">
        <f>IFERROR(__xludf.DUMMYFUNCTION("""COMPUTED_VALUE"""),69.39999999999999)</f>
        <v>69.4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>
        <f>IFERROR(__xludf.DUMMYFUNCTION("""COMPUTED_VALUE"""),27.0)</f>
        <v>27</v>
      </c>
      <c r="E814" s="1">
        <f>IFERROR(__xludf.DUMMYFUNCTION("""COMPUTED_VALUE"""),32.0)</f>
        <v>32</v>
      </c>
      <c r="F814" s="1">
        <f>IFERROR(__xludf.DUMMYFUNCTION("""COMPUTED_VALUE"""),90.0)</f>
        <v>90</v>
      </c>
      <c r="G814" s="1">
        <f>IFERROR(__xludf.DUMMYFUNCTION("""COMPUTED_VALUE"""),94.0)</f>
        <v>94</v>
      </c>
      <c r="H814" s="1">
        <f>IFERROR(__xludf.DUMMYFUNCTION("""COMPUTED_VALUE"""),80.0)</f>
        <v>80</v>
      </c>
      <c r="I814" s="1">
        <f>IFERROR(__xludf.DUMMYFUNCTION("""COMPUTED_VALUE"""),55.0)</f>
        <v>55</v>
      </c>
      <c r="J814" s="1">
        <f>IFERROR(__xludf.DUMMYFUNCTION("""COMPUTED_VALUE"""),351.0)</f>
        <v>351</v>
      </c>
      <c r="K814" s="1">
        <f>IFERROR(__xludf.DUMMYFUNCTION("""COMPUTED_VALUE"""),70.19999999999999)</f>
        <v>70.2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>
        <f>IFERROR(__xludf.DUMMYFUNCTION("""COMPUTED_VALUE"""),16.0)</f>
        <v>16</v>
      </c>
      <c r="E815" s="1">
        <f>IFERROR(__xludf.DUMMYFUNCTION("""COMPUTED_VALUE"""),23.0)</f>
        <v>23</v>
      </c>
      <c r="F815" s="1">
        <f>IFERROR(__xludf.DUMMYFUNCTION("""COMPUTED_VALUE"""),41.0)</f>
        <v>41</v>
      </c>
      <c r="G815" s="1">
        <f>IFERROR(__xludf.DUMMYFUNCTION("""COMPUTED_VALUE"""),67.0)</f>
        <v>67</v>
      </c>
      <c r="H815" s="1">
        <f>IFERROR(__xludf.DUMMYFUNCTION("""COMPUTED_VALUE"""),67.0)</f>
        <v>67</v>
      </c>
      <c r="I815" s="1">
        <f>IFERROR(__xludf.DUMMYFUNCTION("""COMPUTED_VALUE"""),44.0)</f>
        <v>44</v>
      </c>
      <c r="J815" s="1">
        <f>IFERROR(__xludf.DUMMYFUNCTION("""COMPUTED_VALUE"""),242.0)</f>
        <v>242</v>
      </c>
      <c r="K815" s="1">
        <f>IFERROR(__xludf.DUMMYFUNCTION("""COMPUTED_VALUE"""),48.4)</f>
        <v>48.4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>
        <f>IFERROR(__xludf.DUMMYFUNCTION("""COMPUTED_VALUE"""),85.0)</f>
        <v>85</v>
      </c>
      <c r="E816" s="1">
        <f>IFERROR(__xludf.DUMMYFUNCTION("""COMPUTED_VALUE"""),41.0)</f>
        <v>41</v>
      </c>
      <c r="F816" s="1">
        <f>IFERROR(__xludf.DUMMYFUNCTION("""COMPUTED_VALUE"""),29.0)</f>
        <v>29</v>
      </c>
      <c r="G816" s="1">
        <f>IFERROR(__xludf.DUMMYFUNCTION("""COMPUTED_VALUE"""),35.0)</f>
        <v>35</v>
      </c>
      <c r="H816" s="1">
        <f>IFERROR(__xludf.DUMMYFUNCTION("""COMPUTED_VALUE"""),84.0)</f>
        <v>84</v>
      </c>
      <c r="I816" s="1">
        <f>IFERROR(__xludf.DUMMYFUNCTION("""COMPUTED_VALUE"""),41.0)</f>
        <v>41</v>
      </c>
      <c r="J816" s="1">
        <f>IFERROR(__xludf.DUMMYFUNCTION("""COMPUTED_VALUE"""),230.0)</f>
        <v>230</v>
      </c>
      <c r="K816" s="1">
        <f>IFERROR(__xludf.DUMMYFUNCTION("""COMPUTED_VALUE"""),46.0)</f>
        <v>46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>
        <f>IFERROR(__xludf.DUMMYFUNCTION("""COMPUTED_VALUE"""),100.0)</f>
        <v>100</v>
      </c>
      <c r="E817" s="1">
        <f>IFERROR(__xludf.DUMMYFUNCTION("""COMPUTED_VALUE"""),99.0)</f>
        <v>99</v>
      </c>
      <c r="F817" s="1">
        <f>IFERROR(__xludf.DUMMYFUNCTION("""COMPUTED_VALUE"""),58.0)</f>
        <v>58</v>
      </c>
      <c r="G817" s="1">
        <f>IFERROR(__xludf.DUMMYFUNCTION("""COMPUTED_VALUE"""),57.0)</f>
        <v>57</v>
      </c>
      <c r="H817" s="1">
        <f>IFERROR(__xludf.DUMMYFUNCTION("""COMPUTED_VALUE"""),71.0)</f>
        <v>71</v>
      </c>
      <c r="I817" s="1">
        <f>IFERROR(__xludf.DUMMYFUNCTION("""COMPUTED_VALUE"""),56.0)</f>
        <v>56</v>
      </c>
      <c r="J817" s="1">
        <f>IFERROR(__xludf.DUMMYFUNCTION("""COMPUTED_VALUE"""),341.0)</f>
        <v>341</v>
      </c>
      <c r="K817" s="1">
        <f>IFERROR(__xludf.DUMMYFUNCTION("""COMPUTED_VALUE"""),68.2)</f>
        <v>68.2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>
        <f>IFERROR(__xludf.DUMMYFUNCTION("""COMPUTED_VALUE"""),27.0)</f>
        <v>27</v>
      </c>
      <c r="E818" s="1">
        <f>IFERROR(__xludf.DUMMYFUNCTION("""COMPUTED_VALUE"""),59.0)</f>
        <v>59</v>
      </c>
      <c r="F818" s="1">
        <f>IFERROR(__xludf.DUMMYFUNCTION("""COMPUTED_VALUE"""),30.0)</f>
        <v>30</v>
      </c>
      <c r="G818" s="1">
        <f>IFERROR(__xludf.DUMMYFUNCTION("""COMPUTED_VALUE"""),49.0)</f>
        <v>49</v>
      </c>
      <c r="H818" s="1">
        <f>IFERROR(__xludf.DUMMYFUNCTION("""COMPUTED_VALUE"""),56.0)</f>
        <v>56</v>
      </c>
      <c r="I818" s="1">
        <f>IFERROR(__xludf.DUMMYFUNCTION("""COMPUTED_VALUE"""),44.0)</f>
        <v>44</v>
      </c>
      <c r="J818" s="1">
        <f>IFERROR(__xludf.DUMMYFUNCTION("""COMPUTED_VALUE"""),238.0)</f>
        <v>238</v>
      </c>
      <c r="K818" s="1">
        <f>IFERROR(__xludf.DUMMYFUNCTION("""COMPUTED_VALUE"""),47.599999999999994)</f>
        <v>47.6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>
        <f>IFERROR(__xludf.DUMMYFUNCTION("""COMPUTED_VALUE"""),37.0)</f>
        <v>37</v>
      </c>
      <c r="E819" s="1">
        <f>IFERROR(__xludf.DUMMYFUNCTION("""COMPUTED_VALUE"""),67.0)</f>
        <v>67</v>
      </c>
      <c r="F819" s="1">
        <f>IFERROR(__xludf.DUMMYFUNCTION("""COMPUTED_VALUE"""),92.0)</f>
        <v>92</v>
      </c>
      <c r="G819" s="1">
        <f>IFERROR(__xludf.DUMMYFUNCTION("""COMPUTED_VALUE"""),66.0)</f>
        <v>66</v>
      </c>
      <c r="H819" s="1">
        <f>IFERROR(__xludf.DUMMYFUNCTION("""COMPUTED_VALUE"""),87.0)</f>
        <v>87</v>
      </c>
      <c r="I819" s="1">
        <f>IFERROR(__xludf.DUMMYFUNCTION("""COMPUTED_VALUE"""),22.0)</f>
        <v>22</v>
      </c>
      <c r="J819" s="1">
        <f>IFERROR(__xludf.DUMMYFUNCTION("""COMPUTED_VALUE"""),334.0)</f>
        <v>334</v>
      </c>
      <c r="K819" s="1">
        <f>IFERROR(__xludf.DUMMYFUNCTION("""COMPUTED_VALUE"""),66.8)</f>
        <v>66.8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>
        <f>IFERROR(__xludf.DUMMYFUNCTION("""COMPUTED_VALUE"""),81.0)</f>
        <v>81</v>
      </c>
      <c r="E820" s="1">
        <f>IFERROR(__xludf.DUMMYFUNCTION("""COMPUTED_VALUE"""),85.0)</f>
        <v>85</v>
      </c>
      <c r="F820" s="1">
        <f>IFERROR(__xludf.DUMMYFUNCTION("""COMPUTED_VALUE"""),33.0)</f>
        <v>33</v>
      </c>
      <c r="G820" s="1">
        <f>IFERROR(__xludf.DUMMYFUNCTION("""COMPUTED_VALUE"""),22.0)</f>
        <v>22</v>
      </c>
      <c r="H820" s="1">
        <f>IFERROR(__xludf.DUMMYFUNCTION("""COMPUTED_VALUE"""),69.0)</f>
        <v>69</v>
      </c>
      <c r="I820" s="1">
        <f>IFERROR(__xludf.DUMMYFUNCTION("""COMPUTED_VALUE"""),44.0)</f>
        <v>44</v>
      </c>
      <c r="J820" s="1">
        <f>IFERROR(__xludf.DUMMYFUNCTION("""COMPUTED_VALUE"""),253.0)</f>
        <v>253</v>
      </c>
      <c r="K820" s="1">
        <f>IFERROR(__xludf.DUMMYFUNCTION("""COMPUTED_VALUE"""),50.6)</f>
        <v>50.6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>
        <f>IFERROR(__xludf.DUMMYFUNCTION("""COMPUTED_VALUE"""),60.0)</f>
        <v>60</v>
      </c>
      <c r="E821" s="1">
        <f>IFERROR(__xludf.DUMMYFUNCTION("""COMPUTED_VALUE"""),84.0)</f>
        <v>84</v>
      </c>
      <c r="F821" s="1">
        <f>IFERROR(__xludf.DUMMYFUNCTION("""COMPUTED_VALUE"""),29.0)</f>
        <v>29</v>
      </c>
      <c r="G821" s="1">
        <f>IFERROR(__xludf.DUMMYFUNCTION("""COMPUTED_VALUE"""),43.0)</f>
        <v>43</v>
      </c>
      <c r="H821" s="1">
        <f>IFERROR(__xludf.DUMMYFUNCTION("""COMPUTED_VALUE"""),95.0)</f>
        <v>95</v>
      </c>
      <c r="I821" s="1">
        <f>IFERROR(__xludf.DUMMYFUNCTION("""COMPUTED_VALUE"""),25.0)</f>
        <v>25</v>
      </c>
      <c r="J821" s="1">
        <f>IFERROR(__xludf.DUMMYFUNCTION("""COMPUTED_VALUE"""),276.0)</f>
        <v>276</v>
      </c>
      <c r="K821" s="1">
        <f>IFERROR(__xludf.DUMMYFUNCTION("""COMPUTED_VALUE"""),55.2)</f>
        <v>55.2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>
        <f>IFERROR(__xludf.DUMMYFUNCTION("""COMPUTED_VALUE"""),92.0)</f>
        <v>92</v>
      </c>
      <c r="E822" s="1">
        <f>IFERROR(__xludf.DUMMYFUNCTION("""COMPUTED_VALUE"""),64.0)</f>
        <v>64</v>
      </c>
      <c r="F822" s="1">
        <f>IFERROR(__xludf.DUMMYFUNCTION("""COMPUTED_VALUE"""),45.0)</f>
        <v>45</v>
      </c>
      <c r="G822" s="1">
        <f>IFERROR(__xludf.DUMMYFUNCTION("""COMPUTED_VALUE"""),79.0)</f>
        <v>79</v>
      </c>
      <c r="H822" s="1">
        <f>IFERROR(__xludf.DUMMYFUNCTION("""COMPUTED_VALUE"""),67.0)</f>
        <v>67</v>
      </c>
      <c r="I822" s="1">
        <f>IFERROR(__xludf.DUMMYFUNCTION("""COMPUTED_VALUE"""),61.0)</f>
        <v>61</v>
      </c>
      <c r="J822" s="1">
        <f>IFERROR(__xludf.DUMMYFUNCTION("""COMPUTED_VALUE"""),316.0)</f>
        <v>316</v>
      </c>
      <c r="K822" s="1">
        <f>IFERROR(__xludf.DUMMYFUNCTION("""COMPUTED_VALUE"""),63.2)</f>
        <v>63.2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>
        <f>IFERROR(__xludf.DUMMYFUNCTION("""COMPUTED_VALUE"""),20.0)</f>
        <v>20</v>
      </c>
      <c r="E823" s="1">
        <f>IFERROR(__xludf.DUMMYFUNCTION("""COMPUTED_VALUE"""),21.0)</f>
        <v>21</v>
      </c>
      <c r="F823" s="1">
        <f>IFERROR(__xludf.DUMMYFUNCTION("""COMPUTED_VALUE"""),88.0)</f>
        <v>88</v>
      </c>
      <c r="G823" s="1">
        <f>IFERROR(__xludf.DUMMYFUNCTION("""COMPUTED_VALUE"""),31.0)</f>
        <v>31</v>
      </c>
      <c r="H823" s="1">
        <f>IFERROR(__xludf.DUMMYFUNCTION("""COMPUTED_VALUE"""),50.0)</f>
        <v>50</v>
      </c>
      <c r="I823" s="1">
        <f>IFERROR(__xludf.DUMMYFUNCTION("""COMPUTED_VALUE"""),38.0)</f>
        <v>38</v>
      </c>
      <c r="J823" s="1">
        <f>IFERROR(__xludf.DUMMYFUNCTION("""COMPUTED_VALUE"""),228.0)</f>
        <v>228</v>
      </c>
      <c r="K823" s="1">
        <f>IFERROR(__xludf.DUMMYFUNCTION("""COMPUTED_VALUE"""),45.6)</f>
        <v>45.6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>
        <f>IFERROR(__xludf.DUMMYFUNCTION("""COMPUTED_VALUE"""),29.0)</f>
        <v>29</v>
      </c>
      <c r="E824" s="1">
        <f>IFERROR(__xludf.DUMMYFUNCTION("""COMPUTED_VALUE"""),96.0)</f>
        <v>96</v>
      </c>
      <c r="F824" s="1">
        <f>IFERROR(__xludf.DUMMYFUNCTION("""COMPUTED_VALUE"""),22.0)</f>
        <v>22</v>
      </c>
      <c r="G824" s="1">
        <f>IFERROR(__xludf.DUMMYFUNCTION("""COMPUTED_VALUE"""),81.0)</f>
        <v>81</v>
      </c>
      <c r="H824" s="1">
        <f>IFERROR(__xludf.DUMMYFUNCTION("""COMPUTED_VALUE"""),25.0)</f>
        <v>25</v>
      </c>
      <c r="I824" s="1">
        <f>IFERROR(__xludf.DUMMYFUNCTION("""COMPUTED_VALUE"""),33.0)</f>
        <v>33</v>
      </c>
      <c r="J824" s="1">
        <f>IFERROR(__xludf.DUMMYFUNCTION("""COMPUTED_VALUE"""),257.0)</f>
        <v>257</v>
      </c>
      <c r="K824" s="1">
        <f>IFERROR(__xludf.DUMMYFUNCTION("""COMPUTED_VALUE"""),51.4)</f>
        <v>51.4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>
        <f>IFERROR(__xludf.DUMMYFUNCTION("""COMPUTED_VALUE"""),18.0)</f>
        <v>18</v>
      </c>
      <c r="E825" s="1">
        <f>IFERROR(__xludf.DUMMYFUNCTION("""COMPUTED_VALUE"""),35.0)</f>
        <v>35</v>
      </c>
      <c r="F825" s="1">
        <f>IFERROR(__xludf.DUMMYFUNCTION("""COMPUTED_VALUE"""),99.0)</f>
        <v>99</v>
      </c>
      <c r="G825" s="1">
        <f>IFERROR(__xludf.DUMMYFUNCTION("""COMPUTED_VALUE"""),58.0)</f>
        <v>58</v>
      </c>
      <c r="H825" s="1">
        <f>IFERROR(__xludf.DUMMYFUNCTION("""COMPUTED_VALUE"""),68.0)</f>
        <v>68</v>
      </c>
      <c r="I825" s="1">
        <f>IFERROR(__xludf.DUMMYFUNCTION("""COMPUTED_VALUE"""),48.0)</f>
        <v>48</v>
      </c>
      <c r="J825" s="1">
        <f>IFERROR(__xludf.DUMMYFUNCTION("""COMPUTED_VALUE"""),308.0)</f>
        <v>308</v>
      </c>
      <c r="K825" s="1">
        <f>IFERROR(__xludf.DUMMYFUNCTION("""COMPUTED_VALUE"""),61.6)</f>
        <v>61.6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>
        <f>IFERROR(__xludf.DUMMYFUNCTION("""COMPUTED_VALUE"""),15.0)</f>
        <v>15</v>
      </c>
      <c r="E826" s="1">
        <f>IFERROR(__xludf.DUMMYFUNCTION("""COMPUTED_VALUE"""),77.0)</f>
        <v>77</v>
      </c>
      <c r="F826" s="1">
        <f>IFERROR(__xludf.DUMMYFUNCTION("""COMPUTED_VALUE"""),54.0)</f>
        <v>54</v>
      </c>
      <c r="G826" s="1">
        <f>IFERROR(__xludf.DUMMYFUNCTION("""COMPUTED_VALUE"""),90.0)</f>
        <v>90</v>
      </c>
      <c r="H826" s="1">
        <f>IFERROR(__xludf.DUMMYFUNCTION("""COMPUTED_VALUE"""),72.0)</f>
        <v>72</v>
      </c>
      <c r="I826" s="1">
        <f>IFERROR(__xludf.DUMMYFUNCTION("""COMPUTED_VALUE"""),49.0)</f>
        <v>49</v>
      </c>
      <c r="J826" s="1">
        <f>IFERROR(__xludf.DUMMYFUNCTION("""COMPUTED_VALUE"""),342.0)</f>
        <v>342</v>
      </c>
      <c r="K826" s="1">
        <f>IFERROR(__xludf.DUMMYFUNCTION("""COMPUTED_VALUE"""),68.4)</f>
        <v>68.4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>
        <f>IFERROR(__xludf.DUMMYFUNCTION("""COMPUTED_VALUE"""),25.0)</f>
        <v>25</v>
      </c>
      <c r="E827" s="1">
        <f>IFERROR(__xludf.DUMMYFUNCTION("""COMPUTED_VALUE"""),44.0)</f>
        <v>44</v>
      </c>
      <c r="F827" s="1">
        <f>IFERROR(__xludf.DUMMYFUNCTION("""COMPUTED_VALUE"""),59.0)</f>
        <v>59</v>
      </c>
      <c r="G827" s="1">
        <f>IFERROR(__xludf.DUMMYFUNCTION("""COMPUTED_VALUE"""),40.0)</f>
        <v>40</v>
      </c>
      <c r="H827" s="1">
        <f>IFERROR(__xludf.DUMMYFUNCTION("""COMPUTED_VALUE"""),51.0)</f>
        <v>51</v>
      </c>
      <c r="I827" s="1">
        <f>IFERROR(__xludf.DUMMYFUNCTION("""COMPUTED_VALUE"""),73.0)</f>
        <v>73</v>
      </c>
      <c r="J827" s="1">
        <f>IFERROR(__xludf.DUMMYFUNCTION("""COMPUTED_VALUE"""),267.0)</f>
        <v>267</v>
      </c>
      <c r="K827" s="1">
        <f>IFERROR(__xludf.DUMMYFUNCTION("""COMPUTED_VALUE"""),53.400000000000006)</f>
        <v>53.4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>
        <f>IFERROR(__xludf.DUMMYFUNCTION("""COMPUTED_VALUE"""),54.0)</f>
        <v>54</v>
      </c>
      <c r="E828" s="1">
        <f>IFERROR(__xludf.DUMMYFUNCTION("""COMPUTED_VALUE"""),63.0)</f>
        <v>63</v>
      </c>
      <c r="F828" s="1">
        <f>IFERROR(__xludf.DUMMYFUNCTION("""COMPUTED_VALUE"""),61.0)</f>
        <v>61</v>
      </c>
      <c r="G828" s="1">
        <f>IFERROR(__xludf.DUMMYFUNCTION("""COMPUTED_VALUE"""),27.0)</f>
        <v>27</v>
      </c>
      <c r="H828" s="1">
        <f>IFERROR(__xludf.DUMMYFUNCTION("""COMPUTED_VALUE"""),83.0)</f>
        <v>83</v>
      </c>
      <c r="I828" s="1">
        <f>IFERROR(__xludf.DUMMYFUNCTION("""COMPUTED_VALUE"""),21.0)</f>
        <v>21</v>
      </c>
      <c r="J828" s="1">
        <f>IFERROR(__xludf.DUMMYFUNCTION("""COMPUTED_VALUE"""),255.0)</f>
        <v>255</v>
      </c>
      <c r="K828" s="1">
        <f>IFERROR(__xludf.DUMMYFUNCTION("""COMPUTED_VALUE"""),51.0)</f>
        <v>51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>
        <f>IFERROR(__xludf.DUMMYFUNCTION("""COMPUTED_VALUE"""),96.0)</f>
        <v>96</v>
      </c>
      <c r="E829" s="1">
        <f>IFERROR(__xludf.DUMMYFUNCTION("""COMPUTED_VALUE"""),91.0)</f>
        <v>91</v>
      </c>
      <c r="F829" s="1">
        <f>IFERROR(__xludf.DUMMYFUNCTION("""COMPUTED_VALUE"""),63.0)</f>
        <v>63</v>
      </c>
      <c r="G829" s="1">
        <f>IFERROR(__xludf.DUMMYFUNCTION("""COMPUTED_VALUE"""),87.0)</f>
        <v>87</v>
      </c>
      <c r="H829" s="1">
        <f>IFERROR(__xludf.DUMMYFUNCTION("""COMPUTED_VALUE"""),72.0)</f>
        <v>72</v>
      </c>
      <c r="I829" s="1">
        <f>IFERROR(__xludf.DUMMYFUNCTION("""COMPUTED_VALUE"""),93.0)</f>
        <v>93</v>
      </c>
      <c r="J829" s="1">
        <f>IFERROR(__xludf.DUMMYFUNCTION("""COMPUTED_VALUE"""),406.0)</f>
        <v>406</v>
      </c>
      <c r="K829" s="1">
        <f>IFERROR(__xludf.DUMMYFUNCTION("""COMPUTED_VALUE"""),81.2)</f>
        <v>81.2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>
        <f>IFERROR(__xludf.DUMMYFUNCTION("""COMPUTED_VALUE"""),34.0)</f>
        <v>34</v>
      </c>
      <c r="E830" s="1">
        <f>IFERROR(__xludf.DUMMYFUNCTION("""COMPUTED_VALUE"""),32.0)</f>
        <v>32</v>
      </c>
      <c r="F830" s="1">
        <f>IFERROR(__xludf.DUMMYFUNCTION("""COMPUTED_VALUE"""),64.0)</f>
        <v>64</v>
      </c>
      <c r="G830" s="1">
        <f>IFERROR(__xludf.DUMMYFUNCTION("""COMPUTED_VALUE"""),74.0)</f>
        <v>74</v>
      </c>
      <c r="H830" s="1">
        <f>IFERROR(__xludf.DUMMYFUNCTION("""COMPUTED_VALUE"""),86.0)</f>
        <v>86</v>
      </c>
      <c r="I830" s="1">
        <f>IFERROR(__xludf.DUMMYFUNCTION("""COMPUTED_VALUE"""),28.0)</f>
        <v>28</v>
      </c>
      <c r="J830" s="1">
        <f>IFERROR(__xludf.DUMMYFUNCTION("""COMPUTED_VALUE"""),284.0)</f>
        <v>284</v>
      </c>
      <c r="K830" s="1">
        <f>IFERROR(__xludf.DUMMYFUNCTION("""COMPUTED_VALUE"""),56.8)</f>
        <v>56.8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>
        <f>IFERROR(__xludf.DUMMYFUNCTION("""COMPUTED_VALUE"""),49.0)</f>
        <v>49</v>
      </c>
      <c r="E831" s="1">
        <f>IFERROR(__xludf.DUMMYFUNCTION("""COMPUTED_VALUE"""),28.0)</f>
        <v>28</v>
      </c>
      <c r="F831" s="1">
        <f>IFERROR(__xludf.DUMMYFUNCTION("""COMPUTED_VALUE"""),92.0)</f>
        <v>92</v>
      </c>
      <c r="G831" s="1">
        <f>IFERROR(__xludf.DUMMYFUNCTION("""COMPUTED_VALUE"""),66.0)</f>
        <v>66</v>
      </c>
      <c r="H831" s="1">
        <f>IFERROR(__xludf.DUMMYFUNCTION("""COMPUTED_VALUE"""),76.0)</f>
        <v>76</v>
      </c>
      <c r="I831" s="1">
        <f>IFERROR(__xludf.DUMMYFUNCTION("""COMPUTED_VALUE"""),75.0)</f>
        <v>75</v>
      </c>
      <c r="J831" s="1">
        <f>IFERROR(__xludf.DUMMYFUNCTION("""COMPUTED_VALUE"""),337.0)</f>
        <v>337</v>
      </c>
      <c r="K831" s="1">
        <f>IFERROR(__xludf.DUMMYFUNCTION("""COMPUTED_VALUE"""),67.4)</f>
        <v>67.4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>
        <f>IFERROR(__xludf.DUMMYFUNCTION("""COMPUTED_VALUE"""),58.0)</f>
        <v>58</v>
      </c>
      <c r="E832" s="1">
        <f>IFERROR(__xludf.DUMMYFUNCTION("""COMPUTED_VALUE"""),99.0)</f>
        <v>99</v>
      </c>
      <c r="F832" s="1">
        <f>IFERROR(__xludf.DUMMYFUNCTION("""COMPUTED_VALUE"""),27.0)</f>
        <v>27</v>
      </c>
      <c r="G832" s="1">
        <f>IFERROR(__xludf.DUMMYFUNCTION("""COMPUTED_VALUE"""),42.0)</f>
        <v>42</v>
      </c>
      <c r="H832" s="1">
        <f>IFERROR(__xludf.DUMMYFUNCTION("""COMPUTED_VALUE"""),43.0)</f>
        <v>43</v>
      </c>
      <c r="I832" s="1">
        <f>IFERROR(__xludf.DUMMYFUNCTION("""COMPUTED_VALUE"""),96.0)</f>
        <v>96</v>
      </c>
      <c r="J832" s="1">
        <f>IFERROR(__xludf.DUMMYFUNCTION("""COMPUTED_VALUE"""),307.0)</f>
        <v>307</v>
      </c>
      <c r="K832" s="1">
        <f>IFERROR(__xludf.DUMMYFUNCTION("""COMPUTED_VALUE"""),61.4)</f>
        <v>61.4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>
        <f>IFERROR(__xludf.DUMMYFUNCTION("""COMPUTED_VALUE"""),44.0)</f>
        <v>44</v>
      </c>
      <c r="E833" s="1">
        <f>IFERROR(__xludf.DUMMYFUNCTION("""COMPUTED_VALUE"""),84.0)</f>
        <v>84</v>
      </c>
      <c r="F833" s="1">
        <f>IFERROR(__xludf.DUMMYFUNCTION("""COMPUTED_VALUE"""),50.0)</f>
        <v>50</v>
      </c>
      <c r="G833" s="1">
        <f>IFERROR(__xludf.DUMMYFUNCTION("""COMPUTED_VALUE"""),27.0)</f>
        <v>27</v>
      </c>
      <c r="H833" s="1">
        <f>IFERROR(__xludf.DUMMYFUNCTION("""COMPUTED_VALUE"""),89.0)</f>
        <v>89</v>
      </c>
      <c r="I833" s="1">
        <f>IFERROR(__xludf.DUMMYFUNCTION("""COMPUTED_VALUE"""),54.0)</f>
        <v>54</v>
      </c>
      <c r="J833" s="1">
        <f>IFERROR(__xludf.DUMMYFUNCTION("""COMPUTED_VALUE"""),304.0)</f>
        <v>304</v>
      </c>
      <c r="K833" s="1">
        <f>IFERROR(__xludf.DUMMYFUNCTION("""COMPUTED_VALUE"""),60.8)</f>
        <v>60.8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>
        <f>IFERROR(__xludf.DUMMYFUNCTION("""COMPUTED_VALUE"""),86.0)</f>
        <v>86</v>
      </c>
      <c r="E834" s="1">
        <f>IFERROR(__xludf.DUMMYFUNCTION("""COMPUTED_VALUE"""),57.0)</f>
        <v>57</v>
      </c>
      <c r="F834" s="1">
        <f>IFERROR(__xludf.DUMMYFUNCTION("""COMPUTED_VALUE"""),68.0)</f>
        <v>68</v>
      </c>
      <c r="G834" s="1">
        <f>IFERROR(__xludf.DUMMYFUNCTION("""COMPUTED_VALUE"""),60.0)</f>
        <v>60</v>
      </c>
      <c r="H834" s="1">
        <f>IFERROR(__xludf.DUMMYFUNCTION("""COMPUTED_VALUE"""),90.0)</f>
        <v>90</v>
      </c>
      <c r="I834" s="1">
        <f>IFERROR(__xludf.DUMMYFUNCTION("""COMPUTED_VALUE"""),52.0)</f>
        <v>52</v>
      </c>
      <c r="J834" s="1">
        <f>IFERROR(__xludf.DUMMYFUNCTION("""COMPUTED_VALUE"""),327.0)</f>
        <v>327</v>
      </c>
      <c r="K834" s="1">
        <f>IFERROR(__xludf.DUMMYFUNCTION("""COMPUTED_VALUE"""),65.4)</f>
        <v>65.4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>
        <f>IFERROR(__xludf.DUMMYFUNCTION("""COMPUTED_VALUE"""),69.0)</f>
        <v>69</v>
      </c>
      <c r="E835" s="1">
        <f>IFERROR(__xludf.DUMMYFUNCTION("""COMPUTED_VALUE"""),87.0)</f>
        <v>87</v>
      </c>
      <c r="F835" s="1">
        <f>IFERROR(__xludf.DUMMYFUNCTION("""COMPUTED_VALUE"""),65.0)</f>
        <v>65</v>
      </c>
      <c r="G835" s="1">
        <f>IFERROR(__xludf.DUMMYFUNCTION("""COMPUTED_VALUE"""),78.0)</f>
        <v>78</v>
      </c>
      <c r="H835" s="1">
        <f>IFERROR(__xludf.DUMMYFUNCTION("""COMPUTED_VALUE"""),79.0)</f>
        <v>79</v>
      </c>
      <c r="I835" s="1">
        <f>IFERROR(__xludf.DUMMYFUNCTION("""COMPUTED_VALUE"""),31.0)</f>
        <v>31</v>
      </c>
      <c r="J835" s="1">
        <f>IFERROR(__xludf.DUMMYFUNCTION("""COMPUTED_VALUE"""),340.0)</f>
        <v>340</v>
      </c>
      <c r="K835" s="1">
        <f>IFERROR(__xludf.DUMMYFUNCTION("""COMPUTED_VALUE"""),68.0)</f>
        <v>68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>
        <f>IFERROR(__xludf.DUMMYFUNCTION("""COMPUTED_VALUE"""),76.0)</f>
        <v>76</v>
      </c>
      <c r="E836" s="1">
        <f>IFERROR(__xludf.DUMMYFUNCTION("""COMPUTED_VALUE"""),39.0)</f>
        <v>39</v>
      </c>
      <c r="F836" s="1">
        <f>IFERROR(__xludf.DUMMYFUNCTION("""COMPUTED_VALUE"""),65.0)</f>
        <v>65</v>
      </c>
      <c r="G836" s="1">
        <f>IFERROR(__xludf.DUMMYFUNCTION("""COMPUTED_VALUE"""),69.0)</f>
        <v>69</v>
      </c>
      <c r="H836" s="1">
        <f>IFERROR(__xludf.DUMMYFUNCTION("""COMPUTED_VALUE"""),87.0)</f>
        <v>87</v>
      </c>
      <c r="I836" s="1">
        <f>IFERROR(__xludf.DUMMYFUNCTION("""COMPUTED_VALUE"""),31.0)</f>
        <v>31</v>
      </c>
      <c r="J836" s="1">
        <f>IFERROR(__xludf.DUMMYFUNCTION("""COMPUTED_VALUE"""),291.0)</f>
        <v>291</v>
      </c>
      <c r="K836" s="1">
        <f>IFERROR(__xludf.DUMMYFUNCTION("""COMPUTED_VALUE"""),58.199999999999996)</f>
        <v>58.2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>
        <f>IFERROR(__xludf.DUMMYFUNCTION("""COMPUTED_VALUE"""),76.0)</f>
        <v>76</v>
      </c>
      <c r="E837" s="1">
        <f>IFERROR(__xludf.DUMMYFUNCTION("""COMPUTED_VALUE"""),93.0)</f>
        <v>93</v>
      </c>
      <c r="F837" s="1">
        <f>IFERROR(__xludf.DUMMYFUNCTION("""COMPUTED_VALUE"""),48.0)</f>
        <v>48</v>
      </c>
      <c r="G837" s="1">
        <f>IFERROR(__xludf.DUMMYFUNCTION("""COMPUTED_VALUE"""),84.0)</f>
        <v>84</v>
      </c>
      <c r="H837" s="1">
        <f>IFERROR(__xludf.DUMMYFUNCTION("""COMPUTED_VALUE"""),98.0)</f>
        <v>98</v>
      </c>
      <c r="I837" s="1">
        <f>IFERROR(__xludf.DUMMYFUNCTION("""COMPUTED_VALUE"""),92.0)</f>
        <v>92</v>
      </c>
      <c r="J837" s="1">
        <f>IFERROR(__xludf.DUMMYFUNCTION("""COMPUTED_VALUE"""),415.0)</f>
        <v>415</v>
      </c>
      <c r="K837" s="1">
        <f>IFERROR(__xludf.DUMMYFUNCTION("""COMPUTED_VALUE"""),83.0)</f>
        <v>83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>
        <f>IFERROR(__xludf.DUMMYFUNCTION("""COMPUTED_VALUE"""),18.0)</f>
        <v>18</v>
      </c>
      <c r="E838" s="1">
        <f>IFERROR(__xludf.DUMMYFUNCTION("""COMPUTED_VALUE"""),87.0)</f>
        <v>87</v>
      </c>
      <c r="F838" s="1">
        <f>IFERROR(__xludf.DUMMYFUNCTION("""COMPUTED_VALUE"""),56.0)</f>
        <v>56</v>
      </c>
      <c r="G838" s="1">
        <f>IFERROR(__xludf.DUMMYFUNCTION("""COMPUTED_VALUE"""),88.0)</f>
        <v>88</v>
      </c>
      <c r="H838" s="1">
        <f>IFERROR(__xludf.DUMMYFUNCTION("""COMPUTED_VALUE"""),69.0)</f>
        <v>69</v>
      </c>
      <c r="I838" s="1">
        <f>IFERROR(__xludf.DUMMYFUNCTION("""COMPUTED_VALUE"""),90.0)</f>
        <v>90</v>
      </c>
      <c r="J838" s="1">
        <f>IFERROR(__xludf.DUMMYFUNCTION("""COMPUTED_VALUE"""),390.0)</f>
        <v>390</v>
      </c>
      <c r="K838" s="1">
        <f>IFERROR(__xludf.DUMMYFUNCTION("""COMPUTED_VALUE"""),78.0)</f>
        <v>78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>
        <f>IFERROR(__xludf.DUMMYFUNCTION("""COMPUTED_VALUE"""),29.0)</f>
        <v>29</v>
      </c>
      <c r="E839" s="1">
        <f>IFERROR(__xludf.DUMMYFUNCTION("""COMPUTED_VALUE"""),41.0)</f>
        <v>41</v>
      </c>
      <c r="F839" s="1">
        <f>IFERROR(__xludf.DUMMYFUNCTION("""COMPUTED_VALUE"""),84.0)</f>
        <v>84</v>
      </c>
      <c r="G839" s="1">
        <f>IFERROR(__xludf.DUMMYFUNCTION("""COMPUTED_VALUE"""),42.0)</f>
        <v>42</v>
      </c>
      <c r="H839" s="1">
        <f>IFERROR(__xludf.DUMMYFUNCTION("""COMPUTED_VALUE"""),50.0)</f>
        <v>50</v>
      </c>
      <c r="I839" s="1">
        <f>IFERROR(__xludf.DUMMYFUNCTION("""COMPUTED_VALUE"""),44.0)</f>
        <v>44</v>
      </c>
      <c r="J839" s="1">
        <f>IFERROR(__xludf.DUMMYFUNCTION("""COMPUTED_VALUE"""),261.0)</f>
        <v>261</v>
      </c>
      <c r="K839" s="1">
        <f>IFERROR(__xludf.DUMMYFUNCTION("""COMPUTED_VALUE"""),52.2)</f>
        <v>52.2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>
        <f>IFERROR(__xludf.DUMMYFUNCTION("""COMPUTED_VALUE"""),42.0)</f>
        <v>42</v>
      </c>
      <c r="E840" s="1">
        <f>IFERROR(__xludf.DUMMYFUNCTION("""COMPUTED_VALUE"""),47.0)</f>
        <v>47</v>
      </c>
      <c r="F840" s="1">
        <f>IFERROR(__xludf.DUMMYFUNCTION("""COMPUTED_VALUE"""),81.0)</f>
        <v>81</v>
      </c>
      <c r="G840" s="1">
        <f>IFERROR(__xludf.DUMMYFUNCTION("""COMPUTED_VALUE"""),33.0)</f>
        <v>33</v>
      </c>
      <c r="H840" s="1">
        <f>IFERROR(__xludf.DUMMYFUNCTION("""COMPUTED_VALUE"""),34.0)</f>
        <v>34</v>
      </c>
      <c r="I840" s="1">
        <f>IFERROR(__xludf.DUMMYFUNCTION("""COMPUTED_VALUE"""),90.0)</f>
        <v>90</v>
      </c>
      <c r="J840" s="1">
        <f>IFERROR(__xludf.DUMMYFUNCTION("""COMPUTED_VALUE"""),285.0)</f>
        <v>285</v>
      </c>
      <c r="K840" s="1">
        <f>IFERROR(__xludf.DUMMYFUNCTION("""COMPUTED_VALUE"""),56.99999999999999)</f>
        <v>57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>
        <f>IFERROR(__xludf.DUMMYFUNCTION("""COMPUTED_VALUE"""),45.0)</f>
        <v>45</v>
      </c>
      <c r="E841" s="1">
        <f>IFERROR(__xludf.DUMMYFUNCTION("""COMPUTED_VALUE"""),97.0)</f>
        <v>97</v>
      </c>
      <c r="F841" s="1">
        <f>IFERROR(__xludf.DUMMYFUNCTION("""COMPUTED_VALUE"""),30.0)</f>
        <v>30</v>
      </c>
      <c r="G841" s="1">
        <f>IFERROR(__xludf.DUMMYFUNCTION("""COMPUTED_VALUE"""),92.0)</f>
        <v>92</v>
      </c>
      <c r="H841" s="1">
        <f>IFERROR(__xludf.DUMMYFUNCTION("""COMPUTED_VALUE"""),43.0)</f>
        <v>43</v>
      </c>
      <c r="I841" s="1">
        <f>IFERROR(__xludf.DUMMYFUNCTION("""COMPUTED_VALUE"""),36.0)</f>
        <v>36</v>
      </c>
      <c r="J841" s="1">
        <f>IFERROR(__xludf.DUMMYFUNCTION("""COMPUTED_VALUE"""),298.0)</f>
        <v>298</v>
      </c>
      <c r="K841" s="1">
        <f>IFERROR(__xludf.DUMMYFUNCTION("""COMPUTED_VALUE"""),59.599999999999994)</f>
        <v>59.6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>
        <f>IFERROR(__xludf.DUMMYFUNCTION("""COMPUTED_VALUE"""),97.0)</f>
        <v>97</v>
      </c>
      <c r="E842" s="1">
        <f>IFERROR(__xludf.DUMMYFUNCTION("""COMPUTED_VALUE"""),45.0)</f>
        <v>45</v>
      </c>
      <c r="F842" s="1">
        <f>IFERROR(__xludf.DUMMYFUNCTION("""COMPUTED_VALUE"""),48.0)</f>
        <v>48</v>
      </c>
      <c r="G842" s="1">
        <f>IFERROR(__xludf.DUMMYFUNCTION("""COMPUTED_VALUE"""),28.0)</f>
        <v>28</v>
      </c>
      <c r="H842" s="1">
        <f>IFERROR(__xludf.DUMMYFUNCTION("""COMPUTED_VALUE"""),89.0)</f>
        <v>89</v>
      </c>
      <c r="I842" s="1">
        <f>IFERROR(__xludf.DUMMYFUNCTION("""COMPUTED_VALUE"""),86.0)</f>
        <v>86</v>
      </c>
      <c r="J842" s="1">
        <f>IFERROR(__xludf.DUMMYFUNCTION("""COMPUTED_VALUE"""),296.0)</f>
        <v>296</v>
      </c>
      <c r="K842" s="1">
        <f>IFERROR(__xludf.DUMMYFUNCTION("""COMPUTED_VALUE"""),59.199999999999996)</f>
        <v>59.2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>
        <f>IFERROR(__xludf.DUMMYFUNCTION("""COMPUTED_VALUE"""),59.0)</f>
        <v>59</v>
      </c>
      <c r="E843" s="1">
        <f>IFERROR(__xludf.DUMMYFUNCTION("""COMPUTED_VALUE"""),86.0)</f>
        <v>86</v>
      </c>
      <c r="F843" s="1">
        <f>IFERROR(__xludf.DUMMYFUNCTION("""COMPUTED_VALUE"""),58.0)</f>
        <v>58</v>
      </c>
      <c r="G843" s="1">
        <f>IFERROR(__xludf.DUMMYFUNCTION("""COMPUTED_VALUE"""),97.0)</f>
        <v>97</v>
      </c>
      <c r="H843" s="1">
        <f>IFERROR(__xludf.DUMMYFUNCTION("""COMPUTED_VALUE"""),39.0)</f>
        <v>39</v>
      </c>
      <c r="I843" s="1">
        <f>IFERROR(__xludf.DUMMYFUNCTION("""COMPUTED_VALUE"""),56.0)</f>
        <v>56</v>
      </c>
      <c r="J843" s="1">
        <f>IFERROR(__xludf.DUMMYFUNCTION("""COMPUTED_VALUE"""),336.0)</f>
        <v>336</v>
      </c>
      <c r="K843" s="1">
        <f>IFERROR(__xludf.DUMMYFUNCTION("""COMPUTED_VALUE"""),67.2)</f>
        <v>67.2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>
        <f>IFERROR(__xludf.DUMMYFUNCTION("""COMPUTED_VALUE"""),95.0)</f>
        <v>95</v>
      </c>
      <c r="E844" s="1">
        <f>IFERROR(__xludf.DUMMYFUNCTION("""COMPUTED_VALUE"""),58.0)</f>
        <v>58</v>
      </c>
      <c r="F844" s="1">
        <f>IFERROR(__xludf.DUMMYFUNCTION("""COMPUTED_VALUE"""),56.0)</f>
        <v>56</v>
      </c>
      <c r="G844" s="1">
        <f>IFERROR(__xludf.DUMMYFUNCTION("""COMPUTED_VALUE"""),98.0)</f>
        <v>98</v>
      </c>
      <c r="H844" s="1">
        <f>IFERROR(__xludf.DUMMYFUNCTION("""COMPUTED_VALUE"""),60.0)</f>
        <v>60</v>
      </c>
      <c r="I844" s="1">
        <f>IFERROR(__xludf.DUMMYFUNCTION("""COMPUTED_VALUE"""),85.0)</f>
        <v>85</v>
      </c>
      <c r="J844" s="1">
        <f>IFERROR(__xludf.DUMMYFUNCTION("""COMPUTED_VALUE"""),357.0)</f>
        <v>357</v>
      </c>
      <c r="K844" s="1">
        <f>IFERROR(__xludf.DUMMYFUNCTION("""COMPUTED_VALUE"""),71.39999999999999)</f>
        <v>71.4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>
        <f>IFERROR(__xludf.DUMMYFUNCTION("""COMPUTED_VALUE"""),86.0)</f>
        <v>86</v>
      </c>
      <c r="E845" s="1">
        <f>IFERROR(__xludf.DUMMYFUNCTION("""COMPUTED_VALUE"""),78.0)</f>
        <v>78</v>
      </c>
      <c r="F845" s="1">
        <f>IFERROR(__xludf.DUMMYFUNCTION("""COMPUTED_VALUE"""),52.0)</f>
        <v>52</v>
      </c>
      <c r="G845" s="1">
        <f>IFERROR(__xludf.DUMMYFUNCTION("""COMPUTED_VALUE"""),71.0)</f>
        <v>71</v>
      </c>
      <c r="H845" s="1">
        <f>IFERROR(__xludf.DUMMYFUNCTION("""COMPUTED_VALUE"""),83.0)</f>
        <v>83</v>
      </c>
      <c r="I845" s="1">
        <f>IFERROR(__xludf.DUMMYFUNCTION("""COMPUTED_VALUE"""),79.0)</f>
        <v>79</v>
      </c>
      <c r="J845" s="1">
        <f>IFERROR(__xludf.DUMMYFUNCTION("""COMPUTED_VALUE"""),363.0)</f>
        <v>363</v>
      </c>
      <c r="K845" s="1">
        <f>IFERROR(__xludf.DUMMYFUNCTION("""COMPUTED_VALUE"""),72.6)</f>
        <v>72.6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>
        <f>IFERROR(__xludf.DUMMYFUNCTION("""COMPUTED_VALUE"""),84.0)</f>
        <v>84</v>
      </c>
      <c r="E846" s="1">
        <f>IFERROR(__xludf.DUMMYFUNCTION("""COMPUTED_VALUE"""),21.0)</f>
        <v>21</v>
      </c>
      <c r="F846" s="1">
        <f>IFERROR(__xludf.DUMMYFUNCTION("""COMPUTED_VALUE"""),36.0)</f>
        <v>36</v>
      </c>
      <c r="G846" s="1">
        <f>IFERROR(__xludf.DUMMYFUNCTION("""COMPUTED_VALUE"""),34.0)</f>
        <v>34</v>
      </c>
      <c r="H846" s="1">
        <f>IFERROR(__xludf.DUMMYFUNCTION("""COMPUTED_VALUE"""),27.0)</f>
        <v>27</v>
      </c>
      <c r="I846" s="1">
        <f>IFERROR(__xludf.DUMMYFUNCTION("""COMPUTED_VALUE"""),48.0)</f>
        <v>48</v>
      </c>
      <c r="J846" s="1">
        <f>IFERROR(__xludf.DUMMYFUNCTION("""COMPUTED_VALUE"""),166.0)</f>
        <v>166</v>
      </c>
      <c r="K846" s="1">
        <f>IFERROR(__xludf.DUMMYFUNCTION("""COMPUTED_VALUE"""),33.2)</f>
        <v>33.2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>
        <f>IFERROR(__xludf.DUMMYFUNCTION("""COMPUTED_VALUE"""),64.0)</f>
        <v>64</v>
      </c>
      <c r="E847" s="1">
        <f>IFERROR(__xludf.DUMMYFUNCTION("""COMPUTED_VALUE"""),36.0)</f>
        <v>36</v>
      </c>
      <c r="F847" s="1">
        <f>IFERROR(__xludf.DUMMYFUNCTION("""COMPUTED_VALUE"""),44.0)</f>
        <v>44</v>
      </c>
      <c r="G847" s="1">
        <f>IFERROR(__xludf.DUMMYFUNCTION("""COMPUTED_VALUE"""),95.0)</f>
        <v>95</v>
      </c>
      <c r="H847" s="1">
        <f>IFERROR(__xludf.DUMMYFUNCTION("""COMPUTED_VALUE"""),76.0)</f>
        <v>76</v>
      </c>
      <c r="I847" s="1">
        <f>IFERROR(__xludf.DUMMYFUNCTION("""COMPUTED_VALUE"""),64.0)</f>
        <v>64</v>
      </c>
      <c r="J847" s="1">
        <f>IFERROR(__xludf.DUMMYFUNCTION("""COMPUTED_VALUE"""),315.0)</f>
        <v>315</v>
      </c>
      <c r="K847" s="1">
        <f>IFERROR(__xludf.DUMMYFUNCTION("""COMPUTED_VALUE"""),63.0)</f>
        <v>63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>
        <f>IFERROR(__xludf.DUMMYFUNCTION("""COMPUTED_VALUE"""),73.0)</f>
        <v>73</v>
      </c>
      <c r="E848" s="1">
        <f>IFERROR(__xludf.DUMMYFUNCTION("""COMPUTED_VALUE"""),79.0)</f>
        <v>79</v>
      </c>
      <c r="F848" s="1">
        <f>IFERROR(__xludf.DUMMYFUNCTION("""COMPUTED_VALUE"""),27.0)</f>
        <v>27</v>
      </c>
      <c r="G848" s="1">
        <f>IFERROR(__xludf.DUMMYFUNCTION("""COMPUTED_VALUE"""),78.0)</f>
        <v>78</v>
      </c>
      <c r="H848" s="1">
        <f>IFERROR(__xludf.DUMMYFUNCTION("""COMPUTED_VALUE"""),26.0)</f>
        <v>26</v>
      </c>
      <c r="I848" s="1">
        <f>IFERROR(__xludf.DUMMYFUNCTION("""COMPUTED_VALUE"""),85.0)</f>
        <v>85</v>
      </c>
      <c r="J848" s="1">
        <f>IFERROR(__xludf.DUMMYFUNCTION("""COMPUTED_VALUE"""),295.0)</f>
        <v>295</v>
      </c>
      <c r="K848" s="1">
        <f>IFERROR(__xludf.DUMMYFUNCTION("""COMPUTED_VALUE"""),59.0)</f>
        <v>59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>
        <f>IFERROR(__xludf.DUMMYFUNCTION("""COMPUTED_VALUE"""),29.0)</f>
        <v>29</v>
      </c>
      <c r="E849" s="1">
        <f>IFERROR(__xludf.DUMMYFUNCTION("""COMPUTED_VALUE"""),89.0)</f>
        <v>89</v>
      </c>
      <c r="F849" s="1">
        <f>IFERROR(__xludf.DUMMYFUNCTION("""COMPUTED_VALUE"""),87.0)</f>
        <v>87</v>
      </c>
      <c r="G849" s="1">
        <f>IFERROR(__xludf.DUMMYFUNCTION("""COMPUTED_VALUE"""),68.0)</f>
        <v>68</v>
      </c>
      <c r="H849" s="1">
        <f>IFERROR(__xludf.DUMMYFUNCTION("""COMPUTED_VALUE"""),44.0)</f>
        <v>44</v>
      </c>
      <c r="I849" s="1">
        <f>IFERROR(__xludf.DUMMYFUNCTION("""COMPUTED_VALUE"""),54.0)</f>
        <v>54</v>
      </c>
      <c r="J849" s="1">
        <f>IFERROR(__xludf.DUMMYFUNCTION("""COMPUTED_VALUE"""),342.0)</f>
        <v>342</v>
      </c>
      <c r="K849" s="1">
        <f>IFERROR(__xludf.DUMMYFUNCTION("""COMPUTED_VALUE"""),68.4)</f>
        <v>68.4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>
        <f>IFERROR(__xludf.DUMMYFUNCTION("""COMPUTED_VALUE"""),81.0)</f>
        <v>81</v>
      </c>
      <c r="E850" s="1">
        <f>IFERROR(__xludf.DUMMYFUNCTION("""COMPUTED_VALUE"""),60.0)</f>
        <v>60</v>
      </c>
      <c r="F850" s="1">
        <f>IFERROR(__xludf.DUMMYFUNCTION("""COMPUTED_VALUE"""),37.0)</f>
        <v>37</v>
      </c>
      <c r="G850" s="1">
        <f>IFERROR(__xludf.DUMMYFUNCTION("""COMPUTED_VALUE"""),97.0)</f>
        <v>97</v>
      </c>
      <c r="H850" s="1">
        <f>IFERROR(__xludf.DUMMYFUNCTION("""COMPUTED_VALUE"""),72.0)</f>
        <v>72</v>
      </c>
      <c r="I850" s="1">
        <f>IFERROR(__xludf.DUMMYFUNCTION("""COMPUTED_VALUE"""),54.0)</f>
        <v>54</v>
      </c>
      <c r="J850" s="1">
        <f>IFERROR(__xludf.DUMMYFUNCTION("""COMPUTED_VALUE"""),320.0)</f>
        <v>320</v>
      </c>
      <c r="K850" s="1">
        <f>IFERROR(__xludf.DUMMYFUNCTION("""COMPUTED_VALUE"""),64.0)</f>
        <v>64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>
        <f>IFERROR(__xludf.DUMMYFUNCTION("""COMPUTED_VALUE"""),40.0)</f>
        <v>40</v>
      </c>
      <c r="E851" s="1">
        <f>IFERROR(__xludf.DUMMYFUNCTION("""COMPUTED_VALUE"""),98.0)</f>
        <v>98</v>
      </c>
      <c r="F851" s="1">
        <f>IFERROR(__xludf.DUMMYFUNCTION("""COMPUTED_VALUE"""),38.0)</f>
        <v>38</v>
      </c>
      <c r="G851" s="1">
        <f>IFERROR(__xludf.DUMMYFUNCTION("""COMPUTED_VALUE"""),74.0)</f>
        <v>74</v>
      </c>
      <c r="H851" s="1">
        <f>IFERROR(__xludf.DUMMYFUNCTION("""COMPUTED_VALUE"""),90.0)</f>
        <v>90</v>
      </c>
      <c r="I851" s="1">
        <f>IFERROR(__xludf.DUMMYFUNCTION("""COMPUTED_VALUE"""),36.0)</f>
        <v>36</v>
      </c>
      <c r="J851" s="1">
        <f>IFERROR(__xludf.DUMMYFUNCTION("""COMPUTED_VALUE"""),336.0)</f>
        <v>336</v>
      </c>
      <c r="K851" s="1">
        <f>IFERROR(__xludf.DUMMYFUNCTION("""COMPUTED_VALUE"""),67.2)</f>
        <v>67.2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>
        <f>IFERROR(__xludf.DUMMYFUNCTION("""COMPUTED_VALUE"""),58.0)</f>
        <v>58</v>
      </c>
      <c r="E852" s="1">
        <f>IFERROR(__xludf.DUMMYFUNCTION("""COMPUTED_VALUE"""),36.0)</f>
        <v>36</v>
      </c>
      <c r="F852" s="1">
        <f>IFERROR(__xludf.DUMMYFUNCTION("""COMPUTED_VALUE"""),97.0)</f>
        <v>97</v>
      </c>
      <c r="G852" s="1">
        <f>IFERROR(__xludf.DUMMYFUNCTION("""COMPUTED_VALUE"""),56.0)</f>
        <v>56</v>
      </c>
      <c r="H852" s="1">
        <f>IFERROR(__xludf.DUMMYFUNCTION("""COMPUTED_VALUE"""),81.0)</f>
        <v>81</v>
      </c>
      <c r="I852" s="1">
        <f>IFERROR(__xludf.DUMMYFUNCTION("""COMPUTED_VALUE"""),37.0)</f>
        <v>37</v>
      </c>
      <c r="J852" s="1">
        <f>IFERROR(__xludf.DUMMYFUNCTION("""COMPUTED_VALUE"""),307.0)</f>
        <v>307</v>
      </c>
      <c r="K852" s="1">
        <f>IFERROR(__xludf.DUMMYFUNCTION("""COMPUTED_VALUE"""),61.4)</f>
        <v>61.4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>
        <f>IFERROR(__xludf.DUMMYFUNCTION("""COMPUTED_VALUE"""),87.0)</f>
        <v>87</v>
      </c>
      <c r="E853" s="1">
        <f>IFERROR(__xludf.DUMMYFUNCTION("""COMPUTED_VALUE"""),49.0)</f>
        <v>49</v>
      </c>
      <c r="F853" s="1">
        <f>IFERROR(__xludf.DUMMYFUNCTION("""COMPUTED_VALUE"""),45.0)</f>
        <v>45</v>
      </c>
      <c r="G853" s="1">
        <f>IFERROR(__xludf.DUMMYFUNCTION("""COMPUTED_VALUE"""),33.0)</f>
        <v>33</v>
      </c>
      <c r="H853" s="1">
        <f>IFERROR(__xludf.DUMMYFUNCTION("""COMPUTED_VALUE"""),72.0)</f>
        <v>72</v>
      </c>
      <c r="I853" s="1">
        <f>IFERROR(__xludf.DUMMYFUNCTION("""COMPUTED_VALUE"""),76.0)</f>
        <v>76</v>
      </c>
      <c r="J853" s="1">
        <f>IFERROR(__xludf.DUMMYFUNCTION("""COMPUTED_VALUE"""),275.0)</f>
        <v>275</v>
      </c>
      <c r="K853" s="1">
        <f>IFERROR(__xludf.DUMMYFUNCTION("""COMPUTED_VALUE"""),55.00000000000001)</f>
        <v>55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>
        <f>IFERROR(__xludf.DUMMYFUNCTION("""COMPUTED_VALUE"""),87.0)</f>
        <v>87</v>
      </c>
      <c r="E854" s="1">
        <f>IFERROR(__xludf.DUMMYFUNCTION("""COMPUTED_VALUE"""),49.0)</f>
        <v>49</v>
      </c>
      <c r="F854" s="1">
        <f>IFERROR(__xludf.DUMMYFUNCTION("""COMPUTED_VALUE"""),95.0)</f>
        <v>95</v>
      </c>
      <c r="G854" s="1">
        <f>IFERROR(__xludf.DUMMYFUNCTION("""COMPUTED_VALUE"""),23.0)</f>
        <v>23</v>
      </c>
      <c r="H854" s="1">
        <f>IFERROR(__xludf.DUMMYFUNCTION("""COMPUTED_VALUE"""),49.0)</f>
        <v>49</v>
      </c>
      <c r="I854" s="1">
        <f>IFERROR(__xludf.DUMMYFUNCTION("""COMPUTED_VALUE"""),55.0)</f>
        <v>55</v>
      </c>
      <c r="J854" s="1">
        <f>IFERROR(__xludf.DUMMYFUNCTION("""COMPUTED_VALUE"""),271.0)</f>
        <v>271</v>
      </c>
      <c r="K854" s="1">
        <f>IFERROR(__xludf.DUMMYFUNCTION("""COMPUTED_VALUE"""),54.2)</f>
        <v>54.2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>
        <f>IFERROR(__xludf.DUMMYFUNCTION("""COMPUTED_VALUE"""),67.0)</f>
        <v>67</v>
      </c>
      <c r="E855" s="1">
        <f>IFERROR(__xludf.DUMMYFUNCTION("""COMPUTED_VALUE"""),25.0)</f>
        <v>25</v>
      </c>
      <c r="F855" s="1">
        <f>IFERROR(__xludf.DUMMYFUNCTION("""COMPUTED_VALUE"""),72.0)</f>
        <v>72</v>
      </c>
      <c r="G855" s="1">
        <f>IFERROR(__xludf.DUMMYFUNCTION("""COMPUTED_VALUE"""),61.0)</f>
        <v>61</v>
      </c>
      <c r="H855" s="1">
        <f>IFERROR(__xludf.DUMMYFUNCTION("""COMPUTED_VALUE"""),39.0)</f>
        <v>39</v>
      </c>
      <c r="I855" s="1">
        <f>IFERROR(__xludf.DUMMYFUNCTION("""COMPUTED_VALUE"""),73.0)</f>
        <v>73</v>
      </c>
      <c r="J855" s="1">
        <f>IFERROR(__xludf.DUMMYFUNCTION("""COMPUTED_VALUE"""),270.0)</f>
        <v>270</v>
      </c>
      <c r="K855" s="1">
        <f>IFERROR(__xludf.DUMMYFUNCTION("""COMPUTED_VALUE"""),54.0)</f>
        <v>54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>
        <f>IFERROR(__xludf.DUMMYFUNCTION("""COMPUTED_VALUE"""),21.0)</f>
        <v>21</v>
      </c>
      <c r="E856" s="1">
        <f>IFERROR(__xludf.DUMMYFUNCTION("""COMPUTED_VALUE"""),90.0)</f>
        <v>90</v>
      </c>
      <c r="F856" s="1">
        <f>IFERROR(__xludf.DUMMYFUNCTION("""COMPUTED_VALUE"""),34.0)</f>
        <v>34</v>
      </c>
      <c r="G856" s="1">
        <f>IFERROR(__xludf.DUMMYFUNCTION("""COMPUTED_VALUE"""),79.0)</f>
        <v>79</v>
      </c>
      <c r="H856" s="1">
        <f>IFERROR(__xludf.DUMMYFUNCTION("""COMPUTED_VALUE"""),79.0)</f>
        <v>79</v>
      </c>
      <c r="I856" s="1">
        <f>IFERROR(__xludf.DUMMYFUNCTION("""COMPUTED_VALUE"""),68.0)</f>
        <v>68</v>
      </c>
      <c r="J856" s="1">
        <f>IFERROR(__xludf.DUMMYFUNCTION("""COMPUTED_VALUE"""),350.0)</f>
        <v>350</v>
      </c>
      <c r="K856" s="1">
        <f>IFERROR(__xludf.DUMMYFUNCTION("""COMPUTED_VALUE"""),70.0)</f>
        <v>70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>
        <f>IFERROR(__xludf.DUMMYFUNCTION("""COMPUTED_VALUE"""),50.0)</f>
        <v>50</v>
      </c>
      <c r="E857" s="1">
        <f>IFERROR(__xludf.DUMMYFUNCTION("""COMPUTED_VALUE"""),40.0)</f>
        <v>40</v>
      </c>
      <c r="F857" s="1">
        <f>IFERROR(__xludf.DUMMYFUNCTION("""COMPUTED_VALUE"""),79.0)</f>
        <v>79</v>
      </c>
      <c r="G857" s="1">
        <f>IFERROR(__xludf.DUMMYFUNCTION("""COMPUTED_VALUE"""),92.0)</f>
        <v>92</v>
      </c>
      <c r="H857" s="1">
        <f>IFERROR(__xludf.DUMMYFUNCTION("""COMPUTED_VALUE"""),81.0)</f>
        <v>81</v>
      </c>
      <c r="I857" s="1">
        <f>IFERROR(__xludf.DUMMYFUNCTION("""COMPUTED_VALUE"""),99.0)</f>
        <v>99</v>
      </c>
      <c r="J857" s="1">
        <f>IFERROR(__xludf.DUMMYFUNCTION("""COMPUTED_VALUE"""),391.0)</f>
        <v>391</v>
      </c>
      <c r="K857" s="1">
        <f>IFERROR(__xludf.DUMMYFUNCTION("""COMPUTED_VALUE"""),78.2)</f>
        <v>78.2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>
        <f>IFERROR(__xludf.DUMMYFUNCTION("""COMPUTED_VALUE"""),35.0)</f>
        <v>35</v>
      </c>
      <c r="E858" s="1">
        <f>IFERROR(__xludf.DUMMYFUNCTION("""COMPUTED_VALUE"""),66.0)</f>
        <v>66</v>
      </c>
      <c r="F858" s="1">
        <f>IFERROR(__xludf.DUMMYFUNCTION("""COMPUTED_VALUE"""),81.0)</f>
        <v>81</v>
      </c>
      <c r="G858" s="1">
        <f>IFERROR(__xludf.DUMMYFUNCTION("""COMPUTED_VALUE"""),29.0)</f>
        <v>29</v>
      </c>
      <c r="H858" s="1">
        <f>IFERROR(__xludf.DUMMYFUNCTION("""COMPUTED_VALUE"""),38.0)</f>
        <v>38</v>
      </c>
      <c r="I858" s="1">
        <f>IFERROR(__xludf.DUMMYFUNCTION("""COMPUTED_VALUE"""),78.0)</f>
        <v>78</v>
      </c>
      <c r="J858" s="1">
        <f>IFERROR(__xludf.DUMMYFUNCTION("""COMPUTED_VALUE"""),292.0)</f>
        <v>292</v>
      </c>
      <c r="K858" s="1">
        <f>IFERROR(__xludf.DUMMYFUNCTION("""COMPUTED_VALUE"""),58.4)</f>
        <v>58.4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>
        <f>IFERROR(__xludf.DUMMYFUNCTION("""COMPUTED_VALUE"""),74.0)</f>
        <v>74</v>
      </c>
      <c r="E859" s="1">
        <f>IFERROR(__xludf.DUMMYFUNCTION("""COMPUTED_VALUE"""),39.0)</f>
        <v>39</v>
      </c>
      <c r="F859" s="1">
        <f>IFERROR(__xludf.DUMMYFUNCTION("""COMPUTED_VALUE"""),77.0)</f>
        <v>77</v>
      </c>
      <c r="G859" s="1">
        <f>IFERROR(__xludf.DUMMYFUNCTION("""COMPUTED_VALUE"""),95.0)</f>
        <v>95</v>
      </c>
      <c r="H859" s="1">
        <f>IFERROR(__xludf.DUMMYFUNCTION("""COMPUTED_VALUE"""),31.0)</f>
        <v>31</v>
      </c>
      <c r="I859" s="1">
        <f>IFERROR(__xludf.DUMMYFUNCTION("""COMPUTED_VALUE"""),97.0)</f>
        <v>97</v>
      </c>
      <c r="J859" s="1">
        <f>IFERROR(__xludf.DUMMYFUNCTION("""COMPUTED_VALUE"""),339.0)</f>
        <v>339</v>
      </c>
      <c r="K859" s="1">
        <f>IFERROR(__xludf.DUMMYFUNCTION("""COMPUTED_VALUE"""),67.80000000000001)</f>
        <v>67.8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>
        <f>IFERROR(__xludf.DUMMYFUNCTION("""COMPUTED_VALUE"""),10.0)</f>
        <v>10</v>
      </c>
      <c r="E860" s="1">
        <f>IFERROR(__xludf.DUMMYFUNCTION("""COMPUTED_VALUE"""),34.0)</f>
        <v>34</v>
      </c>
      <c r="F860" s="1">
        <f>IFERROR(__xludf.DUMMYFUNCTION("""COMPUTED_VALUE"""),81.0)</f>
        <v>81</v>
      </c>
      <c r="G860" s="1">
        <f>IFERROR(__xludf.DUMMYFUNCTION("""COMPUTED_VALUE"""),91.0)</f>
        <v>91</v>
      </c>
      <c r="H860" s="1">
        <f>IFERROR(__xludf.DUMMYFUNCTION("""COMPUTED_VALUE"""),35.0)</f>
        <v>35</v>
      </c>
      <c r="I860" s="1">
        <f>IFERROR(__xludf.DUMMYFUNCTION("""COMPUTED_VALUE"""),32.0)</f>
        <v>32</v>
      </c>
      <c r="J860" s="1">
        <f>IFERROR(__xludf.DUMMYFUNCTION("""COMPUTED_VALUE"""),273.0)</f>
        <v>273</v>
      </c>
      <c r="K860" s="1">
        <f>IFERROR(__xludf.DUMMYFUNCTION("""COMPUTED_VALUE"""),54.6)</f>
        <v>54.6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>
        <f>IFERROR(__xludf.DUMMYFUNCTION("""COMPUTED_VALUE"""),11.0)</f>
        <v>11</v>
      </c>
      <c r="E861" s="1">
        <f>IFERROR(__xludf.DUMMYFUNCTION("""COMPUTED_VALUE"""),59.0)</f>
        <v>59</v>
      </c>
      <c r="F861" s="1">
        <f>IFERROR(__xludf.DUMMYFUNCTION("""COMPUTED_VALUE"""),89.0)</f>
        <v>89</v>
      </c>
      <c r="G861" s="1">
        <f>IFERROR(__xludf.DUMMYFUNCTION("""COMPUTED_VALUE"""),72.0)</f>
        <v>72</v>
      </c>
      <c r="H861" s="1">
        <f>IFERROR(__xludf.DUMMYFUNCTION("""COMPUTED_VALUE"""),22.0)</f>
        <v>22</v>
      </c>
      <c r="I861" s="1">
        <f>IFERROR(__xludf.DUMMYFUNCTION("""COMPUTED_VALUE"""),75.0)</f>
        <v>75</v>
      </c>
      <c r="J861" s="1">
        <f>IFERROR(__xludf.DUMMYFUNCTION("""COMPUTED_VALUE"""),317.0)</f>
        <v>317</v>
      </c>
      <c r="K861" s="1">
        <f>IFERROR(__xludf.DUMMYFUNCTION("""COMPUTED_VALUE"""),63.4)</f>
        <v>63.4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>
        <f>IFERROR(__xludf.DUMMYFUNCTION("""COMPUTED_VALUE"""),22.0)</f>
        <v>22</v>
      </c>
      <c r="E862" s="1">
        <f>IFERROR(__xludf.DUMMYFUNCTION("""COMPUTED_VALUE"""),78.0)</f>
        <v>78</v>
      </c>
      <c r="F862" s="1">
        <f>IFERROR(__xludf.DUMMYFUNCTION("""COMPUTED_VALUE"""),21.0)</f>
        <v>21</v>
      </c>
      <c r="G862" s="1">
        <f>IFERROR(__xludf.DUMMYFUNCTION("""COMPUTED_VALUE"""),47.0)</f>
        <v>47</v>
      </c>
      <c r="H862" s="1">
        <f>IFERROR(__xludf.DUMMYFUNCTION("""COMPUTED_VALUE"""),44.0)</f>
        <v>44</v>
      </c>
      <c r="I862" s="1">
        <f>IFERROR(__xludf.DUMMYFUNCTION("""COMPUTED_VALUE"""),71.0)</f>
        <v>71</v>
      </c>
      <c r="J862" s="1">
        <f>IFERROR(__xludf.DUMMYFUNCTION("""COMPUTED_VALUE"""),261.0)</f>
        <v>261</v>
      </c>
      <c r="K862" s="1">
        <f>IFERROR(__xludf.DUMMYFUNCTION("""COMPUTED_VALUE"""),52.2)</f>
        <v>52.2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>
        <f>IFERROR(__xludf.DUMMYFUNCTION("""COMPUTED_VALUE"""),56.0)</f>
        <v>56</v>
      </c>
      <c r="E863" s="1">
        <f>IFERROR(__xludf.DUMMYFUNCTION("""COMPUTED_VALUE"""),68.0)</f>
        <v>68</v>
      </c>
      <c r="F863" s="1">
        <f>IFERROR(__xludf.DUMMYFUNCTION("""COMPUTED_VALUE"""),45.0)</f>
        <v>45</v>
      </c>
      <c r="G863" s="1">
        <f>IFERROR(__xludf.DUMMYFUNCTION("""COMPUTED_VALUE"""),92.0)</f>
        <v>92</v>
      </c>
      <c r="H863" s="1">
        <f>IFERROR(__xludf.DUMMYFUNCTION("""COMPUTED_VALUE"""),79.0)</f>
        <v>79</v>
      </c>
      <c r="I863" s="1">
        <f>IFERROR(__xludf.DUMMYFUNCTION("""COMPUTED_VALUE"""),37.0)</f>
        <v>37</v>
      </c>
      <c r="J863" s="1">
        <f>IFERROR(__xludf.DUMMYFUNCTION("""COMPUTED_VALUE"""),321.0)</f>
        <v>321</v>
      </c>
      <c r="K863" s="1">
        <f>IFERROR(__xludf.DUMMYFUNCTION("""COMPUTED_VALUE"""),64.2)</f>
        <v>64.2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>
        <f>IFERROR(__xludf.DUMMYFUNCTION("""COMPUTED_VALUE"""),47.0)</f>
        <v>47</v>
      </c>
      <c r="E864" s="1">
        <f>IFERROR(__xludf.DUMMYFUNCTION("""COMPUTED_VALUE"""),69.0)</f>
        <v>69</v>
      </c>
      <c r="F864" s="1">
        <f>IFERROR(__xludf.DUMMYFUNCTION("""COMPUTED_VALUE"""),36.0)</f>
        <v>36</v>
      </c>
      <c r="G864" s="1">
        <f>IFERROR(__xludf.DUMMYFUNCTION("""COMPUTED_VALUE"""),42.0)</f>
        <v>42</v>
      </c>
      <c r="H864" s="1">
        <f>IFERROR(__xludf.DUMMYFUNCTION("""COMPUTED_VALUE"""),94.0)</f>
        <v>94</v>
      </c>
      <c r="I864" s="1">
        <f>IFERROR(__xludf.DUMMYFUNCTION("""COMPUTED_VALUE"""),48.0)</f>
        <v>48</v>
      </c>
      <c r="J864" s="1">
        <f>IFERROR(__xludf.DUMMYFUNCTION("""COMPUTED_VALUE"""),289.0)</f>
        <v>289</v>
      </c>
      <c r="K864" s="1">
        <f>IFERROR(__xludf.DUMMYFUNCTION("""COMPUTED_VALUE"""),57.8)</f>
        <v>57.8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>
        <f>IFERROR(__xludf.DUMMYFUNCTION("""COMPUTED_VALUE"""),42.0)</f>
        <v>42</v>
      </c>
      <c r="E865" s="1">
        <f>IFERROR(__xludf.DUMMYFUNCTION("""COMPUTED_VALUE"""),27.0)</f>
        <v>27</v>
      </c>
      <c r="F865" s="1">
        <f>IFERROR(__xludf.DUMMYFUNCTION("""COMPUTED_VALUE"""),60.0)</f>
        <v>60</v>
      </c>
      <c r="G865" s="1">
        <f>IFERROR(__xludf.DUMMYFUNCTION("""COMPUTED_VALUE"""),83.0)</f>
        <v>83</v>
      </c>
      <c r="H865" s="1">
        <f>IFERROR(__xludf.DUMMYFUNCTION("""COMPUTED_VALUE"""),93.0)</f>
        <v>93</v>
      </c>
      <c r="I865" s="1">
        <f>IFERROR(__xludf.DUMMYFUNCTION("""COMPUTED_VALUE"""),88.0)</f>
        <v>88</v>
      </c>
      <c r="J865" s="1">
        <f>IFERROR(__xludf.DUMMYFUNCTION("""COMPUTED_VALUE"""),351.0)</f>
        <v>351</v>
      </c>
      <c r="K865" s="1">
        <f>IFERROR(__xludf.DUMMYFUNCTION("""COMPUTED_VALUE"""),70.19999999999999)</f>
        <v>70.2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>
        <f>IFERROR(__xludf.DUMMYFUNCTION("""COMPUTED_VALUE"""),54.0)</f>
        <v>54</v>
      </c>
      <c r="E866" s="1">
        <f>IFERROR(__xludf.DUMMYFUNCTION("""COMPUTED_VALUE"""),90.0)</f>
        <v>90</v>
      </c>
      <c r="F866" s="1">
        <f>IFERROR(__xludf.DUMMYFUNCTION("""COMPUTED_VALUE"""),76.0)</f>
        <v>76</v>
      </c>
      <c r="G866" s="1">
        <f>IFERROR(__xludf.DUMMYFUNCTION("""COMPUTED_VALUE"""),50.0)</f>
        <v>50</v>
      </c>
      <c r="H866" s="1">
        <f>IFERROR(__xludf.DUMMYFUNCTION("""COMPUTED_VALUE"""),80.0)</f>
        <v>80</v>
      </c>
      <c r="I866" s="1">
        <f>IFERROR(__xludf.DUMMYFUNCTION("""COMPUTED_VALUE"""),84.0)</f>
        <v>84</v>
      </c>
      <c r="J866" s="1">
        <f>IFERROR(__xludf.DUMMYFUNCTION("""COMPUTED_VALUE"""),380.0)</f>
        <v>380</v>
      </c>
      <c r="K866" s="1">
        <f>IFERROR(__xludf.DUMMYFUNCTION("""COMPUTED_VALUE"""),76.0)</f>
        <v>76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>
        <f>IFERROR(__xludf.DUMMYFUNCTION("""COMPUTED_VALUE"""),44.0)</f>
        <v>44</v>
      </c>
      <c r="E867" s="1">
        <f>IFERROR(__xludf.DUMMYFUNCTION("""COMPUTED_VALUE"""),87.0)</f>
        <v>87</v>
      </c>
      <c r="F867" s="1">
        <f>IFERROR(__xludf.DUMMYFUNCTION("""COMPUTED_VALUE"""),72.0)</f>
        <v>72</v>
      </c>
      <c r="G867" s="1">
        <f>IFERROR(__xludf.DUMMYFUNCTION("""COMPUTED_VALUE"""),41.0)</f>
        <v>41</v>
      </c>
      <c r="H867" s="1">
        <f>IFERROR(__xludf.DUMMYFUNCTION("""COMPUTED_VALUE"""),28.0)</f>
        <v>28</v>
      </c>
      <c r="I867" s="1">
        <f>IFERROR(__xludf.DUMMYFUNCTION("""COMPUTED_VALUE"""),82.0)</f>
        <v>82</v>
      </c>
      <c r="J867" s="1">
        <f>IFERROR(__xludf.DUMMYFUNCTION("""COMPUTED_VALUE"""),310.0)</f>
        <v>310</v>
      </c>
      <c r="K867" s="1">
        <f>IFERROR(__xludf.DUMMYFUNCTION("""COMPUTED_VALUE"""),62.0)</f>
        <v>62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>
        <f>IFERROR(__xludf.DUMMYFUNCTION("""COMPUTED_VALUE"""),22.0)</f>
        <v>22</v>
      </c>
      <c r="E868" s="1">
        <f>IFERROR(__xludf.DUMMYFUNCTION("""COMPUTED_VALUE"""),82.0)</f>
        <v>82</v>
      </c>
      <c r="F868" s="1">
        <f>IFERROR(__xludf.DUMMYFUNCTION("""COMPUTED_VALUE"""),44.0)</f>
        <v>44</v>
      </c>
      <c r="G868" s="1">
        <f>IFERROR(__xludf.DUMMYFUNCTION("""COMPUTED_VALUE"""),87.0)</f>
        <v>87</v>
      </c>
      <c r="H868" s="1">
        <f>IFERROR(__xludf.DUMMYFUNCTION("""COMPUTED_VALUE"""),34.0)</f>
        <v>34</v>
      </c>
      <c r="I868" s="1">
        <f>IFERROR(__xludf.DUMMYFUNCTION("""COMPUTED_VALUE"""),80.0)</f>
        <v>80</v>
      </c>
      <c r="J868" s="1">
        <f>IFERROR(__xludf.DUMMYFUNCTION("""COMPUTED_VALUE"""),327.0)</f>
        <v>327</v>
      </c>
      <c r="K868" s="1">
        <f>IFERROR(__xludf.DUMMYFUNCTION("""COMPUTED_VALUE"""),65.4)</f>
        <v>65.4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>
        <f>IFERROR(__xludf.DUMMYFUNCTION("""COMPUTED_VALUE"""),62.0)</f>
        <v>62</v>
      </c>
      <c r="E869" s="1">
        <f>IFERROR(__xludf.DUMMYFUNCTION("""COMPUTED_VALUE"""),42.0)</f>
        <v>42</v>
      </c>
      <c r="F869" s="1">
        <f>IFERROR(__xludf.DUMMYFUNCTION("""COMPUTED_VALUE"""),99.0)</f>
        <v>99</v>
      </c>
      <c r="G869" s="1">
        <f>IFERROR(__xludf.DUMMYFUNCTION("""COMPUTED_VALUE"""),67.0)</f>
        <v>67</v>
      </c>
      <c r="H869" s="1">
        <f>IFERROR(__xludf.DUMMYFUNCTION("""COMPUTED_VALUE"""),78.0)</f>
        <v>78</v>
      </c>
      <c r="I869" s="1">
        <f>IFERROR(__xludf.DUMMYFUNCTION("""COMPUTED_VALUE"""),52.0)</f>
        <v>52</v>
      </c>
      <c r="J869" s="1">
        <f>IFERROR(__xludf.DUMMYFUNCTION("""COMPUTED_VALUE"""),338.0)</f>
        <v>338</v>
      </c>
      <c r="K869" s="1">
        <f>IFERROR(__xludf.DUMMYFUNCTION("""COMPUTED_VALUE"""),67.60000000000001)</f>
        <v>67.6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>
        <f>IFERROR(__xludf.DUMMYFUNCTION("""COMPUTED_VALUE"""),33.0)</f>
        <v>33</v>
      </c>
      <c r="E870" s="1">
        <f>IFERROR(__xludf.DUMMYFUNCTION("""COMPUTED_VALUE"""),21.0)</f>
        <v>21</v>
      </c>
      <c r="F870" s="1">
        <f>IFERROR(__xludf.DUMMYFUNCTION("""COMPUTED_VALUE"""),66.0)</f>
        <v>66</v>
      </c>
      <c r="G870" s="1">
        <f>IFERROR(__xludf.DUMMYFUNCTION("""COMPUTED_VALUE"""),53.0)</f>
        <v>53</v>
      </c>
      <c r="H870" s="1">
        <f>IFERROR(__xludf.DUMMYFUNCTION("""COMPUTED_VALUE"""),65.0)</f>
        <v>65</v>
      </c>
      <c r="I870" s="1">
        <f>IFERROR(__xludf.DUMMYFUNCTION("""COMPUTED_VALUE"""),30.0)</f>
        <v>30</v>
      </c>
      <c r="J870" s="1">
        <f>IFERROR(__xludf.DUMMYFUNCTION("""COMPUTED_VALUE"""),235.0)</f>
        <v>235</v>
      </c>
      <c r="K870" s="1">
        <f>IFERROR(__xludf.DUMMYFUNCTION("""COMPUTED_VALUE"""),47.0)</f>
        <v>47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>
        <f>IFERROR(__xludf.DUMMYFUNCTION("""COMPUTED_VALUE"""),30.0)</f>
        <v>30</v>
      </c>
      <c r="E871" s="1">
        <f>IFERROR(__xludf.DUMMYFUNCTION("""COMPUTED_VALUE"""),28.0)</f>
        <v>28</v>
      </c>
      <c r="F871" s="1">
        <f>IFERROR(__xludf.DUMMYFUNCTION("""COMPUTED_VALUE"""),32.0)</f>
        <v>32</v>
      </c>
      <c r="G871" s="1">
        <f>IFERROR(__xludf.DUMMYFUNCTION("""COMPUTED_VALUE"""),63.0)</f>
        <v>63</v>
      </c>
      <c r="H871" s="1">
        <f>IFERROR(__xludf.DUMMYFUNCTION("""COMPUTED_VALUE"""),42.0)</f>
        <v>42</v>
      </c>
      <c r="I871" s="1">
        <f>IFERROR(__xludf.DUMMYFUNCTION("""COMPUTED_VALUE"""),78.0)</f>
        <v>78</v>
      </c>
      <c r="J871" s="1">
        <f>IFERROR(__xludf.DUMMYFUNCTION("""COMPUTED_VALUE"""),243.0)</f>
        <v>243</v>
      </c>
      <c r="K871" s="1">
        <f>IFERROR(__xludf.DUMMYFUNCTION("""COMPUTED_VALUE"""),48.6)</f>
        <v>48.6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>
        <f>IFERROR(__xludf.DUMMYFUNCTION("""COMPUTED_VALUE"""),88.0)</f>
        <v>88</v>
      </c>
      <c r="E872" s="1">
        <f>IFERROR(__xludf.DUMMYFUNCTION("""COMPUTED_VALUE"""),86.0)</f>
        <v>86</v>
      </c>
      <c r="F872" s="1">
        <f>IFERROR(__xludf.DUMMYFUNCTION("""COMPUTED_VALUE"""),41.0)</f>
        <v>41</v>
      </c>
      <c r="G872" s="1">
        <f>IFERROR(__xludf.DUMMYFUNCTION("""COMPUTED_VALUE"""),55.0)</f>
        <v>55</v>
      </c>
      <c r="H872" s="1">
        <f>IFERROR(__xludf.DUMMYFUNCTION("""COMPUTED_VALUE"""),33.0)</f>
        <v>33</v>
      </c>
      <c r="I872" s="1">
        <f>IFERROR(__xludf.DUMMYFUNCTION("""COMPUTED_VALUE"""),50.0)</f>
        <v>50</v>
      </c>
      <c r="J872" s="1">
        <f>IFERROR(__xludf.DUMMYFUNCTION("""COMPUTED_VALUE"""),265.0)</f>
        <v>265</v>
      </c>
      <c r="K872" s="1">
        <f>IFERROR(__xludf.DUMMYFUNCTION("""COMPUTED_VALUE"""),53.0)</f>
        <v>53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>
        <f>IFERROR(__xludf.DUMMYFUNCTION("""COMPUTED_VALUE"""),19.0)</f>
        <v>19</v>
      </c>
      <c r="E873" s="1">
        <f>IFERROR(__xludf.DUMMYFUNCTION("""COMPUTED_VALUE"""),65.0)</f>
        <v>65</v>
      </c>
      <c r="F873" s="1">
        <f>IFERROR(__xludf.DUMMYFUNCTION("""COMPUTED_VALUE"""),50.0)</f>
        <v>50</v>
      </c>
      <c r="G873" s="1">
        <f>IFERROR(__xludf.DUMMYFUNCTION("""COMPUTED_VALUE"""),77.0)</f>
        <v>77</v>
      </c>
      <c r="H873" s="1">
        <f>IFERROR(__xludf.DUMMYFUNCTION("""COMPUTED_VALUE"""),98.0)</f>
        <v>98</v>
      </c>
      <c r="I873" s="1">
        <f>IFERROR(__xludf.DUMMYFUNCTION("""COMPUTED_VALUE"""),30.0)</f>
        <v>30</v>
      </c>
      <c r="J873" s="1">
        <f>IFERROR(__xludf.DUMMYFUNCTION("""COMPUTED_VALUE"""),320.0)</f>
        <v>320</v>
      </c>
      <c r="K873" s="1">
        <f>IFERROR(__xludf.DUMMYFUNCTION("""COMPUTED_VALUE"""),64.0)</f>
        <v>64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>
        <f>IFERROR(__xludf.DUMMYFUNCTION("""COMPUTED_VALUE"""),14.0)</f>
        <v>14</v>
      </c>
      <c r="E874" s="1">
        <f>IFERROR(__xludf.DUMMYFUNCTION("""COMPUTED_VALUE"""),33.0)</f>
        <v>33</v>
      </c>
      <c r="F874" s="1">
        <f>IFERROR(__xludf.DUMMYFUNCTION("""COMPUTED_VALUE"""),88.0)</f>
        <v>88</v>
      </c>
      <c r="G874" s="1">
        <f>IFERROR(__xludf.DUMMYFUNCTION("""COMPUTED_VALUE"""),87.0)</f>
        <v>87</v>
      </c>
      <c r="H874" s="1">
        <f>IFERROR(__xludf.DUMMYFUNCTION("""COMPUTED_VALUE"""),21.0)</f>
        <v>21</v>
      </c>
      <c r="I874" s="1">
        <f>IFERROR(__xludf.DUMMYFUNCTION("""COMPUTED_VALUE"""),35.0)</f>
        <v>35</v>
      </c>
      <c r="J874" s="1">
        <f>IFERROR(__xludf.DUMMYFUNCTION("""COMPUTED_VALUE"""),264.0)</f>
        <v>264</v>
      </c>
      <c r="K874" s="1">
        <f>IFERROR(__xludf.DUMMYFUNCTION("""COMPUTED_VALUE"""),52.800000000000004)</f>
        <v>52.8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>
        <f>IFERROR(__xludf.DUMMYFUNCTION("""COMPUTED_VALUE"""),39.0)</f>
        <v>39</v>
      </c>
      <c r="E875" s="1">
        <f>IFERROR(__xludf.DUMMYFUNCTION("""COMPUTED_VALUE"""),55.0)</f>
        <v>55</v>
      </c>
      <c r="F875" s="1">
        <f>IFERROR(__xludf.DUMMYFUNCTION("""COMPUTED_VALUE"""),47.0)</f>
        <v>47</v>
      </c>
      <c r="G875" s="1">
        <f>IFERROR(__xludf.DUMMYFUNCTION("""COMPUTED_VALUE"""),74.0)</f>
        <v>74</v>
      </c>
      <c r="H875" s="1">
        <f>IFERROR(__xludf.DUMMYFUNCTION("""COMPUTED_VALUE"""),95.0)</f>
        <v>95</v>
      </c>
      <c r="I875" s="1">
        <f>IFERROR(__xludf.DUMMYFUNCTION("""COMPUTED_VALUE"""),28.0)</f>
        <v>28</v>
      </c>
      <c r="J875" s="1">
        <f>IFERROR(__xludf.DUMMYFUNCTION("""COMPUTED_VALUE"""),299.0)</f>
        <v>299</v>
      </c>
      <c r="K875" s="1">
        <f>IFERROR(__xludf.DUMMYFUNCTION("""COMPUTED_VALUE"""),59.8)</f>
        <v>59.8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>
        <f>IFERROR(__xludf.DUMMYFUNCTION("""COMPUTED_VALUE"""),76.0)</f>
        <v>76</v>
      </c>
      <c r="E876" s="1">
        <f>IFERROR(__xludf.DUMMYFUNCTION("""COMPUTED_VALUE"""),45.0)</f>
        <v>45</v>
      </c>
      <c r="F876" s="1">
        <f>IFERROR(__xludf.DUMMYFUNCTION("""COMPUTED_VALUE"""),61.0)</f>
        <v>61</v>
      </c>
      <c r="G876" s="1">
        <f>IFERROR(__xludf.DUMMYFUNCTION("""COMPUTED_VALUE"""),72.0)</f>
        <v>72</v>
      </c>
      <c r="H876" s="1">
        <f>IFERROR(__xludf.DUMMYFUNCTION("""COMPUTED_VALUE"""),55.0)</f>
        <v>55</v>
      </c>
      <c r="I876" s="1">
        <f>IFERROR(__xludf.DUMMYFUNCTION("""COMPUTED_VALUE"""),57.0)</f>
        <v>57</v>
      </c>
      <c r="J876" s="1">
        <f>IFERROR(__xludf.DUMMYFUNCTION("""COMPUTED_VALUE"""),290.0)</f>
        <v>290</v>
      </c>
      <c r="K876" s="1">
        <f>IFERROR(__xludf.DUMMYFUNCTION("""COMPUTED_VALUE"""),57.99999999999999)</f>
        <v>58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>
        <f>IFERROR(__xludf.DUMMYFUNCTION("""COMPUTED_VALUE"""),39.0)</f>
        <v>39</v>
      </c>
      <c r="E877" s="1">
        <f>IFERROR(__xludf.DUMMYFUNCTION("""COMPUTED_VALUE"""),36.0)</f>
        <v>36</v>
      </c>
      <c r="F877" s="1">
        <f>IFERROR(__xludf.DUMMYFUNCTION("""COMPUTED_VALUE"""),55.0)</f>
        <v>55</v>
      </c>
      <c r="G877" s="1">
        <f>IFERROR(__xludf.DUMMYFUNCTION("""COMPUTED_VALUE"""),78.0)</f>
        <v>78</v>
      </c>
      <c r="H877" s="1">
        <f>IFERROR(__xludf.DUMMYFUNCTION("""COMPUTED_VALUE"""),75.0)</f>
        <v>75</v>
      </c>
      <c r="I877" s="1">
        <f>IFERROR(__xludf.DUMMYFUNCTION("""COMPUTED_VALUE"""),80.0)</f>
        <v>80</v>
      </c>
      <c r="J877" s="1">
        <f>IFERROR(__xludf.DUMMYFUNCTION("""COMPUTED_VALUE"""),324.0)</f>
        <v>324</v>
      </c>
      <c r="K877" s="1">
        <f>IFERROR(__xludf.DUMMYFUNCTION("""COMPUTED_VALUE"""),64.8)</f>
        <v>64.8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>
        <f>IFERROR(__xludf.DUMMYFUNCTION("""COMPUTED_VALUE"""),14.0)</f>
        <v>14</v>
      </c>
      <c r="E878" s="1">
        <f>IFERROR(__xludf.DUMMYFUNCTION("""COMPUTED_VALUE"""),63.0)</f>
        <v>63</v>
      </c>
      <c r="F878" s="1">
        <f>IFERROR(__xludf.DUMMYFUNCTION("""COMPUTED_VALUE"""),38.0)</f>
        <v>38</v>
      </c>
      <c r="G878" s="1">
        <f>IFERROR(__xludf.DUMMYFUNCTION("""COMPUTED_VALUE"""),77.0)</f>
        <v>77</v>
      </c>
      <c r="H878" s="1">
        <f>IFERROR(__xludf.DUMMYFUNCTION("""COMPUTED_VALUE"""),63.0)</f>
        <v>63</v>
      </c>
      <c r="I878" s="1">
        <f>IFERROR(__xludf.DUMMYFUNCTION("""COMPUTED_VALUE"""),94.0)</f>
        <v>94</v>
      </c>
      <c r="J878" s="1">
        <f>IFERROR(__xludf.DUMMYFUNCTION("""COMPUTED_VALUE"""),335.0)</f>
        <v>335</v>
      </c>
      <c r="K878" s="1">
        <f>IFERROR(__xludf.DUMMYFUNCTION("""COMPUTED_VALUE"""),67.0)</f>
        <v>67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>
        <f>IFERROR(__xludf.DUMMYFUNCTION("""COMPUTED_VALUE"""),26.0)</f>
        <v>26</v>
      </c>
      <c r="E879" s="1">
        <f>IFERROR(__xludf.DUMMYFUNCTION("""COMPUTED_VALUE"""),65.0)</f>
        <v>65</v>
      </c>
      <c r="F879" s="1">
        <f>IFERROR(__xludf.DUMMYFUNCTION("""COMPUTED_VALUE"""),67.0)</f>
        <v>67</v>
      </c>
      <c r="G879" s="1">
        <f>IFERROR(__xludf.DUMMYFUNCTION("""COMPUTED_VALUE"""),59.0)</f>
        <v>59</v>
      </c>
      <c r="H879" s="1">
        <f>IFERROR(__xludf.DUMMYFUNCTION("""COMPUTED_VALUE"""),28.0)</f>
        <v>28</v>
      </c>
      <c r="I879" s="1">
        <f>IFERROR(__xludf.DUMMYFUNCTION("""COMPUTED_VALUE"""),96.0)</f>
        <v>96</v>
      </c>
      <c r="J879" s="1">
        <f>IFERROR(__xludf.DUMMYFUNCTION("""COMPUTED_VALUE"""),315.0)</f>
        <v>315</v>
      </c>
      <c r="K879" s="1">
        <f>IFERROR(__xludf.DUMMYFUNCTION("""COMPUTED_VALUE"""),63.0)</f>
        <v>63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>
        <f>IFERROR(__xludf.DUMMYFUNCTION("""COMPUTED_VALUE"""),87.0)</f>
        <v>87</v>
      </c>
      <c r="E880" s="1">
        <f>IFERROR(__xludf.DUMMYFUNCTION("""COMPUTED_VALUE"""),59.0)</f>
        <v>59</v>
      </c>
      <c r="F880" s="1">
        <f>IFERROR(__xludf.DUMMYFUNCTION("""COMPUTED_VALUE"""),33.0)</f>
        <v>33</v>
      </c>
      <c r="G880" s="1">
        <f>IFERROR(__xludf.DUMMYFUNCTION("""COMPUTED_VALUE"""),89.0)</f>
        <v>89</v>
      </c>
      <c r="H880" s="1">
        <f>IFERROR(__xludf.DUMMYFUNCTION("""COMPUTED_VALUE"""),87.0)</f>
        <v>87</v>
      </c>
      <c r="I880" s="1">
        <f>IFERROR(__xludf.DUMMYFUNCTION("""COMPUTED_VALUE"""),49.0)</f>
        <v>49</v>
      </c>
      <c r="J880" s="1">
        <f>IFERROR(__xludf.DUMMYFUNCTION("""COMPUTED_VALUE"""),317.0)</f>
        <v>317</v>
      </c>
      <c r="K880" s="1">
        <f>IFERROR(__xludf.DUMMYFUNCTION("""COMPUTED_VALUE"""),63.4)</f>
        <v>63.4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>
        <f>IFERROR(__xludf.DUMMYFUNCTION("""COMPUTED_VALUE"""),46.0)</f>
        <v>46</v>
      </c>
      <c r="E881" s="1">
        <f>IFERROR(__xludf.DUMMYFUNCTION("""COMPUTED_VALUE"""),29.0)</f>
        <v>29</v>
      </c>
      <c r="F881" s="1">
        <f>IFERROR(__xludf.DUMMYFUNCTION("""COMPUTED_VALUE"""),28.0)</f>
        <v>28</v>
      </c>
      <c r="G881" s="1">
        <f>IFERROR(__xludf.DUMMYFUNCTION("""COMPUTED_VALUE"""),58.0)</f>
        <v>58</v>
      </c>
      <c r="H881" s="1">
        <f>IFERROR(__xludf.DUMMYFUNCTION("""COMPUTED_VALUE"""),94.0)</f>
        <v>94</v>
      </c>
      <c r="I881" s="1">
        <f>IFERROR(__xludf.DUMMYFUNCTION("""COMPUTED_VALUE"""),79.0)</f>
        <v>79</v>
      </c>
      <c r="J881" s="1">
        <f>IFERROR(__xludf.DUMMYFUNCTION("""COMPUTED_VALUE"""),288.0)</f>
        <v>288</v>
      </c>
      <c r="K881" s="1">
        <f>IFERROR(__xludf.DUMMYFUNCTION("""COMPUTED_VALUE"""),57.599999999999994)</f>
        <v>57.6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>
        <f>IFERROR(__xludf.DUMMYFUNCTION("""COMPUTED_VALUE"""),75.0)</f>
        <v>75</v>
      </c>
      <c r="E882" s="1">
        <f>IFERROR(__xludf.DUMMYFUNCTION("""COMPUTED_VALUE"""),22.0)</f>
        <v>22</v>
      </c>
      <c r="F882" s="1">
        <f>IFERROR(__xludf.DUMMYFUNCTION("""COMPUTED_VALUE"""),89.0)</f>
        <v>89</v>
      </c>
      <c r="G882" s="1">
        <f>IFERROR(__xludf.DUMMYFUNCTION("""COMPUTED_VALUE"""),77.0)</f>
        <v>77</v>
      </c>
      <c r="H882" s="1">
        <f>IFERROR(__xludf.DUMMYFUNCTION("""COMPUTED_VALUE"""),88.0)</f>
        <v>88</v>
      </c>
      <c r="I882" s="1">
        <f>IFERROR(__xludf.DUMMYFUNCTION("""COMPUTED_VALUE"""),52.0)</f>
        <v>52</v>
      </c>
      <c r="J882" s="1">
        <f>IFERROR(__xludf.DUMMYFUNCTION("""COMPUTED_VALUE"""),328.0)</f>
        <v>328</v>
      </c>
      <c r="K882" s="1">
        <f>IFERROR(__xludf.DUMMYFUNCTION("""COMPUTED_VALUE"""),65.60000000000001)</f>
        <v>65.6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>
        <f>IFERROR(__xludf.DUMMYFUNCTION("""COMPUTED_VALUE"""),22.0)</f>
        <v>22</v>
      </c>
      <c r="E883" s="1">
        <f>IFERROR(__xludf.DUMMYFUNCTION("""COMPUTED_VALUE"""),66.0)</f>
        <v>66</v>
      </c>
      <c r="F883" s="1">
        <f>IFERROR(__xludf.DUMMYFUNCTION("""COMPUTED_VALUE"""),84.0)</f>
        <v>84</v>
      </c>
      <c r="G883" s="1">
        <f>IFERROR(__xludf.DUMMYFUNCTION("""COMPUTED_VALUE"""),25.0)</f>
        <v>25</v>
      </c>
      <c r="H883" s="1">
        <f>IFERROR(__xludf.DUMMYFUNCTION("""COMPUTED_VALUE"""),27.0)</f>
        <v>27</v>
      </c>
      <c r="I883" s="1">
        <f>IFERROR(__xludf.DUMMYFUNCTION("""COMPUTED_VALUE"""),87.0)</f>
        <v>87</v>
      </c>
      <c r="J883" s="1">
        <f>IFERROR(__xludf.DUMMYFUNCTION("""COMPUTED_VALUE"""),289.0)</f>
        <v>289</v>
      </c>
      <c r="K883" s="1">
        <f>IFERROR(__xludf.DUMMYFUNCTION("""COMPUTED_VALUE"""),57.8)</f>
        <v>57.8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>
        <f>IFERROR(__xludf.DUMMYFUNCTION("""COMPUTED_VALUE"""),70.0)</f>
        <v>70</v>
      </c>
      <c r="E884" s="1">
        <f>IFERROR(__xludf.DUMMYFUNCTION("""COMPUTED_VALUE"""),60.0)</f>
        <v>60</v>
      </c>
      <c r="F884" s="1">
        <f>IFERROR(__xludf.DUMMYFUNCTION("""COMPUTED_VALUE"""),72.0)</f>
        <v>72</v>
      </c>
      <c r="G884" s="1">
        <f>IFERROR(__xludf.DUMMYFUNCTION("""COMPUTED_VALUE"""),39.0)</f>
        <v>39</v>
      </c>
      <c r="H884" s="1">
        <f>IFERROR(__xludf.DUMMYFUNCTION("""COMPUTED_VALUE"""),38.0)</f>
        <v>38</v>
      </c>
      <c r="I884" s="1">
        <f>IFERROR(__xludf.DUMMYFUNCTION("""COMPUTED_VALUE"""),60.0)</f>
        <v>60</v>
      </c>
      <c r="J884" s="1">
        <f>IFERROR(__xludf.DUMMYFUNCTION("""COMPUTED_VALUE"""),269.0)</f>
        <v>269</v>
      </c>
      <c r="K884" s="1">
        <f>IFERROR(__xludf.DUMMYFUNCTION("""COMPUTED_VALUE"""),53.800000000000004)</f>
        <v>53.8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>
        <f>IFERROR(__xludf.DUMMYFUNCTION("""COMPUTED_VALUE"""),53.0)</f>
        <v>53</v>
      </c>
      <c r="E885" s="1">
        <f>IFERROR(__xludf.DUMMYFUNCTION("""COMPUTED_VALUE"""),21.0)</f>
        <v>21</v>
      </c>
      <c r="F885" s="1">
        <f>IFERROR(__xludf.DUMMYFUNCTION("""COMPUTED_VALUE"""),33.0)</f>
        <v>33</v>
      </c>
      <c r="G885" s="1">
        <f>IFERROR(__xludf.DUMMYFUNCTION("""COMPUTED_VALUE"""),20.0)</f>
        <v>20</v>
      </c>
      <c r="H885" s="1">
        <f>IFERROR(__xludf.DUMMYFUNCTION("""COMPUTED_VALUE"""),27.0)</f>
        <v>27</v>
      </c>
      <c r="I885" s="1">
        <f>IFERROR(__xludf.DUMMYFUNCTION("""COMPUTED_VALUE"""),27.0)</f>
        <v>27</v>
      </c>
      <c r="J885" s="1">
        <f>IFERROR(__xludf.DUMMYFUNCTION("""COMPUTED_VALUE"""),128.0)</f>
        <v>128</v>
      </c>
      <c r="K885" s="1">
        <f>IFERROR(__xludf.DUMMYFUNCTION("""COMPUTED_VALUE"""),25.6)</f>
        <v>25.6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>
        <f>IFERROR(__xludf.DUMMYFUNCTION("""COMPUTED_VALUE"""),81.0)</f>
        <v>81</v>
      </c>
      <c r="E886" s="1">
        <f>IFERROR(__xludf.DUMMYFUNCTION("""COMPUTED_VALUE"""),81.0)</f>
        <v>81</v>
      </c>
      <c r="F886" s="1">
        <f>IFERROR(__xludf.DUMMYFUNCTION("""COMPUTED_VALUE"""),27.0)</f>
        <v>27</v>
      </c>
      <c r="G886" s="1">
        <f>IFERROR(__xludf.DUMMYFUNCTION("""COMPUTED_VALUE"""),79.0)</f>
        <v>79</v>
      </c>
      <c r="H886" s="1">
        <f>IFERROR(__xludf.DUMMYFUNCTION("""COMPUTED_VALUE"""),32.0)</f>
        <v>32</v>
      </c>
      <c r="I886" s="1">
        <f>IFERROR(__xludf.DUMMYFUNCTION("""COMPUTED_VALUE"""),87.0)</f>
        <v>87</v>
      </c>
      <c r="J886" s="1">
        <f>IFERROR(__xludf.DUMMYFUNCTION("""COMPUTED_VALUE"""),306.0)</f>
        <v>306</v>
      </c>
      <c r="K886" s="1">
        <f>IFERROR(__xludf.DUMMYFUNCTION("""COMPUTED_VALUE"""),61.199999999999996)</f>
        <v>61.2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>
        <f>IFERROR(__xludf.DUMMYFUNCTION("""COMPUTED_VALUE"""),74.0)</f>
        <v>74</v>
      </c>
      <c r="E887" s="1">
        <f>IFERROR(__xludf.DUMMYFUNCTION("""COMPUTED_VALUE"""),69.0)</f>
        <v>69</v>
      </c>
      <c r="F887" s="1">
        <f>IFERROR(__xludf.DUMMYFUNCTION("""COMPUTED_VALUE"""),72.0)</f>
        <v>72</v>
      </c>
      <c r="G887" s="1">
        <f>IFERROR(__xludf.DUMMYFUNCTION("""COMPUTED_VALUE"""),24.0)</f>
        <v>24</v>
      </c>
      <c r="H887" s="1">
        <f>IFERROR(__xludf.DUMMYFUNCTION("""COMPUTED_VALUE"""),48.0)</f>
        <v>48</v>
      </c>
      <c r="I887" s="1">
        <f>IFERROR(__xludf.DUMMYFUNCTION("""COMPUTED_VALUE"""),77.0)</f>
        <v>77</v>
      </c>
      <c r="J887" s="1">
        <f>IFERROR(__xludf.DUMMYFUNCTION("""COMPUTED_VALUE"""),290.0)</f>
        <v>290</v>
      </c>
      <c r="K887" s="1">
        <f>IFERROR(__xludf.DUMMYFUNCTION("""COMPUTED_VALUE"""),57.99999999999999)</f>
        <v>58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>
        <f>IFERROR(__xludf.DUMMYFUNCTION("""COMPUTED_VALUE"""),59.0)</f>
        <v>59</v>
      </c>
      <c r="E888" s="1">
        <f>IFERROR(__xludf.DUMMYFUNCTION("""COMPUTED_VALUE"""),38.0)</f>
        <v>38</v>
      </c>
      <c r="F888" s="1">
        <f>IFERROR(__xludf.DUMMYFUNCTION("""COMPUTED_VALUE"""),53.0)</f>
        <v>53</v>
      </c>
      <c r="G888" s="1">
        <f>IFERROR(__xludf.DUMMYFUNCTION("""COMPUTED_VALUE"""),25.0)</f>
        <v>25</v>
      </c>
      <c r="H888" s="1">
        <f>IFERROR(__xludf.DUMMYFUNCTION("""COMPUTED_VALUE"""),53.0)</f>
        <v>53</v>
      </c>
      <c r="I888" s="1">
        <f>IFERROR(__xludf.DUMMYFUNCTION("""COMPUTED_VALUE"""),96.0)</f>
        <v>96</v>
      </c>
      <c r="J888" s="1">
        <f>IFERROR(__xludf.DUMMYFUNCTION("""COMPUTED_VALUE"""),265.0)</f>
        <v>265</v>
      </c>
      <c r="K888" s="1">
        <f>IFERROR(__xludf.DUMMYFUNCTION("""COMPUTED_VALUE"""),53.0)</f>
        <v>53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>
        <f>IFERROR(__xludf.DUMMYFUNCTION("""COMPUTED_VALUE"""),89.0)</f>
        <v>89</v>
      </c>
      <c r="E889" s="1">
        <f>IFERROR(__xludf.DUMMYFUNCTION("""COMPUTED_VALUE"""),60.0)</f>
        <v>60</v>
      </c>
      <c r="F889" s="1">
        <f>IFERROR(__xludf.DUMMYFUNCTION("""COMPUTED_VALUE"""),66.0)</f>
        <v>66</v>
      </c>
      <c r="G889" s="1">
        <f>IFERROR(__xludf.DUMMYFUNCTION("""COMPUTED_VALUE"""),38.0)</f>
        <v>38</v>
      </c>
      <c r="H889" s="1">
        <f>IFERROR(__xludf.DUMMYFUNCTION("""COMPUTED_VALUE"""),37.0)</f>
        <v>37</v>
      </c>
      <c r="I889" s="1">
        <f>IFERROR(__xludf.DUMMYFUNCTION("""COMPUTED_VALUE"""),62.0)</f>
        <v>62</v>
      </c>
      <c r="J889" s="1">
        <f>IFERROR(__xludf.DUMMYFUNCTION("""COMPUTED_VALUE"""),263.0)</f>
        <v>263</v>
      </c>
      <c r="K889" s="1">
        <f>IFERROR(__xludf.DUMMYFUNCTION("""COMPUTED_VALUE"""),52.6)</f>
        <v>52.6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>
        <f>IFERROR(__xludf.DUMMYFUNCTION("""COMPUTED_VALUE"""),88.0)</f>
        <v>88</v>
      </c>
      <c r="E890" s="1">
        <f>IFERROR(__xludf.DUMMYFUNCTION("""COMPUTED_VALUE"""),71.0)</f>
        <v>71</v>
      </c>
      <c r="F890" s="1">
        <f>IFERROR(__xludf.DUMMYFUNCTION("""COMPUTED_VALUE"""),30.0)</f>
        <v>30</v>
      </c>
      <c r="G890" s="1">
        <f>IFERROR(__xludf.DUMMYFUNCTION("""COMPUTED_VALUE"""),34.0)</f>
        <v>34</v>
      </c>
      <c r="H890" s="1">
        <f>IFERROR(__xludf.DUMMYFUNCTION("""COMPUTED_VALUE"""),51.0)</f>
        <v>51</v>
      </c>
      <c r="I890" s="1">
        <f>IFERROR(__xludf.DUMMYFUNCTION("""COMPUTED_VALUE"""),70.0)</f>
        <v>70</v>
      </c>
      <c r="J890" s="1">
        <f>IFERROR(__xludf.DUMMYFUNCTION("""COMPUTED_VALUE"""),256.0)</f>
        <v>256</v>
      </c>
      <c r="K890" s="1">
        <f>IFERROR(__xludf.DUMMYFUNCTION("""COMPUTED_VALUE"""),51.2)</f>
        <v>51.2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>
        <f>IFERROR(__xludf.DUMMYFUNCTION("""COMPUTED_VALUE"""),62.0)</f>
        <v>62</v>
      </c>
      <c r="E891" s="1">
        <f>IFERROR(__xludf.DUMMYFUNCTION("""COMPUTED_VALUE"""),24.0)</f>
        <v>24</v>
      </c>
      <c r="F891" s="1">
        <f>IFERROR(__xludf.DUMMYFUNCTION("""COMPUTED_VALUE"""),25.0)</f>
        <v>25</v>
      </c>
      <c r="G891" s="1">
        <f>IFERROR(__xludf.DUMMYFUNCTION("""COMPUTED_VALUE"""),39.0)</f>
        <v>39</v>
      </c>
      <c r="H891" s="1">
        <f>IFERROR(__xludf.DUMMYFUNCTION("""COMPUTED_VALUE"""),28.0)</f>
        <v>28</v>
      </c>
      <c r="I891" s="1">
        <f>IFERROR(__xludf.DUMMYFUNCTION("""COMPUTED_VALUE"""),78.0)</f>
        <v>78</v>
      </c>
      <c r="J891" s="1">
        <f>IFERROR(__xludf.DUMMYFUNCTION("""COMPUTED_VALUE"""),194.0)</f>
        <v>194</v>
      </c>
      <c r="K891" s="1">
        <f>IFERROR(__xludf.DUMMYFUNCTION("""COMPUTED_VALUE"""),38.800000000000004)</f>
        <v>38.8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>
        <f>IFERROR(__xludf.DUMMYFUNCTION("""COMPUTED_VALUE"""),40.0)</f>
        <v>40</v>
      </c>
      <c r="E892" s="1">
        <f>IFERROR(__xludf.DUMMYFUNCTION("""COMPUTED_VALUE"""),73.0)</f>
        <v>73</v>
      </c>
      <c r="F892" s="1">
        <f>IFERROR(__xludf.DUMMYFUNCTION("""COMPUTED_VALUE"""),33.0)</f>
        <v>33</v>
      </c>
      <c r="G892" s="1">
        <f>IFERROR(__xludf.DUMMYFUNCTION("""COMPUTED_VALUE"""),70.0)</f>
        <v>70</v>
      </c>
      <c r="H892" s="1">
        <f>IFERROR(__xludf.DUMMYFUNCTION("""COMPUTED_VALUE"""),38.0)</f>
        <v>38</v>
      </c>
      <c r="I892" s="1">
        <f>IFERROR(__xludf.DUMMYFUNCTION("""COMPUTED_VALUE"""),35.0)</f>
        <v>35</v>
      </c>
      <c r="J892" s="1">
        <f>IFERROR(__xludf.DUMMYFUNCTION("""COMPUTED_VALUE"""),249.0)</f>
        <v>249</v>
      </c>
      <c r="K892" s="1">
        <f>IFERROR(__xludf.DUMMYFUNCTION("""COMPUTED_VALUE"""),49.8)</f>
        <v>49.8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>
        <f>IFERROR(__xludf.DUMMYFUNCTION("""COMPUTED_VALUE"""),51.0)</f>
        <v>51</v>
      </c>
      <c r="E893" s="1">
        <f>IFERROR(__xludf.DUMMYFUNCTION("""COMPUTED_VALUE"""),27.0)</f>
        <v>27</v>
      </c>
      <c r="F893" s="1">
        <f>IFERROR(__xludf.DUMMYFUNCTION("""COMPUTED_VALUE"""),34.0)</f>
        <v>34</v>
      </c>
      <c r="G893" s="1">
        <f>IFERROR(__xludf.DUMMYFUNCTION("""COMPUTED_VALUE"""),70.0)</f>
        <v>70</v>
      </c>
      <c r="H893" s="1">
        <f>IFERROR(__xludf.DUMMYFUNCTION("""COMPUTED_VALUE"""),46.0)</f>
        <v>46</v>
      </c>
      <c r="I893" s="1">
        <f>IFERROR(__xludf.DUMMYFUNCTION("""COMPUTED_VALUE"""),51.0)</f>
        <v>51</v>
      </c>
      <c r="J893" s="1">
        <f>IFERROR(__xludf.DUMMYFUNCTION("""COMPUTED_VALUE"""),228.0)</f>
        <v>228</v>
      </c>
      <c r="K893" s="1">
        <f>IFERROR(__xludf.DUMMYFUNCTION("""COMPUTED_VALUE"""),45.6)</f>
        <v>45.6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>
        <f>IFERROR(__xludf.DUMMYFUNCTION("""COMPUTED_VALUE"""),45.0)</f>
        <v>45</v>
      </c>
      <c r="E894" s="1">
        <f>IFERROR(__xludf.DUMMYFUNCTION("""COMPUTED_VALUE"""),86.0)</f>
        <v>86</v>
      </c>
      <c r="F894" s="1">
        <f>IFERROR(__xludf.DUMMYFUNCTION("""COMPUTED_VALUE"""),93.0)</f>
        <v>93</v>
      </c>
      <c r="G894" s="1">
        <f>IFERROR(__xludf.DUMMYFUNCTION("""COMPUTED_VALUE"""),20.0)</f>
        <v>20</v>
      </c>
      <c r="H894" s="1">
        <f>IFERROR(__xludf.DUMMYFUNCTION("""COMPUTED_VALUE"""),54.0)</f>
        <v>54</v>
      </c>
      <c r="I894" s="1">
        <f>IFERROR(__xludf.DUMMYFUNCTION("""COMPUTED_VALUE"""),41.0)</f>
        <v>41</v>
      </c>
      <c r="J894" s="1">
        <f>IFERROR(__xludf.DUMMYFUNCTION("""COMPUTED_VALUE"""),294.0)</f>
        <v>294</v>
      </c>
      <c r="K894" s="1">
        <f>IFERROR(__xludf.DUMMYFUNCTION("""COMPUTED_VALUE"""),58.8)</f>
        <v>58.8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>
        <f>IFERROR(__xludf.DUMMYFUNCTION("""COMPUTED_VALUE"""),30.0)</f>
        <v>30</v>
      </c>
      <c r="E895" s="1">
        <f>IFERROR(__xludf.DUMMYFUNCTION("""COMPUTED_VALUE"""),73.0)</f>
        <v>73</v>
      </c>
      <c r="F895" s="1">
        <f>IFERROR(__xludf.DUMMYFUNCTION("""COMPUTED_VALUE"""),49.0)</f>
        <v>49</v>
      </c>
      <c r="G895" s="1">
        <f>IFERROR(__xludf.DUMMYFUNCTION("""COMPUTED_VALUE"""),80.0)</f>
        <v>80</v>
      </c>
      <c r="H895" s="1">
        <f>IFERROR(__xludf.DUMMYFUNCTION("""COMPUTED_VALUE"""),89.0)</f>
        <v>89</v>
      </c>
      <c r="I895" s="1">
        <f>IFERROR(__xludf.DUMMYFUNCTION("""COMPUTED_VALUE"""),79.0)</f>
        <v>79</v>
      </c>
      <c r="J895" s="1">
        <f>IFERROR(__xludf.DUMMYFUNCTION("""COMPUTED_VALUE"""),370.0)</f>
        <v>370</v>
      </c>
      <c r="K895" s="1">
        <f>IFERROR(__xludf.DUMMYFUNCTION("""COMPUTED_VALUE"""),74.0)</f>
        <v>74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>
        <f>IFERROR(__xludf.DUMMYFUNCTION("""COMPUTED_VALUE"""),98.0)</f>
        <v>98</v>
      </c>
      <c r="E896" s="1">
        <f>IFERROR(__xludf.DUMMYFUNCTION("""COMPUTED_VALUE"""),83.0)</f>
        <v>83</v>
      </c>
      <c r="F896" s="1">
        <f>IFERROR(__xludf.DUMMYFUNCTION("""COMPUTED_VALUE"""),37.0)</f>
        <v>37</v>
      </c>
      <c r="G896" s="1">
        <f>IFERROR(__xludf.DUMMYFUNCTION("""COMPUTED_VALUE"""),99.0)</f>
        <v>99</v>
      </c>
      <c r="H896" s="1">
        <f>IFERROR(__xludf.DUMMYFUNCTION("""COMPUTED_VALUE"""),30.0)</f>
        <v>30</v>
      </c>
      <c r="I896" s="1">
        <f>IFERROR(__xludf.DUMMYFUNCTION("""COMPUTED_VALUE"""),86.0)</f>
        <v>86</v>
      </c>
      <c r="J896" s="1">
        <f>IFERROR(__xludf.DUMMYFUNCTION("""COMPUTED_VALUE"""),335.0)</f>
        <v>335</v>
      </c>
      <c r="K896" s="1">
        <f>IFERROR(__xludf.DUMMYFUNCTION("""COMPUTED_VALUE"""),67.0)</f>
        <v>67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>
        <f>IFERROR(__xludf.DUMMYFUNCTION("""COMPUTED_VALUE"""),65.0)</f>
        <v>65</v>
      </c>
      <c r="E897" s="1">
        <f>IFERROR(__xludf.DUMMYFUNCTION("""COMPUTED_VALUE"""),89.0)</f>
        <v>89</v>
      </c>
      <c r="F897" s="1">
        <f>IFERROR(__xludf.DUMMYFUNCTION("""COMPUTED_VALUE"""),87.0)</f>
        <v>87</v>
      </c>
      <c r="G897" s="1">
        <f>IFERROR(__xludf.DUMMYFUNCTION("""COMPUTED_VALUE"""),49.0)</f>
        <v>49</v>
      </c>
      <c r="H897" s="1">
        <f>IFERROR(__xludf.DUMMYFUNCTION("""COMPUTED_VALUE"""),45.0)</f>
        <v>45</v>
      </c>
      <c r="I897" s="1">
        <f>IFERROR(__xludf.DUMMYFUNCTION("""COMPUTED_VALUE"""),74.0)</f>
        <v>74</v>
      </c>
      <c r="J897" s="1">
        <f>IFERROR(__xludf.DUMMYFUNCTION("""COMPUTED_VALUE"""),344.0)</f>
        <v>344</v>
      </c>
      <c r="K897" s="1">
        <f>IFERROR(__xludf.DUMMYFUNCTION("""COMPUTED_VALUE"""),68.8)</f>
        <v>68.8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>
        <f>IFERROR(__xludf.DUMMYFUNCTION("""COMPUTED_VALUE"""),22.0)</f>
        <v>22</v>
      </c>
      <c r="E898" s="1">
        <f>IFERROR(__xludf.DUMMYFUNCTION("""COMPUTED_VALUE"""),51.0)</f>
        <v>51</v>
      </c>
      <c r="F898" s="1">
        <f>IFERROR(__xludf.DUMMYFUNCTION("""COMPUTED_VALUE"""),77.0)</f>
        <v>77</v>
      </c>
      <c r="G898" s="1">
        <f>IFERROR(__xludf.DUMMYFUNCTION("""COMPUTED_VALUE"""),91.0)</f>
        <v>91</v>
      </c>
      <c r="H898" s="1">
        <f>IFERROR(__xludf.DUMMYFUNCTION("""COMPUTED_VALUE"""),29.0)</f>
        <v>29</v>
      </c>
      <c r="I898" s="1">
        <f>IFERROR(__xludf.DUMMYFUNCTION("""COMPUTED_VALUE"""),63.0)</f>
        <v>63</v>
      </c>
      <c r="J898" s="1">
        <f>IFERROR(__xludf.DUMMYFUNCTION("""COMPUTED_VALUE"""),311.0)</f>
        <v>311</v>
      </c>
      <c r="K898" s="1">
        <f>IFERROR(__xludf.DUMMYFUNCTION("""COMPUTED_VALUE"""),62.2)</f>
        <v>62.2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>
        <f>IFERROR(__xludf.DUMMYFUNCTION("""COMPUTED_VALUE"""),73.0)</f>
        <v>73</v>
      </c>
      <c r="E899" s="1">
        <f>IFERROR(__xludf.DUMMYFUNCTION("""COMPUTED_VALUE"""),38.0)</f>
        <v>38</v>
      </c>
      <c r="F899" s="1">
        <f>IFERROR(__xludf.DUMMYFUNCTION("""COMPUTED_VALUE"""),40.0)</f>
        <v>40</v>
      </c>
      <c r="G899" s="1">
        <f>IFERROR(__xludf.DUMMYFUNCTION("""COMPUTED_VALUE"""),60.0)</f>
        <v>60</v>
      </c>
      <c r="H899" s="1">
        <f>IFERROR(__xludf.DUMMYFUNCTION("""COMPUTED_VALUE"""),71.0)</f>
        <v>71</v>
      </c>
      <c r="I899" s="1">
        <f>IFERROR(__xludf.DUMMYFUNCTION("""COMPUTED_VALUE"""),89.0)</f>
        <v>89</v>
      </c>
      <c r="J899" s="1">
        <f>IFERROR(__xludf.DUMMYFUNCTION("""COMPUTED_VALUE"""),298.0)</f>
        <v>298</v>
      </c>
      <c r="K899" s="1">
        <f>IFERROR(__xludf.DUMMYFUNCTION("""COMPUTED_VALUE"""),59.599999999999994)</f>
        <v>59.6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>
        <f>IFERROR(__xludf.DUMMYFUNCTION("""COMPUTED_VALUE"""),89.0)</f>
        <v>89</v>
      </c>
      <c r="E900" s="1">
        <f>IFERROR(__xludf.DUMMYFUNCTION("""COMPUTED_VALUE"""),91.0)</f>
        <v>91</v>
      </c>
      <c r="F900" s="1">
        <f>IFERROR(__xludf.DUMMYFUNCTION("""COMPUTED_VALUE"""),22.0)</f>
        <v>22</v>
      </c>
      <c r="G900" s="1">
        <f>IFERROR(__xludf.DUMMYFUNCTION("""COMPUTED_VALUE"""),92.0)</f>
        <v>92</v>
      </c>
      <c r="H900" s="1">
        <f>IFERROR(__xludf.DUMMYFUNCTION("""COMPUTED_VALUE"""),86.0)</f>
        <v>86</v>
      </c>
      <c r="I900" s="1">
        <f>IFERROR(__xludf.DUMMYFUNCTION("""COMPUTED_VALUE"""),91.0)</f>
        <v>91</v>
      </c>
      <c r="J900" s="1">
        <f>IFERROR(__xludf.DUMMYFUNCTION("""COMPUTED_VALUE"""),382.0)</f>
        <v>382</v>
      </c>
      <c r="K900" s="1">
        <f>IFERROR(__xludf.DUMMYFUNCTION("""COMPUTED_VALUE"""),76.4)</f>
        <v>76.4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>
        <f>IFERROR(__xludf.DUMMYFUNCTION("""COMPUTED_VALUE"""),44.0)</f>
        <v>44</v>
      </c>
      <c r="E901" s="1">
        <f>IFERROR(__xludf.DUMMYFUNCTION("""COMPUTED_VALUE"""),84.0)</f>
        <v>84</v>
      </c>
      <c r="F901" s="1">
        <f>IFERROR(__xludf.DUMMYFUNCTION("""COMPUTED_VALUE"""),50.0)</f>
        <v>50</v>
      </c>
      <c r="G901" s="1">
        <f>IFERROR(__xludf.DUMMYFUNCTION("""COMPUTED_VALUE"""),49.0)</f>
        <v>49</v>
      </c>
      <c r="H901" s="1">
        <f>IFERROR(__xludf.DUMMYFUNCTION("""COMPUTED_VALUE"""),26.0)</f>
        <v>26</v>
      </c>
      <c r="I901" s="1">
        <f>IFERROR(__xludf.DUMMYFUNCTION("""COMPUTED_VALUE"""),83.0)</f>
        <v>83</v>
      </c>
      <c r="J901" s="1">
        <f>IFERROR(__xludf.DUMMYFUNCTION("""COMPUTED_VALUE"""),292.0)</f>
        <v>292</v>
      </c>
      <c r="K901" s="1">
        <f>IFERROR(__xludf.DUMMYFUNCTION("""COMPUTED_VALUE"""),58.4)</f>
        <v>58.4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>
        <f>IFERROR(__xludf.DUMMYFUNCTION("""COMPUTED_VALUE"""),95.0)</f>
        <v>95</v>
      </c>
      <c r="E902" s="1">
        <f>IFERROR(__xludf.DUMMYFUNCTION("""COMPUTED_VALUE"""),65.0)</f>
        <v>65</v>
      </c>
      <c r="F902" s="1">
        <f>IFERROR(__xludf.DUMMYFUNCTION("""COMPUTED_VALUE"""),72.0)</f>
        <v>72</v>
      </c>
      <c r="G902" s="1">
        <f>IFERROR(__xludf.DUMMYFUNCTION("""COMPUTED_VALUE"""),71.0)</f>
        <v>71</v>
      </c>
      <c r="H902" s="1">
        <f>IFERROR(__xludf.DUMMYFUNCTION("""COMPUTED_VALUE"""),81.0)</f>
        <v>81</v>
      </c>
      <c r="I902" s="1">
        <f>IFERROR(__xludf.DUMMYFUNCTION("""COMPUTED_VALUE"""),37.0)</f>
        <v>37</v>
      </c>
      <c r="J902" s="1">
        <f>IFERROR(__xludf.DUMMYFUNCTION("""COMPUTED_VALUE"""),326.0)</f>
        <v>326</v>
      </c>
      <c r="K902" s="1">
        <f>IFERROR(__xludf.DUMMYFUNCTION("""COMPUTED_VALUE"""),65.2)</f>
        <v>65.2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>
        <f>IFERROR(__xludf.DUMMYFUNCTION("""COMPUTED_VALUE"""),32.0)</f>
        <v>32</v>
      </c>
      <c r="E903" s="1">
        <f>IFERROR(__xludf.DUMMYFUNCTION("""COMPUTED_VALUE"""),26.0)</f>
        <v>26</v>
      </c>
      <c r="F903" s="1">
        <f>IFERROR(__xludf.DUMMYFUNCTION("""COMPUTED_VALUE"""),30.0)</f>
        <v>30</v>
      </c>
      <c r="G903" s="1">
        <f>IFERROR(__xludf.DUMMYFUNCTION("""COMPUTED_VALUE"""),80.0)</f>
        <v>80</v>
      </c>
      <c r="H903" s="1">
        <f>IFERROR(__xludf.DUMMYFUNCTION("""COMPUTED_VALUE"""),67.0)</f>
        <v>67</v>
      </c>
      <c r="I903" s="1">
        <f>IFERROR(__xludf.DUMMYFUNCTION("""COMPUTED_VALUE"""),42.0)</f>
        <v>42</v>
      </c>
      <c r="J903" s="1">
        <f>IFERROR(__xludf.DUMMYFUNCTION("""COMPUTED_VALUE"""),245.0)</f>
        <v>245</v>
      </c>
      <c r="K903" s="1">
        <f>IFERROR(__xludf.DUMMYFUNCTION("""COMPUTED_VALUE"""),49.0)</f>
        <v>49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>
        <f>IFERROR(__xludf.DUMMYFUNCTION("""COMPUTED_VALUE"""),100.0)</f>
        <v>100</v>
      </c>
      <c r="E904" s="1">
        <f>IFERROR(__xludf.DUMMYFUNCTION("""COMPUTED_VALUE"""),31.0)</f>
        <v>31</v>
      </c>
      <c r="F904" s="1">
        <f>IFERROR(__xludf.DUMMYFUNCTION("""COMPUTED_VALUE"""),77.0)</f>
        <v>77</v>
      </c>
      <c r="G904" s="1">
        <f>IFERROR(__xludf.DUMMYFUNCTION("""COMPUTED_VALUE"""),34.0)</f>
        <v>34</v>
      </c>
      <c r="H904" s="1">
        <f>IFERROR(__xludf.DUMMYFUNCTION("""COMPUTED_VALUE"""),77.0)</f>
        <v>77</v>
      </c>
      <c r="I904" s="1">
        <f>IFERROR(__xludf.DUMMYFUNCTION("""COMPUTED_VALUE"""),66.0)</f>
        <v>66</v>
      </c>
      <c r="J904" s="1">
        <f>IFERROR(__xludf.DUMMYFUNCTION("""COMPUTED_VALUE"""),285.0)</f>
        <v>285</v>
      </c>
      <c r="K904" s="1">
        <f>IFERROR(__xludf.DUMMYFUNCTION("""COMPUTED_VALUE"""),56.99999999999999)</f>
        <v>57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>
        <f>IFERROR(__xludf.DUMMYFUNCTION("""COMPUTED_VALUE"""),84.0)</f>
        <v>84</v>
      </c>
      <c r="E905" s="1">
        <f>IFERROR(__xludf.DUMMYFUNCTION("""COMPUTED_VALUE"""),80.0)</f>
        <v>80</v>
      </c>
      <c r="F905" s="1">
        <f>IFERROR(__xludf.DUMMYFUNCTION("""COMPUTED_VALUE"""),23.0)</f>
        <v>23</v>
      </c>
      <c r="G905" s="1">
        <f>IFERROR(__xludf.DUMMYFUNCTION("""COMPUTED_VALUE"""),71.0)</f>
        <v>71</v>
      </c>
      <c r="H905" s="1">
        <f>IFERROR(__xludf.DUMMYFUNCTION("""COMPUTED_VALUE"""),34.0)</f>
        <v>34</v>
      </c>
      <c r="I905" s="1">
        <f>IFERROR(__xludf.DUMMYFUNCTION("""COMPUTED_VALUE"""),25.0)</f>
        <v>25</v>
      </c>
      <c r="J905" s="1">
        <f>IFERROR(__xludf.DUMMYFUNCTION("""COMPUTED_VALUE"""),233.0)</f>
        <v>233</v>
      </c>
      <c r="K905" s="1">
        <f>IFERROR(__xludf.DUMMYFUNCTION("""COMPUTED_VALUE"""),46.6)</f>
        <v>46.6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>
        <f>IFERROR(__xludf.DUMMYFUNCTION("""COMPUTED_VALUE"""),30.0)</f>
        <v>30</v>
      </c>
      <c r="E906" s="1">
        <f>IFERROR(__xludf.DUMMYFUNCTION("""COMPUTED_VALUE"""),37.0)</f>
        <v>37</v>
      </c>
      <c r="F906" s="1">
        <f>IFERROR(__xludf.DUMMYFUNCTION("""COMPUTED_VALUE"""),83.0)</f>
        <v>83</v>
      </c>
      <c r="G906" s="1">
        <f>IFERROR(__xludf.DUMMYFUNCTION("""COMPUTED_VALUE"""),54.0)</f>
        <v>54</v>
      </c>
      <c r="H906" s="1">
        <f>IFERROR(__xludf.DUMMYFUNCTION("""COMPUTED_VALUE"""),37.0)</f>
        <v>37</v>
      </c>
      <c r="I906" s="1">
        <f>IFERROR(__xludf.DUMMYFUNCTION("""COMPUTED_VALUE"""),33.0)</f>
        <v>33</v>
      </c>
      <c r="J906" s="1">
        <f>IFERROR(__xludf.DUMMYFUNCTION("""COMPUTED_VALUE"""),244.0)</f>
        <v>244</v>
      </c>
      <c r="K906" s="1">
        <f>IFERROR(__xludf.DUMMYFUNCTION("""COMPUTED_VALUE"""),48.8)</f>
        <v>48.8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>
        <f>IFERROR(__xludf.DUMMYFUNCTION("""COMPUTED_VALUE"""),79.0)</f>
        <v>79</v>
      </c>
      <c r="E907" s="1">
        <f>IFERROR(__xludf.DUMMYFUNCTION("""COMPUTED_VALUE"""),30.0)</f>
        <v>30</v>
      </c>
      <c r="F907" s="1">
        <f>IFERROR(__xludf.DUMMYFUNCTION("""COMPUTED_VALUE"""),58.0)</f>
        <v>58</v>
      </c>
      <c r="G907" s="1">
        <f>IFERROR(__xludf.DUMMYFUNCTION("""COMPUTED_VALUE"""),96.0)</f>
        <v>96</v>
      </c>
      <c r="H907" s="1">
        <f>IFERROR(__xludf.DUMMYFUNCTION("""COMPUTED_VALUE"""),80.0)</f>
        <v>80</v>
      </c>
      <c r="I907" s="1">
        <f>IFERROR(__xludf.DUMMYFUNCTION("""COMPUTED_VALUE"""),36.0)</f>
        <v>36</v>
      </c>
      <c r="J907" s="1">
        <f>IFERROR(__xludf.DUMMYFUNCTION("""COMPUTED_VALUE"""),300.0)</f>
        <v>300</v>
      </c>
      <c r="K907" s="1">
        <f>IFERROR(__xludf.DUMMYFUNCTION("""COMPUTED_VALUE"""),60.0)</f>
        <v>60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>
        <f>IFERROR(__xludf.DUMMYFUNCTION("""COMPUTED_VALUE"""),83.0)</f>
        <v>83</v>
      </c>
      <c r="E908" s="1">
        <f>IFERROR(__xludf.DUMMYFUNCTION("""COMPUTED_VALUE"""),85.0)</f>
        <v>85</v>
      </c>
      <c r="F908" s="1">
        <f>IFERROR(__xludf.DUMMYFUNCTION("""COMPUTED_VALUE"""),58.0)</f>
        <v>58</v>
      </c>
      <c r="G908" s="1">
        <f>IFERROR(__xludf.DUMMYFUNCTION("""COMPUTED_VALUE"""),40.0)</f>
        <v>40</v>
      </c>
      <c r="H908" s="1">
        <f>IFERROR(__xludf.DUMMYFUNCTION("""COMPUTED_VALUE"""),77.0)</f>
        <v>77</v>
      </c>
      <c r="I908" s="1">
        <f>IFERROR(__xludf.DUMMYFUNCTION("""COMPUTED_VALUE"""),53.0)</f>
        <v>53</v>
      </c>
      <c r="J908" s="1">
        <f>IFERROR(__xludf.DUMMYFUNCTION("""COMPUTED_VALUE"""),313.0)</f>
        <v>313</v>
      </c>
      <c r="K908" s="1">
        <f>IFERROR(__xludf.DUMMYFUNCTION("""COMPUTED_VALUE"""),62.6)</f>
        <v>62.6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>
        <f>IFERROR(__xludf.DUMMYFUNCTION("""COMPUTED_VALUE"""),66.0)</f>
        <v>66</v>
      </c>
      <c r="E909" s="1">
        <f>IFERROR(__xludf.DUMMYFUNCTION("""COMPUTED_VALUE"""),25.0)</f>
        <v>25</v>
      </c>
      <c r="F909" s="1">
        <f>IFERROR(__xludf.DUMMYFUNCTION("""COMPUTED_VALUE"""),35.0)</f>
        <v>35</v>
      </c>
      <c r="G909" s="1">
        <f>IFERROR(__xludf.DUMMYFUNCTION("""COMPUTED_VALUE"""),47.0)</f>
        <v>47</v>
      </c>
      <c r="H909" s="1">
        <f>IFERROR(__xludf.DUMMYFUNCTION("""COMPUTED_VALUE"""),31.0)</f>
        <v>31</v>
      </c>
      <c r="I909" s="1">
        <f>IFERROR(__xludf.DUMMYFUNCTION("""COMPUTED_VALUE"""),86.0)</f>
        <v>86</v>
      </c>
      <c r="J909" s="1">
        <f>IFERROR(__xludf.DUMMYFUNCTION("""COMPUTED_VALUE"""),224.0)</f>
        <v>224</v>
      </c>
      <c r="K909" s="1">
        <f>IFERROR(__xludf.DUMMYFUNCTION("""COMPUTED_VALUE"""),44.800000000000004)</f>
        <v>44.8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>
        <f>IFERROR(__xludf.DUMMYFUNCTION("""COMPUTED_VALUE"""),26.0)</f>
        <v>26</v>
      </c>
      <c r="E910" s="1">
        <f>IFERROR(__xludf.DUMMYFUNCTION("""COMPUTED_VALUE"""),37.0)</f>
        <v>37</v>
      </c>
      <c r="F910" s="1">
        <f>IFERROR(__xludf.DUMMYFUNCTION("""COMPUTED_VALUE"""),21.0)</f>
        <v>21</v>
      </c>
      <c r="G910" s="1">
        <f>IFERROR(__xludf.DUMMYFUNCTION("""COMPUTED_VALUE"""),25.0)</f>
        <v>25</v>
      </c>
      <c r="H910" s="1">
        <f>IFERROR(__xludf.DUMMYFUNCTION("""COMPUTED_VALUE"""),27.0)</f>
        <v>27</v>
      </c>
      <c r="I910" s="1">
        <f>IFERROR(__xludf.DUMMYFUNCTION("""COMPUTED_VALUE"""),77.0)</f>
        <v>77</v>
      </c>
      <c r="J910" s="1">
        <f>IFERROR(__xludf.DUMMYFUNCTION("""COMPUTED_VALUE"""),187.0)</f>
        <v>187</v>
      </c>
      <c r="K910" s="1">
        <f>IFERROR(__xludf.DUMMYFUNCTION("""COMPUTED_VALUE"""),37.4)</f>
        <v>37.4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>
        <f>IFERROR(__xludf.DUMMYFUNCTION("""COMPUTED_VALUE"""),57.0)</f>
        <v>57</v>
      </c>
      <c r="E911" s="1">
        <f>IFERROR(__xludf.DUMMYFUNCTION("""COMPUTED_VALUE"""),82.0)</f>
        <v>82</v>
      </c>
      <c r="F911" s="1">
        <f>IFERROR(__xludf.DUMMYFUNCTION("""COMPUTED_VALUE"""),76.0)</f>
        <v>76</v>
      </c>
      <c r="G911" s="1">
        <f>IFERROR(__xludf.DUMMYFUNCTION("""COMPUTED_VALUE"""),64.0)</f>
        <v>64</v>
      </c>
      <c r="H911" s="1">
        <f>IFERROR(__xludf.DUMMYFUNCTION("""COMPUTED_VALUE"""),89.0)</f>
        <v>89</v>
      </c>
      <c r="I911" s="1">
        <f>IFERROR(__xludf.DUMMYFUNCTION("""COMPUTED_VALUE"""),33.0)</f>
        <v>33</v>
      </c>
      <c r="J911" s="1">
        <f>IFERROR(__xludf.DUMMYFUNCTION("""COMPUTED_VALUE"""),344.0)</f>
        <v>344</v>
      </c>
      <c r="K911" s="1">
        <f>IFERROR(__xludf.DUMMYFUNCTION("""COMPUTED_VALUE"""),68.8)</f>
        <v>68.8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>
        <f>IFERROR(__xludf.DUMMYFUNCTION("""COMPUTED_VALUE"""),84.0)</f>
        <v>84</v>
      </c>
      <c r="E912" s="1">
        <f>IFERROR(__xludf.DUMMYFUNCTION("""COMPUTED_VALUE"""),64.0)</f>
        <v>64</v>
      </c>
      <c r="F912" s="1">
        <f>IFERROR(__xludf.DUMMYFUNCTION("""COMPUTED_VALUE"""),89.0)</f>
        <v>89</v>
      </c>
      <c r="G912" s="1">
        <f>IFERROR(__xludf.DUMMYFUNCTION("""COMPUTED_VALUE"""),39.0)</f>
        <v>39</v>
      </c>
      <c r="H912" s="1">
        <f>IFERROR(__xludf.DUMMYFUNCTION("""COMPUTED_VALUE"""),56.0)</f>
        <v>56</v>
      </c>
      <c r="I912" s="1">
        <f>IFERROR(__xludf.DUMMYFUNCTION("""COMPUTED_VALUE"""),85.0)</f>
        <v>85</v>
      </c>
      <c r="J912" s="1">
        <f>IFERROR(__xludf.DUMMYFUNCTION("""COMPUTED_VALUE"""),333.0)</f>
        <v>333</v>
      </c>
      <c r="K912" s="1">
        <f>IFERROR(__xludf.DUMMYFUNCTION("""COMPUTED_VALUE"""),66.60000000000001)</f>
        <v>66.6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>
        <f>IFERROR(__xludf.DUMMYFUNCTION("""COMPUTED_VALUE"""),18.0)</f>
        <v>18</v>
      </c>
      <c r="E913" s="1">
        <f>IFERROR(__xludf.DUMMYFUNCTION("""COMPUTED_VALUE"""),63.0)</f>
        <v>63</v>
      </c>
      <c r="F913" s="1">
        <f>IFERROR(__xludf.DUMMYFUNCTION("""COMPUTED_VALUE"""),53.0)</f>
        <v>53</v>
      </c>
      <c r="G913" s="1">
        <f>IFERROR(__xludf.DUMMYFUNCTION("""COMPUTED_VALUE"""),75.0)</f>
        <v>75</v>
      </c>
      <c r="H913" s="1">
        <f>IFERROR(__xludf.DUMMYFUNCTION("""COMPUTED_VALUE"""),28.0)</f>
        <v>28</v>
      </c>
      <c r="I913" s="1">
        <f>IFERROR(__xludf.DUMMYFUNCTION("""COMPUTED_VALUE"""),48.0)</f>
        <v>48</v>
      </c>
      <c r="J913" s="1">
        <f>IFERROR(__xludf.DUMMYFUNCTION("""COMPUTED_VALUE"""),267.0)</f>
        <v>267</v>
      </c>
      <c r="K913" s="1">
        <f>IFERROR(__xludf.DUMMYFUNCTION("""COMPUTED_VALUE"""),53.400000000000006)</f>
        <v>53.4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>
        <f>IFERROR(__xludf.DUMMYFUNCTION("""COMPUTED_VALUE"""),31.0)</f>
        <v>31</v>
      </c>
      <c r="E914" s="1">
        <f>IFERROR(__xludf.DUMMYFUNCTION("""COMPUTED_VALUE"""),63.0)</f>
        <v>63</v>
      </c>
      <c r="F914" s="1">
        <f>IFERROR(__xludf.DUMMYFUNCTION("""COMPUTED_VALUE"""),84.0)</f>
        <v>84</v>
      </c>
      <c r="G914" s="1">
        <f>IFERROR(__xludf.DUMMYFUNCTION("""COMPUTED_VALUE"""),61.0)</f>
        <v>61</v>
      </c>
      <c r="H914" s="1">
        <f>IFERROR(__xludf.DUMMYFUNCTION("""COMPUTED_VALUE"""),31.0)</f>
        <v>31</v>
      </c>
      <c r="I914" s="1">
        <f>IFERROR(__xludf.DUMMYFUNCTION("""COMPUTED_VALUE"""),90.0)</f>
        <v>90</v>
      </c>
      <c r="J914" s="1">
        <f>IFERROR(__xludf.DUMMYFUNCTION("""COMPUTED_VALUE"""),329.0)</f>
        <v>329</v>
      </c>
      <c r="K914" s="1">
        <f>IFERROR(__xludf.DUMMYFUNCTION("""COMPUTED_VALUE"""),65.8)</f>
        <v>65.8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>
        <f>IFERROR(__xludf.DUMMYFUNCTION("""COMPUTED_VALUE"""),91.0)</f>
        <v>91</v>
      </c>
      <c r="E915" s="1">
        <f>IFERROR(__xludf.DUMMYFUNCTION("""COMPUTED_VALUE"""),32.0)</f>
        <v>32</v>
      </c>
      <c r="F915" s="1">
        <f>IFERROR(__xludf.DUMMYFUNCTION("""COMPUTED_VALUE"""),89.0)</f>
        <v>89</v>
      </c>
      <c r="G915" s="1">
        <f>IFERROR(__xludf.DUMMYFUNCTION("""COMPUTED_VALUE"""),91.0)</f>
        <v>91</v>
      </c>
      <c r="H915" s="1">
        <f>IFERROR(__xludf.DUMMYFUNCTION("""COMPUTED_VALUE"""),68.0)</f>
        <v>68</v>
      </c>
      <c r="I915" s="1">
        <f>IFERROR(__xludf.DUMMYFUNCTION("""COMPUTED_VALUE"""),64.0)</f>
        <v>64</v>
      </c>
      <c r="J915" s="1">
        <f>IFERROR(__xludf.DUMMYFUNCTION("""COMPUTED_VALUE"""),344.0)</f>
        <v>344</v>
      </c>
      <c r="K915" s="1">
        <f>IFERROR(__xludf.DUMMYFUNCTION("""COMPUTED_VALUE"""),68.8)</f>
        <v>68.8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>
        <f>IFERROR(__xludf.DUMMYFUNCTION("""COMPUTED_VALUE"""),17.0)</f>
        <v>17</v>
      </c>
      <c r="E916" s="1">
        <f>IFERROR(__xludf.DUMMYFUNCTION("""COMPUTED_VALUE"""),29.0)</f>
        <v>29</v>
      </c>
      <c r="F916" s="1">
        <f>IFERROR(__xludf.DUMMYFUNCTION("""COMPUTED_VALUE"""),60.0)</f>
        <v>60</v>
      </c>
      <c r="G916" s="1">
        <f>IFERROR(__xludf.DUMMYFUNCTION("""COMPUTED_VALUE"""),43.0)</f>
        <v>43</v>
      </c>
      <c r="H916" s="1">
        <f>IFERROR(__xludf.DUMMYFUNCTION("""COMPUTED_VALUE"""),23.0)</f>
        <v>23</v>
      </c>
      <c r="I916" s="1">
        <f>IFERROR(__xludf.DUMMYFUNCTION("""COMPUTED_VALUE"""),34.0)</f>
        <v>34</v>
      </c>
      <c r="J916" s="1">
        <f>IFERROR(__xludf.DUMMYFUNCTION("""COMPUTED_VALUE"""),189.0)</f>
        <v>189</v>
      </c>
      <c r="K916" s="1">
        <f>IFERROR(__xludf.DUMMYFUNCTION("""COMPUTED_VALUE"""),37.8)</f>
        <v>37.8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>
        <f>IFERROR(__xludf.DUMMYFUNCTION("""COMPUTED_VALUE"""),71.0)</f>
        <v>71</v>
      </c>
      <c r="E917" s="1">
        <f>IFERROR(__xludf.DUMMYFUNCTION("""COMPUTED_VALUE"""),56.0)</f>
        <v>56</v>
      </c>
      <c r="F917" s="1">
        <f>IFERROR(__xludf.DUMMYFUNCTION("""COMPUTED_VALUE"""),40.0)</f>
        <v>40</v>
      </c>
      <c r="G917" s="1">
        <f>IFERROR(__xludf.DUMMYFUNCTION("""COMPUTED_VALUE"""),60.0)</f>
        <v>60</v>
      </c>
      <c r="H917" s="1">
        <f>IFERROR(__xludf.DUMMYFUNCTION("""COMPUTED_VALUE"""),85.0)</f>
        <v>85</v>
      </c>
      <c r="I917" s="1">
        <f>IFERROR(__xludf.DUMMYFUNCTION("""COMPUTED_VALUE"""),41.0)</f>
        <v>41</v>
      </c>
      <c r="J917" s="1">
        <f>IFERROR(__xludf.DUMMYFUNCTION("""COMPUTED_VALUE"""),282.0)</f>
        <v>282</v>
      </c>
      <c r="K917" s="1">
        <f>IFERROR(__xludf.DUMMYFUNCTION("""COMPUTED_VALUE"""),56.39999999999999)</f>
        <v>56.4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>
        <f>IFERROR(__xludf.DUMMYFUNCTION("""COMPUTED_VALUE"""),27.0)</f>
        <v>27</v>
      </c>
      <c r="E918" s="1">
        <f>IFERROR(__xludf.DUMMYFUNCTION("""COMPUTED_VALUE"""),22.0)</f>
        <v>22</v>
      </c>
      <c r="F918" s="1">
        <f>IFERROR(__xludf.DUMMYFUNCTION("""COMPUTED_VALUE"""),35.0)</f>
        <v>35</v>
      </c>
      <c r="G918" s="1">
        <f>IFERROR(__xludf.DUMMYFUNCTION("""COMPUTED_VALUE"""),22.0)</f>
        <v>22</v>
      </c>
      <c r="H918" s="1">
        <f>IFERROR(__xludf.DUMMYFUNCTION("""COMPUTED_VALUE"""),25.0)</f>
        <v>25</v>
      </c>
      <c r="I918" s="1">
        <f>IFERROR(__xludf.DUMMYFUNCTION("""COMPUTED_VALUE"""),79.0)</f>
        <v>79</v>
      </c>
      <c r="J918" s="1">
        <f>IFERROR(__xludf.DUMMYFUNCTION("""COMPUTED_VALUE"""),183.0)</f>
        <v>183</v>
      </c>
      <c r="K918" s="1">
        <f>IFERROR(__xludf.DUMMYFUNCTION("""COMPUTED_VALUE"""),36.6)</f>
        <v>36.6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>
        <f>IFERROR(__xludf.DUMMYFUNCTION("""COMPUTED_VALUE"""),36.0)</f>
        <v>36</v>
      </c>
      <c r="E919" s="1">
        <f>IFERROR(__xludf.DUMMYFUNCTION("""COMPUTED_VALUE"""),86.0)</f>
        <v>86</v>
      </c>
      <c r="F919" s="1">
        <f>IFERROR(__xludf.DUMMYFUNCTION("""COMPUTED_VALUE"""),28.0)</f>
        <v>28</v>
      </c>
      <c r="G919" s="1">
        <f>IFERROR(__xludf.DUMMYFUNCTION("""COMPUTED_VALUE"""),74.0)</f>
        <v>74</v>
      </c>
      <c r="H919" s="1">
        <f>IFERROR(__xludf.DUMMYFUNCTION("""COMPUTED_VALUE"""),76.0)</f>
        <v>76</v>
      </c>
      <c r="I919" s="1">
        <f>IFERROR(__xludf.DUMMYFUNCTION("""COMPUTED_VALUE"""),93.0)</f>
        <v>93</v>
      </c>
      <c r="J919" s="1">
        <f>IFERROR(__xludf.DUMMYFUNCTION("""COMPUTED_VALUE"""),357.0)</f>
        <v>357</v>
      </c>
      <c r="K919" s="1">
        <f>IFERROR(__xludf.DUMMYFUNCTION("""COMPUTED_VALUE"""),71.39999999999999)</f>
        <v>71.4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>
        <f>IFERROR(__xludf.DUMMYFUNCTION("""COMPUTED_VALUE"""),13.0)</f>
        <v>13</v>
      </c>
      <c r="E920" s="1">
        <f>IFERROR(__xludf.DUMMYFUNCTION("""COMPUTED_VALUE"""),47.0)</f>
        <v>47</v>
      </c>
      <c r="F920" s="1">
        <f>IFERROR(__xludf.DUMMYFUNCTION("""COMPUTED_VALUE"""),56.0)</f>
        <v>56</v>
      </c>
      <c r="G920" s="1">
        <f>IFERROR(__xludf.DUMMYFUNCTION("""COMPUTED_VALUE"""),60.0)</f>
        <v>60</v>
      </c>
      <c r="H920" s="1">
        <f>IFERROR(__xludf.DUMMYFUNCTION("""COMPUTED_VALUE"""),95.0)</f>
        <v>95</v>
      </c>
      <c r="I920" s="1">
        <f>IFERROR(__xludf.DUMMYFUNCTION("""COMPUTED_VALUE"""),68.0)</f>
        <v>68</v>
      </c>
      <c r="J920" s="1">
        <f>IFERROR(__xludf.DUMMYFUNCTION("""COMPUTED_VALUE"""),326.0)</f>
        <v>326</v>
      </c>
      <c r="K920" s="1">
        <f>IFERROR(__xludf.DUMMYFUNCTION("""COMPUTED_VALUE"""),65.2)</f>
        <v>65.2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>
        <f>IFERROR(__xludf.DUMMYFUNCTION("""COMPUTED_VALUE"""),30.0)</f>
        <v>30</v>
      </c>
      <c r="E921" s="1">
        <f>IFERROR(__xludf.DUMMYFUNCTION("""COMPUTED_VALUE"""),49.0)</f>
        <v>49</v>
      </c>
      <c r="F921" s="1">
        <f>IFERROR(__xludf.DUMMYFUNCTION("""COMPUTED_VALUE"""),41.0)</f>
        <v>41</v>
      </c>
      <c r="G921" s="1">
        <f>IFERROR(__xludf.DUMMYFUNCTION("""COMPUTED_VALUE"""),75.0)</f>
        <v>75</v>
      </c>
      <c r="H921" s="1">
        <f>IFERROR(__xludf.DUMMYFUNCTION("""COMPUTED_VALUE"""),95.0)</f>
        <v>95</v>
      </c>
      <c r="I921" s="1">
        <f>IFERROR(__xludf.DUMMYFUNCTION("""COMPUTED_VALUE"""),50.0)</f>
        <v>50</v>
      </c>
      <c r="J921" s="1">
        <f>IFERROR(__xludf.DUMMYFUNCTION("""COMPUTED_VALUE"""),310.0)</f>
        <v>310</v>
      </c>
      <c r="K921" s="1">
        <f>IFERROR(__xludf.DUMMYFUNCTION("""COMPUTED_VALUE"""),62.0)</f>
        <v>62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>
        <f>IFERROR(__xludf.DUMMYFUNCTION("""COMPUTED_VALUE"""),21.0)</f>
        <v>21</v>
      </c>
      <c r="E922" s="1">
        <f>IFERROR(__xludf.DUMMYFUNCTION("""COMPUTED_VALUE"""),47.0)</f>
        <v>47</v>
      </c>
      <c r="F922" s="1">
        <f>IFERROR(__xludf.DUMMYFUNCTION("""COMPUTED_VALUE"""),44.0)</f>
        <v>44</v>
      </c>
      <c r="G922" s="1">
        <f>IFERROR(__xludf.DUMMYFUNCTION("""COMPUTED_VALUE"""),86.0)</f>
        <v>86</v>
      </c>
      <c r="H922" s="1">
        <f>IFERROR(__xludf.DUMMYFUNCTION("""COMPUTED_VALUE"""),89.0)</f>
        <v>89</v>
      </c>
      <c r="I922" s="1">
        <f>IFERROR(__xludf.DUMMYFUNCTION("""COMPUTED_VALUE"""),73.0)</f>
        <v>73</v>
      </c>
      <c r="J922" s="1">
        <f>IFERROR(__xludf.DUMMYFUNCTION("""COMPUTED_VALUE"""),339.0)</f>
        <v>339</v>
      </c>
      <c r="K922" s="1">
        <f>IFERROR(__xludf.DUMMYFUNCTION("""COMPUTED_VALUE"""),67.80000000000001)</f>
        <v>67.8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>
        <f>IFERROR(__xludf.DUMMYFUNCTION("""COMPUTED_VALUE"""),70.0)</f>
        <v>70</v>
      </c>
      <c r="E923" s="1">
        <f>IFERROR(__xludf.DUMMYFUNCTION("""COMPUTED_VALUE"""),37.0)</f>
        <v>37</v>
      </c>
      <c r="F923" s="1">
        <f>IFERROR(__xludf.DUMMYFUNCTION("""COMPUTED_VALUE"""),40.0)</f>
        <v>40</v>
      </c>
      <c r="G923" s="1">
        <f>IFERROR(__xludf.DUMMYFUNCTION("""COMPUTED_VALUE"""),77.0)</f>
        <v>77</v>
      </c>
      <c r="H923" s="1">
        <f>IFERROR(__xludf.DUMMYFUNCTION("""COMPUTED_VALUE"""),73.0)</f>
        <v>73</v>
      </c>
      <c r="I923" s="1">
        <f>IFERROR(__xludf.DUMMYFUNCTION("""COMPUTED_VALUE"""),54.0)</f>
        <v>54</v>
      </c>
      <c r="J923" s="1">
        <f>IFERROR(__xludf.DUMMYFUNCTION("""COMPUTED_VALUE"""),281.0)</f>
        <v>281</v>
      </c>
      <c r="K923" s="1">
        <f>IFERROR(__xludf.DUMMYFUNCTION("""COMPUTED_VALUE"""),56.2)</f>
        <v>56.2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>
        <f>IFERROR(__xludf.DUMMYFUNCTION("""COMPUTED_VALUE"""),81.0)</f>
        <v>81</v>
      </c>
      <c r="E924" s="1">
        <f>IFERROR(__xludf.DUMMYFUNCTION("""COMPUTED_VALUE"""),69.0)</f>
        <v>69</v>
      </c>
      <c r="F924" s="1">
        <f>IFERROR(__xludf.DUMMYFUNCTION("""COMPUTED_VALUE"""),87.0)</f>
        <v>87</v>
      </c>
      <c r="G924" s="1">
        <f>IFERROR(__xludf.DUMMYFUNCTION("""COMPUTED_VALUE"""),79.0)</f>
        <v>79</v>
      </c>
      <c r="H924" s="1">
        <f>IFERROR(__xludf.DUMMYFUNCTION("""COMPUTED_VALUE"""),88.0)</f>
        <v>88</v>
      </c>
      <c r="I924" s="1">
        <f>IFERROR(__xludf.DUMMYFUNCTION("""COMPUTED_VALUE"""),25.0)</f>
        <v>25</v>
      </c>
      <c r="J924" s="1">
        <f>IFERROR(__xludf.DUMMYFUNCTION("""COMPUTED_VALUE"""),348.0)</f>
        <v>348</v>
      </c>
      <c r="K924" s="1">
        <f>IFERROR(__xludf.DUMMYFUNCTION("""COMPUTED_VALUE"""),69.6)</f>
        <v>69.6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>
        <f>IFERROR(__xludf.DUMMYFUNCTION("""COMPUTED_VALUE"""),92.0)</f>
        <v>92</v>
      </c>
      <c r="E925" s="1">
        <f>IFERROR(__xludf.DUMMYFUNCTION("""COMPUTED_VALUE"""),75.0)</f>
        <v>75</v>
      </c>
      <c r="F925" s="1">
        <f>IFERROR(__xludf.DUMMYFUNCTION("""COMPUTED_VALUE"""),86.0)</f>
        <v>86</v>
      </c>
      <c r="G925" s="1">
        <f>IFERROR(__xludf.DUMMYFUNCTION("""COMPUTED_VALUE"""),47.0)</f>
        <v>47</v>
      </c>
      <c r="H925" s="1">
        <f>IFERROR(__xludf.DUMMYFUNCTION("""COMPUTED_VALUE"""),40.0)</f>
        <v>40</v>
      </c>
      <c r="I925" s="1">
        <f>IFERROR(__xludf.DUMMYFUNCTION("""COMPUTED_VALUE"""),46.0)</f>
        <v>46</v>
      </c>
      <c r="J925" s="1">
        <f>IFERROR(__xludf.DUMMYFUNCTION("""COMPUTED_VALUE"""),294.0)</f>
        <v>294</v>
      </c>
      <c r="K925" s="1">
        <f>IFERROR(__xludf.DUMMYFUNCTION("""COMPUTED_VALUE"""),58.8)</f>
        <v>58.8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>
        <f>IFERROR(__xludf.DUMMYFUNCTION("""COMPUTED_VALUE"""),81.0)</f>
        <v>81</v>
      </c>
      <c r="E926" s="1">
        <f>IFERROR(__xludf.DUMMYFUNCTION("""COMPUTED_VALUE"""),91.0)</f>
        <v>91</v>
      </c>
      <c r="F926" s="1">
        <f>IFERROR(__xludf.DUMMYFUNCTION("""COMPUTED_VALUE"""),70.0)</f>
        <v>70</v>
      </c>
      <c r="G926" s="1">
        <f>IFERROR(__xludf.DUMMYFUNCTION("""COMPUTED_VALUE"""),68.0)</f>
        <v>68</v>
      </c>
      <c r="H926" s="1">
        <f>IFERROR(__xludf.DUMMYFUNCTION("""COMPUTED_VALUE"""),59.0)</f>
        <v>59</v>
      </c>
      <c r="I926" s="1">
        <f>IFERROR(__xludf.DUMMYFUNCTION("""COMPUTED_VALUE"""),84.0)</f>
        <v>84</v>
      </c>
      <c r="J926" s="1">
        <f>IFERROR(__xludf.DUMMYFUNCTION("""COMPUTED_VALUE"""),372.0)</f>
        <v>372</v>
      </c>
      <c r="K926" s="1">
        <f>IFERROR(__xludf.DUMMYFUNCTION("""COMPUTED_VALUE"""),74.4)</f>
        <v>74.4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>
        <f>IFERROR(__xludf.DUMMYFUNCTION("""COMPUTED_VALUE"""),54.0)</f>
        <v>54</v>
      </c>
      <c r="E927" s="1">
        <f>IFERROR(__xludf.DUMMYFUNCTION("""COMPUTED_VALUE"""),35.0)</f>
        <v>35</v>
      </c>
      <c r="F927" s="1">
        <f>IFERROR(__xludf.DUMMYFUNCTION("""COMPUTED_VALUE"""),27.0)</f>
        <v>27</v>
      </c>
      <c r="G927" s="1">
        <f>IFERROR(__xludf.DUMMYFUNCTION("""COMPUTED_VALUE"""),28.0)</f>
        <v>28</v>
      </c>
      <c r="H927" s="1">
        <f>IFERROR(__xludf.DUMMYFUNCTION("""COMPUTED_VALUE"""),78.0)</f>
        <v>78</v>
      </c>
      <c r="I927" s="1">
        <f>IFERROR(__xludf.DUMMYFUNCTION("""COMPUTED_VALUE"""),89.0)</f>
        <v>89</v>
      </c>
      <c r="J927" s="1">
        <f>IFERROR(__xludf.DUMMYFUNCTION("""COMPUTED_VALUE"""),257.0)</f>
        <v>257</v>
      </c>
      <c r="K927" s="1">
        <f>IFERROR(__xludf.DUMMYFUNCTION("""COMPUTED_VALUE"""),51.4)</f>
        <v>51.4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>
        <f>IFERROR(__xludf.DUMMYFUNCTION("""COMPUTED_VALUE"""),32.0)</f>
        <v>32</v>
      </c>
      <c r="E928" s="1">
        <f>IFERROR(__xludf.DUMMYFUNCTION("""COMPUTED_VALUE"""),57.0)</f>
        <v>57</v>
      </c>
      <c r="F928" s="1">
        <f>IFERROR(__xludf.DUMMYFUNCTION("""COMPUTED_VALUE"""),73.0)</f>
        <v>73</v>
      </c>
      <c r="G928" s="1">
        <f>IFERROR(__xludf.DUMMYFUNCTION("""COMPUTED_VALUE"""),37.0)</f>
        <v>37</v>
      </c>
      <c r="H928" s="1">
        <f>IFERROR(__xludf.DUMMYFUNCTION("""COMPUTED_VALUE"""),67.0)</f>
        <v>67</v>
      </c>
      <c r="I928" s="1">
        <f>IFERROR(__xludf.DUMMYFUNCTION("""COMPUTED_VALUE"""),27.0)</f>
        <v>27</v>
      </c>
      <c r="J928" s="1">
        <f>IFERROR(__xludf.DUMMYFUNCTION("""COMPUTED_VALUE"""),261.0)</f>
        <v>261</v>
      </c>
      <c r="K928" s="1">
        <f>IFERROR(__xludf.DUMMYFUNCTION("""COMPUTED_VALUE"""),52.2)</f>
        <v>52.2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>
        <f>IFERROR(__xludf.DUMMYFUNCTION("""COMPUTED_VALUE"""),91.0)</f>
        <v>91</v>
      </c>
      <c r="E929" s="1">
        <f>IFERROR(__xludf.DUMMYFUNCTION("""COMPUTED_VALUE"""),34.0)</f>
        <v>34</v>
      </c>
      <c r="F929" s="1">
        <f>IFERROR(__xludf.DUMMYFUNCTION("""COMPUTED_VALUE"""),73.0)</f>
        <v>73</v>
      </c>
      <c r="G929" s="1">
        <f>IFERROR(__xludf.DUMMYFUNCTION("""COMPUTED_VALUE"""),91.0)</f>
        <v>91</v>
      </c>
      <c r="H929" s="1">
        <f>IFERROR(__xludf.DUMMYFUNCTION("""COMPUTED_VALUE"""),40.0)</f>
        <v>40</v>
      </c>
      <c r="I929" s="1">
        <f>IFERROR(__xludf.DUMMYFUNCTION("""COMPUTED_VALUE"""),23.0)</f>
        <v>23</v>
      </c>
      <c r="J929" s="1">
        <f>IFERROR(__xludf.DUMMYFUNCTION("""COMPUTED_VALUE"""),261.0)</f>
        <v>261</v>
      </c>
      <c r="K929" s="1">
        <f>IFERROR(__xludf.DUMMYFUNCTION("""COMPUTED_VALUE"""),52.2)</f>
        <v>52.2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>
        <f>IFERROR(__xludf.DUMMYFUNCTION("""COMPUTED_VALUE"""),76.0)</f>
        <v>76</v>
      </c>
      <c r="E930" s="1">
        <f>IFERROR(__xludf.DUMMYFUNCTION("""COMPUTED_VALUE"""),87.0)</f>
        <v>87</v>
      </c>
      <c r="F930" s="1">
        <f>IFERROR(__xludf.DUMMYFUNCTION("""COMPUTED_VALUE"""),71.0)</f>
        <v>71</v>
      </c>
      <c r="G930" s="1">
        <f>IFERROR(__xludf.DUMMYFUNCTION("""COMPUTED_VALUE"""),64.0)</f>
        <v>64</v>
      </c>
      <c r="H930" s="1">
        <f>IFERROR(__xludf.DUMMYFUNCTION("""COMPUTED_VALUE"""),51.0)</f>
        <v>51</v>
      </c>
      <c r="I930" s="1">
        <f>IFERROR(__xludf.DUMMYFUNCTION("""COMPUTED_VALUE"""),76.0)</f>
        <v>76</v>
      </c>
      <c r="J930" s="1">
        <f>IFERROR(__xludf.DUMMYFUNCTION("""COMPUTED_VALUE"""),349.0)</f>
        <v>349</v>
      </c>
      <c r="K930" s="1">
        <f>IFERROR(__xludf.DUMMYFUNCTION("""COMPUTED_VALUE"""),69.8)</f>
        <v>69.8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>
        <f>IFERROR(__xludf.DUMMYFUNCTION("""COMPUTED_VALUE"""),60.0)</f>
        <v>60</v>
      </c>
      <c r="E931" s="1">
        <f>IFERROR(__xludf.DUMMYFUNCTION("""COMPUTED_VALUE"""),29.0)</f>
        <v>29</v>
      </c>
      <c r="F931" s="1">
        <f>IFERROR(__xludf.DUMMYFUNCTION("""COMPUTED_VALUE"""),98.0)</f>
        <v>98</v>
      </c>
      <c r="G931" s="1">
        <f>IFERROR(__xludf.DUMMYFUNCTION("""COMPUTED_VALUE"""),31.0)</f>
        <v>31</v>
      </c>
      <c r="H931" s="1">
        <f>IFERROR(__xludf.DUMMYFUNCTION("""COMPUTED_VALUE"""),77.0)</f>
        <v>77</v>
      </c>
      <c r="I931" s="1">
        <f>IFERROR(__xludf.DUMMYFUNCTION("""COMPUTED_VALUE"""),81.0)</f>
        <v>81</v>
      </c>
      <c r="J931" s="1">
        <f>IFERROR(__xludf.DUMMYFUNCTION("""COMPUTED_VALUE"""),316.0)</f>
        <v>316</v>
      </c>
      <c r="K931" s="1">
        <f>IFERROR(__xludf.DUMMYFUNCTION("""COMPUTED_VALUE"""),63.2)</f>
        <v>63.2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>
        <f>IFERROR(__xludf.DUMMYFUNCTION("""COMPUTED_VALUE"""),29.0)</f>
        <v>29</v>
      </c>
      <c r="E932" s="1">
        <f>IFERROR(__xludf.DUMMYFUNCTION("""COMPUTED_VALUE"""),68.0)</f>
        <v>68</v>
      </c>
      <c r="F932" s="1">
        <f>IFERROR(__xludf.DUMMYFUNCTION("""COMPUTED_VALUE"""),80.0)</f>
        <v>80</v>
      </c>
      <c r="G932" s="1">
        <f>IFERROR(__xludf.DUMMYFUNCTION("""COMPUTED_VALUE"""),55.0)</f>
        <v>55</v>
      </c>
      <c r="H932" s="1">
        <f>IFERROR(__xludf.DUMMYFUNCTION("""COMPUTED_VALUE"""),93.0)</f>
        <v>93</v>
      </c>
      <c r="I932" s="1">
        <f>IFERROR(__xludf.DUMMYFUNCTION("""COMPUTED_VALUE"""),32.0)</f>
        <v>32</v>
      </c>
      <c r="J932" s="1">
        <f>IFERROR(__xludf.DUMMYFUNCTION("""COMPUTED_VALUE"""),328.0)</f>
        <v>328</v>
      </c>
      <c r="K932" s="1">
        <f>IFERROR(__xludf.DUMMYFUNCTION("""COMPUTED_VALUE"""),65.60000000000001)</f>
        <v>65.6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>
        <f>IFERROR(__xludf.DUMMYFUNCTION("""COMPUTED_VALUE"""),13.0)</f>
        <v>13</v>
      </c>
      <c r="E933" s="1">
        <f>IFERROR(__xludf.DUMMYFUNCTION("""COMPUTED_VALUE"""),66.0)</f>
        <v>66</v>
      </c>
      <c r="F933" s="1">
        <f>IFERROR(__xludf.DUMMYFUNCTION("""COMPUTED_VALUE"""),32.0)</f>
        <v>32</v>
      </c>
      <c r="G933" s="1">
        <f>IFERROR(__xludf.DUMMYFUNCTION("""COMPUTED_VALUE"""),40.0)</f>
        <v>40</v>
      </c>
      <c r="H933" s="1">
        <f>IFERROR(__xludf.DUMMYFUNCTION("""COMPUTED_VALUE"""),78.0)</f>
        <v>78</v>
      </c>
      <c r="I933" s="1">
        <f>IFERROR(__xludf.DUMMYFUNCTION("""COMPUTED_VALUE"""),49.0)</f>
        <v>49</v>
      </c>
      <c r="J933" s="1">
        <f>IFERROR(__xludf.DUMMYFUNCTION("""COMPUTED_VALUE"""),265.0)</f>
        <v>265</v>
      </c>
      <c r="K933" s="1">
        <f>IFERROR(__xludf.DUMMYFUNCTION("""COMPUTED_VALUE"""),53.0)</f>
        <v>53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>
        <f>IFERROR(__xludf.DUMMYFUNCTION("""COMPUTED_VALUE"""),28.0)</f>
        <v>28</v>
      </c>
      <c r="E934" s="1">
        <f>IFERROR(__xludf.DUMMYFUNCTION("""COMPUTED_VALUE"""),96.0)</f>
        <v>96</v>
      </c>
      <c r="F934" s="1">
        <f>IFERROR(__xludf.DUMMYFUNCTION("""COMPUTED_VALUE"""),64.0)</f>
        <v>64</v>
      </c>
      <c r="G934" s="1">
        <f>IFERROR(__xludf.DUMMYFUNCTION("""COMPUTED_VALUE"""),43.0)</f>
        <v>43</v>
      </c>
      <c r="H934" s="1">
        <f>IFERROR(__xludf.DUMMYFUNCTION("""COMPUTED_VALUE"""),53.0)</f>
        <v>53</v>
      </c>
      <c r="I934" s="1">
        <f>IFERROR(__xludf.DUMMYFUNCTION("""COMPUTED_VALUE"""),39.0)</f>
        <v>39</v>
      </c>
      <c r="J934" s="1">
        <f>IFERROR(__xludf.DUMMYFUNCTION("""COMPUTED_VALUE"""),295.0)</f>
        <v>295</v>
      </c>
      <c r="K934" s="1">
        <f>IFERROR(__xludf.DUMMYFUNCTION("""COMPUTED_VALUE"""),59.0)</f>
        <v>59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>
        <f>IFERROR(__xludf.DUMMYFUNCTION("""COMPUTED_VALUE"""),100.0)</f>
        <v>100</v>
      </c>
      <c r="E935" s="1">
        <f>IFERROR(__xludf.DUMMYFUNCTION("""COMPUTED_VALUE"""),30.0)</f>
        <v>30</v>
      </c>
      <c r="F935" s="1">
        <f>IFERROR(__xludf.DUMMYFUNCTION("""COMPUTED_VALUE"""),92.0)</f>
        <v>92</v>
      </c>
      <c r="G935" s="1">
        <f>IFERROR(__xludf.DUMMYFUNCTION("""COMPUTED_VALUE"""),44.0)</f>
        <v>44</v>
      </c>
      <c r="H935" s="1">
        <f>IFERROR(__xludf.DUMMYFUNCTION("""COMPUTED_VALUE"""),70.0)</f>
        <v>70</v>
      </c>
      <c r="I935" s="1">
        <f>IFERROR(__xludf.DUMMYFUNCTION("""COMPUTED_VALUE"""),24.0)</f>
        <v>24</v>
      </c>
      <c r="J935" s="1">
        <f>IFERROR(__xludf.DUMMYFUNCTION("""COMPUTED_VALUE"""),260.0)</f>
        <v>260</v>
      </c>
      <c r="K935" s="1">
        <f>IFERROR(__xludf.DUMMYFUNCTION("""COMPUTED_VALUE"""),52.0)</f>
        <v>52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>
        <f>IFERROR(__xludf.DUMMYFUNCTION("""COMPUTED_VALUE"""),60.0)</f>
        <v>60</v>
      </c>
      <c r="E936" s="1">
        <f>IFERROR(__xludf.DUMMYFUNCTION("""COMPUTED_VALUE"""),89.0)</f>
        <v>89</v>
      </c>
      <c r="F936" s="1">
        <f>IFERROR(__xludf.DUMMYFUNCTION("""COMPUTED_VALUE"""),75.0)</f>
        <v>75</v>
      </c>
      <c r="G936" s="1">
        <f>IFERROR(__xludf.DUMMYFUNCTION("""COMPUTED_VALUE"""),95.0)</f>
        <v>95</v>
      </c>
      <c r="H936" s="1">
        <f>IFERROR(__xludf.DUMMYFUNCTION("""COMPUTED_VALUE"""),44.0)</f>
        <v>44</v>
      </c>
      <c r="I936" s="1">
        <f>IFERROR(__xludf.DUMMYFUNCTION("""COMPUTED_VALUE"""),91.0)</f>
        <v>91</v>
      </c>
      <c r="J936" s="1">
        <f>IFERROR(__xludf.DUMMYFUNCTION("""COMPUTED_VALUE"""),394.0)</f>
        <v>394</v>
      </c>
      <c r="K936" s="1">
        <f>IFERROR(__xludf.DUMMYFUNCTION("""COMPUTED_VALUE"""),78.8)</f>
        <v>78.8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>
        <f>IFERROR(__xludf.DUMMYFUNCTION("""COMPUTED_VALUE"""),20.0)</f>
        <v>20</v>
      </c>
      <c r="E937" s="1">
        <f>IFERROR(__xludf.DUMMYFUNCTION("""COMPUTED_VALUE"""),48.0)</f>
        <v>48</v>
      </c>
      <c r="F937" s="1">
        <f>IFERROR(__xludf.DUMMYFUNCTION("""COMPUTED_VALUE"""),33.0)</f>
        <v>33</v>
      </c>
      <c r="G937" s="1">
        <f>IFERROR(__xludf.DUMMYFUNCTION("""COMPUTED_VALUE"""),44.0)</f>
        <v>44</v>
      </c>
      <c r="H937" s="1">
        <f>IFERROR(__xludf.DUMMYFUNCTION("""COMPUTED_VALUE"""),26.0)</f>
        <v>26</v>
      </c>
      <c r="I937" s="1">
        <f>IFERROR(__xludf.DUMMYFUNCTION("""COMPUTED_VALUE"""),44.0)</f>
        <v>44</v>
      </c>
      <c r="J937" s="1">
        <f>IFERROR(__xludf.DUMMYFUNCTION("""COMPUTED_VALUE"""),195.0)</f>
        <v>195</v>
      </c>
      <c r="K937" s="1">
        <f>IFERROR(__xludf.DUMMYFUNCTION("""COMPUTED_VALUE"""),39.0)</f>
        <v>39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>
        <f>IFERROR(__xludf.DUMMYFUNCTION("""COMPUTED_VALUE"""),70.0)</f>
        <v>70</v>
      </c>
      <c r="E938" s="1">
        <f>IFERROR(__xludf.DUMMYFUNCTION("""COMPUTED_VALUE"""),34.0)</f>
        <v>34</v>
      </c>
      <c r="F938" s="1">
        <f>IFERROR(__xludf.DUMMYFUNCTION("""COMPUTED_VALUE"""),94.0)</f>
        <v>94</v>
      </c>
      <c r="G938" s="1">
        <f>IFERROR(__xludf.DUMMYFUNCTION("""COMPUTED_VALUE"""),49.0)</f>
        <v>49</v>
      </c>
      <c r="H938" s="1">
        <f>IFERROR(__xludf.DUMMYFUNCTION("""COMPUTED_VALUE"""),83.0)</f>
        <v>83</v>
      </c>
      <c r="I938" s="1">
        <f>IFERROR(__xludf.DUMMYFUNCTION("""COMPUTED_VALUE"""),42.0)</f>
        <v>42</v>
      </c>
      <c r="J938" s="1">
        <f>IFERROR(__xludf.DUMMYFUNCTION("""COMPUTED_VALUE"""),302.0)</f>
        <v>302</v>
      </c>
      <c r="K938" s="1">
        <f>IFERROR(__xludf.DUMMYFUNCTION("""COMPUTED_VALUE"""),60.4)</f>
        <v>60.4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>
        <f>IFERROR(__xludf.DUMMYFUNCTION("""COMPUTED_VALUE"""),42.0)</f>
        <v>42</v>
      </c>
      <c r="E939" s="1">
        <f>IFERROR(__xludf.DUMMYFUNCTION("""COMPUTED_VALUE"""),62.0)</f>
        <v>62</v>
      </c>
      <c r="F939" s="1">
        <f>IFERROR(__xludf.DUMMYFUNCTION("""COMPUTED_VALUE"""),39.0)</f>
        <v>39</v>
      </c>
      <c r="G939" s="1">
        <f>IFERROR(__xludf.DUMMYFUNCTION("""COMPUTED_VALUE"""),77.0)</f>
        <v>77</v>
      </c>
      <c r="H939" s="1">
        <f>IFERROR(__xludf.DUMMYFUNCTION("""COMPUTED_VALUE"""),24.0)</f>
        <v>24</v>
      </c>
      <c r="I939" s="1">
        <f>IFERROR(__xludf.DUMMYFUNCTION("""COMPUTED_VALUE"""),56.0)</f>
        <v>56</v>
      </c>
      <c r="J939" s="1">
        <f>IFERROR(__xludf.DUMMYFUNCTION("""COMPUTED_VALUE"""),258.0)</f>
        <v>258</v>
      </c>
      <c r="K939" s="1">
        <f>IFERROR(__xludf.DUMMYFUNCTION("""COMPUTED_VALUE"""),51.6)</f>
        <v>51.6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>
        <f>IFERROR(__xludf.DUMMYFUNCTION("""COMPUTED_VALUE"""),46.0)</f>
        <v>46</v>
      </c>
      <c r="E940" s="1">
        <f>IFERROR(__xludf.DUMMYFUNCTION("""COMPUTED_VALUE"""),89.0)</f>
        <v>89</v>
      </c>
      <c r="F940" s="1">
        <f>IFERROR(__xludf.DUMMYFUNCTION("""COMPUTED_VALUE"""),21.0)</f>
        <v>21</v>
      </c>
      <c r="G940" s="1">
        <f>IFERROR(__xludf.DUMMYFUNCTION("""COMPUTED_VALUE"""),41.0)</f>
        <v>41</v>
      </c>
      <c r="H940" s="1">
        <f>IFERROR(__xludf.DUMMYFUNCTION("""COMPUTED_VALUE"""),67.0)</f>
        <v>67</v>
      </c>
      <c r="I940" s="1">
        <f>IFERROR(__xludf.DUMMYFUNCTION("""COMPUTED_VALUE"""),70.0)</f>
        <v>70</v>
      </c>
      <c r="J940" s="1">
        <f>IFERROR(__xludf.DUMMYFUNCTION("""COMPUTED_VALUE"""),288.0)</f>
        <v>288</v>
      </c>
      <c r="K940" s="1">
        <f>IFERROR(__xludf.DUMMYFUNCTION("""COMPUTED_VALUE"""),57.599999999999994)</f>
        <v>57.6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>
        <f>IFERROR(__xludf.DUMMYFUNCTION("""COMPUTED_VALUE"""),16.0)</f>
        <v>16</v>
      </c>
      <c r="E941" s="1">
        <f>IFERROR(__xludf.DUMMYFUNCTION("""COMPUTED_VALUE"""),29.0)</f>
        <v>29</v>
      </c>
      <c r="F941" s="1">
        <f>IFERROR(__xludf.DUMMYFUNCTION("""COMPUTED_VALUE"""),80.0)</f>
        <v>80</v>
      </c>
      <c r="G941" s="1">
        <f>IFERROR(__xludf.DUMMYFUNCTION("""COMPUTED_VALUE"""),83.0)</f>
        <v>83</v>
      </c>
      <c r="H941" s="1">
        <f>IFERROR(__xludf.DUMMYFUNCTION("""COMPUTED_VALUE"""),71.0)</f>
        <v>71</v>
      </c>
      <c r="I941" s="1">
        <f>IFERROR(__xludf.DUMMYFUNCTION("""COMPUTED_VALUE"""),61.0)</f>
        <v>61</v>
      </c>
      <c r="J941" s="1">
        <f>IFERROR(__xludf.DUMMYFUNCTION("""COMPUTED_VALUE"""),324.0)</f>
        <v>324</v>
      </c>
      <c r="K941" s="1">
        <f>IFERROR(__xludf.DUMMYFUNCTION("""COMPUTED_VALUE"""),64.8)</f>
        <v>64.8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>
        <f>IFERROR(__xludf.DUMMYFUNCTION("""COMPUTED_VALUE"""),91.0)</f>
        <v>91</v>
      </c>
      <c r="E942" s="1">
        <f>IFERROR(__xludf.DUMMYFUNCTION("""COMPUTED_VALUE"""),25.0)</f>
        <v>25</v>
      </c>
      <c r="F942" s="1">
        <f>IFERROR(__xludf.DUMMYFUNCTION("""COMPUTED_VALUE"""),49.0)</f>
        <v>49</v>
      </c>
      <c r="G942" s="1">
        <f>IFERROR(__xludf.DUMMYFUNCTION("""COMPUTED_VALUE"""),66.0)</f>
        <v>66</v>
      </c>
      <c r="H942" s="1">
        <f>IFERROR(__xludf.DUMMYFUNCTION("""COMPUTED_VALUE"""),83.0)</f>
        <v>83</v>
      </c>
      <c r="I942" s="1">
        <f>IFERROR(__xludf.DUMMYFUNCTION("""COMPUTED_VALUE"""),95.0)</f>
        <v>95</v>
      </c>
      <c r="J942" s="1">
        <f>IFERROR(__xludf.DUMMYFUNCTION("""COMPUTED_VALUE"""),318.0)</f>
        <v>318</v>
      </c>
      <c r="K942" s="1">
        <f>IFERROR(__xludf.DUMMYFUNCTION("""COMPUTED_VALUE"""),63.6)</f>
        <v>63.6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>
        <f>IFERROR(__xludf.DUMMYFUNCTION("""COMPUTED_VALUE"""),78.0)</f>
        <v>78</v>
      </c>
      <c r="E943" s="1">
        <f>IFERROR(__xludf.DUMMYFUNCTION("""COMPUTED_VALUE"""),42.0)</f>
        <v>42</v>
      </c>
      <c r="F943" s="1">
        <f>IFERROR(__xludf.DUMMYFUNCTION("""COMPUTED_VALUE"""),90.0)</f>
        <v>90</v>
      </c>
      <c r="G943" s="1">
        <f>IFERROR(__xludf.DUMMYFUNCTION("""COMPUTED_VALUE"""),35.0)</f>
        <v>35</v>
      </c>
      <c r="H943" s="1">
        <f>IFERROR(__xludf.DUMMYFUNCTION("""COMPUTED_VALUE"""),79.0)</f>
        <v>79</v>
      </c>
      <c r="I943" s="1">
        <f>IFERROR(__xludf.DUMMYFUNCTION("""COMPUTED_VALUE"""),55.0)</f>
        <v>55</v>
      </c>
      <c r="J943" s="1">
        <f>IFERROR(__xludf.DUMMYFUNCTION("""COMPUTED_VALUE"""),301.0)</f>
        <v>301</v>
      </c>
      <c r="K943" s="1">
        <f>IFERROR(__xludf.DUMMYFUNCTION("""COMPUTED_VALUE"""),60.199999999999996)</f>
        <v>60.2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>
        <f>IFERROR(__xludf.DUMMYFUNCTION("""COMPUTED_VALUE"""),99.0)</f>
        <v>99</v>
      </c>
      <c r="E944" s="1">
        <f>IFERROR(__xludf.DUMMYFUNCTION("""COMPUTED_VALUE"""),74.0)</f>
        <v>74</v>
      </c>
      <c r="F944" s="1">
        <f>IFERROR(__xludf.DUMMYFUNCTION("""COMPUTED_VALUE"""),41.0)</f>
        <v>41</v>
      </c>
      <c r="G944" s="1">
        <f>IFERROR(__xludf.DUMMYFUNCTION("""COMPUTED_VALUE"""),52.0)</f>
        <v>52</v>
      </c>
      <c r="H944" s="1">
        <f>IFERROR(__xludf.DUMMYFUNCTION("""COMPUTED_VALUE"""),89.0)</f>
        <v>89</v>
      </c>
      <c r="I944" s="1">
        <f>IFERROR(__xludf.DUMMYFUNCTION("""COMPUTED_VALUE"""),82.0)</f>
        <v>82</v>
      </c>
      <c r="J944" s="1">
        <f>IFERROR(__xludf.DUMMYFUNCTION("""COMPUTED_VALUE"""),338.0)</f>
        <v>338</v>
      </c>
      <c r="K944" s="1">
        <f>IFERROR(__xludf.DUMMYFUNCTION("""COMPUTED_VALUE"""),67.60000000000001)</f>
        <v>67.6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>
        <f>IFERROR(__xludf.DUMMYFUNCTION("""COMPUTED_VALUE"""),48.0)</f>
        <v>48</v>
      </c>
      <c r="E945" s="1">
        <f>IFERROR(__xludf.DUMMYFUNCTION("""COMPUTED_VALUE"""),75.0)</f>
        <v>75</v>
      </c>
      <c r="F945" s="1">
        <f>IFERROR(__xludf.DUMMYFUNCTION("""COMPUTED_VALUE"""),51.0)</f>
        <v>51</v>
      </c>
      <c r="G945" s="1">
        <f>IFERROR(__xludf.DUMMYFUNCTION("""COMPUTED_VALUE"""),30.0)</f>
        <v>30</v>
      </c>
      <c r="H945" s="1">
        <f>IFERROR(__xludf.DUMMYFUNCTION("""COMPUTED_VALUE"""),63.0)</f>
        <v>63</v>
      </c>
      <c r="I945" s="1">
        <f>IFERROR(__xludf.DUMMYFUNCTION("""COMPUTED_VALUE"""),21.0)</f>
        <v>21</v>
      </c>
      <c r="J945" s="1">
        <f>IFERROR(__xludf.DUMMYFUNCTION("""COMPUTED_VALUE"""),240.0)</f>
        <v>240</v>
      </c>
      <c r="K945" s="1">
        <f>IFERROR(__xludf.DUMMYFUNCTION("""COMPUTED_VALUE"""),48.0)</f>
        <v>48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>
        <f>IFERROR(__xludf.DUMMYFUNCTION("""COMPUTED_VALUE"""),68.0)</f>
        <v>68</v>
      </c>
      <c r="E946" s="1">
        <f>IFERROR(__xludf.DUMMYFUNCTION("""COMPUTED_VALUE"""),81.0)</f>
        <v>81</v>
      </c>
      <c r="F946" s="1">
        <f>IFERROR(__xludf.DUMMYFUNCTION("""COMPUTED_VALUE"""),92.0)</f>
        <v>92</v>
      </c>
      <c r="G946" s="1">
        <f>IFERROR(__xludf.DUMMYFUNCTION("""COMPUTED_VALUE"""),38.0)</f>
        <v>38</v>
      </c>
      <c r="H946" s="1">
        <f>IFERROR(__xludf.DUMMYFUNCTION("""COMPUTED_VALUE"""),44.0)</f>
        <v>44</v>
      </c>
      <c r="I946" s="1">
        <f>IFERROR(__xludf.DUMMYFUNCTION("""COMPUTED_VALUE"""),89.0)</f>
        <v>89</v>
      </c>
      <c r="J946" s="1">
        <f>IFERROR(__xludf.DUMMYFUNCTION("""COMPUTED_VALUE"""),344.0)</f>
        <v>344</v>
      </c>
      <c r="K946" s="1">
        <f>IFERROR(__xludf.DUMMYFUNCTION("""COMPUTED_VALUE"""),68.8)</f>
        <v>68.8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>
        <f>IFERROR(__xludf.DUMMYFUNCTION("""COMPUTED_VALUE"""),38.0)</f>
        <v>38</v>
      </c>
      <c r="E947" s="1">
        <f>IFERROR(__xludf.DUMMYFUNCTION("""COMPUTED_VALUE"""),22.0)</f>
        <v>22</v>
      </c>
      <c r="F947" s="1">
        <f>IFERROR(__xludf.DUMMYFUNCTION("""COMPUTED_VALUE"""),84.0)</f>
        <v>84</v>
      </c>
      <c r="G947" s="1">
        <f>IFERROR(__xludf.DUMMYFUNCTION("""COMPUTED_VALUE"""),57.0)</f>
        <v>57</v>
      </c>
      <c r="H947" s="1">
        <f>IFERROR(__xludf.DUMMYFUNCTION("""COMPUTED_VALUE"""),58.0)</f>
        <v>58</v>
      </c>
      <c r="I947" s="1">
        <f>IFERROR(__xludf.DUMMYFUNCTION("""COMPUTED_VALUE"""),79.0)</f>
        <v>79</v>
      </c>
      <c r="J947" s="1">
        <f>IFERROR(__xludf.DUMMYFUNCTION("""COMPUTED_VALUE"""),300.0)</f>
        <v>300</v>
      </c>
      <c r="K947" s="1">
        <f>IFERROR(__xludf.DUMMYFUNCTION("""COMPUTED_VALUE"""),60.0)</f>
        <v>60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>
        <f>IFERROR(__xludf.DUMMYFUNCTION("""COMPUTED_VALUE"""),11.0)</f>
        <v>11</v>
      </c>
      <c r="E948" s="1">
        <f>IFERROR(__xludf.DUMMYFUNCTION("""COMPUTED_VALUE"""),75.0)</f>
        <v>75</v>
      </c>
      <c r="F948" s="1">
        <f>IFERROR(__xludf.DUMMYFUNCTION("""COMPUTED_VALUE"""),20.0)</f>
        <v>20</v>
      </c>
      <c r="G948" s="1">
        <f>IFERROR(__xludf.DUMMYFUNCTION("""COMPUTED_VALUE"""),88.0)</f>
        <v>88</v>
      </c>
      <c r="H948" s="1">
        <f>IFERROR(__xludf.DUMMYFUNCTION("""COMPUTED_VALUE"""),72.0)</f>
        <v>72</v>
      </c>
      <c r="I948" s="1">
        <f>IFERROR(__xludf.DUMMYFUNCTION("""COMPUTED_VALUE"""),56.0)</f>
        <v>56</v>
      </c>
      <c r="J948" s="1">
        <f>IFERROR(__xludf.DUMMYFUNCTION("""COMPUTED_VALUE"""),311.0)</f>
        <v>311</v>
      </c>
      <c r="K948" s="1">
        <f>IFERROR(__xludf.DUMMYFUNCTION("""COMPUTED_VALUE"""),62.2)</f>
        <v>62.2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>
        <f>IFERROR(__xludf.DUMMYFUNCTION("""COMPUTED_VALUE"""),71.0)</f>
        <v>71</v>
      </c>
      <c r="E949" s="1">
        <f>IFERROR(__xludf.DUMMYFUNCTION("""COMPUTED_VALUE"""),34.0)</f>
        <v>34</v>
      </c>
      <c r="F949" s="1">
        <f>IFERROR(__xludf.DUMMYFUNCTION("""COMPUTED_VALUE"""),52.0)</f>
        <v>52</v>
      </c>
      <c r="G949" s="1">
        <f>IFERROR(__xludf.DUMMYFUNCTION("""COMPUTED_VALUE"""),94.0)</f>
        <v>94</v>
      </c>
      <c r="H949" s="1">
        <f>IFERROR(__xludf.DUMMYFUNCTION("""COMPUTED_VALUE"""),45.0)</f>
        <v>45</v>
      </c>
      <c r="I949" s="1">
        <f>IFERROR(__xludf.DUMMYFUNCTION("""COMPUTED_VALUE"""),46.0)</f>
        <v>46</v>
      </c>
      <c r="J949" s="1">
        <f>IFERROR(__xludf.DUMMYFUNCTION("""COMPUTED_VALUE"""),271.0)</f>
        <v>271</v>
      </c>
      <c r="K949" s="1">
        <f>IFERROR(__xludf.DUMMYFUNCTION("""COMPUTED_VALUE"""),54.2)</f>
        <v>54.2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>
        <f>IFERROR(__xludf.DUMMYFUNCTION("""COMPUTED_VALUE"""),14.0)</f>
        <v>14</v>
      </c>
      <c r="E950" s="1">
        <f>IFERROR(__xludf.DUMMYFUNCTION("""COMPUTED_VALUE"""),69.0)</f>
        <v>69</v>
      </c>
      <c r="F950" s="1">
        <f>IFERROR(__xludf.DUMMYFUNCTION("""COMPUTED_VALUE"""),49.0)</f>
        <v>49</v>
      </c>
      <c r="G950" s="1">
        <f>IFERROR(__xludf.DUMMYFUNCTION("""COMPUTED_VALUE"""),32.0)</f>
        <v>32</v>
      </c>
      <c r="H950" s="1">
        <f>IFERROR(__xludf.DUMMYFUNCTION("""COMPUTED_VALUE"""),41.0)</f>
        <v>41</v>
      </c>
      <c r="I950" s="1">
        <f>IFERROR(__xludf.DUMMYFUNCTION("""COMPUTED_VALUE"""),62.0)</f>
        <v>62</v>
      </c>
      <c r="J950" s="1">
        <f>IFERROR(__xludf.DUMMYFUNCTION("""COMPUTED_VALUE"""),253.0)</f>
        <v>253</v>
      </c>
      <c r="K950" s="1">
        <f>IFERROR(__xludf.DUMMYFUNCTION("""COMPUTED_VALUE"""),50.6)</f>
        <v>50.6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>
        <f>IFERROR(__xludf.DUMMYFUNCTION("""COMPUTED_VALUE"""),35.0)</f>
        <v>35</v>
      </c>
      <c r="E951" s="1">
        <f>IFERROR(__xludf.DUMMYFUNCTION("""COMPUTED_VALUE"""),68.0)</f>
        <v>68</v>
      </c>
      <c r="F951" s="1">
        <f>IFERROR(__xludf.DUMMYFUNCTION("""COMPUTED_VALUE"""),64.0)</f>
        <v>64</v>
      </c>
      <c r="G951" s="1">
        <f>IFERROR(__xludf.DUMMYFUNCTION("""COMPUTED_VALUE"""),31.0)</f>
        <v>31</v>
      </c>
      <c r="H951" s="1">
        <f>IFERROR(__xludf.DUMMYFUNCTION("""COMPUTED_VALUE"""),40.0)</f>
        <v>40</v>
      </c>
      <c r="I951" s="1">
        <f>IFERROR(__xludf.DUMMYFUNCTION("""COMPUTED_VALUE"""),20.0)</f>
        <v>20</v>
      </c>
      <c r="J951" s="1">
        <f>IFERROR(__xludf.DUMMYFUNCTION("""COMPUTED_VALUE"""),223.0)</f>
        <v>223</v>
      </c>
      <c r="K951" s="1">
        <f>IFERROR(__xludf.DUMMYFUNCTION("""COMPUTED_VALUE"""),44.6)</f>
        <v>44.6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>
        <f>IFERROR(__xludf.DUMMYFUNCTION("""COMPUTED_VALUE"""),28.0)</f>
        <v>28</v>
      </c>
      <c r="E952" s="1">
        <f>IFERROR(__xludf.DUMMYFUNCTION("""COMPUTED_VALUE"""),29.0)</f>
        <v>29</v>
      </c>
      <c r="F952" s="1">
        <f>IFERROR(__xludf.DUMMYFUNCTION("""COMPUTED_VALUE"""),28.0)</f>
        <v>28</v>
      </c>
      <c r="G952" s="1">
        <f>IFERROR(__xludf.DUMMYFUNCTION("""COMPUTED_VALUE"""),69.0)</f>
        <v>69</v>
      </c>
      <c r="H952" s="1">
        <f>IFERROR(__xludf.DUMMYFUNCTION("""COMPUTED_VALUE"""),94.0)</f>
        <v>94</v>
      </c>
      <c r="I952" s="1">
        <f>IFERROR(__xludf.DUMMYFUNCTION("""COMPUTED_VALUE"""),82.0)</f>
        <v>82</v>
      </c>
      <c r="J952" s="1">
        <f>IFERROR(__xludf.DUMMYFUNCTION("""COMPUTED_VALUE"""),302.0)</f>
        <v>302</v>
      </c>
      <c r="K952" s="1">
        <f>IFERROR(__xludf.DUMMYFUNCTION("""COMPUTED_VALUE"""),60.4)</f>
        <v>60.4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>
        <f>IFERROR(__xludf.DUMMYFUNCTION("""COMPUTED_VALUE"""),15.0)</f>
        <v>15</v>
      </c>
      <c r="E953" s="1">
        <f>IFERROR(__xludf.DUMMYFUNCTION("""COMPUTED_VALUE"""),72.0)</f>
        <v>72</v>
      </c>
      <c r="F953" s="1">
        <f>IFERROR(__xludf.DUMMYFUNCTION("""COMPUTED_VALUE"""),29.0)</f>
        <v>29</v>
      </c>
      <c r="G953" s="1">
        <f>IFERROR(__xludf.DUMMYFUNCTION("""COMPUTED_VALUE"""),41.0)</f>
        <v>41</v>
      </c>
      <c r="H953" s="1">
        <f>IFERROR(__xludf.DUMMYFUNCTION("""COMPUTED_VALUE"""),87.0)</f>
        <v>87</v>
      </c>
      <c r="I953" s="1">
        <f>IFERROR(__xludf.DUMMYFUNCTION("""COMPUTED_VALUE"""),26.0)</f>
        <v>26</v>
      </c>
      <c r="J953" s="1">
        <f>IFERROR(__xludf.DUMMYFUNCTION("""COMPUTED_VALUE"""),255.0)</f>
        <v>255</v>
      </c>
      <c r="K953" s="1">
        <f>IFERROR(__xludf.DUMMYFUNCTION("""COMPUTED_VALUE"""),51.0)</f>
        <v>51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>
        <f>IFERROR(__xludf.DUMMYFUNCTION("""COMPUTED_VALUE"""),94.0)</f>
        <v>94</v>
      </c>
      <c r="E954" s="1">
        <f>IFERROR(__xludf.DUMMYFUNCTION("""COMPUTED_VALUE"""),85.0)</f>
        <v>85</v>
      </c>
      <c r="F954" s="1">
        <f>IFERROR(__xludf.DUMMYFUNCTION("""COMPUTED_VALUE"""),72.0)</f>
        <v>72</v>
      </c>
      <c r="G954" s="1">
        <f>IFERROR(__xludf.DUMMYFUNCTION("""COMPUTED_VALUE"""),45.0)</f>
        <v>45</v>
      </c>
      <c r="H954" s="1">
        <f>IFERROR(__xludf.DUMMYFUNCTION("""COMPUTED_VALUE"""),38.0)</f>
        <v>38</v>
      </c>
      <c r="I954" s="1">
        <f>IFERROR(__xludf.DUMMYFUNCTION("""COMPUTED_VALUE"""),85.0)</f>
        <v>85</v>
      </c>
      <c r="J954" s="1">
        <f>IFERROR(__xludf.DUMMYFUNCTION("""COMPUTED_VALUE"""),325.0)</f>
        <v>325</v>
      </c>
      <c r="K954" s="1">
        <f>IFERROR(__xludf.DUMMYFUNCTION("""COMPUTED_VALUE"""),65.0)</f>
        <v>65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>
        <f>IFERROR(__xludf.DUMMYFUNCTION("""COMPUTED_VALUE"""),10.0)</f>
        <v>10</v>
      </c>
      <c r="E955" s="1">
        <f>IFERROR(__xludf.DUMMYFUNCTION("""COMPUTED_VALUE"""),98.0)</f>
        <v>98</v>
      </c>
      <c r="F955" s="1">
        <f>IFERROR(__xludf.DUMMYFUNCTION("""COMPUTED_VALUE"""),24.0)</f>
        <v>24</v>
      </c>
      <c r="G955" s="1">
        <f>IFERROR(__xludf.DUMMYFUNCTION("""COMPUTED_VALUE"""),28.0)</f>
        <v>28</v>
      </c>
      <c r="H955" s="1">
        <f>IFERROR(__xludf.DUMMYFUNCTION("""COMPUTED_VALUE"""),31.0)</f>
        <v>31</v>
      </c>
      <c r="I955" s="1">
        <f>IFERROR(__xludf.DUMMYFUNCTION("""COMPUTED_VALUE"""),96.0)</f>
        <v>96</v>
      </c>
      <c r="J955" s="1">
        <f>IFERROR(__xludf.DUMMYFUNCTION("""COMPUTED_VALUE"""),277.0)</f>
        <v>277</v>
      </c>
      <c r="K955" s="1">
        <f>IFERROR(__xludf.DUMMYFUNCTION("""COMPUTED_VALUE"""),55.400000000000006)</f>
        <v>55.4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>
        <f>IFERROR(__xludf.DUMMYFUNCTION("""COMPUTED_VALUE"""),100.0)</f>
        <v>100</v>
      </c>
      <c r="E956" s="1">
        <f>IFERROR(__xludf.DUMMYFUNCTION("""COMPUTED_VALUE"""),89.0)</f>
        <v>89</v>
      </c>
      <c r="F956" s="1">
        <f>IFERROR(__xludf.DUMMYFUNCTION("""COMPUTED_VALUE"""),59.0)</f>
        <v>59</v>
      </c>
      <c r="G956" s="1">
        <f>IFERROR(__xludf.DUMMYFUNCTION("""COMPUTED_VALUE"""),93.0)</f>
        <v>93</v>
      </c>
      <c r="H956" s="1">
        <f>IFERROR(__xludf.DUMMYFUNCTION("""COMPUTED_VALUE"""),22.0)</f>
        <v>22</v>
      </c>
      <c r="I956" s="1">
        <f>IFERROR(__xludf.DUMMYFUNCTION("""COMPUTED_VALUE"""),55.0)</f>
        <v>55</v>
      </c>
      <c r="J956" s="1">
        <f>IFERROR(__xludf.DUMMYFUNCTION("""COMPUTED_VALUE"""),318.0)</f>
        <v>318</v>
      </c>
      <c r="K956" s="1">
        <f>IFERROR(__xludf.DUMMYFUNCTION("""COMPUTED_VALUE"""),63.6)</f>
        <v>63.6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>
        <f>IFERROR(__xludf.DUMMYFUNCTION("""COMPUTED_VALUE"""),35.0)</f>
        <v>35</v>
      </c>
      <c r="E957" s="1">
        <f>IFERROR(__xludf.DUMMYFUNCTION("""COMPUTED_VALUE"""),65.0)</f>
        <v>65</v>
      </c>
      <c r="F957" s="1">
        <f>IFERROR(__xludf.DUMMYFUNCTION("""COMPUTED_VALUE"""),46.0)</f>
        <v>46</v>
      </c>
      <c r="G957" s="1">
        <f>IFERROR(__xludf.DUMMYFUNCTION("""COMPUTED_VALUE"""),43.0)</f>
        <v>43</v>
      </c>
      <c r="H957" s="1">
        <f>IFERROR(__xludf.DUMMYFUNCTION("""COMPUTED_VALUE"""),43.0)</f>
        <v>43</v>
      </c>
      <c r="I957" s="1">
        <f>IFERROR(__xludf.DUMMYFUNCTION("""COMPUTED_VALUE"""),23.0)</f>
        <v>23</v>
      </c>
      <c r="J957" s="1">
        <f>IFERROR(__xludf.DUMMYFUNCTION("""COMPUTED_VALUE"""),220.0)</f>
        <v>220</v>
      </c>
      <c r="K957" s="1">
        <f>IFERROR(__xludf.DUMMYFUNCTION("""COMPUTED_VALUE"""),44.0)</f>
        <v>44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>
        <f>IFERROR(__xludf.DUMMYFUNCTION("""COMPUTED_VALUE"""),73.0)</f>
        <v>73</v>
      </c>
      <c r="E958" s="1">
        <f>IFERROR(__xludf.DUMMYFUNCTION("""COMPUTED_VALUE"""),88.0)</f>
        <v>88</v>
      </c>
      <c r="F958" s="1">
        <f>IFERROR(__xludf.DUMMYFUNCTION("""COMPUTED_VALUE"""),48.0)</f>
        <v>48</v>
      </c>
      <c r="G958" s="1">
        <f>IFERROR(__xludf.DUMMYFUNCTION("""COMPUTED_VALUE"""),82.0)</f>
        <v>82</v>
      </c>
      <c r="H958" s="1">
        <f>IFERROR(__xludf.DUMMYFUNCTION("""COMPUTED_VALUE"""),65.0)</f>
        <v>65</v>
      </c>
      <c r="I958" s="1">
        <f>IFERROR(__xludf.DUMMYFUNCTION("""COMPUTED_VALUE"""),73.0)</f>
        <v>73</v>
      </c>
      <c r="J958" s="1">
        <f>IFERROR(__xludf.DUMMYFUNCTION("""COMPUTED_VALUE"""),356.0)</f>
        <v>356</v>
      </c>
      <c r="K958" s="1">
        <f>IFERROR(__xludf.DUMMYFUNCTION("""COMPUTED_VALUE"""),71.2)</f>
        <v>71.2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>
        <f>IFERROR(__xludf.DUMMYFUNCTION("""COMPUTED_VALUE"""),40.0)</f>
        <v>40</v>
      </c>
      <c r="E959" s="1">
        <f>IFERROR(__xludf.DUMMYFUNCTION("""COMPUTED_VALUE"""),55.0)</f>
        <v>55</v>
      </c>
      <c r="F959" s="1">
        <f>IFERROR(__xludf.DUMMYFUNCTION("""COMPUTED_VALUE"""),65.0)</f>
        <v>65</v>
      </c>
      <c r="G959" s="1">
        <f>IFERROR(__xludf.DUMMYFUNCTION("""COMPUTED_VALUE"""),63.0)</f>
        <v>63</v>
      </c>
      <c r="H959" s="1">
        <f>IFERROR(__xludf.DUMMYFUNCTION("""COMPUTED_VALUE"""),38.0)</f>
        <v>38</v>
      </c>
      <c r="I959" s="1">
        <f>IFERROR(__xludf.DUMMYFUNCTION("""COMPUTED_VALUE"""),93.0)</f>
        <v>93</v>
      </c>
      <c r="J959" s="1">
        <f>IFERROR(__xludf.DUMMYFUNCTION("""COMPUTED_VALUE"""),314.0)</f>
        <v>314</v>
      </c>
      <c r="K959" s="1">
        <f>IFERROR(__xludf.DUMMYFUNCTION("""COMPUTED_VALUE"""),62.8)</f>
        <v>62.8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>
        <f>IFERROR(__xludf.DUMMYFUNCTION("""COMPUTED_VALUE"""),64.0)</f>
        <v>64</v>
      </c>
      <c r="E960" s="1">
        <f>IFERROR(__xludf.DUMMYFUNCTION("""COMPUTED_VALUE"""),57.0)</f>
        <v>57</v>
      </c>
      <c r="F960" s="1">
        <f>IFERROR(__xludf.DUMMYFUNCTION("""COMPUTED_VALUE"""),25.0)</f>
        <v>25</v>
      </c>
      <c r="G960" s="1">
        <f>IFERROR(__xludf.DUMMYFUNCTION("""COMPUTED_VALUE"""),79.0)</f>
        <v>79</v>
      </c>
      <c r="H960" s="1">
        <f>IFERROR(__xludf.DUMMYFUNCTION("""COMPUTED_VALUE"""),84.0)</f>
        <v>84</v>
      </c>
      <c r="I960" s="1">
        <f>IFERROR(__xludf.DUMMYFUNCTION("""COMPUTED_VALUE"""),83.0)</f>
        <v>83</v>
      </c>
      <c r="J960" s="1">
        <f>IFERROR(__xludf.DUMMYFUNCTION("""COMPUTED_VALUE"""),328.0)</f>
        <v>328</v>
      </c>
      <c r="K960" s="1">
        <f>IFERROR(__xludf.DUMMYFUNCTION("""COMPUTED_VALUE"""),65.60000000000001)</f>
        <v>65.6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>
        <f>IFERROR(__xludf.DUMMYFUNCTION("""COMPUTED_VALUE"""),81.0)</f>
        <v>81</v>
      </c>
      <c r="E961" s="1">
        <f>IFERROR(__xludf.DUMMYFUNCTION("""COMPUTED_VALUE"""),83.0)</f>
        <v>83</v>
      </c>
      <c r="F961" s="1">
        <f>IFERROR(__xludf.DUMMYFUNCTION("""COMPUTED_VALUE"""),42.0)</f>
        <v>42</v>
      </c>
      <c r="G961" s="1">
        <f>IFERROR(__xludf.DUMMYFUNCTION("""COMPUTED_VALUE"""),52.0)</f>
        <v>52</v>
      </c>
      <c r="H961" s="1">
        <f>IFERROR(__xludf.DUMMYFUNCTION("""COMPUTED_VALUE"""),35.0)</f>
        <v>35</v>
      </c>
      <c r="I961" s="1">
        <f>IFERROR(__xludf.DUMMYFUNCTION("""COMPUTED_VALUE"""),43.0)</f>
        <v>43</v>
      </c>
      <c r="J961" s="1">
        <f>IFERROR(__xludf.DUMMYFUNCTION("""COMPUTED_VALUE"""),255.0)</f>
        <v>255</v>
      </c>
      <c r="K961" s="1">
        <f>IFERROR(__xludf.DUMMYFUNCTION("""COMPUTED_VALUE"""),51.0)</f>
        <v>51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>
        <f>IFERROR(__xludf.DUMMYFUNCTION("""COMPUTED_VALUE"""),94.0)</f>
        <v>94</v>
      </c>
      <c r="E962" s="1">
        <f>IFERROR(__xludf.DUMMYFUNCTION("""COMPUTED_VALUE"""),26.0)</f>
        <v>26</v>
      </c>
      <c r="F962" s="1">
        <f>IFERROR(__xludf.DUMMYFUNCTION("""COMPUTED_VALUE"""),36.0)</f>
        <v>36</v>
      </c>
      <c r="G962" s="1">
        <f>IFERROR(__xludf.DUMMYFUNCTION("""COMPUTED_VALUE"""),44.0)</f>
        <v>44</v>
      </c>
      <c r="H962" s="1">
        <f>IFERROR(__xludf.DUMMYFUNCTION("""COMPUTED_VALUE"""),31.0)</f>
        <v>31</v>
      </c>
      <c r="I962" s="1">
        <f>IFERROR(__xludf.DUMMYFUNCTION("""COMPUTED_VALUE"""),56.0)</f>
        <v>56</v>
      </c>
      <c r="J962" s="1">
        <f>IFERROR(__xludf.DUMMYFUNCTION("""COMPUTED_VALUE"""),193.0)</f>
        <v>193</v>
      </c>
      <c r="K962" s="1">
        <f>IFERROR(__xludf.DUMMYFUNCTION("""COMPUTED_VALUE"""),38.6)</f>
        <v>38.6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>
        <f>IFERROR(__xludf.DUMMYFUNCTION("""COMPUTED_VALUE"""),11.0)</f>
        <v>11</v>
      </c>
      <c r="E963" s="1">
        <f>IFERROR(__xludf.DUMMYFUNCTION("""COMPUTED_VALUE"""),53.0)</f>
        <v>53</v>
      </c>
      <c r="F963" s="1">
        <f>IFERROR(__xludf.DUMMYFUNCTION("""COMPUTED_VALUE"""),23.0)</f>
        <v>23</v>
      </c>
      <c r="G963" s="1">
        <f>IFERROR(__xludf.DUMMYFUNCTION("""COMPUTED_VALUE"""),64.0)</f>
        <v>64</v>
      </c>
      <c r="H963" s="1">
        <f>IFERROR(__xludf.DUMMYFUNCTION("""COMPUTED_VALUE"""),42.0)</f>
        <v>42</v>
      </c>
      <c r="I963" s="1">
        <f>IFERROR(__xludf.DUMMYFUNCTION("""COMPUTED_VALUE"""),22.0)</f>
        <v>22</v>
      </c>
      <c r="J963" s="1">
        <f>IFERROR(__xludf.DUMMYFUNCTION("""COMPUTED_VALUE"""),204.0)</f>
        <v>204</v>
      </c>
      <c r="K963" s="1">
        <f>IFERROR(__xludf.DUMMYFUNCTION("""COMPUTED_VALUE"""),40.8)</f>
        <v>40.8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>
        <f>IFERROR(__xludf.DUMMYFUNCTION("""COMPUTED_VALUE"""),61.0)</f>
        <v>61</v>
      </c>
      <c r="E964" s="1">
        <f>IFERROR(__xludf.DUMMYFUNCTION("""COMPUTED_VALUE"""),63.0)</f>
        <v>63</v>
      </c>
      <c r="F964" s="1">
        <f>IFERROR(__xludf.DUMMYFUNCTION("""COMPUTED_VALUE"""),99.0)</f>
        <v>99</v>
      </c>
      <c r="G964" s="1">
        <f>IFERROR(__xludf.DUMMYFUNCTION("""COMPUTED_VALUE"""),97.0)</f>
        <v>97</v>
      </c>
      <c r="H964" s="1">
        <f>IFERROR(__xludf.DUMMYFUNCTION("""COMPUTED_VALUE"""),60.0)</f>
        <v>60</v>
      </c>
      <c r="I964" s="1">
        <f>IFERROR(__xludf.DUMMYFUNCTION("""COMPUTED_VALUE"""),80.0)</f>
        <v>80</v>
      </c>
      <c r="J964" s="1">
        <f>IFERROR(__xludf.DUMMYFUNCTION("""COMPUTED_VALUE"""),399.0)</f>
        <v>399</v>
      </c>
      <c r="K964" s="1">
        <f>IFERROR(__xludf.DUMMYFUNCTION("""COMPUTED_VALUE"""),79.80000000000001)</f>
        <v>79.8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>
        <f>IFERROR(__xludf.DUMMYFUNCTION("""COMPUTED_VALUE"""),66.0)</f>
        <v>66</v>
      </c>
      <c r="E965" s="1">
        <f>IFERROR(__xludf.DUMMYFUNCTION("""COMPUTED_VALUE"""),21.0)</f>
        <v>21</v>
      </c>
      <c r="F965" s="1">
        <f>IFERROR(__xludf.DUMMYFUNCTION("""COMPUTED_VALUE"""),42.0)</f>
        <v>42</v>
      </c>
      <c r="G965" s="1">
        <f>IFERROR(__xludf.DUMMYFUNCTION("""COMPUTED_VALUE"""),31.0)</f>
        <v>31</v>
      </c>
      <c r="H965" s="1">
        <f>IFERROR(__xludf.DUMMYFUNCTION("""COMPUTED_VALUE"""),53.0)</f>
        <v>53</v>
      </c>
      <c r="I965" s="1">
        <f>IFERROR(__xludf.DUMMYFUNCTION("""COMPUTED_VALUE"""),41.0)</f>
        <v>41</v>
      </c>
      <c r="J965" s="1">
        <f>IFERROR(__xludf.DUMMYFUNCTION("""COMPUTED_VALUE"""),188.0)</f>
        <v>188</v>
      </c>
      <c r="K965" s="1">
        <f>IFERROR(__xludf.DUMMYFUNCTION("""COMPUTED_VALUE"""),37.6)</f>
        <v>37.6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>
        <f>IFERROR(__xludf.DUMMYFUNCTION("""COMPUTED_VALUE"""),56.0)</f>
        <v>56</v>
      </c>
      <c r="E966" s="1">
        <f>IFERROR(__xludf.DUMMYFUNCTION("""COMPUTED_VALUE"""),65.0)</f>
        <v>65</v>
      </c>
      <c r="F966" s="1">
        <f>IFERROR(__xludf.DUMMYFUNCTION("""COMPUTED_VALUE"""),55.0)</f>
        <v>55</v>
      </c>
      <c r="G966" s="1">
        <f>IFERROR(__xludf.DUMMYFUNCTION("""COMPUTED_VALUE"""),60.0)</f>
        <v>60</v>
      </c>
      <c r="H966" s="1">
        <f>IFERROR(__xludf.DUMMYFUNCTION("""COMPUTED_VALUE"""),92.0)</f>
        <v>92</v>
      </c>
      <c r="I966" s="1">
        <f>IFERROR(__xludf.DUMMYFUNCTION("""COMPUTED_VALUE"""),98.0)</f>
        <v>98</v>
      </c>
      <c r="J966" s="1">
        <f>IFERROR(__xludf.DUMMYFUNCTION("""COMPUTED_VALUE"""),370.0)</f>
        <v>370</v>
      </c>
      <c r="K966" s="1">
        <f>IFERROR(__xludf.DUMMYFUNCTION("""COMPUTED_VALUE"""),74.0)</f>
        <v>74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>
        <f>IFERROR(__xludf.DUMMYFUNCTION("""COMPUTED_VALUE"""),14.0)</f>
        <v>14</v>
      </c>
      <c r="E967" s="1">
        <f>IFERROR(__xludf.DUMMYFUNCTION("""COMPUTED_VALUE"""),25.0)</f>
        <v>25</v>
      </c>
      <c r="F967" s="1">
        <f>IFERROR(__xludf.DUMMYFUNCTION("""COMPUTED_VALUE"""),65.0)</f>
        <v>65</v>
      </c>
      <c r="G967" s="1">
        <f>IFERROR(__xludf.DUMMYFUNCTION("""COMPUTED_VALUE"""),33.0)</f>
        <v>33</v>
      </c>
      <c r="H967" s="1">
        <f>IFERROR(__xludf.DUMMYFUNCTION("""COMPUTED_VALUE"""),35.0)</f>
        <v>35</v>
      </c>
      <c r="I967" s="1">
        <f>IFERROR(__xludf.DUMMYFUNCTION("""COMPUTED_VALUE"""),45.0)</f>
        <v>45</v>
      </c>
      <c r="J967" s="1">
        <f>IFERROR(__xludf.DUMMYFUNCTION("""COMPUTED_VALUE"""),203.0)</f>
        <v>203</v>
      </c>
      <c r="K967" s="1">
        <f>IFERROR(__xludf.DUMMYFUNCTION("""COMPUTED_VALUE"""),40.6)</f>
        <v>40.6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>
        <f>IFERROR(__xludf.DUMMYFUNCTION("""COMPUTED_VALUE"""),85.0)</f>
        <v>85</v>
      </c>
      <c r="E968" s="1">
        <f>IFERROR(__xludf.DUMMYFUNCTION("""COMPUTED_VALUE"""),44.0)</f>
        <v>44</v>
      </c>
      <c r="F968" s="1">
        <f>IFERROR(__xludf.DUMMYFUNCTION("""COMPUTED_VALUE"""),57.0)</f>
        <v>57</v>
      </c>
      <c r="G968" s="1">
        <f>IFERROR(__xludf.DUMMYFUNCTION("""COMPUTED_VALUE"""),56.0)</f>
        <v>56</v>
      </c>
      <c r="H968" s="1">
        <f>IFERROR(__xludf.DUMMYFUNCTION("""COMPUTED_VALUE"""),29.0)</f>
        <v>29</v>
      </c>
      <c r="I968" s="1">
        <f>IFERROR(__xludf.DUMMYFUNCTION("""COMPUTED_VALUE"""),76.0)</f>
        <v>76</v>
      </c>
      <c r="J968" s="1">
        <f>IFERROR(__xludf.DUMMYFUNCTION("""COMPUTED_VALUE"""),262.0)</f>
        <v>262</v>
      </c>
      <c r="K968" s="1">
        <f>IFERROR(__xludf.DUMMYFUNCTION("""COMPUTED_VALUE"""),52.400000000000006)</f>
        <v>52.4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>
        <f>IFERROR(__xludf.DUMMYFUNCTION("""COMPUTED_VALUE"""),77.0)</f>
        <v>77</v>
      </c>
      <c r="E969" s="1">
        <f>IFERROR(__xludf.DUMMYFUNCTION("""COMPUTED_VALUE"""),55.0)</f>
        <v>55</v>
      </c>
      <c r="F969" s="1">
        <f>IFERROR(__xludf.DUMMYFUNCTION("""COMPUTED_VALUE"""),80.0)</f>
        <v>80</v>
      </c>
      <c r="G969" s="1">
        <f>IFERROR(__xludf.DUMMYFUNCTION("""COMPUTED_VALUE"""),75.0)</f>
        <v>75</v>
      </c>
      <c r="H969" s="1">
        <f>IFERROR(__xludf.DUMMYFUNCTION("""COMPUTED_VALUE"""),85.0)</f>
        <v>85</v>
      </c>
      <c r="I969" s="1">
        <f>IFERROR(__xludf.DUMMYFUNCTION("""COMPUTED_VALUE"""),65.0)</f>
        <v>65</v>
      </c>
      <c r="J969" s="1">
        <f>IFERROR(__xludf.DUMMYFUNCTION("""COMPUTED_VALUE"""),360.0)</f>
        <v>360</v>
      </c>
      <c r="K969" s="1">
        <f>IFERROR(__xludf.DUMMYFUNCTION("""COMPUTED_VALUE"""),72.0)</f>
        <v>72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>
        <f>IFERROR(__xludf.DUMMYFUNCTION("""COMPUTED_VALUE"""),24.0)</f>
        <v>24</v>
      </c>
      <c r="E970" s="1">
        <f>IFERROR(__xludf.DUMMYFUNCTION("""COMPUTED_VALUE"""),51.0)</f>
        <v>51</v>
      </c>
      <c r="F970" s="1">
        <f>IFERROR(__xludf.DUMMYFUNCTION("""COMPUTED_VALUE"""),28.0)</f>
        <v>28</v>
      </c>
      <c r="G970" s="1">
        <f>IFERROR(__xludf.DUMMYFUNCTION("""COMPUTED_VALUE"""),28.0)</f>
        <v>28</v>
      </c>
      <c r="H970" s="1">
        <f>IFERROR(__xludf.DUMMYFUNCTION("""COMPUTED_VALUE"""),67.0)</f>
        <v>67</v>
      </c>
      <c r="I970" s="1">
        <f>IFERROR(__xludf.DUMMYFUNCTION("""COMPUTED_VALUE"""),34.0)</f>
        <v>34</v>
      </c>
      <c r="J970" s="1">
        <f>IFERROR(__xludf.DUMMYFUNCTION("""COMPUTED_VALUE"""),208.0)</f>
        <v>208</v>
      </c>
      <c r="K970" s="1">
        <f>IFERROR(__xludf.DUMMYFUNCTION("""COMPUTED_VALUE"""),41.6)</f>
        <v>41.6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>
        <f>IFERROR(__xludf.DUMMYFUNCTION("""COMPUTED_VALUE"""),40.0)</f>
        <v>40</v>
      </c>
      <c r="E971" s="1">
        <f>IFERROR(__xludf.DUMMYFUNCTION("""COMPUTED_VALUE"""),88.0)</f>
        <v>88</v>
      </c>
      <c r="F971" s="1">
        <f>IFERROR(__xludf.DUMMYFUNCTION("""COMPUTED_VALUE"""),78.0)</f>
        <v>78</v>
      </c>
      <c r="G971" s="1">
        <f>IFERROR(__xludf.DUMMYFUNCTION("""COMPUTED_VALUE"""),29.0)</f>
        <v>29</v>
      </c>
      <c r="H971" s="1">
        <f>IFERROR(__xludf.DUMMYFUNCTION("""COMPUTED_VALUE"""),96.0)</f>
        <v>96</v>
      </c>
      <c r="I971" s="1">
        <f>IFERROR(__xludf.DUMMYFUNCTION("""COMPUTED_VALUE"""),67.0)</f>
        <v>67</v>
      </c>
      <c r="J971" s="1">
        <f>IFERROR(__xludf.DUMMYFUNCTION("""COMPUTED_VALUE"""),358.0)</f>
        <v>358</v>
      </c>
      <c r="K971" s="1">
        <f>IFERROR(__xludf.DUMMYFUNCTION("""COMPUTED_VALUE"""),71.6)</f>
        <v>71.6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>
        <f>IFERROR(__xludf.DUMMYFUNCTION("""COMPUTED_VALUE"""),19.0)</f>
        <v>19</v>
      </c>
      <c r="E972" s="1">
        <f>IFERROR(__xludf.DUMMYFUNCTION("""COMPUTED_VALUE"""),71.0)</f>
        <v>71</v>
      </c>
      <c r="F972" s="1">
        <f>IFERROR(__xludf.DUMMYFUNCTION("""COMPUTED_VALUE"""),43.0)</f>
        <v>43</v>
      </c>
      <c r="G972" s="1">
        <f>IFERROR(__xludf.DUMMYFUNCTION("""COMPUTED_VALUE"""),51.0)</f>
        <v>51</v>
      </c>
      <c r="H972" s="1">
        <f>IFERROR(__xludf.DUMMYFUNCTION("""COMPUTED_VALUE"""),88.0)</f>
        <v>88</v>
      </c>
      <c r="I972" s="1">
        <f>IFERROR(__xludf.DUMMYFUNCTION("""COMPUTED_VALUE"""),71.0)</f>
        <v>71</v>
      </c>
      <c r="J972" s="1">
        <f>IFERROR(__xludf.DUMMYFUNCTION("""COMPUTED_VALUE"""),324.0)</f>
        <v>324</v>
      </c>
      <c r="K972" s="1">
        <f>IFERROR(__xludf.DUMMYFUNCTION("""COMPUTED_VALUE"""),64.8)</f>
        <v>64.8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>
        <f>IFERROR(__xludf.DUMMYFUNCTION("""COMPUTED_VALUE"""),83.0)</f>
        <v>83</v>
      </c>
      <c r="E973" s="1">
        <f>IFERROR(__xludf.DUMMYFUNCTION("""COMPUTED_VALUE"""),28.0)</f>
        <v>28</v>
      </c>
      <c r="F973" s="1">
        <f>IFERROR(__xludf.DUMMYFUNCTION("""COMPUTED_VALUE"""),42.0)</f>
        <v>42</v>
      </c>
      <c r="G973" s="1">
        <f>IFERROR(__xludf.DUMMYFUNCTION("""COMPUTED_VALUE"""),72.0)</f>
        <v>72</v>
      </c>
      <c r="H973" s="1">
        <f>IFERROR(__xludf.DUMMYFUNCTION("""COMPUTED_VALUE"""),80.0)</f>
        <v>80</v>
      </c>
      <c r="I973" s="1">
        <f>IFERROR(__xludf.DUMMYFUNCTION("""COMPUTED_VALUE"""),55.0)</f>
        <v>55</v>
      </c>
      <c r="J973" s="1">
        <f>IFERROR(__xludf.DUMMYFUNCTION("""COMPUTED_VALUE"""),277.0)</f>
        <v>277</v>
      </c>
      <c r="K973" s="1">
        <f>IFERROR(__xludf.DUMMYFUNCTION("""COMPUTED_VALUE"""),55.400000000000006)</f>
        <v>55.4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>
        <f>IFERROR(__xludf.DUMMYFUNCTION("""COMPUTED_VALUE"""),67.0)</f>
        <v>67</v>
      </c>
      <c r="E974" s="1">
        <f>IFERROR(__xludf.DUMMYFUNCTION("""COMPUTED_VALUE"""),28.0)</f>
        <v>28</v>
      </c>
      <c r="F974" s="1">
        <f>IFERROR(__xludf.DUMMYFUNCTION("""COMPUTED_VALUE"""),95.0)</f>
        <v>95</v>
      </c>
      <c r="G974" s="1">
        <f>IFERROR(__xludf.DUMMYFUNCTION("""COMPUTED_VALUE"""),21.0)</f>
        <v>21</v>
      </c>
      <c r="H974" s="1">
        <f>IFERROR(__xludf.DUMMYFUNCTION("""COMPUTED_VALUE"""),67.0)</f>
        <v>67</v>
      </c>
      <c r="I974" s="1">
        <f>IFERROR(__xludf.DUMMYFUNCTION("""COMPUTED_VALUE"""),78.0)</f>
        <v>78</v>
      </c>
      <c r="J974" s="1">
        <f>IFERROR(__xludf.DUMMYFUNCTION("""COMPUTED_VALUE"""),289.0)</f>
        <v>289</v>
      </c>
      <c r="K974" s="1">
        <f>IFERROR(__xludf.DUMMYFUNCTION("""COMPUTED_VALUE"""),57.8)</f>
        <v>57.8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>
        <f>IFERROR(__xludf.DUMMYFUNCTION("""COMPUTED_VALUE"""),91.0)</f>
        <v>91</v>
      </c>
      <c r="E975" s="1">
        <f>IFERROR(__xludf.DUMMYFUNCTION("""COMPUTED_VALUE"""),37.0)</f>
        <v>37</v>
      </c>
      <c r="F975" s="1">
        <f>IFERROR(__xludf.DUMMYFUNCTION("""COMPUTED_VALUE"""),37.0)</f>
        <v>37</v>
      </c>
      <c r="G975" s="1">
        <f>IFERROR(__xludf.DUMMYFUNCTION("""COMPUTED_VALUE"""),95.0)</f>
        <v>95</v>
      </c>
      <c r="H975" s="1">
        <f>IFERROR(__xludf.DUMMYFUNCTION("""COMPUTED_VALUE"""),70.0)</f>
        <v>70</v>
      </c>
      <c r="I975" s="1">
        <f>IFERROR(__xludf.DUMMYFUNCTION("""COMPUTED_VALUE"""),39.0)</f>
        <v>39</v>
      </c>
      <c r="J975" s="1">
        <f>IFERROR(__xludf.DUMMYFUNCTION("""COMPUTED_VALUE"""),278.0)</f>
        <v>278</v>
      </c>
      <c r="K975" s="1">
        <f>IFERROR(__xludf.DUMMYFUNCTION("""COMPUTED_VALUE"""),55.60000000000001)</f>
        <v>55.6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>
        <f>IFERROR(__xludf.DUMMYFUNCTION("""COMPUTED_VALUE"""),98.0)</f>
        <v>98</v>
      </c>
      <c r="E976" s="1">
        <f>IFERROR(__xludf.DUMMYFUNCTION("""COMPUTED_VALUE"""),80.0)</f>
        <v>80</v>
      </c>
      <c r="F976" s="1">
        <f>IFERROR(__xludf.DUMMYFUNCTION("""COMPUTED_VALUE"""),27.0)</f>
        <v>27</v>
      </c>
      <c r="G976" s="1">
        <f>IFERROR(__xludf.DUMMYFUNCTION("""COMPUTED_VALUE"""),47.0)</f>
        <v>47</v>
      </c>
      <c r="H976" s="1">
        <f>IFERROR(__xludf.DUMMYFUNCTION("""COMPUTED_VALUE"""),90.0)</f>
        <v>90</v>
      </c>
      <c r="I976" s="1">
        <f>IFERROR(__xludf.DUMMYFUNCTION("""COMPUTED_VALUE"""),89.0)</f>
        <v>89</v>
      </c>
      <c r="J976" s="1">
        <f>IFERROR(__xludf.DUMMYFUNCTION("""COMPUTED_VALUE"""),333.0)</f>
        <v>333</v>
      </c>
      <c r="K976" s="1">
        <f>IFERROR(__xludf.DUMMYFUNCTION("""COMPUTED_VALUE"""),66.60000000000001)</f>
        <v>66.6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>
        <f>IFERROR(__xludf.DUMMYFUNCTION("""COMPUTED_VALUE"""),20.0)</f>
        <v>20</v>
      </c>
      <c r="E977" s="1">
        <f>IFERROR(__xludf.DUMMYFUNCTION("""COMPUTED_VALUE"""),70.0)</f>
        <v>70</v>
      </c>
      <c r="F977" s="1">
        <f>IFERROR(__xludf.DUMMYFUNCTION("""COMPUTED_VALUE"""),80.0)</f>
        <v>80</v>
      </c>
      <c r="G977" s="1">
        <f>IFERROR(__xludf.DUMMYFUNCTION("""COMPUTED_VALUE"""),29.0)</f>
        <v>29</v>
      </c>
      <c r="H977" s="1">
        <f>IFERROR(__xludf.DUMMYFUNCTION("""COMPUTED_VALUE"""),68.0)</f>
        <v>68</v>
      </c>
      <c r="I977" s="1">
        <f>IFERROR(__xludf.DUMMYFUNCTION("""COMPUTED_VALUE"""),78.0)</f>
        <v>78</v>
      </c>
      <c r="J977" s="1">
        <f>IFERROR(__xludf.DUMMYFUNCTION("""COMPUTED_VALUE"""),325.0)</f>
        <v>325</v>
      </c>
      <c r="K977" s="1">
        <f>IFERROR(__xludf.DUMMYFUNCTION("""COMPUTED_VALUE"""),65.0)</f>
        <v>65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>
        <f>IFERROR(__xludf.DUMMYFUNCTION("""COMPUTED_VALUE"""),26.0)</f>
        <v>26</v>
      </c>
      <c r="E978" s="1">
        <f>IFERROR(__xludf.DUMMYFUNCTION("""COMPUTED_VALUE"""),30.0)</f>
        <v>30</v>
      </c>
      <c r="F978" s="1">
        <f>IFERROR(__xludf.DUMMYFUNCTION("""COMPUTED_VALUE"""),39.0)</f>
        <v>39</v>
      </c>
      <c r="G978" s="1">
        <f>IFERROR(__xludf.DUMMYFUNCTION("""COMPUTED_VALUE"""),58.0)</f>
        <v>58</v>
      </c>
      <c r="H978" s="1">
        <f>IFERROR(__xludf.DUMMYFUNCTION("""COMPUTED_VALUE"""),45.0)</f>
        <v>45</v>
      </c>
      <c r="I978" s="1">
        <f>IFERROR(__xludf.DUMMYFUNCTION("""COMPUTED_VALUE"""),67.0)</f>
        <v>67</v>
      </c>
      <c r="J978" s="1">
        <f>IFERROR(__xludf.DUMMYFUNCTION("""COMPUTED_VALUE"""),239.0)</f>
        <v>239</v>
      </c>
      <c r="K978" s="1">
        <f>IFERROR(__xludf.DUMMYFUNCTION("""COMPUTED_VALUE"""),47.8)</f>
        <v>47.8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>
        <f>IFERROR(__xludf.DUMMYFUNCTION("""COMPUTED_VALUE"""),41.0)</f>
        <v>41</v>
      </c>
      <c r="E979" s="1">
        <f>IFERROR(__xludf.DUMMYFUNCTION("""COMPUTED_VALUE"""),69.0)</f>
        <v>69</v>
      </c>
      <c r="F979" s="1">
        <f>IFERROR(__xludf.DUMMYFUNCTION("""COMPUTED_VALUE"""),79.0)</f>
        <v>79</v>
      </c>
      <c r="G979" s="1">
        <f>IFERROR(__xludf.DUMMYFUNCTION("""COMPUTED_VALUE"""),62.0)</f>
        <v>62</v>
      </c>
      <c r="H979" s="1">
        <f>IFERROR(__xludf.DUMMYFUNCTION("""COMPUTED_VALUE"""),43.0)</f>
        <v>43</v>
      </c>
      <c r="I979" s="1">
        <f>IFERROR(__xludf.DUMMYFUNCTION("""COMPUTED_VALUE"""),90.0)</f>
        <v>90</v>
      </c>
      <c r="J979" s="1">
        <f>IFERROR(__xludf.DUMMYFUNCTION("""COMPUTED_VALUE"""),343.0)</f>
        <v>343</v>
      </c>
      <c r="K979" s="1">
        <f>IFERROR(__xludf.DUMMYFUNCTION("""COMPUTED_VALUE"""),68.60000000000001)</f>
        <v>68.6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>
        <f>IFERROR(__xludf.DUMMYFUNCTION("""COMPUTED_VALUE"""),24.0)</f>
        <v>24</v>
      </c>
      <c r="E980" s="1">
        <f>IFERROR(__xludf.DUMMYFUNCTION("""COMPUTED_VALUE"""),52.0)</f>
        <v>52</v>
      </c>
      <c r="F980" s="1">
        <f>IFERROR(__xludf.DUMMYFUNCTION("""COMPUTED_VALUE"""),97.0)</f>
        <v>97</v>
      </c>
      <c r="G980" s="1">
        <f>IFERROR(__xludf.DUMMYFUNCTION("""COMPUTED_VALUE"""),80.0)</f>
        <v>80</v>
      </c>
      <c r="H980" s="1">
        <f>IFERROR(__xludf.DUMMYFUNCTION("""COMPUTED_VALUE"""),23.0)</f>
        <v>23</v>
      </c>
      <c r="I980" s="1">
        <f>IFERROR(__xludf.DUMMYFUNCTION("""COMPUTED_VALUE"""),81.0)</f>
        <v>81</v>
      </c>
      <c r="J980" s="1">
        <f>IFERROR(__xludf.DUMMYFUNCTION("""COMPUTED_VALUE"""),333.0)</f>
        <v>333</v>
      </c>
      <c r="K980" s="1">
        <f>IFERROR(__xludf.DUMMYFUNCTION("""COMPUTED_VALUE"""),66.60000000000001)</f>
        <v>66.6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>
        <f>IFERROR(__xludf.DUMMYFUNCTION("""COMPUTED_VALUE"""),20.0)</f>
        <v>20</v>
      </c>
      <c r="E981" s="1">
        <f>IFERROR(__xludf.DUMMYFUNCTION("""COMPUTED_VALUE"""),92.0)</f>
        <v>92</v>
      </c>
      <c r="F981" s="1">
        <f>IFERROR(__xludf.DUMMYFUNCTION("""COMPUTED_VALUE"""),57.0)</f>
        <v>57</v>
      </c>
      <c r="G981" s="1">
        <f>IFERROR(__xludf.DUMMYFUNCTION("""COMPUTED_VALUE"""),91.0)</f>
        <v>91</v>
      </c>
      <c r="H981" s="1">
        <f>IFERROR(__xludf.DUMMYFUNCTION("""COMPUTED_VALUE"""),56.0)</f>
        <v>56</v>
      </c>
      <c r="I981" s="1">
        <f>IFERROR(__xludf.DUMMYFUNCTION("""COMPUTED_VALUE"""),96.0)</f>
        <v>96</v>
      </c>
      <c r="J981" s="1">
        <f>IFERROR(__xludf.DUMMYFUNCTION("""COMPUTED_VALUE"""),392.0)</f>
        <v>392</v>
      </c>
      <c r="K981" s="1">
        <f>IFERROR(__xludf.DUMMYFUNCTION("""COMPUTED_VALUE"""),78.4)</f>
        <v>78.4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>
        <f>IFERROR(__xludf.DUMMYFUNCTION("""COMPUTED_VALUE"""),59.0)</f>
        <v>59</v>
      </c>
      <c r="E982" s="1">
        <f>IFERROR(__xludf.DUMMYFUNCTION("""COMPUTED_VALUE"""),73.0)</f>
        <v>73</v>
      </c>
      <c r="F982" s="1">
        <f>IFERROR(__xludf.DUMMYFUNCTION("""COMPUTED_VALUE"""),67.0)</f>
        <v>67</v>
      </c>
      <c r="G982" s="1">
        <f>IFERROR(__xludf.DUMMYFUNCTION("""COMPUTED_VALUE"""),91.0)</f>
        <v>91</v>
      </c>
      <c r="H982" s="1">
        <f>IFERROR(__xludf.DUMMYFUNCTION("""COMPUTED_VALUE"""),94.0)</f>
        <v>94</v>
      </c>
      <c r="I982" s="1">
        <f>IFERROR(__xludf.DUMMYFUNCTION("""COMPUTED_VALUE"""),84.0)</f>
        <v>84</v>
      </c>
      <c r="J982" s="1">
        <f>IFERROR(__xludf.DUMMYFUNCTION("""COMPUTED_VALUE"""),409.0)</f>
        <v>409</v>
      </c>
      <c r="K982" s="1">
        <f>IFERROR(__xludf.DUMMYFUNCTION("""COMPUTED_VALUE"""),81.8)</f>
        <v>81.8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>
        <f>IFERROR(__xludf.DUMMYFUNCTION("""COMPUTED_VALUE"""),52.0)</f>
        <v>52</v>
      </c>
      <c r="E983" s="1">
        <f>IFERROR(__xludf.DUMMYFUNCTION("""COMPUTED_VALUE"""),81.0)</f>
        <v>81</v>
      </c>
      <c r="F983" s="1">
        <f>IFERROR(__xludf.DUMMYFUNCTION("""COMPUTED_VALUE"""),27.0)</f>
        <v>27</v>
      </c>
      <c r="G983" s="1">
        <f>IFERROR(__xludf.DUMMYFUNCTION("""COMPUTED_VALUE"""),48.0)</f>
        <v>48</v>
      </c>
      <c r="H983" s="1">
        <f>IFERROR(__xludf.DUMMYFUNCTION("""COMPUTED_VALUE"""),99.0)</f>
        <v>99</v>
      </c>
      <c r="I983" s="1">
        <f>IFERROR(__xludf.DUMMYFUNCTION("""COMPUTED_VALUE"""),55.0)</f>
        <v>55</v>
      </c>
      <c r="J983" s="1">
        <f>IFERROR(__xludf.DUMMYFUNCTION("""COMPUTED_VALUE"""),310.0)</f>
        <v>310</v>
      </c>
      <c r="K983" s="1">
        <f>IFERROR(__xludf.DUMMYFUNCTION("""COMPUTED_VALUE"""),62.0)</f>
        <v>62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>
        <f>IFERROR(__xludf.DUMMYFUNCTION("""COMPUTED_VALUE"""),32.0)</f>
        <v>32</v>
      </c>
      <c r="E984" s="1">
        <f>IFERROR(__xludf.DUMMYFUNCTION("""COMPUTED_VALUE"""),53.0)</f>
        <v>53</v>
      </c>
      <c r="F984" s="1">
        <f>IFERROR(__xludf.DUMMYFUNCTION("""COMPUTED_VALUE"""),86.0)</f>
        <v>86</v>
      </c>
      <c r="G984" s="1">
        <f>IFERROR(__xludf.DUMMYFUNCTION("""COMPUTED_VALUE"""),26.0)</f>
        <v>26</v>
      </c>
      <c r="H984" s="1">
        <f>IFERROR(__xludf.DUMMYFUNCTION("""COMPUTED_VALUE"""),22.0)</f>
        <v>22</v>
      </c>
      <c r="I984" s="1">
        <f>IFERROR(__xludf.DUMMYFUNCTION("""COMPUTED_VALUE"""),38.0)</f>
        <v>38</v>
      </c>
      <c r="J984" s="1">
        <f>IFERROR(__xludf.DUMMYFUNCTION("""COMPUTED_VALUE"""),225.0)</f>
        <v>225</v>
      </c>
      <c r="K984" s="1">
        <f>IFERROR(__xludf.DUMMYFUNCTION("""COMPUTED_VALUE"""),45.0)</f>
        <v>45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>
        <f>IFERROR(__xludf.DUMMYFUNCTION("""COMPUTED_VALUE"""),41.0)</f>
        <v>41</v>
      </c>
      <c r="E985" s="1">
        <f>IFERROR(__xludf.DUMMYFUNCTION("""COMPUTED_VALUE"""),88.0)</f>
        <v>88</v>
      </c>
      <c r="F985" s="1">
        <f>IFERROR(__xludf.DUMMYFUNCTION("""COMPUTED_VALUE"""),99.0)</f>
        <v>99</v>
      </c>
      <c r="G985" s="1">
        <f>IFERROR(__xludf.DUMMYFUNCTION("""COMPUTED_VALUE"""),42.0)</f>
        <v>42</v>
      </c>
      <c r="H985" s="1">
        <f>IFERROR(__xludf.DUMMYFUNCTION("""COMPUTED_VALUE"""),49.0)</f>
        <v>49</v>
      </c>
      <c r="I985" s="1">
        <f>IFERROR(__xludf.DUMMYFUNCTION("""COMPUTED_VALUE"""),68.0)</f>
        <v>68</v>
      </c>
      <c r="J985" s="1">
        <f>IFERROR(__xludf.DUMMYFUNCTION("""COMPUTED_VALUE"""),346.0)</f>
        <v>346</v>
      </c>
      <c r="K985" s="1">
        <f>IFERROR(__xludf.DUMMYFUNCTION("""COMPUTED_VALUE"""),69.19999999999999)</f>
        <v>69.2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>
        <f>IFERROR(__xludf.DUMMYFUNCTION("""COMPUTED_VALUE"""),25.0)</f>
        <v>25</v>
      </c>
      <c r="E986" s="1">
        <f>IFERROR(__xludf.DUMMYFUNCTION("""COMPUTED_VALUE"""),44.0)</f>
        <v>44</v>
      </c>
      <c r="F986" s="1">
        <f>IFERROR(__xludf.DUMMYFUNCTION("""COMPUTED_VALUE"""),94.0)</f>
        <v>94</v>
      </c>
      <c r="G986" s="1">
        <f>IFERROR(__xludf.DUMMYFUNCTION("""COMPUTED_VALUE"""),59.0)</f>
        <v>59</v>
      </c>
      <c r="H986" s="1">
        <f>IFERROR(__xludf.DUMMYFUNCTION("""COMPUTED_VALUE"""),66.0)</f>
        <v>66</v>
      </c>
      <c r="I986" s="1">
        <f>IFERROR(__xludf.DUMMYFUNCTION("""COMPUTED_VALUE"""),42.0)</f>
        <v>42</v>
      </c>
      <c r="J986" s="1">
        <f>IFERROR(__xludf.DUMMYFUNCTION("""COMPUTED_VALUE"""),305.0)</f>
        <v>305</v>
      </c>
      <c r="K986" s="1">
        <f>IFERROR(__xludf.DUMMYFUNCTION("""COMPUTED_VALUE"""),61.0)</f>
        <v>61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>
        <f>IFERROR(__xludf.DUMMYFUNCTION("""COMPUTED_VALUE"""),97.0)</f>
        <v>97</v>
      </c>
      <c r="E987" s="1">
        <f>IFERROR(__xludf.DUMMYFUNCTION("""COMPUTED_VALUE"""),37.0)</f>
        <v>37</v>
      </c>
      <c r="F987" s="1">
        <f>IFERROR(__xludf.DUMMYFUNCTION("""COMPUTED_VALUE"""),45.0)</f>
        <v>45</v>
      </c>
      <c r="G987" s="1">
        <f>IFERROR(__xludf.DUMMYFUNCTION("""COMPUTED_VALUE"""),83.0)</f>
        <v>83</v>
      </c>
      <c r="H987" s="1">
        <f>IFERROR(__xludf.DUMMYFUNCTION("""COMPUTED_VALUE"""),82.0)</f>
        <v>82</v>
      </c>
      <c r="I987" s="1">
        <f>IFERROR(__xludf.DUMMYFUNCTION("""COMPUTED_VALUE"""),81.0)</f>
        <v>81</v>
      </c>
      <c r="J987" s="1">
        <f>IFERROR(__xludf.DUMMYFUNCTION("""COMPUTED_VALUE"""),328.0)</f>
        <v>328</v>
      </c>
      <c r="K987" s="1">
        <f>IFERROR(__xludf.DUMMYFUNCTION("""COMPUTED_VALUE"""),65.60000000000001)</f>
        <v>65.6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>
        <f>IFERROR(__xludf.DUMMYFUNCTION("""COMPUTED_VALUE"""),96.0)</f>
        <v>96</v>
      </c>
      <c r="E988" s="1">
        <f>IFERROR(__xludf.DUMMYFUNCTION("""COMPUTED_VALUE"""),96.0)</f>
        <v>96</v>
      </c>
      <c r="F988" s="1">
        <f>IFERROR(__xludf.DUMMYFUNCTION("""COMPUTED_VALUE"""),23.0)</f>
        <v>23</v>
      </c>
      <c r="G988" s="1">
        <f>IFERROR(__xludf.DUMMYFUNCTION("""COMPUTED_VALUE"""),34.0)</f>
        <v>34</v>
      </c>
      <c r="H988" s="1">
        <f>IFERROR(__xludf.DUMMYFUNCTION("""COMPUTED_VALUE"""),80.0)</f>
        <v>80</v>
      </c>
      <c r="I988" s="1">
        <f>IFERROR(__xludf.DUMMYFUNCTION("""COMPUTED_VALUE"""),66.0)</f>
        <v>66</v>
      </c>
      <c r="J988" s="1">
        <f>IFERROR(__xludf.DUMMYFUNCTION("""COMPUTED_VALUE"""),299.0)</f>
        <v>299</v>
      </c>
      <c r="K988" s="1">
        <f>IFERROR(__xludf.DUMMYFUNCTION("""COMPUTED_VALUE"""),59.8)</f>
        <v>59.8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>
        <f>IFERROR(__xludf.DUMMYFUNCTION("""COMPUTED_VALUE"""),96.0)</f>
        <v>96</v>
      </c>
      <c r="E989" s="1">
        <f>IFERROR(__xludf.DUMMYFUNCTION("""COMPUTED_VALUE"""),57.0)</f>
        <v>57</v>
      </c>
      <c r="F989" s="1">
        <f>IFERROR(__xludf.DUMMYFUNCTION("""COMPUTED_VALUE"""),56.0)</f>
        <v>56</v>
      </c>
      <c r="G989" s="1">
        <f>IFERROR(__xludf.DUMMYFUNCTION("""COMPUTED_VALUE"""),59.0)</f>
        <v>59</v>
      </c>
      <c r="H989" s="1">
        <f>IFERROR(__xludf.DUMMYFUNCTION("""COMPUTED_VALUE"""),24.0)</f>
        <v>24</v>
      </c>
      <c r="I989" s="1">
        <f>IFERROR(__xludf.DUMMYFUNCTION("""COMPUTED_VALUE"""),45.0)</f>
        <v>45</v>
      </c>
      <c r="J989" s="1">
        <f>IFERROR(__xludf.DUMMYFUNCTION("""COMPUTED_VALUE"""),241.0)</f>
        <v>241</v>
      </c>
      <c r="K989" s="1">
        <f>IFERROR(__xludf.DUMMYFUNCTION("""COMPUTED_VALUE"""),48.199999999999996)</f>
        <v>48.2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>
        <f>IFERROR(__xludf.DUMMYFUNCTION("""COMPUTED_VALUE"""),78.0)</f>
        <v>78</v>
      </c>
      <c r="E990" s="1">
        <f>IFERROR(__xludf.DUMMYFUNCTION("""COMPUTED_VALUE"""),37.0)</f>
        <v>37</v>
      </c>
      <c r="F990" s="1">
        <f>IFERROR(__xludf.DUMMYFUNCTION("""COMPUTED_VALUE"""),32.0)</f>
        <v>32</v>
      </c>
      <c r="G990" s="1">
        <f>IFERROR(__xludf.DUMMYFUNCTION("""COMPUTED_VALUE"""),52.0)</f>
        <v>52</v>
      </c>
      <c r="H990" s="1">
        <f>IFERROR(__xludf.DUMMYFUNCTION("""COMPUTED_VALUE"""),74.0)</f>
        <v>74</v>
      </c>
      <c r="I990" s="1">
        <f>IFERROR(__xludf.DUMMYFUNCTION("""COMPUTED_VALUE"""),33.0)</f>
        <v>33</v>
      </c>
      <c r="J990" s="1">
        <f>IFERROR(__xludf.DUMMYFUNCTION("""COMPUTED_VALUE"""),228.0)</f>
        <v>228</v>
      </c>
      <c r="K990" s="1">
        <f>IFERROR(__xludf.DUMMYFUNCTION("""COMPUTED_VALUE"""),45.6)</f>
        <v>45.6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>
        <f>IFERROR(__xludf.DUMMYFUNCTION("""COMPUTED_VALUE"""),40.0)</f>
        <v>40</v>
      </c>
      <c r="E991" s="1">
        <f>IFERROR(__xludf.DUMMYFUNCTION("""COMPUTED_VALUE"""),30.0)</f>
        <v>30</v>
      </c>
      <c r="F991" s="1">
        <f>IFERROR(__xludf.DUMMYFUNCTION("""COMPUTED_VALUE"""),62.0)</f>
        <v>62</v>
      </c>
      <c r="G991" s="1">
        <f>IFERROR(__xludf.DUMMYFUNCTION("""COMPUTED_VALUE"""),44.0)</f>
        <v>44</v>
      </c>
      <c r="H991" s="1">
        <f>IFERROR(__xludf.DUMMYFUNCTION("""COMPUTED_VALUE"""),84.0)</f>
        <v>84</v>
      </c>
      <c r="I991" s="1">
        <f>IFERROR(__xludf.DUMMYFUNCTION("""COMPUTED_VALUE"""),94.0)</f>
        <v>94</v>
      </c>
      <c r="J991" s="1">
        <f>IFERROR(__xludf.DUMMYFUNCTION("""COMPUTED_VALUE"""),314.0)</f>
        <v>314</v>
      </c>
      <c r="K991" s="1">
        <f>IFERROR(__xludf.DUMMYFUNCTION("""COMPUTED_VALUE"""),62.8)</f>
        <v>62.8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>
        <f>IFERROR(__xludf.DUMMYFUNCTION("""COMPUTED_VALUE"""),19.0)</f>
        <v>19</v>
      </c>
      <c r="E992" s="1">
        <f>IFERROR(__xludf.DUMMYFUNCTION("""COMPUTED_VALUE"""),45.0)</f>
        <v>45</v>
      </c>
      <c r="F992" s="1">
        <f>IFERROR(__xludf.DUMMYFUNCTION("""COMPUTED_VALUE"""),62.0)</f>
        <v>62</v>
      </c>
      <c r="G992" s="1">
        <f>IFERROR(__xludf.DUMMYFUNCTION("""COMPUTED_VALUE"""),85.0)</f>
        <v>85</v>
      </c>
      <c r="H992" s="1">
        <f>IFERROR(__xludf.DUMMYFUNCTION("""COMPUTED_VALUE"""),72.0)</f>
        <v>72</v>
      </c>
      <c r="I992" s="1">
        <f>IFERROR(__xludf.DUMMYFUNCTION("""COMPUTED_VALUE"""),99.0)</f>
        <v>99</v>
      </c>
      <c r="J992" s="1">
        <f>IFERROR(__xludf.DUMMYFUNCTION("""COMPUTED_VALUE"""),363.0)</f>
        <v>363</v>
      </c>
      <c r="K992" s="1">
        <f>IFERROR(__xludf.DUMMYFUNCTION("""COMPUTED_VALUE"""),72.6)</f>
        <v>72.6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>
        <f>IFERROR(__xludf.DUMMYFUNCTION("""COMPUTED_VALUE"""),26.0)</f>
        <v>26</v>
      </c>
      <c r="E993" s="1">
        <f>IFERROR(__xludf.DUMMYFUNCTION("""COMPUTED_VALUE"""),42.0)</f>
        <v>42</v>
      </c>
      <c r="F993" s="1">
        <f>IFERROR(__xludf.DUMMYFUNCTION("""COMPUTED_VALUE"""),22.0)</f>
        <v>22</v>
      </c>
      <c r="G993" s="1">
        <f>IFERROR(__xludf.DUMMYFUNCTION("""COMPUTED_VALUE"""),48.0)</f>
        <v>48</v>
      </c>
      <c r="H993" s="1">
        <f>IFERROR(__xludf.DUMMYFUNCTION("""COMPUTED_VALUE"""),52.0)</f>
        <v>52</v>
      </c>
      <c r="I993" s="1">
        <f>IFERROR(__xludf.DUMMYFUNCTION("""COMPUTED_VALUE"""),41.0)</f>
        <v>41</v>
      </c>
      <c r="J993" s="1">
        <f>IFERROR(__xludf.DUMMYFUNCTION("""COMPUTED_VALUE"""),205.0)</f>
        <v>205</v>
      </c>
      <c r="K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>
        <f>IFERROR(__xludf.DUMMYFUNCTION("""COMPUTED_VALUE"""),61.0)</f>
        <v>61</v>
      </c>
      <c r="E994" s="1">
        <f>IFERROR(__xludf.DUMMYFUNCTION("""COMPUTED_VALUE"""),31.0)</f>
        <v>31</v>
      </c>
      <c r="F994" s="1">
        <f>IFERROR(__xludf.DUMMYFUNCTION("""COMPUTED_VALUE"""),25.0)</f>
        <v>25</v>
      </c>
      <c r="G994" s="1">
        <f>IFERROR(__xludf.DUMMYFUNCTION("""COMPUTED_VALUE"""),70.0)</f>
        <v>70</v>
      </c>
      <c r="H994" s="1">
        <f>IFERROR(__xludf.DUMMYFUNCTION("""COMPUTED_VALUE"""),91.0)</f>
        <v>91</v>
      </c>
      <c r="I994" s="1">
        <f>IFERROR(__xludf.DUMMYFUNCTION("""COMPUTED_VALUE"""),72.0)</f>
        <v>72</v>
      </c>
      <c r="J994" s="1">
        <f>IFERROR(__xludf.DUMMYFUNCTION("""COMPUTED_VALUE"""),289.0)</f>
        <v>289</v>
      </c>
      <c r="K994" s="1">
        <f>IFERROR(__xludf.DUMMYFUNCTION("""COMPUTED_VALUE"""),57.8)</f>
        <v>57.8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>
        <f>IFERROR(__xludf.DUMMYFUNCTION("""COMPUTED_VALUE"""),38.0)</f>
        <v>38</v>
      </c>
      <c r="E995" s="1">
        <f>IFERROR(__xludf.DUMMYFUNCTION("""COMPUTED_VALUE"""),71.0)</f>
        <v>71</v>
      </c>
      <c r="F995" s="1">
        <f>IFERROR(__xludf.DUMMYFUNCTION("""COMPUTED_VALUE"""),96.0)</f>
        <v>96</v>
      </c>
      <c r="G995" s="1">
        <f>IFERROR(__xludf.DUMMYFUNCTION("""COMPUTED_VALUE"""),35.0)</f>
        <v>35</v>
      </c>
      <c r="H995" s="1">
        <f>IFERROR(__xludf.DUMMYFUNCTION("""COMPUTED_VALUE"""),64.0)</f>
        <v>64</v>
      </c>
      <c r="I995" s="1">
        <f>IFERROR(__xludf.DUMMYFUNCTION("""COMPUTED_VALUE"""),60.0)</f>
        <v>60</v>
      </c>
      <c r="J995" s="1">
        <f>IFERROR(__xludf.DUMMYFUNCTION("""COMPUTED_VALUE"""),326.0)</f>
        <v>326</v>
      </c>
      <c r="K995" s="1">
        <f>IFERROR(__xludf.DUMMYFUNCTION("""COMPUTED_VALUE"""),65.2)</f>
        <v>65.2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>
        <f>IFERROR(__xludf.DUMMYFUNCTION("""COMPUTED_VALUE"""),91.0)</f>
        <v>91</v>
      </c>
      <c r="E996" s="1">
        <f>IFERROR(__xludf.DUMMYFUNCTION("""COMPUTED_VALUE"""),44.0)</f>
        <v>44</v>
      </c>
      <c r="F996" s="1">
        <f>IFERROR(__xludf.DUMMYFUNCTION("""COMPUTED_VALUE"""),53.0)</f>
        <v>53</v>
      </c>
      <c r="G996" s="1">
        <f>IFERROR(__xludf.DUMMYFUNCTION("""COMPUTED_VALUE"""),93.0)</f>
        <v>93</v>
      </c>
      <c r="H996" s="1">
        <f>IFERROR(__xludf.DUMMYFUNCTION("""COMPUTED_VALUE"""),47.0)</f>
        <v>47</v>
      </c>
      <c r="I996" s="1">
        <f>IFERROR(__xludf.DUMMYFUNCTION("""COMPUTED_VALUE"""),97.0)</f>
        <v>97</v>
      </c>
      <c r="J996" s="1">
        <f>IFERROR(__xludf.DUMMYFUNCTION("""COMPUTED_VALUE"""),334.0)</f>
        <v>334</v>
      </c>
      <c r="K996" s="1">
        <f>IFERROR(__xludf.DUMMYFUNCTION("""COMPUTED_VALUE"""),66.8)</f>
        <v>66.8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>
        <f>IFERROR(__xludf.DUMMYFUNCTION("""COMPUTED_VALUE"""),26.0)</f>
        <v>26</v>
      </c>
      <c r="E997" s="1">
        <f>IFERROR(__xludf.DUMMYFUNCTION("""COMPUTED_VALUE"""),41.0)</f>
        <v>41</v>
      </c>
      <c r="F997" s="1">
        <f>IFERROR(__xludf.DUMMYFUNCTION("""COMPUTED_VALUE"""),34.0)</f>
        <v>34</v>
      </c>
      <c r="G997" s="1">
        <f>IFERROR(__xludf.DUMMYFUNCTION("""COMPUTED_VALUE"""),31.0)</f>
        <v>31</v>
      </c>
      <c r="H997" s="1">
        <f>IFERROR(__xludf.DUMMYFUNCTION("""COMPUTED_VALUE"""),28.0)</f>
        <v>28</v>
      </c>
      <c r="I997" s="1">
        <f>IFERROR(__xludf.DUMMYFUNCTION("""COMPUTED_VALUE"""),74.0)</f>
        <v>74</v>
      </c>
      <c r="J997" s="1">
        <f>IFERROR(__xludf.DUMMYFUNCTION("""COMPUTED_VALUE"""),208.0)</f>
        <v>208</v>
      </c>
      <c r="K997" s="1">
        <f>IFERROR(__xludf.DUMMYFUNCTION("""COMPUTED_VALUE"""),41.6)</f>
        <v>41.6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>
        <f>IFERROR(__xludf.DUMMYFUNCTION("""COMPUTED_VALUE"""),71.0)</f>
        <v>71</v>
      </c>
      <c r="E998" s="1">
        <f>IFERROR(__xludf.DUMMYFUNCTION("""COMPUTED_VALUE"""),92.0)</f>
        <v>92</v>
      </c>
      <c r="F998" s="1">
        <f>IFERROR(__xludf.DUMMYFUNCTION("""COMPUTED_VALUE"""),66.0)</f>
        <v>66</v>
      </c>
      <c r="G998" s="1">
        <f>IFERROR(__xludf.DUMMYFUNCTION("""COMPUTED_VALUE"""),78.0)</f>
        <v>78</v>
      </c>
      <c r="H998" s="1">
        <f>IFERROR(__xludf.DUMMYFUNCTION("""COMPUTED_VALUE"""),41.0)</f>
        <v>41</v>
      </c>
      <c r="I998" s="1">
        <f>IFERROR(__xludf.DUMMYFUNCTION("""COMPUTED_VALUE"""),78.0)</f>
        <v>78</v>
      </c>
      <c r="J998" s="1">
        <f>IFERROR(__xludf.DUMMYFUNCTION("""COMPUTED_VALUE"""),355.0)</f>
        <v>355</v>
      </c>
      <c r="K998" s="1">
        <f>IFERROR(__xludf.DUMMYFUNCTION("""COMPUTED_VALUE"""),71.0)</f>
        <v>71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>
        <f>IFERROR(__xludf.DUMMYFUNCTION("""COMPUTED_VALUE"""),37.0)</f>
        <v>37</v>
      </c>
      <c r="E999" s="1">
        <f>IFERROR(__xludf.DUMMYFUNCTION("""COMPUTED_VALUE"""),52.0)</f>
        <v>52</v>
      </c>
      <c r="F999" s="1">
        <f>IFERROR(__xludf.DUMMYFUNCTION("""COMPUTED_VALUE"""),65.0)</f>
        <v>65</v>
      </c>
      <c r="G999" s="1">
        <f>IFERROR(__xludf.DUMMYFUNCTION("""COMPUTED_VALUE"""),95.0)</f>
        <v>95</v>
      </c>
      <c r="H999" s="1">
        <f>IFERROR(__xludf.DUMMYFUNCTION("""COMPUTED_VALUE"""),75.0)</f>
        <v>75</v>
      </c>
      <c r="I999" s="1">
        <f>IFERROR(__xludf.DUMMYFUNCTION("""COMPUTED_VALUE"""),20.0)</f>
        <v>20</v>
      </c>
      <c r="J999" s="1">
        <f>IFERROR(__xludf.DUMMYFUNCTION("""COMPUTED_VALUE"""),307.0)</f>
        <v>307</v>
      </c>
      <c r="K999" s="1">
        <f>IFERROR(__xludf.DUMMYFUNCTION("""COMPUTED_VALUE"""),61.4)</f>
        <v>61.4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>
        <f>IFERROR(__xludf.DUMMYFUNCTION("""COMPUTED_VALUE"""),49.0)</f>
        <v>49</v>
      </c>
      <c r="E1000" s="1">
        <f>IFERROR(__xludf.DUMMYFUNCTION("""COMPUTED_VALUE"""),98.0)</f>
        <v>98</v>
      </c>
      <c r="F1000" s="1">
        <f>IFERROR(__xludf.DUMMYFUNCTION("""COMPUTED_VALUE"""),29.0)</f>
        <v>29</v>
      </c>
      <c r="G1000" s="1">
        <f>IFERROR(__xludf.DUMMYFUNCTION("""COMPUTED_VALUE"""),88.0)</f>
        <v>88</v>
      </c>
      <c r="H1000" s="1">
        <f>IFERROR(__xludf.DUMMYFUNCTION("""COMPUTED_VALUE"""),70.0)</f>
        <v>70</v>
      </c>
      <c r="I1000" s="1">
        <f>IFERROR(__xludf.DUMMYFUNCTION("""COMPUTED_VALUE"""),35.0)</f>
        <v>35</v>
      </c>
      <c r="J1000" s="1">
        <f>IFERROR(__xludf.DUMMYFUNCTION("""COMPUTED_VALUE"""),320.0)</f>
        <v>320</v>
      </c>
      <c r="K1000" s="1">
        <f>IFERROR(__xludf.DUMMYFUNCTION("""COMPUTED_VALUE"""),64.0)</f>
        <v>64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>
        <f>IFERROR(__xludf.DUMMYFUNCTION("""COMPUTED_VALUE"""),16.0)</f>
        <v>16</v>
      </c>
      <c r="E1001" s="1">
        <f>IFERROR(__xludf.DUMMYFUNCTION("""COMPUTED_VALUE"""),42.0)</f>
        <v>42</v>
      </c>
      <c r="F1001" s="1">
        <f>IFERROR(__xludf.DUMMYFUNCTION("""COMPUTED_VALUE"""),79.0)</f>
        <v>79</v>
      </c>
      <c r="G1001" s="1">
        <f>IFERROR(__xludf.DUMMYFUNCTION("""COMPUTED_VALUE"""),89.0)</f>
        <v>89</v>
      </c>
      <c r="H1001" s="1">
        <f>IFERROR(__xludf.DUMMYFUNCTION("""COMPUTED_VALUE"""),58.0)</f>
        <v>58</v>
      </c>
      <c r="I1001" s="1">
        <f>IFERROR(__xludf.DUMMYFUNCTION("""COMPUTED_VALUE"""),91.0)</f>
        <v>91</v>
      </c>
      <c r="J1001" s="1">
        <f>IFERROR(__xludf.DUMMYFUNCTION("""COMPUTED_VALUE"""),359.0)</f>
        <v>359</v>
      </c>
      <c r="K1001" s="1">
        <f>IFERROR(__xludf.DUMMYFUNCTION("""COMPUTED_VALUE"""),71.8)</f>
        <v>71.8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>
        <f>IFERROR(__xludf.DUMMYFUNCTION("""COMPUTED_VALUE"""),62.0)</f>
        <v>62</v>
      </c>
      <c r="E1002" s="1">
        <f>IFERROR(__xludf.DUMMYFUNCTION("""COMPUTED_VALUE"""),76.0)</f>
        <v>76</v>
      </c>
      <c r="F1002" s="1">
        <f>IFERROR(__xludf.DUMMYFUNCTION("""COMPUTED_VALUE"""),87.0)</f>
        <v>87</v>
      </c>
      <c r="G1002" s="1">
        <f>IFERROR(__xludf.DUMMYFUNCTION("""COMPUTED_VALUE"""),69.0)</f>
        <v>69</v>
      </c>
      <c r="H1002" s="1">
        <f>IFERROR(__xludf.DUMMYFUNCTION("""COMPUTED_VALUE"""),55.0)</f>
        <v>55</v>
      </c>
      <c r="I1002" s="1">
        <f>IFERROR(__xludf.DUMMYFUNCTION("""COMPUTED_VALUE"""),91.0)</f>
        <v>91</v>
      </c>
      <c r="J1002" s="1">
        <f>IFERROR(__xludf.DUMMYFUNCTION("""COMPUTED_VALUE"""),378.0)</f>
        <v>378</v>
      </c>
      <c r="K1002" s="1">
        <f>IFERROR(__xludf.DUMMYFUNCTION("""COMPUTED_VALUE"""),75.6)</f>
        <v>75.6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>
        <f>IFERROR(__xludf.DUMMYFUNCTION("""COMPUTED_VALUE"""),59.0)</f>
        <v>59</v>
      </c>
      <c r="E1003" s="1">
        <f>IFERROR(__xludf.DUMMYFUNCTION("""COMPUTED_VALUE"""),65.0)</f>
        <v>65</v>
      </c>
      <c r="F1003" s="1">
        <f>IFERROR(__xludf.DUMMYFUNCTION("""COMPUTED_VALUE"""),34.0)</f>
        <v>34</v>
      </c>
      <c r="G1003" s="1">
        <f>IFERROR(__xludf.DUMMYFUNCTION("""COMPUTED_VALUE"""),40.0)</f>
        <v>40</v>
      </c>
      <c r="H1003" s="1">
        <f>IFERROR(__xludf.DUMMYFUNCTION("""COMPUTED_VALUE"""),54.0)</f>
        <v>54</v>
      </c>
      <c r="I1003" s="1">
        <f>IFERROR(__xludf.DUMMYFUNCTION("""COMPUTED_VALUE"""),44.0)</f>
        <v>44</v>
      </c>
      <c r="J1003" s="1">
        <f>IFERROR(__xludf.DUMMYFUNCTION("""COMPUTED_VALUE"""),237.0)</f>
        <v>237</v>
      </c>
      <c r="K1003" s="1">
        <f>IFERROR(__xludf.DUMMYFUNCTION("""COMPUTED_VALUE"""),47.4)</f>
        <v>47.4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>
        <f>IFERROR(__xludf.DUMMYFUNCTION("""COMPUTED_VALUE"""),70.0)</f>
        <v>70</v>
      </c>
      <c r="E1004" s="1">
        <f>IFERROR(__xludf.DUMMYFUNCTION("""COMPUTED_VALUE"""),80.0)</f>
        <v>80</v>
      </c>
      <c r="F1004" s="1">
        <f>IFERROR(__xludf.DUMMYFUNCTION("""COMPUTED_VALUE"""),67.0)</f>
        <v>67</v>
      </c>
      <c r="G1004" s="1">
        <f>IFERROR(__xludf.DUMMYFUNCTION("""COMPUTED_VALUE"""),70.0)</f>
        <v>70</v>
      </c>
      <c r="H1004" s="1">
        <f>IFERROR(__xludf.DUMMYFUNCTION("""COMPUTED_VALUE"""),29.0)</f>
        <v>29</v>
      </c>
      <c r="I1004" s="1">
        <f>IFERROR(__xludf.DUMMYFUNCTION("""COMPUTED_VALUE"""),49.0)</f>
        <v>49</v>
      </c>
      <c r="J1004" s="1">
        <f>IFERROR(__xludf.DUMMYFUNCTION("""COMPUTED_VALUE"""),295.0)</f>
        <v>295</v>
      </c>
      <c r="K1004" s="1">
        <f>IFERROR(__xludf.DUMMYFUNCTION("""COMPUTED_VALUE"""),59.0)</f>
        <v>59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>
        <f>IFERROR(__xludf.DUMMYFUNCTION("""COMPUTED_VALUE"""),60.0)</f>
        <v>60</v>
      </c>
      <c r="E1005" s="1">
        <f>IFERROR(__xludf.DUMMYFUNCTION("""COMPUTED_VALUE"""),43.0)</f>
        <v>43</v>
      </c>
      <c r="F1005" s="1">
        <f>IFERROR(__xludf.DUMMYFUNCTION("""COMPUTED_VALUE"""),99.0)</f>
        <v>99</v>
      </c>
      <c r="G1005" s="1">
        <f>IFERROR(__xludf.DUMMYFUNCTION("""COMPUTED_VALUE"""),68.0)</f>
        <v>68</v>
      </c>
      <c r="H1005" s="1">
        <f>IFERROR(__xludf.DUMMYFUNCTION("""COMPUTED_VALUE"""),48.0)</f>
        <v>48</v>
      </c>
      <c r="I1005" s="1">
        <f>IFERROR(__xludf.DUMMYFUNCTION("""COMPUTED_VALUE"""),80.0)</f>
        <v>80</v>
      </c>
      <c r="J1005" s="1">
        <f>IFERROR(__xludf.DUMMYFUNCTION("""COMPUTED_VALUE"""),338.0)</f>
        <v>338</v>
      </c>
      <c r="K1005" s="1">
        <f>IFERROR(__xludf.DUMMYFUNCTION("""COMPUTED_VALUE"""),67.60000000000001)</f>
        <v>67.6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>
        <f>IFERROR(__xludf.DUMMYFUNCTION("""COMPUTED_VALUE"""),20.0)</f>
        <v>20</v>
      </c>
      <c r="E1006" s="1">
        <f>IFERROR(__xludf.DUMMYFUNCTION("""COMPUTED_VALUE"""),68.0)</f>
        <v>68</v>
      </c>
      <c r="F1006" s="1">
        <f>IFERROR(__xludf.DUMMYFUNCTION("""COMPUTED_VALUE"""),72.0)</f>
        <v>72</v>
      </c>
      <c r="G1006" s="1">
        <f>IFERROR(__xludf.DUMMYFUNCTION("""COMPUTED_VALUE"""),81.0)</f>
        <v>81</v>
      </c>
      <c r="H1006" s="1">
        <f>IFERROR(__xludf.DUMMYFUNCTION("""COMPUTED_VALUE"""),68.0)</f>
        <v>68</v>
      </c>
      <c r="I1006" s="1">
        <f>IFERROR(__xludf.DUMMYFUNCTION("""COMPUTED_VALUE"""),95.0)</f>
        <v>95</v>
      </c>
      <c r="J1006" s="1">
        <f>IFERROR(__xludf.DUMMYFUNCTION("""COMPUTED_VALUE"""),384.0)</f>
        <v>384</v>
      </c>
      <c r="K1006" s="1">
        <f>IFERROR(__xludf.DUMMYFUNCTION("""COMPUTED_VALUE"""),76.8)</f>
        <v>76.8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>
        <f>IFERROR(__xludf.DUMMYFUNCTION("""COMPUTED_VALUE"""),29.0)</f>
        <v>29</v>
      </c>
      <c r="E1007" s="1">
        <f>IFERROR(__xludf.DUMMYFUNCTION("""COMPUTED_VALUE"""),45.0)</f>
        <v>45</v>
      </c>
      <c r="F1007" s="1">
        <f>IFERROR(__xludf.DUMMYFUNCTION("""COMPUTED_VALUE"""),54.0)</f>
        <v>54</v>
      </c>
      <c r="G1007" s="1">
        <f>IFERROR(__xludf.DUMMYFUNCTION("""COMPUTED_VALUE"""),77.0)</f>
        <v>77</v>
      </c>
      <c r="H1007" s="1">
        <f>IFERROR(__xludf.DUMMYFUNCTION("""COMPUTED_VALUE"""),92.0)</f>
        <v>92</v>
      </c>
      <c r="I1007" s="1">
        <f>IFERROR(__xludf.DUMMYFUNCTION("""COMPUTED_VALUE"""),80.0)</f>
        <v>80</v>
      </c>
      <c r="J1007" s="1">
        <f>IFERROR(__xludf.DUMMYFUNCTION("""COMPUTED_VALUE"""),348.0)</f>
        <v>348</v>
      </c>
      <c r="K1007" s="1">
        <f>IFERROR(__xludf.DUMMYFUNCTION("""COMPUTED_VALUE"""),69.6)</f>
        <v>69.6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>
        <f>IFERROR(__xludf.DUMMYFUNCTION("""COMPUTED_VALUE"""),66.0)</f>
        <v>66</v>
      </c>
      <c r="E1008" s="1">
        <f>IFERROR(__xludf.DUMMYFUNCTION("""COMPUTED_VALUE"""),59.0)</f>
        <v>59</v>
      </c>
      <c r="F1008" s="1">
        <f>IFERROR(__xludf.DUMMYFUNCTION("""COMPUTED_VALUE"""),23.0)</f>
        <v>23</v>
      </c>
      <c r="G1008" s="1">
        <f>IFERROR(__xludf.DUMMYFUNCTION("""COMPUTED_VALUE"""),68.0)</f>
        <v>68</v>
      </c>
      <c r="H1008" s="1">
        <f>IFERROR(__xludf.DUMMYFUNCTION("""COMPUTED_VALUE"""),85.0)</f>
        <v>85</v>
      </c>
      <c r="I1008" s="1">
        <f>IFERROR(__xludf.DUMMYFUNCTION("""COMPUTED_VALUE"""),51.0)</f>
        <v>51</v>
      </c>
      <c r="J1008" s="1">
        <f>IFERROR(__xludf.DUMMYFUNCTION("""COMPUTED_VALUE"""),286.0)</f>
        <v>286</v>
      </c>
      <c r="K1008" s="1">
        <f>IFERROR(__xludf.DUMMYFUNCTION("""COMPUTED_VALUE"""),57.199999999999996)</f>
        <v>57.2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>
        <f>IFERROR(__xludf.DUMMYFUNCTION("""COMPUTED_VALUE"""),73.0)</f>
        <v>73</v>
      </c>
      <c r="E1009" s="1">
        <f>IFERROR(__xludf.DUMMYFUNCTION("""COMPUTED_VALUE"""),76.0)</f>
        <v>76</v>
      </c>
      <c r="F1009" s="1">
        <f>IFERROR(__xludf.DUMMYFUNCTION("""COMPUTED_VALUE"""),30.0)</f>
        <v>30</v>
      </c>
      <c r="G1009" s="1">
        <f>IFERROR(__xludf.DUMMYFUNCTION("""COMPUTED_VALUE"""),46.0)</f>
        <v>46</v>
      </c>
      <c r="H1009" s="1">
        <f>IFERROR(__xludf.DUMMYFUNCTION("""COMPUTED_VALUE"""),39.0)</f>
        <v>39</v>
      </c>
      <c r="I1009" s="1">
        <f>IFERROR(__xludf.DUMMYFUNCTION("""COMPUTED_VALUE"""),76.0)</f>
        <v>76</v>
      </c>
      <c r="J1009" s="1">
        <f>IFERROR(__xludf.DUMMYFUNCTION("""COMPUTED_VALUE"""),267.0)</f>
        <v>267</v>
      </c>
      <c r="K1009" s="1">
        <f>IFERROR(__xludf.DUMMYFUNCTION("""COMPUTED_VALUE"""),53.400000000000006)</f>
        <v>53.4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>
        <f>IFERROR(__xludf.DUMMYFUNCTION("""COMPUTED_VALUE"""),28.0)</f>
        <v>28</v>
      </c>
      <c r="E1010" s="1">
        <f>IFERROR(__xludf.DUMMYFUNCTION("""COMPUTED_VALUE"""),36.0)</f>
        <v>36</v>
      </c>
      <c r="F1010" s="1">
        <f>IFERROR(__xludf.DUMMYFUNCTION("""COMPUTED_VALUE"""),58.0)</f>
        <v>58</v>
      </c>
      <c r="G1010" s="1">
        <f>IFERROR(__xludf.DUMMYFUNCTION("""COMPUTED_VALUE"""),52.0)</f>
        <v>52</v>
      </c>
      <c r="H1010" s="1">
        <f>IFERROR(__xludf.DUMMYFUNCTION("""COMPUTED_VALUE"""),77.0)</f>
        <v>77</v>
      </c>
      <c r="I1010" s="1">
        <f>IFERROR(__xludf.DUMMYFUNCTION("""COMPUTED_VALUE"""),54.0)</f>
        <v>54</v>
      </c>
      <c r="J1010" s="1">
        <f>IFERROR(__xludf.DUMMYFUNCTION("""COMPUTED_VALUE"""),277.0)</f>
        <v>277</v>
      </c>
      <c r="K1010" s="1">
        <f>IFERROR(__xludf.DUMMYFUNCTION("""COMPUTED_VALUE"""),55.400000000000006)</f>
        <v>55.4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>
        <f>IFERROR(__xludf.DUMMYFUNCTION("""COMPUTED_VALUE"""),82.0)</f>
        <v>82</v>
      </c>
      <c r="E1011" s="1">
        <f>IFERROR(__xludf.DUMMYFUNCTION("""COMPUTED_VALUE"""),90.0)</f>
        <v>90</v>
      </c>
      <c r="F1011" s="1">
        <f>IFERROR(__xludf.DUMMYFUNCTION("""COMPUTED_VALUE"""),50.0)</f>
        <v>50</v>
      </c>
      <c r="G1011" s="1">
        <f>IFERROR(__xludf.DUMMYFUNCTION("""COMPUTED_VALUE"""),32.0)</f>
        <v>32</v>
      </c>
      <c r="H1011" s="1">
        <f>IFERROR(__xludf.DUMMYFUNCTION("""COMPUTED_VALUE"""),97.0)</f>
        <v>97</v>
      </c>
      <c r="I1011" s="1">
        <f>IFERROR(__xludf.DUMMYFUNCTION("""COMPUTED_VALUE"""),87.0)</f>
        <v>87</v>
      </c>
      <c r="J1011" s="1">
        <f>IFERROR(__xludf.DUMMYFUNCTION("""COMPUTED_VALUE"""),356.0)</f>
        <v>356</v>
      </c>
      <c r="K1011" s="1">
        <f>IFERROR(__xludf.DUMMYFUNCTION("""COMPUTED_VALUE"""),71.2)</f>
        <v>71.2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>
        <f>IFERROR(__xludf.DUMMYFUNCTION("""COMPUTED_VALUE"""),18.0)</f>
        <v>18</v>
      </c>
      <c r="E1012" s="1">
        <f>IFERROR(__xludf.DUMMYFUNCTION("""COMPUTED_VALUE"""),22.0)</f>
        <v>22</v>
      </c>
      <c r="F1012" s="1">
        <f>IFERROR(__xludf.DUMMYFUNCTION("""COMPUTED_VALUE"""),68.0)</f>
        <v>68</v>
      </c>
      <c r="G1012" s="1">
        <f>IFERROR(__xludf.DUMMYFUNCTION("""COMPUTED_VALUE"""),67.0)</f>
        <v>67</v>
      </c>
      <c r="H1012" s="1">
        <f>IFERROR(__xludf.DUMMYFUNCTION("""COMPUTED_VALUE"""),91.0)</f>
        <v>91</v>
      </c>
      <c r="I1012" s="1">
        <f>IFERROR(__xludf.DUMMYFUNCTION("""COMPUTED_VALUE"""),95.0)</f>
        <v>95</v>
      </c>
      <c r="J1012" s="1">
        <f>IFERROR(__xludf.DUMMYFUNCTION("""COMPUTED_VALUE"""),343.0)</f>
        <v>343</v>
      </c>
      <c r="K1012" s="1">
        <f>IFERROR(__xludf.DUMMYFUNCTION("""COMPUTED_VALUE"""),68.60000000000001)</f>
        <v>68.6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>
        <f>IFERROR(__xludf.DUMMYFUNCTION("""COMPUTED_VALUE"""),94.0)</f>
        <v>94</v>
      </c>
      <c r="E1013" s="1">
        <f>IFERROR(__xludf.DUMMYFUNCTION("""COMPUTED_VALUE"""),49.0)</f>
        <v>49</v>
      </c>
      <c r="F1013" s="1">
        <f>IFERROR(__xludf.DUMMYFUNCTION("""COMPUTED_VALUE"""),71.0)</f>
        <v>71</v>
      </c>
      <c r="G1013" s="1">
        <f>IFERROR(__xludf.DUMMYFUNCTION("""COMPUTED_VALUE"""),30.0)</f>
        <v>30</v>
      </c>
      <c r="H1013" s="1">
        <f>IFERROR(__xludf.DUMMYFUNCTION("""COMPUTED_VALUE"""),89.0)</f>
        <v>89</v>
      </c>
      <c r="I1013" s="1">
        <f>IFERROR(__xludf.DUMMYFUNCTION("""COMPUTED_VALUE"""),24.0)</f>
        <v>24</v>
      </c>
      <c r="J1013" s="1">
        <f>IFERROR(__xludf.DUMMYFUNCTION("""COMPUTED_VALUE"""),263.0)</f>
        <v>263</v>
      </c>
      <c r="K1013" s="1">
        <f>IFERROR(__xludf.DUMMYFUNCTION("""COMPUTED_VALUE"""),52.6)</f>
        <v>52.6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>
        <f>IFERROR(__xludf.DUMMYFUNCTION("""COMPUTED_VALUE"""),15.0)</f>
        <v>15</v>
      </c>
      <c r="E1014" s="1">
        <f>IFERROR(__xludf.DUMMYFUNCTION("""COMPUTED_VALUE"""),76.0)</f>
        <v>76</v>
      </c>
      <c r="F1014" s="1">
        <f>IFERROR(__xludf.DUMMYFUNCTION("""COMPUTED_VALUE"""),75.0)</f>
        <v>75</v>
      </c>
      <c r="G1014" s="1">
        <f>IFERROR(__xludf.DUMMYFUNCTION("""COMPUTED_VALUE"""),68.0)</f>
        <v>68</v>
      </c>
      <c r="H1014" s="1">
        <f>IFERROR(__xludf.DUMMYFUNCTION("""COMPUTED_VALUE"""),42.0)</f>
        <v>42</v>
      </c>
      <c r="I1014" s="1">
        <f>IFERROR(__xludf.DUMMYFUNCTION("""COMPUTED_VALUE"""),89.0)</f>
        <v>89</v>
      </c>
      <c r="J1014" s="1">
        <f>IFERROR(__xludf.DUMMYFUNCTION("""COMPUTED_VALUE"""),350.0)</f>
        <v>350</v>
      </c>
      <c r="K1014" s="1">
        <f>IFERROR(__xludf.DUMMYFUNCTION("""COMPUTED_VALUE"""),70.0)</f>
        <v>70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>
        <f>IFERROR(__xludf.DUMMYFUNCTION("""COMPUTED_VALUE"""),52.0)</f>
        <v>52</v>
      </c>
      <c r="E1015" s="1">
        <f>IFERROR(__xludf.DUMMYFUNCTION("""COMPUTED_VALUE"""),87.0)</f>
        <v>87</v>
      </c>
      <c r="F1015" s="1">
        <f>IFERROR(__xludf.DUMMYFUNCTION("""COMPUTED_VALUE"""),36.0)</f>
        <v>36</v>
      </c>
      <c r="G1015" s="1">
        <f>IFERROR(__xludf.DUMMYFUNCTION("""COMPUTED_VALUE"""),62.0)</f>
        <v>62</v>
      </c>
      <c r="H1015" s="1">
        <f>IFERROR(__xludf.DUMMYFUNCTION("""COMPUTED_VALUE"""),85.0)</f>
        <v>85</v>
      </c>
      <c r="I1015" s="1">
        <f>IFERROR(__xludf.DUMMYFUNCTION("""COMPUTED_VALUE"""),70.0)</f>
        <v>70</v>
      </c>
      <c r="J1015" s="1">
        <f>IFERROR(__xludf.DUMMYFUNCTION("""COMPUTED_VALUE"""),340.0)</f>
        <v>340</v>
      </c>
      <c r="K1015" s="1">
        <f>IFERROR(__xludf.DUMMYFUNCTION("""COMPUTED_VALUE"""),68.0)</f>
        <v>68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>
        <f>IFERROR(__xludf.DUMMYFUNCTION("""COMPUTED_VALUE"""),85.0)</f>
        <v>85</v>
      </c>
      <c r="E1016" s="1">
        <f>IFERROR(__xludf.DUMMYFUNCTION("""COMPUTED_VALUE"""),75.0)</f>
        <v>75</v>
      </c>
      <c r="F1016" s="1">
        <f>IFERROR(__xludf.DUMMYFUNCTION("""COMPUTED_VALUE"""),26.0)</f>
        <v>26</v>
      </c>
      <c r="G1016" s="1">
        <f>IFERROR(__xludf.DUMMYFUNCTION("""COMPUTED_VALUE"""),41.0)</f>
        <v>41</v>
      </c>
      <c r="H1016" s="1">
        <f>IFERROR(__xludf.DUMMYFUNCTION("""COMPUTED_VALUE"""),64.0)</f>
        <v>64</v>
      </c>
      <c r="I1016" s="1">
        <f>IFERROR(__xludf.DUMMYFUNCTION("""COMPUTED_VALUE"""),94.0)</f>
        <v>94</v>
      </c>
      <c r="J1016" s="1">
        <f>IFERROR(__xludf.DUMMYFUNCTION("""COMPUTED_VALUE"""),300.0)</f>
        <v>300</v>
      </c>
      <c r="K1016" s="1">
        <f>IFERROR(__xludf.DUMMYFUNCTION("""COMPUTED_VALUE"""),60.0)</f>
        <v>60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>
        <f>IFERROR(__xludf.DUMMYFUNCTION("""COMPUTED_VALUE"""),85.0)</f>
        <v>85</v>
      </c>
      <c r="E1017" s="1">
        <f>IFERROR(__xludf.DUMMYFUNCTION("""COMPUTED_VALUE"""),80.0)</f>
        <v>80</v>
      </c>
      <c r="F1017" s="1">
        <f>IFERROR(__xludf.DUMMYFUNCTION("""COMPUTED_VALUE"""),82.0)</f>
        <v>82</v>
      </c>
      <c r="G1017" s="1">
        <f>IFERROR(__xludf.DUMMYFUNCTION("""COMPUTED_VALUE"""),34.0)</f>
        <v>34</v>
      </c>
      <c r="H1017" s="1">
        <f>IFERROR(__xludf.DUMMYFUNCTION("""COMPUTED_VALUE"""),86.0)</f>
        <v>86</v>
      </c>
      <c r="I1017" s="1">
        <f>IFERROR(__xludf.DUMMYFUNCTION("""COMPUTED_VALUE"""),50.0)</f>
        <v>50</v>
      </c>
      <c r="J1017" s="1">
        <f>IFERROR(__xludf.DUMMYFUNCTION("""COMPUTED_VALUE"""),332.0)</f>
        <v>332</v>
      </c>
      <c r="K1017" s="1">
        <f>IFERROR(__xludf.DUMMYFUNCTION("""COMPUTED_VALUE"""),66.4)</f>
        <v>66.4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>
        <f>IFERROR(__xludf.DUMMYFUNCTION("""COMPUTED_VALUE"""),13.0)</f>
        <v>13</v>
      </c>
      <c r="E1018" s="1">
        <f>IFERROR(__xludf.DUMMYFUNCTION("""COMPUTED_VALUE"""),72.0)</f>
        <v>72</v>
      </c>
      <c r="F1018" s="1">
        <f>IFERROR(__xludf.DUMMYFUNCTION("""COMPUTED_VALUE"""),68.0)</f>
        <v>68</v>
      </c>
      <c r="G1018" s="1">
        <f>IFERROR(__xludf.DUMMYFUNCTION("""COMPUTED_VALUE"""),55.0)</f>
        <v>55</v>
      </c>
      <c r="H1018" s="1">
        <f>IFERROR(__xludf.DUMMYFUNCTION("""COMPUTED_VALUE"""),86.0)</f>
        <v>86</v>
      </c>
      <c r="I1018" s="1">
        <f>IFERROR(__xludf.DUMMYFUNCTION("""COMPUTED_VALUE"""),74.0)</f>
        <v>74</v>
      </c>
      <c r="J1018" s="1">
        <f>IFERROR(__xludf.DUMMYFUNCTION("""COMPUTED_VALUE"""),355.0)</f>
        <v>355</v>
      </c>
      <c r="K1018" s="1">
        <f>IFERROR(__xludf.DUMMYFUNCTION("""COMPUTED_VALUE"""),71.0)</f>
        <v>71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>
        <f>IFERROR(__xludf.DUMMYFUNCTION("""COMPUTED_VALUE"""),96.0)</f>
        <v>96</v>
      </c>
      <c r="E1019" s="1">
        <f>IFERROR(__xludf.DUMMYFUNCTION("""COMPUTED_VALUE"""),22.0)</f>
        <v>22</v>
      </c>
      <c r="F1019" s="1">
        <f>IFERROR(__xludf.DUMMYFUNCTION("""COMPUTED_VALUE"""),26.0)</f>
        <v>26</v>
      </c>
      <c r="G1019" s="1">
        <f>IFERROR(__xludf.DUMMYFUNCTION("""COMPUTED_VALUE"""),77.0)</f>
        <v>77</v>
      </c>
      <c r="H1019" s="1">
        <f>IFERROR(__xludf.DUMMYFUNCTION("""COMPUTED_VALUE"""),35.0)</f>
        <v>35</v>
      </c>
      <c r="I1019" s="1">
        <f>IFERROR(__xludf.DUMMYFUNCTION("""COMPUTED_VALUE"""),24.0)</f>
        <v>24</v>
      </c>
      <c r="J1019" s="1">
        <f>IFERROR(__xludf.DUMMYFUNCTION("""COMPUTED_VALUE"""),184.0)</f>
        <v>184</v>
      </c>
      <c r="K1019" s="1">
        <f>IFERROR(__xludf.DUMMYFUNCTION("""COMPUTED_VALUE"""),36.8)</f>
        <v>36.8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>
        <f>IFERROR(__xludf.DUMMYFUNCTION("""COMPUTED_VALUE"""),84.0)</f>
        <v>84</v>
      </c>
      <c r="E1020" s="1">
        <f>IFERROR(__xludf.DUMMYFUNCTION("""COMPUTED_VALUE"""),88.0)</f>
        <v>88</v>
      </c>
      <c r="F1020" s="1">
        <f>IFERROR(__xludf.DUMMYFUNCTION("""COMPUTED_VALUE"""),40.0)</f>
        <v>40</v>
      </c>
      <c r="G1020" s="1">
        <f>IFERROR(__xludf.DUMMYFUNCTION("""COMPUTED_VALUE"""),60.0)</f>
        <v>60</v>
      </c>
      <c r="H1020" s="1">
        <f>IFERROR(__xludf.DUMMYFUNCTION("""COMPUTED_VALUE"""),98.0)</f>
        <v>98</v>
      </c>
      <c r="I1020" s="1">
        <f>IFERROR(__xludf.DUMMYFUNCTION("""COMPUTED_VALUE"""),95.0)</f>
        <v>95</v>
      </c>
      <c r="J1020" s="1">
        <f>IFERROR(__xludf.DUMMYFUNCTION("""COMPUTED_VALUE"""),381.0)</f>
        <v>381</v>
      </c>
      <c r="K1020" s="1">
        <f>IFERROR(__xludf.DUMMYFUNCTION("""COMPUTED_VALUE"""),76.2)</f>
        <v>76.2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>
        <f>IFERROR(__xludf.DUMMYFUNCTION("""COMPUTED_VALUE"""),99.0)</f>
        <v>99</v>
      </c>
      <c r="E1021" s="1">
        <f>IFERROR(__xludf.DUMMYFUNCTION("""COMPUTED_VALUE"""),52.0)</f>
        <v>52</v>
      </c>
      <c r="F1021" s="1">
        <f>IFERROR(__xludf.DUMMYFUNCTION("""COMPUTED_VALUE"""),37.0)</f>
        <v>37</v>
      </c>
      <c r="G1021" s="1">
        <f>IFERROR(__xludf.DUMMYFUNCTION("""COMPUTED_VALUE"""),79.0)</f>
        <v>79</v>
      </c>
      <c r="H1021" s="1">
        <f>IFERROR(__xludf.DUMMYFUNCTION("""COMPUTED_VALUE"""),83.0)</f>
        <v>83</v>
      </c>
      <c r="I1021" s="1">
        <f>IFERROR(__xludf.DUMMYFUNCTION("""COMPUTED_VALUE"""),80.0)</f>
        <v>80</v>
      </c>
      <c r="J1021" s="1">
        <f>IFERROR(__xludf.DUMMYFUNCTION("""COMPUTED_VALUE"""),331.0)</f>
        <v>331</v>
      </c>
      <c r="K1021" s="1">
        <f>IFERROR(__xludf.DUMMYFUNCTION("""COMPUTED_VALUE"""),66.2)</f>
        <v>66.2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>
        <f>IFERROR(__xludf.DUMMYFUNCTION("""COMPUTED_VALUE"""),20.0)</f>
        <v>20</v>
      </c>
      <c r="E1022" s="1">
        <f>IFERROR(__xludf.DUMMYFUNCTION("""COMPUTED_VALUE"""),66.0)</f>
        <v>66</v>
      </c>
      <c r="F1022" s="1">
        <f>IFERROR(__xludf.DUMMYFUNCTION("""COMPUTED_VALUE"""),52.0)</f>
        <v>52</v>
      </c>
      <c r="G1022" s="1">
        <f>IFERROR(__xludf.DUMMYFUNCTION("""COMPUTED_VALUE"""),93.0)</f>
        <v>93</v>
      </c>
      <c r="H1022" s="1">
        <f>IFERROR(__xludf.DUMMYFUNCTION("""COMPUTED_VALUE"""),67.0)</f>
        <v>67</v>
      </c>
      <c r="I1022" s="1">
        <f>IFERROR(__xludf.DUMMYFUNCTION("""COMPUTED_VALUE"""),78.0)</f>
        <v>78</v>
      </c>
      <c r="J1022" s="1">
        <f>IFERROR(__xludf.DUMMYFUNCTION("""COMPUTED_VALUE"""),356.0)</f>
        <v>356</v>
      </c>
      <c r="K1022" s="1">
        <f>IFERROR(__xludf.DUMMYFUNCTION("""COMPUTED_VALUE"""),71.2)</f>
        <v>71.2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>
        <f>IFERROR(__xludf.DUMMYFUNCTION("""COMPUTED_VALUE"""),71.0)</f>
        <v>71</v>
      </c>
      <c r="E1023" s="1">
        <f>IFERROR(__xludf.DUMMYFUNCTION("""COMPUTED_VALUE"""),28.0)</f>
        <v>28</v>
      </c>
      <c r="F1023" s="1">
        <f>IFERROR(__xludf.DUMMYFUNCTION("""COMPUTED_VALUE"""),20.0)</f>
        <v>20</v>
      </c>
      <c r="G1023" s="1">
        <f>IFERROR(__xludf.DUMMYFUNCTION("""COMPUTED_VALUE"""),77.0)</f>
        <v>77</v>
      </c>
      <c r="H1023" s="1">
        <f>IFERROR(__xludf.DUMMYFUNCTION("""COMPUTED_VALUE"""),90.0)</f>
        <v>90</v>
      </c>
      <c r="I1023" s="1">
        <f>IFERROR(__xludf.DUMMYFUNCTION("""COMPUTED_VALUE"""),83.0)</f>
        <v>83</v>
      </c>
      <c r="J1023" s="1">
        <f>IFERROR(__xludf.DUMMYFUNCTION("""COMPUTED_VALUE"""),298.0)</f>
        <v>298</v>
      </c>
      <c r="K1023" s="1">
        <f>IFERROR(__xludf.DUMMYFUNCTION("""COMPUTED_VALUE"""),59.599999999999994)</f>
        <v>59.6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>
        <f>IFERROR(__xludf.DUMMYFUNCTION("""COMPUTED_VALUE"""),55.0)</f>
        <v>55</v>
      </c>
      <c r="E1024" s="1">
        <f>IFERROR(__xludf.DUMMYFUNCTION("""COMPUTED_VALUE"""),37.0)</f>
        <v>37</v>
      </c>
      <c r="F1024" s="1">
        <f>IFERROR(__xludf.DUMMYFUNCTION("""COMPUTED_VALUE"""),60.0)</f>
        <v>60</v>
      </c>
      <c r="G1024" s="1">
        <f>IFERROR(__xludf.DUMMYFUNCTION("""COMPUTED_VALUE"""),97.0)</f>
        <v>97</v>
      </c>
      <c r="H1024" s="1">
        <f>IFERROR(__xludf.DUMMYFUNCTION("""COMPUTED_VALUE"""),84.0)</f>
        <v>84</v>
      </c>
      <c r="I1024" s="1">
        <f>IFERROR(__xludf.DUMMYFUNCTION("""COMPUTED_VALUE"""),71.0)</f>
        <v>71</v>
      </c>
      <c r="J1024" s="1">
        <f>IFERROR(__xludf.DUMMYFUNCTION("""COMPUTED_VALUE"""),349.0)</f>
        <v>349</v>
      </c>
      <c r="K1024" s="1">
        <f>IFERROR(__xludf.DUMMYFUNCTION("""COMPUTED_VALUE"""),69.8)</f>
        <v>69.8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>
        <f>IFERROR(__xludf.DUMMYFUNCTION("""COMPUTED_VALUE"""),22.0)</f>
        <v>22</v>
      </c>
      <c r="E1025" s="1">
        <f>IFERROR(__xludf.DUMMYFUNCTION("""COMPUTED_VALUE"""),98.0)</f>
        <v>98</v>
      </c>
      <c r="F1025" s="1">
        <f>IFERROR(__xludf.DUMMYFUNCTION("""COMPUTED_VALUE"""),55.0)</f>
        <v>55</v>
      </c>
      <c r="G1025" s="1">
        <f>IFERROR(__xludf.DUMMYFUNCTION("""COMPUTED_VALUE"""),30.0)</f>
        <v>30</v>
      </c>
      <c r="H1025" s="1">
        <f>IFERROR(__xludf.DUMMYFUNCTION("""COMPUTED_VALUE"""),74.0)</f>
        <v>74</v>
      </c>
      <c r="I1025" s="1">
        <f>IFERROR(__xludf.DUMMYFUNCTION("""COMPUTED_VALUE"""),98.0)</f>
        <v>98</v>
      </c>
      <c r="J1025" s="1">
        <f>IFERROR(__xludf.DUMMYFUNCTION("""COMPUTED_VALUE"""),355.0)</f>
        <v>355</v>
      </c>
      <c r="K1025" s="1">
        <f>IFERROR(__xludf.DUMMYFUNCTION("""COMPUTED_VALUE"""),71.0)</f>
        <v>71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>
        <f>IFERROR(__xludf.DUMMYFUNCTION("""COMPUTED_VALUE"""),58.0)</f>
        <v>58</v>
      </c>
      <c r="E1026" s="1">
        <f>IFERROR(__xludf.DUMMYFUNCTION("""COMPUTED_VALUE"""),37.0)</f>
        <v>37</v>
      </c>
      <c r="F1026" s="1">
        <f>IFERROR(__xludf.DUMMYFUNCTION("""COMPUTED_VALUE"""),79.0)</f>
        <v>79</v>
      </c>
      <c r="G1026" s="1">
        <f>IFERROR(__xludf.DUMMYFUNCTION("""COMPUTED_VALUE"""),85.0)</f>
        <v>85</v>
      </c>
      <c r="H1026" s="1">
        <f>IFERROR(__xludf.DUMMYFUNCTION("""COMPUTED_VALUE"""),47.0)</f>
        <v>47</v>
      </c>
      <c r="I1026" s="1">
        <f>IFERROR(__xludf.DUMMYFUNCTION("""COMPUTED_VALUE"""),25.0)</f>
        <v>25</v>
      </c>
      <c r="J1026" s="1">
        <f>IFERROR(__xludf.DUMMYFUNCTION("""COMPUTED_VALUE"""),273.0)</f>
        <v>273</v>
      </c>
      <c r="K1026" s="1">
        <f>IFERROR(__xludf.DUMMYFUNCTION("""COMPUTED_VALUE"""),54.6)</f>
        <v>54.6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>
        <f>IFERROR(__xludf.DUMMYFUNCTION("""COMPUTED_VALUE"""),73.0)</f>
        <v>73</v>
      </c>
      <c r="E1027" s="1">
        <f>IFERROR(__xludf.DUMMYFUNCTION("""COMPUTED_VALUE"""),47.0)</f>
        <v>47</v>
      </c>
      <c r="F1027" s="1">
        <f>IFERROR(__xludf.DUMMYFUNCTION("""COMPUTED_VALUE"""),56.0)</f>
        <v>56</v>
      </c>
      <c r="G1027" s="1">
        <f>IFERROR(__xludf.DUMMYFUNCTION("""COMPUTED_VALUE"""),59.0)</f>
        <v>59</v>
      </c>
      <c r="H1027" s="1">
        <f>IFERROR(__xludf.DUMMYFUNCTION("""COMPUTED_VALUE"""),67.0)</f>
        <v>67</v>
      </c>
      <c r="I1027" s="1">
        <f>IFERROR(__xludf.DUMMYFUNCTION("""COMPUTED_VALUE"""),96.0)</f>
        <v>96</v>
      </c>
      <c r="J1027" s="1">
        <f>IFERROR(__xludf.DUMMYFUNCTION("""COMPUTED_VALUE"""),325.0)</f>
        <v>325</v>
      </c>
      <c r="K1027" s="1">
        <f>IFERROR(__xludf.DUMMYFUNCTION("""COMPUTED_VALUE"""),65.0)</f>
        <v>65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>
        <f>IFERROR(__xludf.DUMMYFUNCTION("""COMPUTED_VALUE"""),16.0)</f>
        <v>16</v>
      </c>
      <c r="E1028" s="1">
        <f>IFERROR(__xludf.DUMMYFUNCTION("""COMPUTED_VALUE"""),46.0)</f>
        <v>46</v>
      </c>
      <c r="F1028" s="1">
        <f>IFERROR(__xludf.DUMMYFUNCTION("""COMPUTED_VALUE"""),48.0)</f>
        <v>48</v>
      </c>
      <c r="G1028" s="1">
        <f>IFERROR(__xludf.DUMMYFUNCTION("""COMPUTED_VALUE"""),46.0)</f>
        <v>46</v>
      </c>
      <c r="H1028" s="1">
        <f>IFERROR(__xludf.DUMMYFUNCTION("""COMPUTED_VALUE"""),24.0)</f>
        <v>24</v>
      </c>
      <c r="I1028" s="1">
        <f>IFERROR(__xludf.DUMMYFUNCTION("""COMPUTED_VALUE"""),74.0)</f>
        <v>74</v>
      </c>
      <c r="J1028" s="1">
        <f>IFERROR(__xludf.DUMMYFUNCTION("""COMPUTED_VALUE"""),238.0)</f>
        <v>238</v>
      </c>
      <c r="K1028" s="1">
        <f>IFERROR(__xludf.DUMMYFUNCTION("""COMPUTED_VALUE"""),47.599999999999994)</f>
        <v>47.6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>
        <f>IFERROR(__xludf.DUMMYFUNCTION("""COMPUTED_VALUE"""),60.0)</f>
        <v>60</v>
      </c>
      <c r="E1029" s="1">
        <f>IFERROR(__xludf.DUMMYFUNCTION("""COMPUTED_VALUE"""),40.0)</f>
        <v>40</v>
      </c>
      <c r="F1029" s="1">
        <f>IFERROR(__xludf.DUMMYFUNCTION("""COMPUTED_VALUE"""),77.0)</f>
        <v>77</v>
      </c>
      <c r="G1029" s="1">
        <f>IFERROR(__xludf.DUMMYFUNCTION("""COMPUTED_VALUE"""),75.0)</f>
        <v>75</v>
      </c>
      <c r="H1029" s="1">
        <f>IFERROR(__xludf.DUMMYFUNCTION("""COMPUTED_VALUE"""),64.0)</f>
        <v>64</v>
      </c>
      <c r="I1029" s="1">
        <f>IFERROR(__xludf.DUMMYFUNCTION("""COMPUTED_VALUE"""),45.0)</f>
        <v>45</v>
      </c>
      <c r="J1029" s="1">
        <f>IFERROR(__xludf.DUMMYFUNCTION("""COMPUTED_VALUE"""),301.0)</f>
        <v>301</v>
      </c>
      <c r="K1029" s="1">
        <f>IFERROR(__xludf.DUMMYFUNCTION("""COMPUTED_VALUE"""),60.199999999999996)</f>
        <v>60.2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>
        <f>IFERROR(__xludf.DUMMYFUNCTION("""COMPUTED_VALUE"""),53.0)</f>
        <v>53</v>
      </c>
      <c r="E1030" s="1">
        <f>IFERROR(__xludf.DUMMYFUNCTION("""COMPUTED_VALUE"""),25.0)</f>
        <v>25</v>
      </c>
      <c r="F1030" s="1">
        <f>IFERROR(__xludf.DUMMYFUNCTION("""COMPUTED_VALUE"""),95.0)</f>
        <v>95</v>
      </c>
      <c r="G1030" s="1">
        <f>IFERROR(__xludf.DUMMYFUNCTION("""COMPUTED_VALUE"""),49.0)</f>
        <v>49</v>
      </c>
      <c r="H1030" s="1">
        <f>IFERROR(__xludf.DUMMYFUNCTION("""COMPUTED_VALUE"""),48.0)</f>
        <v>48</v>
      </c>
      <c r="I1030" s="1">
        <f>IFERROR(__xludf.DUMMYFUNCTION("""COMPUTED_VALUE"""),53.0)</f>
        <v>53</v>
      </c>
      <c r="J1030" s="1">
        <f>IFERROR(__xludf.DUMMYFUNCTION("""COMPUTED_VALUE"""),270.0)</f>
        <v>270</v>
      </c>
      <c r="K1030" s="1">
        <f>IFERROR(__xludf.DUMMYFUNCTION("""COMPUTED_VALUE"""),54.0)</f>
        <v>54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>
        <f>IFERROR(__xludf.DUMMYFUNCTION("""COMPUTED_VALUE"""),52.0)</f>
        <v>52</v>
      </c>
      <c r="E1031" s="1">
        <f>IFERROR(__xludf.DUMMYFUNCTION("""COMPUTED_VALUE"""),20.0)</f>
        <v>20</v>
      </c>
      <c r="F1031" s="1">
        <f>IFERROR(__xludf.DUMMYFUNCTION("""COMPUTED_VALUE"""),61.0)</f>
        <v>61</v>
      </c>
      <c r="G1031" s="1">
        <f>IFERROR(__xludf.DUMMYFUNCTION("""COMPUTED_VALUE"""),58.0)</f>
        <v>58</v>
      </c>
      <c r="H1031" s="1">
        <f>IFERROR(__xludf.DUMMYFUNCTION("""COMPUTED_VALUE"""),22.0)</f>
        <v>22</v>
      </c>
      <c r="I1031" s="1">
        <f>IFERROR(__xludf.DUMMYFUNCTION("""COMPUTED_VALUE"""),78.0)</f>
        <v>78</v>
      </c>
      <c r="J1031" s="1">
        <f>IFERROR(__xludf.DUMMYFUNCTION("""COMPUTED_VALUE"""),239.0)</f>
        <v>239</v>
      </c>
      <c r="K1031" s="1">
        <f>IFERROR(__xludf.DUMMYFUNCTION("""COMPUTED_VALUE"""),47.8)</f>
        <v>47.8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>
        <f>IFERROR(__xludf.DUMMYFUNCTION("""COMPUTED_VALUE"""),59.0)</f>
        <v>59</v>
      </c>
      <c r="E1032" s="1">
        <f>IFERROR(__xludf.DUMMYFUNCTION("""COMPUTED_VALUE"""),81.0)</f>
        <v>81</v>
      </c>
      <c r="F1032" s="1">
        <f>IFERROR(__xludf.DUMMYFUNCTION("""COMPUTED_VALUE"""),22.0)</f>
        <v>22</v>
      </c>
      <c r="G1032" s="1">
        <f>IFERROR(__xludf.DUMMYFUNCTION("""COMPUTED_VALUE"""),49.0)</f>
        <v>49</v>
      </c>
      <c r="H1032" s="1">
        <f>IFERROR(__xludf.DUMMYFUNCTION("""COMPUTED_VALUE"""),71.0)</f>
        <v>71</v>
      </c>
      <c r="I1032" s="1">
        <f>IFERROR(__xludf.DUMMYFUNCTION("""COMPUTED_VALUE"""),59.0)</f>
        <v>59</v>
      </c>
      <c r="J1032" s="1">
        <f>IFERROR(__xludf.DUMMYFUNCTION("""COMPUTED_VALUE"""),282.0)</f>
        <v>282</v>
      </c>
      <c r="K1032" s="1">
        <f>IFERROR(__xludf.DUMMYFUNCTION("""COMPUTED_VALUE"""),56.39999999999999)</f>
        <v>56.4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>
        <f>IFERROR(__xludf.DUMMYFUNCTION("""COMPUTED_VALUE"""),40.0)</f>
        <v>40</v>
      </c>
      <c r="E1033" s="1">
        <f>IFERROR(__xludf.DUMMYFUNCTION("""COMPUTED_VALUE"""),92.0)</f>
        <v>92</v>
      </c>
      <c r="F1033" s="1">
        <f>IFERROR(__xludf.DUMMYFUNCTION("""COMPUTED_VALUE"""),66.0)</f>
        <v>66</v>
      </c>
      <c r="G1033" s="1">
        <f>IFERROR(__xludf.DUMMYFUNCTION("""COMPUTED_VALUE"""),64.0)</f>
        <v>64</v>
      </c>
      <c r="H1033" s="1">
        <f>IFERROR(__xludf.DUMMYFUNCTION("""COMPUTED_VALUE"""),41.0)</f>
        <v>41</v>
      </c>
      <c r="I1033" s="1">
        <f>IFERROR(__xludf.DUMMYFUNCTION("""COMPUTED_VALUE"""),80.0)</f>
        <v>80</v>
      </c>
      <c r="J1033" s="1">
        <f>IFERROR(__xludf.DUMMYFUNCTION("""COMPUTED_VALUE"""),343.0)</f>
        <v>343</v>
      </c>
      <c r="K1033" s="1">
        <f>IFERROR(__xludf.DUMMYFUNCTION("""COMPUTED_VALUE"""),68.60000000000001)</f>
        <v>68.6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>
        <f>IFERROR(__xludf.DUMMYFUNCTION("""COMPUTED_VALUE"""),59.0)</f>
        <v>59</v>
      </c>
      <c r="E1034" s="1">
        <f>IFERROR(__xludf.DUMMYFUNCTION("""COMPUTED_VALUE"""),24.0)</f>
        <v>24</v>
      </c>
      <c r="F1034" s="1">
        <f>IFERROR(__xludf.DUMMYFUNCTION("""COMPUTED_VALUE"""),41.0)</f>
        <v>41</v>
      </c>
      <c r="G1034" s="1">
        <f>IFERROR(__xludf.DUMMYFUNCTION("""COMPUTED_VALUE"""),50.0)</f>
        <v>50</v>
      </c>
      <c r="H1034" s="1">
        <f>IFERROR(__xludf.DUMMYFUNCTION("""COMPUTED_VALUE"""),36.0)</f>
        <v>36</v>
      </c>
      <c r="I1034" s="1">
        <f>IFERROR(__xludf.DUMMYFUNCTION("""COMPUTED_VALUE"""),55.0)</f>
        <v>55</v>
      </c>
      <c r="J1034" s="1">
        <f>IFERROR(__xludf.DUMMYFUNCTION("""COMPUTED_VALUE"""),206.0)</f>
        <v>206</v>
      </c>
      <c r="K1034" s="1">
        <f>IFERROR(__xludf.DUMMYFUNCTION("""COMPUTED_VALUE"""),41.199999999999996)</f>
        <v>41.2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>
        <f>IFERROR(__xludf.DUMMYFUNCTION("""COMPUTED_VALUE"""),26.0)</f>
        <v>26</v>
      </c>
      <c r="E1035" s="1">
        <f>IFERROR(__xludf.DUMMYFUNCTION("""COMPUTED_VALUE"""),91.0)</f>
        <v>91</v>
      </c>
      <c r="F1035" s="1">
        <f>IFERROR(__xludf.DUMMYFUNCTION("""COMPUTED_VALUE"""),33.0)</f>
        <v>33</v>
      </c>
      <c r="G1035" s="1">
        <f>IFERROR(__xludf.DUMMYFUNCTION("""COMPUTED_VALUE"""),52.0)</f>
        <v>52</v>
      </c>
      <c r="H1035" s="1">
        <f>IFERROR(__xludf.DUMMYFUNCTION("""COMPUTED_VALUE"""),67.0)</f>
        <v>67</v>
      </c>
      <c r="I1035" s="1">
        <f>IFERROR(__xludf.DUMMYFUNCTION("""COMPUTED_VALUE"""),89.0)</f>
        <v>89</v>
      </c>
      <c r="J1035" s="1">
        <f>IFERROR(__xludf.DUMMYFUNCTION("""COMPUTED_VALUE"""),332.0)</f>
        <v>332</v>
      </c>
      <c r="K1035" s="1">
        <f>IFERROR(__xludf.DUMMYFUNCTION("""COMPUTED_VALUE"""),66.4)</f>
        <v>66.4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>
        <f>IFERROR(__xludf.DUMMYFUNCTION("""COMPUTED_VALUE"""),99.0)</f>
        <v>99</v>
      </c>
      <c r="E1036" s="1">
        <f>IFERROR(__xludf.DUMMYFUNCTION("""COMPUTED_VALUE"""),21.0)</f>
        <v>21</v>
      </c>
      <c r="F1036" s="1">
        <f>IFERROR(__xludf.DUMMYFUNCTION("""COMPUTED_VALUE"""),60.0)</f>
        <v>60</v>
      </c>
      <c r="G1036" s="1">
        <f>IFERROR(__xludf.DUMMYFUNCTION("""COMPUTED_VALUE"""),55.0)</f>
        <v>55</v>
      </c>
      <c r="H1036" s="1">
        <f>IFERROR(__xludf.DUMMYFUNCTION("""COMPUTED_VALUE"""),83.0)</f>
        <v>83</v>
      </c>
      <c r="I1036" s="1">
        <f>IFERROR(__xludf.DUMMYFUNCTION("""COMPUTED_VALUE"""),26.0)</f>
        <v>26</v>
      </c>
      <c r="J1036" s="1">
        <f>IFERROR(__xludf.DUMMYFUNCTION("""COMPUTED_VALUE"""),245.0)</f>
        <v>245</v>
      </c>
      <c r="K1036" s="1">
        <f>IFERROR(__xludf.DUMMYFUNCTION("""COMPUTED_VALUE"""),49.0)</f>
        <v>49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>
        <f>IFERROR(__xludf.DUMMYFUNCTION("""COMPUTED_VALUE"""),81.0)</f>
        <v>81</v>
      </c>
      <c r="E1037" s="1">
        <f>IFERROR(__xludf.DUMMYFUNCTION("""COMPUTED_VALUE"""),98.0)</f>
        <v>98</v>
      </c>
      <c r="F1037" s="1">
        <f>IFERROR(__xludf.DUMMYFUNCTION("""COMPUTED_VALUE"""),91.0)</f>
        <v>91</v>
      </c>
      <c r="G1037" s="1">
        <f>IFERROR(__xludf.DUMMYFUNCTION("""COMPUTED_VALUE"""),73.0)</f>
        <v>73</v>
      </c>
      <c r="H1037" s="1">
        <f>IFERROR(__xludf.DUMMYFUNCTION("""COMPUTED_VALUE"""),49.0)</f>
        <v>49</v>
      </c>
      <c r="I1037" s="1">
        <f>IFERROR(__xludf.DUMMYFUNCTION("""COMPUTED_VALUE"""),26.0)</f>
        <v>26</v>
      </c>
      <c r="J1037" s="1">
        <f>IFERROR(__xludf.DUMMYFUNCTION("""COMPUTED_VALUE"""),337.0)</f>
        <v>337</v>
      </c>
      <c r="K1037" s="1">
        <f>IFERROR(__xludf.DUMMYFUNCTION("""COMPUTED_VALUE"""),67.4)</f>
        <v>67.4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>
        <f>IFERROR(__xludf.DUMMYFUNCTION("""COMPUTED_VALUE"""),76.0)</f>
        <v>76</v>
      </c>
      <c r="E1038" s="1">
        <f>IFERROR(__xludf.DUMMYFUNCTION("""COMPUTED_VALUE"""),67.0)</f>
        <v>67</v>
      </c>
      <c r="F1038" s="1">
        <f>IFERROR(__xludf.DUMMYFUNCTION("""COMPUTED_VALUE"""),23.0)</f>
        <v>23</v>
      </c>
      <c r="G1038" s="1">
        <f>IFERROR(__xludf.DUMMYFUNCTION("""COMPUTED_VALUE"""),24.0)</f>
        <v>24</v>
      </c>
      <c r="H1038" s="1">
        <f>IFERROR(__xludf.DUMMYFUNCTION("""COMPUTED_VALUE"""),20.0)</f>
        <v>20</v>
      </c>
      <c r="I1038" s="1">
        <f>IFERROR(__xludf.DUMMYFUNCTION("""COMPUTED_VALUE"""),24.0)</f>
        <v>24</v>
      </c>
      <c r="J1038" s="1">
        <f>IFERROR(__xludf.DUMMYFUNCTION("""COMPUTED_VALUE"""),158.0)</f>
        <v>158</v>
      </c>
      <c r="K1038" s="1">
        <f>IFERROR(__xludf.DUMMYFUNCTION("""COMPUTED_VALUE"""),31.6)</f>
        <v>31.6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>
        <f>IFERROR(__xludf.DUMMYFUNCTION("""COMPUTED_VALUE"""),46.0)</f>
        <v>46</v>
      </c>
      <c r="E1039" s="1">
        <f>IFERROR(__xludf.DUMMYFUNCTION("""COMPUTED_VALUE"""),68.0)</f>
        <v>68</v>
      </c>
      <c r="F1039" s="1">
        <f>IFERROR(__xludf.DUMMYFUNCTION("""COMPUTED_VALUE"""),89.0)</f>
        <v>89</v>
      </c>
      <c r="G1039" s="1">
        <f>IFERROR(__xludf.DUMMYFUNCTION("""COMPUTED_VALUE"""),24.0)</f>
        <v>24</v>
      </c>
      <c r="H1039" s="1">
        <f>IFERROR(__xludf.DUMMYFUNCTION("""COMPUTED_VALUE"""),25.0)</f>
        <v>25</v>
      </c>
      <c r="I1039" s="1">
        <f>IFERROR(__xludf.DUMMYFUNCTION("""COMPUTED_VALUE"""),41.0)</f>
        <v>41</v>
      </c>
      <c r="J1039" s="1">
        <f>IFERROR(__xludf.DUMMYFUNCTION("""COMPUTED_VALUE"""),247.0)</f>
        <v>247</v>
      </c>
      <c r="K1039" s="1">
        <f>IFERROR(__xludf.DUMMYFUNCTION("""COMPUTED_VALUE"""),49.4)</f>
        <v>49.4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>
        <f>IFERROR(__xludf.DUMMYFUNCTION("""COMPUTED_VALUE"""),16.0)</f>
        <v>16</v>
      </c>
      <c r="E1040" s="1">
        <f>IFERROR(__xludf.DUMMYFUNCTION("""COMPUTED_VALUE"""),86.0)</f>
        <v>86</v>
      </c>
      <c r="F1040" s="1">
        <f>IFERROR(__xludf.DUMMYFUNCTION("""COMPUTED_VALUE"""),37.0)</f>
        <v>37</v>
      </c>
      <c r="G1040" s="1">
        <f>IFERROR(__xludf.DUMMYFUNCTION("""COMPUTED_VALUE"""),77.0)</f>
        <v>77</v>
      </c>
      <c r="H1040" s="1">
        <f>IFERROR(__xludf.DUMMYFUNCTION("""COMPUTED_VALUE"""),75.0)</f>
        <v>75</v>
      </c>
      <c r="I1040" s="1">
        <f>IFERROR(__xludf.DUMMYFUNCTION("""COMPUTED_VALUE"""),26.0)</f>
        <v>26</v>
      </c>
      <c r="J1040" s="1">
        <f>IFERROR(__xludf.DUMMYFUNCTION("""COMPUTED_VALUE"""),301.0)</f>
        <v>301</v>
      </c>
      <c r="K1040" s="1">
        <f>IFERROR(__xludf.DUMMYFUNCTION("""COMPUTED_VALUE"""),60.199999999999996)</f>
        <v>60.2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>
        <f>IFERROR(__xludf.DUMMYFUNCTION("""COMPUTED_VALUE"""),75.0)</f>
        <v>75</v>
      </c>
      <c r="E1041" s="1">
        <f>IFERROR(__xludf.DUMMYFUNCTION("""COMPUTED_VALUE"""),89.0)</f>
        <v>89</v>
      </c>
      <c r="F1041" s="1">
        <f>IFERROR(__xludf.DUMMYFUNCTION("""COMPUTED_VALUE"""),71.0)</f>
        <v>71</v>
      </c>
      <c r="G1041" s="1">
        <f>IFERROR(__xludf.DUMMYFUNCTION("""COMPUTED_VALUE"""),41.0)</f>
        <v>41</v>
      </c>
      <c r="H1041" s="1">
        <f>IFERROR(__xludf.DUMMYFUNCTION("""COMPUTED_VALUE"""),20.0)</f>
        <v>20</v>
      </c>
      <c r="I1041" s="1">
        <f>IFERROR(__xludf.DUMMYFUNCTION("""COMPUTED_VALUE"""),54.0)</f>
        <v>54</v>
      </c>
      <c r="J1041" s="1">
        <f>IFERROR(__xludf.DUMMYFUNCTION("""COMPUTED_VALUE"""),275.0)</f>
        <v>275</v>
      </c>
      <c r="K1041" s="1">
        <f>IFERROR(__xludf.DUMMYFUNCTION("""COMPUTED_VALUE"""),55.00000000000001)</f>
        <v>55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>
        <f>IFERROR(__xludf.DUMMYFUNCTION("""COMPUTED_VALUE"""),34.0)</f>
        <v>34</v>
      </c>
      <c r="E1042" s="1">
        <f>IFERROR(__xludf.DUMMYFUNCTION("""COMPUTED_VALUE"""),24.0)</f>
        <v>24</v>
      </c>
      <c r="F1042" s="1">
        <f>IFERROR(__xludf.DUMMYFUNCTION("""COMPUTED_VALUE"""),69.0)</f>
        <v>69</v>
      </c>
      <c r="G1042" s="1">
        <f>IFERROR(__xludf.DUMMYFUNCTION("""COMPUTED_VALUE"""),21.0)</f>
        <v>21</v>
      </c>
      <c r="H1042" s="1">
        <f>IFERROR(__xludf.DUMMYFUNCTION("""COMPUTED_VALUE"""),23.0)</f>
        <v>23</v>
      </c>
      <c r="I1042" s="1">
        <f>IFERROR(__xludf.DUMMYFUNCTION("""COMPUTED_VALUE"""),68.0)</f>
        <v>68</v>
      </c>
      <c r="J1042" s="1">
        <f>IFERROR(__xludf.DUMMYFUNCTION("""COMPUTED_VALUE"""),205.0)</f>
        <v>205</v>
      </c>
      <c r="K1042" s="1">
        <f>IFERROR(__xludf.DUMMYFUNCTION("""COMPUTED_VALUE"""),41.0)</f>
        <v>41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>
        <f>IFERROR(__xludf.DUMMYFUNCTION("""COMPUTED_VALUE"""),95.0)</f>
        <v>95</v>
      </c>
      <c r="E1043" s="1">
        <f>IFERROR(__xludf.DUMMYFUNCTION("""COMPUTED_VALUE"""),29.0)</f>
        <v>29</v>
      </c>
      <c r="F1043" s="1">
        <f>IFERROR(__xludf.DUMMYFUNCTION("""COMPUTED_VALUE"""),68.0)</f>
        <v>68</v>
      </c>
      <c r="G1043" s="1">
        <f>IFERROR(__xludf.DUMMYFUNCTION("""COMPUTED_VALUE"""),90.0)</f>
        <v>90</v>
      </c>
      <c r="H1043" s="1">
        <f>IFERROR(__xludf.DUMMYFUNCTION("""COMPUTED_VALUE"""),24.0)</f>
        <v>24</v>
      </c>
      <c r="I1043" s="1">
        <f>IFERROR(__xludf.DUMMYFUNCTION("""COMPUTED_VALUE"""),38.0)</f>
        <v>38</v>
      </c>
      <c r="J1043" s="1">
        <f>IFERROR(__xludf.DUMMYFUNCTION("""COMPUTED_VALUE"""),249.0)</f>
        <v>249</v>
      </c>
      <c r="K1043" s="1">
        <f>IFERROR(__xludf.DUMMYFUNCTION("""COMPUTED_VALUE"""),49.8)</f>
        <v>49.8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>
        <f>IFERROR(__xludf.DUMMYFUNCTION("""COMPUTED_VALUE"""),82.0)</f>
        <v>82</v>
      </c>
      <c r="E1044" s="1">
        <f>IFERROR(__xludf.DUMMYFUNCTION("""COMPUTED_VALUE"""),85.0)</f>
        <v>85</v>
      </c>
      <c r="F1044" s="1">
        <f>IFERROR(__xludf.DUMMYFUNCTION("""COMPUTED_VALUE"""),58.0)</f>
        <v>58</v>
      </c>
      <c r="G1044" s="1">
        <f>IFERROR(__xludf.DUMMYFUNCTION("""COMPUTED_VALUE"""),54.0)</f>
        <v>54</v>
      </c>
      <c r="H1044" s="1">
        <f>IFERROR(__xludf.DUMMYFUNCTION("""COMPUTED_VALUE"""),40.0)</f>
        <v>40</v>
      </c>
      <c r="I1044" s="1">
        <f>IFERROR(__xludf.DUMMYFUNCTION("""COMPUTED_VALUE"""),85.0)</f>
        <v>85</v>
      </c>
      <c r="J1044" s="1">
        <f>IFERROR(__xludf.DUMMYFUNCTION("""COMPUTED_VALUE"""),322.0)</f>
        <v>322</v>
      </c>
      <c r="K1044" s="1">
        <f>IFERROR(__xludf.DUMMYFUNCTION("""COMPUTED_VALUE"""),64.4)</f>
        <v>64.4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>
        <f>IFERROR(__xludf.DUMMYFUNCTION("""COMPUTED_VALUE"""),82.0)</f>
        <v>82</v>
      </c>
      <c r="E1045" s="1">
        <f>IFERROR(__xludf.DUMMYFUNCTION("""COMPUTED_VALUE"""),82.0)</f>
        <v>82</v>
      </c>
      <c r="F1045" s="1">
        <f>IFERROR(__xludf.DUMMYFUNCTION("""COMPUTED_VALUE"""),24.0)</f>
        <v>24</v>
      </c>
      <c r="G1045" s="1">
        <f>IFERROR(__xludf.DUMMYFUNCTION("""COMPUTED_VALUE"""),84.0)</f>
        <v>84</v>
      </c>
      <c r="H1045" s="1">
        <f>IFERROR(__xludf.DUMMYFUNCTION("""COMPUTED_VALUE"""),33.0)</f>
        <v>33</v>
      </c>
      <c r="I1045" s="1">
        <f>IFERROR(__xludf.DUMMYFUNCTION("""COMPUTED_VALUE"""),36.0)</f>
        <v>36</v>
      </c>
      <c r="J1045" s="1">
        <f>IFERROR(__xludf.DUMMYFUNCTION("""COMPUTED_VALUE"""),259.0)</f>
        <v>259</v>
      </c>
      <c r="K1045" s="1">
        <f>IFERROR(__xludf.DUMMYFUNCTION("""COMPUTED_VALUE"""),51.800000000000004)</f>
        <v>51.8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>
        <f>IFERROR(__xludf.DUMMYFUNCTION("""COMPUTED_VALUE"""),59.0)</f>
        <v>59</v>
      </c>
      <c r="E1046" s="1">
        <f>IFERROR(__xludf.DUMMYFUNCTION("""COMPUTED_VALUE"""),71.0)</f>
        <v>71</v>
      </c>
      <c r="F1046" s="1">
        <f>IFERROR(__xludf.DUMMYFUNCTION("""COMPUTED_VALUE"""),32.0)</f>
        <v>32</v>
      </c>
      <c r="G1046" s="1">
        <f>IFERROR(__xludf.DUMMYFUNCTION("""COMPUTED_VALUE"""),97.0)</f>
        <v>97</v>
      </c>
      <c r="H1046" s="1">
        <f>IFERROR(__xludf.DUMMYFUNCTION("""COMPUTED_VALUE"""),92.0)</f>
        <v>92</v>
      </c>
      <c r="I1046" s="1">
        <f>IFERROR(__xludf.DUMMYFUNCTION("""COMPUTED_VALUE"""),58.0)</f>
        <v>58</v>
      </c>
      <c r="J1046" s="1">
        <f>IFERROR(__xludf.DUMMYFUNCTION("""COMPUTED_VALUE"""),350.0)</f>
        <v>350</v>
      </c>
      <c r="K1046" s="1">
        <f>IFERROR(__xludf.DUMMYFUNCTION("""COMPUTED_VALUE"""),70.0)</f>
        <v>70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>
        <f>IFERROR(__xludf.DUMMYFUNCTION("""COMPUTED_VALUE"""),83.0)</f>
        <v>83</v>
      </c>
      <c r="E1047" s="1">
        <f>IFERROR(__xludf.DUMMYFUNCTION("""COMPUTED_VALUE"""),55.0)</f>
        <v>55</v>
      </c>
      <c r="F1047" s="1">
        <f>IFERROR(__xludf.DUMMYFUNCTION("""COMPUTED_VALUE"""),45.0)</f>
        <v>45</v>
      </c>
      <c r="G1047" s="1">
        <f>IFERROR(__xludf.DUMMYFUNCTION("""COMPUTED_VALUE"""),99.0)</f>
        <v>99</v>
      </c>
      <c r="H1047" s="1">
        <f>IFERROR(__xludf.DUMMYFUNCTION("""COMPUTED_VALUE"""),41.0)</f>
        <v>41</v>
      </c>
      <c r="I1047" s="1">
        <f>IFERROR(__xludf.DUMMYFUNCTION("""COMPUTED_VALUE"""),23.0)</f>
        <v>23</v>
      </c>
      <c r="J1047" s="1">
        <f>IFERROR(__xludf.DUMMYFUNCTION("""COMPUTED_VALUE"""),263.0)</f>
        <v>263</v>
      </c>
      <c r="K1047" s="1">
        <f>IFERROR(__xludf.DUMMYFUNCTION("""COMPUTED_VALUE"""),52.6)</f>
        <v>52.6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>
        <f>IFERROR(__xludf.DUMMYFUNCTION("""COMPUTED_VALUE"""),71.0)</f>
        <v>71</v>
      </c>
      <c r="E1048" s="1">
        <f>IFERROR(__xludf.DUMMYFUNCTION("""COMPUTED_VALUE"""),79.0)</f>
        <v>79</v>
      </c>
      <c r="F1048" s="1">
        <f>IFERROR(__xludf.DUMMYFUNCTION("""COMPUTED_VALUE"""),50.0)</f>
        <v>50</v>
      </c>
      <c r="G1048" s="1">
        <f>IFERROR(__xludf.DUMMYFUNCTION("""COMPUTED_VALUE"""),72.0)</f>
        <v>72</v>
      </c>
      <c r="H1048" s="1">
        <f>IFERROR(__xludf.DUMMYFUNCTION("""COMPUTED_VALUE"""),50.0)</f>
        <v>50</v>
      </c>
      <c r="I1048" s="1">
        <f>IFERROR(__xludf.DUMMYFUNCTION("""COMPUTED_VALUE"""),78.0)</f>
        <v>78</v>
      </c>
      <c r="J1048" s="1">
        <f>IFERROR(__xludf.DUMMYFUNCTION("""COMPUTED_VALUE"""),329.0)</f>
        <v>329</v>
      </c>
      <c r="K1048" s="1">
        <f>IFERROR(__xludf.DUMMYFUNCTION("""COMPUTED_VALUE"""),65.8)</f>
        <v>65.8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>
        <f>IFERROR(__xludf.DUMMYFUNCTION("""COMPUTED_VALUE"""),10.0)</f>
        <v>10</v>
      </c>
      <c r="E1049" s="1">
        <f>IFERROR(__xludf.DUMMYFUNCTION("""COMPUTED_VALUE"""),68.0)</f>
        <v>68</v>
      </c>
      <c r="F1049" s="1">
        <f>IFERROR(__xludf.DUMMYFUNCTION("""COMPUTED_VALUE"""),47.0)</f>
        <v>47</v>
      </c>
      <c r="G1049" s="1">
        <f>IFERROR(__xludf.DUMMYFUNCTION("""COMPUTED_VALUE"""),68.0)</f>
        <v>68</v>
      </c>
      <c r="H1049" s="1">
        <f>IFERROR(__xludf.DUMMYFUNCTION("""COMPUTED_VALUE"""),45.0)</f>
        <v>45</v>
      </c>
      <c r="I1049" s="1">
        <f>IFERROR(__xludf.DUMMYFUNCTION("""COMPUTED_VALUE"""),32.0)</f>
        <v>32</v>
      </c>
      <c r="J1049" s="1">
        <f>IFERROR(__xludf.DUMMYFUNCTION("""COMPUTED_VALUE"""),260.0)</f>
        <v>260</v>
      </c>
      <c r="K1049" s="1">
        <f>IFERROR(__xludf.DUMMYFUNCTION("""COMPUTED_VALUE"""),52.0)</f>
        <v>52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>
        <f>IFERROR(__xludf.DUMMYFUNCTION("""COMPUTED_VALUE"""),85.0)</f>
        <v>85</v>
      </c>
      <c r="E1050" s="1">
        <f>IFERROR(__xludf.DUMMYFUNCTION("""COMPUTED_VALUE"""),83.0)</f>
        <v>83</v>
      </c>
      <c r="F1050" s="1">
        <f>IFERROR(__xludf.DUMMYFUNCTION("""COMPUTED_VALUE"""),38.0)</f>
        <v>38</v>
      </c>
      <c r="G1050" s="1">
        <f>IFERROR(__xludf.DUMMYFUNCTION("""COMPUTED_VALUE"""),73.0)</f>
        <v>73</v>
      </c>
      <c r="H1050" s="1">
        <f>IFERROR(__xludf.DUMMYFUNCTION("""COMPUTED_VALUE"""),68.0)</f>
        <v>68</v>
      </c>
      <c r="I1050" s="1">
        <f>IFERROR(__xludf.DUMMYFUNCTION("""COMPUTED_VALUE"""),36.0)</f>
        <v>36</v>
      </c>
      <c r="J1050" s="1">
        <f>IFERROR(__xludf.DUMMYFUNCTION("""COMPUTED_VALUE"""),298.0)</f>
        <v>298</v>
      </c>
      <c r="K1050" s="1">
        <f>IFERROR(__xludf.DUMMYFUNCTION("""COMPUTED_VALUE"""),59.599999999999994)</f>
        <v>59.6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>
        <f>IFERROR(__xludf.DUMMYFUNCTION("""COMPUTED_VALUE"""),88.0)</f>
        <v>88</v>
      </c>
      <c r="E1051" s="1">
        <f>IFERROR(__xludf.DUMMYFUNCTION("""COMPUTED_VALUE"""),76.0)</f>
        <v>76</v>
      </c>
      <c r="F1051" s="1">
        <f>IFERROR(__xludf.DUMMYFUNCTION("""COMPUTED_VALUE"""),96.0)</f>
        <v>96</v>
      </c>
      <c r="G1051" s="1">
        <f>IFERROR(__xludf.DUMMYFUNCTION("""COMPUTED_VALUE"""),24.0)</f>
        <v>24</v>
      </c>
      <c r="H1051" s="1">
        <f>IFERROR(__xludf.DUMMYFUNCTION("""COMPUTED_VALUE"""),29.0)</f>
        <v>29</v>
      </c>
      <c r="I1051" s="1">
        <f>IFERROR(__xludf.DUMMYFUNCTION("""COMPUTED_VALUE"""),32.0)</f>
        <v>32</v>
      </c>
      <c r="J1051" s="1">
        <f>IFERROR(__xludf.DUMMYFUNCTION("""COMPUTED_VALUE"""),257.0)</f>
        <v>257</v>
      </c>
      <c r="K1051" s="1">
        <f>IFERROR(__xludf.DUMMYFUNCTION("""COMPUTED_VALUE"""),51.4)</f>
        <v>51.4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>
        <f>IFERROR(__xludf.DUMMYFUNCTION("""COMPUTED_VALUE"""),44.0)</f>
        <v>44</v>
      </c>
      <c r="E1052" s="1">
        <f>IFERROR(__xludf.DUMMYFUNCTION("""COMPUTED_VALUE"""),25.0)</f>
        <v>25</v>
      </c>
      <c r="F1052" s="1">
        <f>IFERROR(__xludf.DUMMYFUNCTION("""COMPUTED_VALUE"""),49.0)</f>
        <v>49</v>
      </c>
      <c r="G1052" s="1">
        <f>IFERROR(__xludf.DUMMYFUNCTION("""COMPUTED_VALUE"""),44.0)</f>
        <v>44</v>
      </c>
      <c r="H1052" s="1">
        <f>IFERROR(__xludf.DUMMYFUNCTION("""COMPUTED_VALUE"""),86.0)</f>
        <v>86</v>
      </c>
      <c r="I1052" s="1">
        <f>IFERROR(__xludf.DUMMYFUNCTION("""COMPUTED_VALUE"""),39.0)</f>
        <v>39</v>
      </c>
      <c r="J1052" s="1">
        <f>IFERROR(__xludf.DUMMYFUNCTION("""COMPUTED_VALUE"""),243.0)</f>
        <v>243</v>
      </c>
      <c r="K1052" s="1">
        <f>IFERROR(__xludf.DUMMYFUNCTION("""COMPUTED_VALUE"""),48.6)</f>
        <v>48.6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>
        <f>IFERROR(__xludf.DUMMYFUNCTION("""COMPUTED_VALUE"""),34.0)</f>
        <v>34</v>
      </c>
      <c r="E1053" s="1">
        <f>IFERROR(__xludf.DUMMYFUNCTION("""COMPUTED_VALUE"""),33.0)</f>
        <v>33</v>
      </c>
      <c r="F1053" s="1">
        <f>IFERROR(__xludf.DUMMYFUNCTION("""COMPUTED_VALUE"""),34.0)</f>
        <v>34</v>
      </c>
      <c r="G1053" s="1">
        <f>IFERROR(__xludf.DUMMYFUNCTION("""COMPUTED_VALUE"""),92.0)</f>
        <v>92</v>
      </c>
      <c r="H1053" s="1">
        <f>IFERROR(__xludf.DUMMYFUNCTION("""COMPUTED_VALUE"""),25.0)</f>
        <v>25</v>
      </c>
      <c r="I1053" s="1">
        <f>IFERROR(__xludf.DUMMYFUNCTION("""COMPUTED_VALUE"""),96.0)</f>
        <v>96</v>
      </c>
      <c r="J1053" s="1">
        <f>IFERROR(__xludf.DUMMYFUNCTION("""COMPUTED_VALUE"""),280.0)</f>
        <v>280</v>
      </c>
      <c r="K1053" s="1">
        <f>IFERROR(__xludf.DUMMYFUNCTION("""COMPUTED_VALUE"""),56.00000000000001)</f>
        <v>56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>
        <f>IFERROR(__xludf.DUMMYFUNCTION("""COMPUTED_VALUE"""),51.0)</f>
        <v>51</v>
      </c>
      <c r="E1054" s="1">
        <f>IFERROR(__xludf.DUMMYFUNCTION("""COMPUTED_VALUE"""),43.0)</f>
        <v>43</v>
      </c>
      <c r="F1054" s="1">
        <f>IFERROR(__xludf.DUMMYFUNCTION("""COMPUTED_VALUE"""),29.0)</f>
        <v>29</v>
      </c>
      <c r="G1054" s="1">
        <f>IFERROR(__xludf.DUMMYFUNCTION("""COMPUTED_VALUE"""),98.0)</f>
        <v>98</v>
      </c>
      <c r="H1054" s="1">
        <f>IFERROR(__xludf.DUMMYFUNCTION("""COMPUTED_VALUE"""),73.0)</f>
        <v>73</v>
      </c>
      <c r="I1054" s="1">
        <f>IFERROR(__xludf.DUMMYFUNCTION("""COMPUTED_VALUE"""),94.0)</f>
        <v>94</v>
      </c>
      <c r="J1054" s="1">
        <f>IFERROR(__xludf.DUMMYFUNCTION("""COMPUTED_VALUE"""),337.0)</f>
        <v>337</v>
      </c>
      <c r="K1054" s="1">
        <f>IFERROR(__xludf.DUMMYFUNCTION("""COMPUTED_VALUE"""),67.4)</f>
        <v>67.4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>
        <f>IFERROR(__xludf.DUMMYFUNCTION("""COMPUTED_VALUE"""),84.0)</f>
        <v>84</v>
      </c>
      <c r="E1055" s="1">
        <f>IFERROR(__xludf.DUMMYFUNCTION("""COMPUTED_VALUE"""),21.0)</f>
        <v>21</v>
      </c>
      <c r="F1055" s="1">
        <f>IFERROR(__xludf.DUMMYFUNCTION("""COMPUTED_VALUE"""),20.0)</f>
        <v>20</v>
      </c>
      <c r="G1055" s="1">
        <f>IFERROR(__xludf.DUMMYFUNCTION("""COMPUTED_VALUE"""),44.0)</f>
        <v>44</v>
      </c>
      <c r="H1055" s="1">
        <f>IFERROR(__xludf.DUMMYFUNCTION("""COMPUTED_VALUE"""),50.0)</f>
        <v>50</v>
      </c>
      <c r="I1055" s="1">
        <f>IFERROR(__xludf.DUMMYFUNCTION("""COMPUTED_VALUE"""),85.0)</f>
        <v>85</v>
      </c>
      <c r="J1055" s="1">
        <f>IFERROR(__xludf.DUMMYFUNCTION("""COMPUTED_VALUE"""),220.0)</f>
        <v>220</v>
      </c>
      <c r="K1055" s="1">
        <f>IFERROR(__xludf.DUMMYFUNCTION("""COMPUTED_VALUE"""),44.0)</f>
        <v>44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>
        <f>IFERROR(__xludf.DUMMYFUNCTION("""COMPUTED_VALUE"""),87.0)</f>
        <v>87</v>
      </c>
      <c r="E1056" s="1">
        <f>IFERROR(__xludf.DUMMYFUNCTION("""COMPUTED_VALUE"""),77.0)</f>
        <v>77</v>
      </c>
      <c r="F1056" s="1">
        <f>IFERROR(__xludf.DUMMYFUNCTION("""COMPUTED_VALUE"""),69.0)</f>
        <v>69</v>
      </c>
      <c r="G1056" s="1">
        <f>IFERROR(__xludf.DUMMYFUNCTION("""COMPUTED_VALUE"""),70.0)</f>
        <v>70</v>
      </c>
      <c r="H1056" s="1">
        <f>IFERROR(__xludf.DUMMYFUNCTION("""COMPUTED_VALUE"""),79.0)</f>
        <v>79</v>
      </c>
      <c r="I1056" s="1">
        <f>IFERROR(__xludf.DUMMYFUNCTION("""COMPUTED_VALUE"""),61.0)</f>
        <v>61</v>
      </c>
      <c r="J1056" s="1">
        <f>IFERROR(__xludf.DUMMYFUNCTION("""COMPUTED_VALUE"""),356.0)</f>
        <v>356</v>
      </c>
      <c r="K1056" s="1">
        <f>IFERROR(__xludf.DUMMYFUNCTION("""COMPUTED_VALUE"""),71.2)</f>
        <v>71.2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>
        <f>IFERROR(__xludf.DUMMYFUNCTION("""COMPUTED_VALUE"""),99.0)</f>
        <v>99</v>
      </c>
      <c r="E1057" s="1">
        <f>IFERROR(__xludf.DUMMYFUNCTION("""COMPUTED_VALUE"""),65.0)</f>
        <v>65</v>
      </c>
      <c r="F1057" s="1">
        <f>IFERROR(__xludf.DUMMYFUNCTION("""COMPUTED_VALUE"""),57.0)</f>
        <v>57</v>
      </c>
      <c r="G1057" s="1">
        <f>IFERROR(__xludf.DUMMYFUNCTION("""COMPUTED_VALUE"""),21.0)</f>
        <v>21</v>
      </c>
      <c r="H1057" s="1">
        <f>IFERROR(__xludf.DUMMYFUNCTION("""COMPUTED_VALUE"""),55.0)</f>
        <v>55</v>
      </c>
      <c r="I1057" s="1">
        <f>IFERROR(__xludf.DUMMYFUNCTION("""COMPUTED_VALUE"""),92.0)</f>
        <v>92</v>
      </c>
      <c r="J1057" s="1">
        <f>IFERROR(__xludf.DUMMYFUNCTION("""COMPUTED_VALUE"""),290.0)</f>
        <v>290</v>
      </c>
      <c r="K1057" s="1">
        <f>IFERROR(__xludf.DUMMYFUNCTION("""COMPUTED_VALUE"""),57.99999999999999)</f>
        <v>58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>
        <f>IFERROR(__xludf.DUMMYFUNCTION("""COMPUTED_VALUE"""),12.0)</f>
        <v>12</v>
      </c>
      <c r="E1058" s="1">
        <f>IFERROR(__xludf.DUMMYFUNCTION("""COMPUTED_VALUE"""),99.0)</f>
        <v>99</v>
      </c>
      <c r="F1058" s="1">
        <f>IFERROR(__xludf.DUMMYFUNCTION("""COMPUTED_VALUE"""),75.0)</f>
        <v>75</v>
      </c>
      <c r="G1058" s="1">
        <f>IFERROR(__xludf.DUMMYFUNCTION("""COMPUTED_VALUE"""),24.0)</f>
        <v>24</v>
      </c>
      <c r="H1058" s="1">
        <f>IFERROR(__xludf.DUMMYFUNCTION("""COMPUTED_VALUE"""),47.0)</f>
        <v>47</v>
      </c>
      <c r="I1058" s="1">
        <f>IFERROR(__xludf.DUMMYFUNCTION("""COMPUTED_VALUE"""),99.0)</f>
        <v>99</v>
      </c>
      <c r="J1058" s="1">
        <f>IFERROR(__xludf.DUMMYFUNCTION("""COMPUTED_VALUE"""),344.0)</f>
        <v>344</v>
      </c>
      <c r="K1058" s="1">
        <f>IFERROR(__xludf.DUMMYFUNCTION("""COMPUTED_VALUE"""),68.8)</f>
        <v>68.8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>
        <f>IFERROR(__xludf.DUMMYFUNCTION("""COMPUTED_VALUE"""),10.0)</f>
        <v>10</v>
      </c>
      <c r="E1059" s="1">
        <f>IFERROR(__xludf.DUMMYFUNCTION("""COMPUTED_VALUE"""),25.0)</f>
        <v>25</v>
      </c>
      <c r="F1059" s="1">
        <f>IFERROR(__xludf.DUMMYFUNCTION("""COMPUTED_VALUE"""),25.0)</f>
        <v>25</v>
      </c>
      <c r="G1059" s="1">
        <f>IFERROR(__xludf.DUMMYFUNCTION("""COMPUTED_VALUE"""),71.0)</f>
        <v>71</v>
      </c>
      <c r="H1059" s="1">
        <f>IFERROR(__xludf.DUMMYFUNCTION("""COMPUTED_VALUE"""),38.0)</f>
        <v>38</v>
      </c>
      <c r="I1059" s="1">
        <f>IFERROR(__xludf.DUMMYFUNCTION("""COMPUTED_VALUE"""),45.0)</f>
        <v>45</v>
      </c>
      <c r="J1059" s="1">
        <f>IFERROR(__xludf.DUMMYFUNCTION("""COMPUTED_VALUE"""),204.0)</f>
        <v>204</v>
      </c>
      <c r="K1059" s="1">
        <f>IFERROR(__xludf.DUMMYFUNCTION("""COMPUTED_VALUE"""),40.8)</f>
        <v>40.8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>
        <f>IFERROR(__xludf.DUMMYFUNCTION("""COMPUTED_VALUE"""),57.0)</f>
        <v>57</v>
      </c>
      <c r="E1060" s="1">
        <f>IFERROR(__xludf.DUMMYFUNCTION("""COMPUTED_VALUE"""),99.0)</f>
        <v>99</v>
      </c>
      <c r="F1060" s="1">
        <f>IFERROR(__xludf.DUMMYFUNCTION("""COMPUTED_VALUE"""),52.0)</f>
        <v>52</v>
      </c>
      <c r="G1060" s="1">
        <f>IFERROR(__xludf.DUMMYFUNCTION("""COMPUTED_VALUE"""),34.0)</f>
        <v>34</v>
      </c>
      <c r="H1060" s="1">
        <f>IFERROR(__xludf.DUMMYFUNCTION("""COMPUTED_VALUE"""),97.0)</f>
        <v>97</v>
      </c>
      <c r="I1060" s="1">
        <f>IFERROR(__xludf.DUMMYFUNCTION("""COMPUTED_VALUE"""),26.0)</f>
        <v>26</v>
      </c>
      <c r="J1060" s="1">
        <f>IFERROR(__xludf.DUMMYFUNCTION("""COMPUTED_VALUE"""),308.0)</f>
        <v>308</v>
      </c>
      <c r="K1060" s="1">
        <f>IFERROR(__xludf.DUMMYFUNCTION("""COMPUTED_VALUE"""),61.6)</f>
        <v>61.6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>
        <f>IFERROR(__xludf.DUMMYFUNCTION("""COMPUTED_VALUE"""),57.0)</f>
        <v>57</v>
      </c>
      <c r="E1061" s="1">
        <f>IFERROR(__xludf.DUMMYFUNCTION("""COMPUTED_VALUE"""),60.0)</f>
        <v>60</v>
      </c>
      <c r="F1061" s="1">
        <f>IFERROR(__xludf.DUMMYFUNCTION("""COMPUTED_VALUE"""),31.0)</f>
        <v>31</v>
      </c>
      <c r="G1061" s="1">
        <f>IFERROR(__xludf.DUMMYFUNCTION("""COMPUTED_VALUE"""),32.0)</f>
        <v>32</v>
      </c>
      <c r="H1061" s="1">
        <f>IFERROR(__xludf.DUMMYFUNCTION("""COMPUTED_VALUE"""),68.0)</f>
        <v>68</v>
      </c>
      <c r="I1061" s="1">
        <f>IFERROR(__xludf.DUMMYFUNCTION("""COMPUTED_VALUE"""),67.0)</f>
        <v>67</v>
      </c>
      <c r="J1061" s="1">
        <f>IFERROR(__xludf.DUMMYFUNCTION("""COMPUTED_VALUE"""),258.0)</f>
        <v>258</v>
      </c>
      <c r="K1061" s="1">
        <f>IFERROR(__xludf.DUMMYFUNCTION("""COMPUTED_VALUE"""),51.6)</f>
        <v>51.6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>
        <f>IFERROR(__xludf.DUMMYFUNCTION("""COMPUTED_VALUE"""),62.0)</f>
        <v>62</v>
      </c>
      <c r="E1062" s="1">
        <f>IFERROR(__xludf.DUMMYFUNCTION("""COMPUTED_VALUE"""),23.0)</f>
        <v>23</v>
      </c>
      <c r="F1062" s="1">
        <f>IFERROR(__xludf.DUMMYFUNCTION("""COMPUTED_VALUE"""),24.0)</f>
        <v>24</v>
      </c>
      <c r="G1062" s="1">
        <f>IFERROR(__xludf.DUMMYFUNCTION("""COMPUTED_VALUE"""),96.0)</f>
        <v>96</v>
      </c>
      <c r="H1062" s="1">
        <f>IFERROR(__xludf.DUMMYFUNCTION("""COMPUTED_VALUE"""),94.0)</f>
        <v>94</v>
      </c>
      <c r="I1062" s="1">
        <f>IFERROR(__xludf.DUMMYFUNCTION("""COMPUTED_VALUE"""),24.0)</f>
        <v>24</v>
      </c>
      <c r="J1062" s="1">
        <f>IFERROR(__xludf.DUMMYFUNCTION("""COMPUTED_VALUE"""),261.0)</f>
        <v>261</v>
      </c>
      <c r="K1062" s="1">
        <f>IFERROR(__xludf.DUMMYFUNCTION("""COMPUTED_VALUE"""),52.2)</f>
        <v>52.2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>
        <f>IFERROR(__xludf.DUMMYFUNCTION("""COMPUTED_VALUE"""),27.0)</f>
        <v>27</v>
      </c>
      <c r="E1063" s="1">
        <f>IFERROR(__xludf.DUMMYFUNCTION("""COMPUTED_VALUE"""),61.0)</f>
        <v>61</v>
      </c>
      <c r="F1063" s="1">
        <f>IFERROR(__xludf.DUMMYFUNCTION("""COMPUTED_VALUE"""),50.0)</f>
        <v>50</v>
      </c>
      <c r="G1063" s="1">
        <f>IFERROR(__xludf.DUMMYFUNCTION("""COMPUTED_VALUE"""),75.0)</f>
        <v>75</v>
      </c>
      <c r="H1063" s="1">
        <f>IFERROR(__xludf.DUMMYFUNCTION("""COMPUTED_VALUE"""),81.0)</f>
        <v>81</v>
      </c>
      <c r="I1063" s="1">
        <f>IFERROR(__xludf.DUMMYFUNCTION("""COMPUTED_VALUE"""),46.0)</f>
        <v>46</v>
      </c>
      <c r="J1063" s="1">
        <f>IFERROR(__xludf.DUMMYFUNCTION("""COMPUTED_VALUE"""),313.0)</f>
        <v>313</v>
      </c>
      <c r="K1063" s="1">
        <f>IFERROR(__xludf.DUMMYFUNCTION("""COMPUTED_VALUE"""),62.6)</f>
        <v>62.6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>
        <f>IFERROR(__xludf.DUMMYFUNCTION("""COMPUTED_VALUE"""),89.0)</f>
        <v>89</v>
      </c>
      <c r="E1064" s="1">
        <f>IFERROR(__xludf.DUMMYFUNCTION("""COMPUTED_VALUE"""),32.0)</f>
        <v>32</v>
      </c>
      <c r="F1064" s="1">
        <f>IFERROR(__xludf.DUMMYFUNCTION("""COMPUTED_VALUE"""),32.0)</f>
        <v>32</v>
      </c>
      <c r="G1064" s="1">
        <f>IFERROR(__xludf.DUMMYFUNCTION("""COMPUTED_VALUE"""),92.0)</f>
        <v>92</v>
      </c>
      <c r="H1064" s="1">
        <f>IFERROR(__xludf.DUMMYFUNCTION("""COMPUTED_VALUE"""),94.0)</f>
        <v>94</v>
      </c>
      <c r="I1064" s="1">
        <f>IFERROR(__xludf.DUMMYFUNCTION("""COMPUTED_VALUE"""),69.0)</f>
        <v>69</v>
      </c>
      <c r="J1064" s="1">
        <f>IFERROR(__xludf.DUMMYFUNCTION("""COMPUTED_VALUE"""),319.0)</f>
        <v>319</v>
      </c>
      <c r="K1064" s="1">
        <f>IFERROR(__xludf.DUMMYFUNCTION("""COMPUTED_VALUE"""),63.800000000000004)</f>
        <v>63.8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>
        <f>IFERROR(__xludf.DUMMYFUNCTION("""COMPUTED_VALUE"""),96.0)</f>
        <v>96</v>
      </c>
      <c r="E1065" s="1">
        <f>IFERROR(__xludf.DUMMYFUNCTION("""COMPUTED_VALUE"""),56.0)</f>
        <v>56</v>
      </c>
      <c r="F1065" s="1">
        <f>IFERROR(__xludf.DUMMYFUNCTION("""COMPUTED_VALUE"""),46.0)</f>
        <v>46</v>
      </c>
      <c r="G1065" s="1">
        <f>IFERROR(__xludf.DUMMYFUNCTION("""COMPUTED_VALUE"""),84.0)</f>
        <v>84</v>
      </c>
      <c r="H1065" s="1">
        <f>IFERROR(__xludf.DUMMYFUNCTION("""COMPUTED_VALUE"""),83.0)</f>
        <v>83</v>
      </c>
      <c r="I1065" s="1">
        <f>IFERROR(__xludf.DUMMYFUNCTION("""COMPUTED_VALUE"""),22.0)</f>
        <v>22</v>
      </c>
      <c r="J1065" s="1">
        <f>IFERROR(__xludf.DUMMYFUNCTION("""COMPUTED_VALUE"""),291.0)</f>
        <v>291</v>
      </c>
      <c r="K1065" s="1">
        <f>IFERROR(__xludf.DUMMYFUNCTION("""COMPUTED_VALUE"""),58.199999999999996)</f>
        <v>58.2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>
        <f>IFERROR(__xludf.DUMMYFUNCTION("""COMPUTED_VALUE"""),85.0)</f>
        <v>85</v>
      </c>
      <c r="E1066" s="1">
        <f>IFERROR(__xludf.DUMMYFUNCTION("""COMPUTED_VALUE"""),74.0)</f>
        <v>74</v>
      </c>
      <c r="F1066" s="1">
        <f>IFERROR(__xludf.DUMMYFUNCTION("""COMPUTED_VALUE"""),29.0)</f>
        <v>29</v>
      </c>
      <c r="G1066" s="1">
        <f>IFERROR(__xludf.DUMMYFUNCTION("""COMPUTED_VALUE"""),23.0)</f>
        <v>23</v>
      </c>
      <c r="H1066" s="1">
        <f>IFERROR(__xludf.DUMMYFUNCTION("""COMPUTED_VALUE"""),40.0)</f>
        <v>40</v>
      </c>
      <c r="I1066" s="1">
        <f>IFERROR(__xludf.DUMMYFUNCTION("""COMPUTED_VALUE"""),86.0)</f>
        <v>86</v>
      </c>
      <c r="J1066" s="1">
        <f>IFERROR(__xludf.DUMMYFUNCTION("""COMPUTED_VALUE"""),252.0)</f>
        <v>252</v>
      </c>
      <c r="K1066" s="1">
        <f>IFERROR(__xludf.DUMMYFUNCTION("""COMPUTED_VALUE"""),50.4)</f>
        <v>50.4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>
        <f>IFERROR(__xludf.DUMMYFUNCTION("""COMPUTED_VALUE"""),11.0)</f>
        <v>11</v>
      </c>
      <c r="E1067" s="1">
        <f>IFERROR(__xludf.DUMMYFUNCTION("""COMPUTED_VALUE"""),39.0)</f>
        <v>39</v>
      </c>
      <c r="F1067" s="1">
        <f>IFERROR(__xludf.DUMMYFUNCTION("""COMPUTED_VALUE"""),56.0)</f>
        <v>56</v>
      </c>
      <c r="G1067" s="1">
        <f>IFERROR(__xludf.DUMMYFUNCTION("""COMPUTED_VALUE"""),88.0)</f>
        <v>88</v>
      </c>
      <c r="H1067" s="1">
        <f>IFERROR(__xludf.DUMMYFUNCTION("""COMPUTED_VALUE"""),45.0)</f>
        <v>45</v>
      </c>
      <c r="I1067" s="1">
        <f>IFERROR(__xludf.DUMMYFUNCTION("""COMPUTED_VALUE"""),69.0)</f>
        <v>69</v>
      </c>
      <c r="J1067" s="1">
        <f>IFERROR(__xludf.DUMMYFUNCTION("""COMPUTED_VALUE"""),297.0)</f>
        <v>297</v>
      </c>
      <c r="K1067" s="1">
        <f>IFERROR(__xludf.DUMMYFUNCTION("""COMPUTED_VALUE"""),59.4)</f>
        <v>59.4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>
        <f>IFERROR(__xludf.DUMMYFUNCTION("""COMPUTED_VALUE"""),54.0)</f>
        <v>54</v>
      </c>
      <c r="E1068" s="1">
        <f>IFERROR(__xludf.DUMMYFUNCTION("""COMPUTED_VALUE"""),48.0)</f>
        <v>48</v>
      </c>
      <c r="F1068" s="1">
        <f>IFERROR(__xludf.DUMMYFUNCTION("""COMPUTED_VALUE"""),78.0)</f>
        <v>78</v>
      </c>
      <c r="G1068" s="1">
        <f>IFERROR(__xludf.DUMMYFUNCTION("""COMPUTED_VALUE"""),25.0)</f>
        <v>25</v>
      </c>
      <c r="H1068" s="1">
        <f>IFERROR(__xludf.DUMMYFUNCTION("""COMPUTED_VALUE"""),43.0)</f>
        <v>43</v>
      </c>
      <c r="I1068" s="1">
        <f>IFERROR(__xludf.DUMMYFUNCTION("""COMPUTED_VALUE"""),87.0)</f>
        <v>87</v>
      </c>
      <c r="J1068" s="1">
        <f>IFERROR(__xludf.DUMMYFUNCTION("""COMPUTED_VALUE"""),281.0)</f>
        <v>281</v>
      </c>
      <c r="K1068" s="1">
        <f>IFERROR(__xludf.DUMMYFUNCTION("""COMPUTED_VALUE"""),56.2)</f>
        <v>56.2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>
        <f>IFERROR(__xludf.DUMMYFUNCTION("""COMPUTED_VALUE"""),27.0)</f>
        <v>27</v>
      </c>
      <c r="E1069" s="1">
        <f>IFERROR(__xludf.DUMMYFUNCTION("""COMPUTED_VALUE"""),73.0)</f>
        <v>73</v>
      </c>
      <c r="F1069" s="1">
        <f>IFERROR(__xludf.DUMMYFUNCTION("""COMPUTED_VALUE"""),76.0)</f>
        <v>76</v>
      </c>
      <c r="G1069" s="1">
        <f>IFERROR(__xludf.DUMMYFUNCTION("""COMPUTED_VALUE"""),44.0)</f>
        <v>44</v>
      </c>
      <c r="H1069" s="1">
        <f>IFERROR(__xludf.DUMMYFUNCTION("""COMPUTED_VALUE"""),24.0)</f>
        <v>24</v>
      </c>
      <c r="I1069" s="1">
        <f>IFERROR(__xludf.DUMMYFUNCTION("""COMPUTED_VALUE"""),26.0)</f>
        <v>26</v>
      </c>
      <c r="J1069" s="1">
        <f>IFERROR(__xludf.DUMMYFUNCTION("""COMPUTED_VALUE"""),243.0)</f>
        <v>243</v>
      </c>
      <c r="K1069" s="1">
        <f>IFERROR(__xludf.DUMMYFUNCTION("""COMPUTED_VALUE"""),48.6)</f>
        <v>48.6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>
        <f>IFERROR(__xludf.DUMMYFUNCTION("""COMPUTED_VALUE"""),64.0)</f>
        <v>64</v>
      </c>
      <c r="E1070" s="1">
        <f>IFERROR(__xludf.DUMMYFUNCTION("""COMPUTED_VALUE"""),55.0)</f>
        <v>55</v>
      </c>
      <c r="F1070" s="1">
        <f>IFERROR(__xludf.DUMMYFUNCTION("""COMPUTED_VALUE"""),72.0)</f>
        <v>72</v>
      </c>
      <c r="G1070" s="1">
        <f>IFERROR(__xludf.DUMMYFUNCTION("""COMPUTED_VALUE"""),81.0)</f>
        <v>81</v>
      </c>
      <c r="H1070" s="1">
        <f>IFERROR(__xludf.DUMMYFUNCTION("""COMPUTED_VALUE"""),76.0)</f>
        <v>76</v>
      </c>
      <c r="I1070" s="1">
        <f>IFERROR(__xludf.DUMMYFUNCTION("""COMPUTED_VALUE"""),40.0)</f>
        <v>40</v>
      </c>
      <c r="J1070" s="1">
        <f>IFERROR(__xludf.DUMMYFUNCTION("""COMPUTED_VALUE"""),324.0)</f>
        <v>324</v>
      </c>
      <c r="K1070" s="1">
        <f>IFERROR(__xludf.DUMMYFUNCTION("""COMPUTED_VALUE"""),64.8)</f>
        <v>64.8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>
        <f>IFERROR(__xludf.DUMMYFUNCTION("""COMPUTED_VALUE"""),51.0)</f>
        <v>51</v>
      </c>
      <c r="E1071" s="1">
        <f>IFERROR(__xludf.DUMMYFUNCTION("""COMPUTED_VALUE"""),93.0)</f>
        <v>93</v>
      </c>
      <c r="F1071" s="1">
        <f>IFERROR(__xludf.DUMMYFUNCTION("""COMPUTED_VALUE"""),47.0)</f>
        <v>47</v>
      </c>
      <c r="G1071" s="1">
        <f>IFERROR(__xludf.DUMMYFUNCTION("""COMPUTED_VALUE"""),89.0)</f>
        <v>89</v>
      </c>
      <c r="H1071" s="1">
        <f>IFERROR(__xludf.DUMMYFUNCTION("""COMPUTED_VALUE"""),63.0)</f>
        <v>63</v>
      </c>
      <c r="I1071" s="1">
        <f>IFERROR(__xludf.DUMMYFUNCTION("""COMPUTED_VALUE"""),61.0)</f>
        <v>61</v>
      </c>
      <c r="J1071" s="1">
        <f>IFERROR(__xludf.DUMMYFUNCTION("""COMPUTED_VALUE"""),353.0)</f>
        <v>353</v>
      </c>
      <c r="K1071" s="1">
        <f>IFERROR(__xludf.DUMMYFUNCTION("""COMPUTED_VALUE"""),70.6)</f>
        <v>70.6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>
        <f>IFERROR(__xludf.DUMMYFUNCTION("""COMPUTED_VALUE"""),18.0)</f>
        <v>18</v>
      </c>
      <c r="E1072" s="1">
        <f>IFERROR(__xludf.DUMMYFUNCTION("""COMPUTED_VALUE"""),83.0)</f>
        <v>83</v>
      </c>
      <c r="F1072" s="1">
        <f>IFERROR(__xludf.DUMMYFUNCTION("""COMPUTED_VALUE"""),23.0)</f>
        <v>23</v>
      </c>
      <c r="G1072" s="1">
        <f>IFERROR(__xludf.DUMMYFUNCTION("""COMPUTED_VALUE"""),95.0)</f>
        <v>95</v>
      </c>
      <c r="H1072" s="1">
        <f>IFERROR(__xludf.DUMMYFUNCTION("""COMPUTED_VALUE"""),98.0)</f>
        <v>98</v>
      </c>
      <c r="I1072" s="1">
        <f>IFERROR(__xludf.DUMMYFUNCTION("""COMPUTED_VALUE"""),78.0)</f>
        <v>78</v>
      </c>
      <c r="J1072" s="1">
        <f>IFERROR(__xludf.DUMMYFUNCTION("""COMPUTED_VALUE"""),377.0)</f>
        <v>377</v>
      </c>
      <c r="K1072" s="1">
        <f>IFERROR(__xludf.DUMMYFUNCTION("""COMPUTED_VALUE"""),75.4)</f>
        <v>75.4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>
        <f>IFERROR(__xludf.DUMMYFUNCTION("""COMPUTED_VALUE"""),17.0)</f>
        <v>17</v>
      </c>
      <c r="E1073" s="1">
        <f>IFERROR(__xludf.DUMMYFUNCTION("""COMPUTED_VALUE"""),95.0)</f>
        <v>95</v>
      </c>
      <c r="F1073" s="1">
        <f>IFERROR(__xludf.DUMMYFUNCTION("""COMPUTED_VALUE"""),69.0)</f>
        <v>69</v>
      </c>
      <c r="G1073" s="1">
        <f>IFERROR(__xludf.DUMMYFUNCTION("""COMPUTED_VALUE"""),88.0)</f>
        <v>88</v>
      </c>
      <c r="H1073" s="1">
        <f>IFERROR(__xludf.DUMMYFUNCTION("""COMPUTED_VALUE"""),57.0)</f>
        <v>57</v>
      </c>
      <c r="I1073" s="1">
        <f>IFERROR(__xludf.DUMMYFUNCTION("""COMPUTED_VALUE"""),25.0)</f>
        <v>25</v>
      </c>
      <c r="J1073" s="1">
        <f>IFERROR(__xludf.DUMMYFUNCTION("""COMPUTED_VALUE"""),334.0)</f>
        <v>334</v>
      </c>
      <c r="K1073" s="1">
        <f>IFERROR(__xludf.DUMMYFUNCTION("""COMPUTED_VALUE"""),66.8)</f>
        <v>66.8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>
        <f>IFERROR(__xludf.DUMMYFUNCTION("""COMPUTED_VALUE"""),87.0)</f>
        <v>87</v>
      </c>
      <c r="E1074" s="1">
        <f>IFERROR(__xludf.DUMMYFUNCTION("""COMPUTED_VALUE"""),31.0)</f>
        <v>31</v>
      </c>
      <c r="F1074" s="1">
        <f>IFERROR(__xludf.DUMMYFUNCTION("""COMPUTED_VALUE"""),61.0)</f>
        <v>61</v>
      </c>
      <c r="G1074" s="1">
        <f>IFERROR(__xludf.DUMMYFUNCTION("""COMPUTED_VALUE"""),64.0)</f>
        <v>64</v>
      </c>
      <c r="H1074" s="1">
        <f>IFERROR(__xludf.DUMMYFUNCTION("""COMPUTED_VALUE"""),24.0)</f>
        <v>24</v>
      </c>
      <c r="I1074" s="1">
        <f>IFERROR(__xludf.DUMMYFUNCTION("""COMPUTED_VALUE"""),48.0)</f>
        <v>48</v>
      </c>
      <c r="J1074" s="1">
        <f>IFERROR(__xludf.DUMMYFUNCTION("""COMPUTED_VALUE"""),228.0)</f>
        <v>228</v>
      </c>
      <c r="K1074" s="1">
        <f>IFERROR(__xludf.DUMMYFUNCTION("""COMPUTED_VALUE"""),45.6)</f>
        <v>45.6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>
        <f>IFERROR(__xludf.DUMMYFUNCTION("""COMPUTED_VALUE"""),20.0)</f>
        <v>20</v>
      </c>
      <c r="E1075" s="1">
        <f>IFERROR(__xludf.DUMMYFUNCTION("""COMPUTED_VALUE"""),84.0)</f>
        <v>84</v>
      </c>
      <c r="F1075" s="1">
        <f>IFERROR(__xludf.DUMMYFUNCTION("""COMPUTED_VALUE"""),93.0)</f>
        <v>93</v>
      </c>
      <c r="G1075" s="1">
        <f>IFERROR(__xludf.DUMMYFUNCTION("""COMPUTED_VALUE"""),69.0)</f>
        <v>69</v>
      </c>
      <c r="H1075" s="1">
        <f>IFERROR(__xludf.DUMMYFUNCTION("""COMPUTED_VALUE"""),62.0)</f>
        <v>62</v>
      </c>
      <c r="I1075" s="1">
        <f>IFERROR(__xludf.DUMMYFUNCTION("""COMPUTED_VALUE"""),87.0)</f>
        <v>87</v>
      </c>
      <c r="J1075" s="1">
        <f>IFERROR(__xludf.DUMMYFUNCTION("""COMPUTED_VALUE"""),395.0)</f>
        <v>395</v>
      </c>
      <c r="K1075" s="1">
        <f>IFERROR(__xludf.DUMMYFUNCTION("""COMPUTED_VALUE"""),79.0)</f>
        <v>79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>
        <f>IFERROR(__xludf.DUMMYFUNCTION("""COMPUTED_VALUE"""),36.0)</f>
        <v>36</v>
      </c>
      <c r="E1076" s="1">
        <f>IFERROR(__xludf.DUMMYFUNCTION("""COMPUTED_VALUE"""),55.0)</f>
        <v>55</v>
      </c>
      <c r="F1076" s="1">
        <f>IFERROR(__xludf.DUMMYFUNCTION("""COMPUTED_VALUE"""),43.0)</f>
        <v>43</v>
      </c>
      <c r="G1076" s="1">
        <f>IFERROR(__xludf.DUMMYFUNCTION("""COMPUTED_VALUE"""),56.0)</f>
        <v>56</v>
      </c>
      <c r="H1076" s="1">
        <f>IFERROR(__xludf.DUMMYFUNCTION("""COMPUTED_VALUE"""),78.0)</f>
        <v>78</v>
      </c>
      <c r="I1076" s="1">
        <f>IFERROR(__xludf.DUMMYFUNCTION("""COMPUTED_VALUE"""),27.0)</f>
        <v>27</v>
      </c>
      <c r="J1076" s="1">
        <f>IFERROR(__xludf.DUMMYFUNCTION("""COMPUTED_VALUE"""),259.0)</f>
        <v>259</v>
      </c>
      <c r="K1076" s="1">
        <f>IFERROR(__xludf.DUMMYFUNCTION("""COMPUTED_VALUE"""),51.800000000000004)</f>
        <v>51.8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>
        <f>IFERROR(__xludf.DUMMYFUNCTION("""COMPUTED_VALUE"""),74.0)</f>
        <v>74</v>
      </c>
      <c r="E1077" s="1">
        <f>IFERROR(__xludf.DUMMYFUNCTION("""COMPUTED_VALUE"""),39.0)</f>
        <v>39</v>
      </c>
      <c r="F1077" s="1">
        <f>IFERROR(__xludf.DUMMYFUNCTION("""COMPUTED_VALUE"""),59.0)</f>
        <v>59</v>
      </c>
      <c r="G1077" s="1">
        <f>IFERROR(__xludf.DUMMYFUNCTION("""COMPUTED_VALUE"""),30.0)</f>
        <v>30</v>
      </c>
      <c r="H1077" s="1">
        <f>IFERROR(__xludf.DUMMYFUNCTION("""COMPUTED_VALUE"""),43.0)</f>
        <v>43</v>
      </c>
      <c r="I1077" s="1">
        <f>IFERROR(__xludf.DUMMYFUNCTION("""COMPUTED_VALUE"""),99.0)</f>
        <v>99</v>
      </c>
      <c r="J1077" s="1">
        <f>IFERROR(__xludf.DUMMYFUNCTION("""COMPUTED_VALUE"""),270.0)</f>
        <v>270</v>
      </c>
      <c r="K1077" s="1">
        <f>IFERROR(__xludf.DUMMYFUNCTION("""COMPUTED_VALUE"""),54.0)</f>
        <v>54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>
        <f>IFERROR(__xludf.DUMMYFUNCTION("""COMPUTED_VALUE"""),55.0)</f>
        <v>55</v>
      </c>
      <c r="E1078" s="1">
        <f>IFERROR(__xludf.DUMMYFUNCTION("""COMPUTED_VALUE"""),79.0)</f>
        <v>79</v>
      </c>
      <c r="F1078" s="1">
        <f>IFERROR(__xludf.DUMMYFUNCTION("""COMPUTED_VALUE"""),91.0)</f>
        <v>91</v>
      </c>
      <c r="G1078" s="1">
        <f>IFERROR(__xludf.DUMMYFUNCTION("""COMPUTED_VALUE"""),33.0)</f>
        <v>33</v>
      </c>
      <c r="H1078" s="1">
        <f>IFERROR(__xludf.DUMMYFUNCTION("""COMPUTED_VALUE"""),84.0)</f>
        <v>84</v>
      </c>
      <c r="I1078" s="1">
        <f>IFERROR(__xludf.DUMMYFUNCTION("""COMPUTED_VALUE"""),40.0)</f>
        <v>40</v>
      </c>
      <c r="J1078" s="1">
        <f>IFERROR(__xludf.DUMMYFUNCTION("""COMPUTED_VALUE"""),327.0)</f>
        <v>327</v>
      </c>
      <c r="K1078" s="1">
        <f>IFERROR(__xludf.DUMMYFUNCTION("""COMPUTED_VALUE"""),65.4)</f>
        <v>65.4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>
        <f>IFERROR(__xludf.DUMMYFUNCTION("""COMPUTED_VALUE"""),79.0)</f>
        <v>79</v>
      </c>
      <c r="E1079" s="1">
        <f>IFERROR(__xludf.DUMMYFUNCTION("""COMPUTED_VALUE"""),30.0)</f>
        <v>30</v>
      </c>
      <c r="F1079" s="1">
        <f>IFERROR(__xludf.DUMMYFUNCTION("""COMPUTED_VALUE"""),86.0)</f>
        <v>86</v>
      </c>
      <c r="G1079" s="1">
        <f>IFERROR(__xludf.DUMMYFUNCTION("""COMPUTED_VALUE"""),62.0)</f>
        <v>62</v>
      </c>
      <c r="H1079" s="1">
        <f>IFERROR(__xludf.DUMMYFUNCTION("""COMPUTED_VALUE"""),83.0)</f>
        <v>83</v>
      </c>
      <c r="I1079" s="1">
        <f>IFERROR(__xludf.DUMMYFUNCTION("""COMPUTED_VALUE"""),96.0)</f>
        <v>96</v>
      </c>
      <c r="J1079" s="1">
        <f>IFERROR(__xludf.DUMMYFUNCTION("""COMPUTED_VALUE"""),357.0)</f>
        <v>357</v>
      </c>
      <c r="K1079" s="1">
        <f>IFERROR(__xludf.DUMMYFUNCTION("""COMPUTED_VALUE"""),71.39999999999999)</f>
        <v>71.4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>
        <f>IFERROR(__xludf.DUMMYFUNCTION("""COMPUTED_VALUE"""),65.0)</f>
        <v>65</v>
      </c>
      <c r="E1080" s="1">
        <f>IFERROR(__xludf.DUMMYFUNCTION("""COMPUTED_VALUE"""),86.0)</f>
        <v>86</v>
      </c>
      <c r="F1080" s="1">
        <f>IFERROR(__xludf.DUMMYFUNCTION("""COMPUTED_VALUE"""),46.0)</f>
        <v>46</v>
      </c>
      <c r="G1080" s="1">
        <f>IFERROR(__xludf.DUMMYFUNCTION("""COMPUTED_VALUE"""),77.0)</f>
        <v>77</v>
      </c>
      <c r="H1080" s="1">
        <f>IFERROR(__xludf.DUMMYFUNCTION("""COMPUTED_VALUE"""),73.0)</f>
        <v>73</v>
      </c>
      <c r="I1080" s="1">
        <f>IFERROR(__xludf.DUMMYFUNCTION("""COMPUTED_VALUE"""),74.0)</f>
        <v>74</v>
      </c>
      <c r="J1080" s="1">
        <f>IFERROR(__xludf.DUMMYFUNCTION("""COMPUTED_VALUE"""),356.0)</f>
        <v>356</v>
      </c>
      <c r="K1080" s="1">
        <f>IFERROR(__xludf.DUMMYFUNCTION("""COMPUTED_VALUE"""),71.2)</f>
        <v>71.2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>
        <f>IFERROR(__xludf.DUMMYFUNCTION("""COMPUTED_VALUE"""),96.0)</f>
        <v>96</v>
      </c>
      <c r="E1081" s="1">
        <f>IFERROR(__xludf.DUMMYFUNCTION("""COMPUTED_VALUE"""),34.0)</f>
        <v>34</v>
      </c>
      <c r="F1081" s="1">
        <f>IFERROR(__xludf.DUMMYFUNCTION("""COMPUTED_VALUE"""),45.0)</f>
        <v>45</v>
      </c>
      <c r="G1081" s="1">
        <f>IFERROR(__xludf.DUMMYFUNCTION("""COMPUTED_VALUE"""),33.0)</f>
        <v>33</v>
      </c>
      <c r="H1081" s="1">
        <f>IFERROR(__xludf.DUMMYFUNCTION("""COMPUTED_VALUE"""),44.0)</f>
        <v>44</v>
      </c>
      <c r="I1081" s="1">
        <f>IFERROR(__xludf.DUMMYFUNCTION("""COMPUTED_VALUE"""),63.0)</f>
        <v>63</v>
      </c>
      <c r="J1081" s="1">
        <f>IFERROR(__xludf.DUMMYFUNCTION("""COMPUTED_VALUE"""),219.0)</f>
        <v>219</v>
      </c>
      <c r="K1081" s="1">
        <f>IFERROR(__xludf.DUMMYFUNCTION("""COMPUTED_VALUE"""),43.8)</f>
        <v>43.8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>
        <f>IFERROR(__xludf.DUMMYFUNCTION("""COMPUTED_VALUE"""),57.0)</f>
        <v>57</v>
      </c>
      <c r="E1082" s="1">
        <f>IFERROR(__xludf.DUMMYFUNCTION("""COMPUTED_VALUE"""),39.0)</f>
        <v>39</v>
      </c>
      <c r="F1082" s="1">
        <f>IFERROR(__xludf.DUMMYFUNCTION("""COMPUTED_VALUE"""),64.0)</f>
        <v>64</v>
      </c>
      <c r="G1082" s="1">
        <f>IFERROR(__xludf.DUMMYFUNCTION("""COMPUTED_VALUE"""),35.0)</f>
        <v>35</v>
      </c>
      <c r="H1082" s="1">
        <f>IFERROR(__xludf.DUMMYFUNCTION("""COMPUTED_VALUE"""),40.0)</f>
        <v>40</v>
      </c>
      <c r="I1082" s="1">
        <f>IFERROR(__xludf.DUMMYFUNCTION("""COMPUTED_VALUE"""),20.0)</f>
        <v>20</v>
      </c>
      <c r="J1082" s="1">
        <f>IFERROR(__xludf.DUMMYFUNCTION("""COMPUTED_VALUE"""),198.0)</f>
        <v>198</v>
      </c>
      <c r="K1082" s="1">
        <f>IFERROR(__xludf.DUMMYFUNCTION("""COMPUTED_VALUE"""),39.6)</f>
        <v>39.6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>
        <f>IFERROR(__xludf.DUMMYFUNCTION("""COMPUTED_VALUE"""),62.0)</f>
        <v>62</v>
      </c>
      <c r="E1083" s="1">
        <f>IFERROR(__xludf.DUMMYFUNCTION("""COMPUTED_VALUE"""),27.0)</f>
        <v>27</v>
      </c>
      <c r="F1083" s="1">
        <f>IFERROR(__xludf.DUMMYFUNCTION("""COMPUTED_VALUE"""),66.0)</f>
        <v>66</v>
      </c>
      <c r="G1083" s="1">
        <f>IFERROR(__xludf.DUMMYFUNCTION("""COMPUTED_VALUE"""),26.0)</f>
        <v>26</v>
      </c>
      <c r="H1083" s="1">
        <f>IFERROR(__xludf.DUMMYFUNCTION("""COMPUTED_VALUE"""),47.0)</f>
        <v>47</v>
      </c>
      <c r="I1083" s="1">
        <f>IFERROR(__xludf.DUMMYFUNCTION("""COMPUTED_VALUE"""),36.0)</f>
        <v>36</v>
      </c>
      <c r="J1083" s="1">
        <f>IFERROR(__xludf.DUMMYFUNCTION("""COMPUTED_VALUE"""),202.0)</f>
        <v>202</v>
      </c>
      <c r="K1083" s="1">
        <f>IFERROR(__xludf.DUMMYFUNCTION("""COMPUTED_VALUE"""),40.400000000000006)</f>
        <v>40.4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>
        <f>IFERROR(__xludf.DUMMYFUNCTION("""COMPUTED_VALUE"""),65.0)</f>
        <v>65</v>
      </c>
      <c r="E1084" s="1">
        <f>IFERROR(__xludf.DUMMYFUNCTION("""COMPUTED_VALUE"""),44.0)</f>
        <v>44</v>
      </c>
      <c r="F1084" s="1">
        <f>IFERROR(__xludf.DUMMYFUNCTION("""COMPUTED_VALUE"""),78.0)</f>
        <v>78</v>
      </c>
      <c r="G1084" s="1">
        <f>IFERROR(__xludf.DUMMYFUNCTION("""COMPUTED_VALUE"""),96.0)</f>
        <v>96</v>
      </c>
      <c r="H1084" s="1">
        <f>IFERROR(__xludf.DUMMYFUNCTION("""COMPUTED_VALUE"""),43.0)</f>
        <v>43</v>
      </c>
      <c r="I1084" s="1">
        <f>IFERROR(__xludf.DUMMYFUNCTION("""COMPUTED_VALUE"""),57.0)</f>
        <v>57</v>
      </c>
      <c r="J1084" s="1">
        <f>IFERROR(__xludf.DUMMYFUNCTION("""COMPUTED_VALUE"""),318.0)</f>
        <v>318</v>
      </c>
      <c r="K1084" s="1">
        <f>IFERROR(__xludf.DUMMYFUNCTION("""COMPUTED_VALUE"""),63.6)</f>
        <v>63.6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>
        <f>IFERROR(__xludf.DUMMYFUNCTION("""COMPUTED_VALUE"""),11.0)</f>
        <v>11</v>
      </c>
      <c r="E1085" s="1">
        <f>IFERROR(__xludf.DUMMYFUNCTION("""COMPUTED_VALUE"""),65.0)</f>
        <v>65</v>
      </c>
      <c r="F1085" s="1">
        <f>IFERROR(__xludf.DUMMYFUNCTION("""COMPUTED_VALUE"""),36.0)</f>
        <v>36</v>
      </c>
      <c r="G1085" s="1">
        <f>IFERROR(__xludf.DUMMYFUNCTION("""COMPUTED_VALUE"""),51.0)</f>
        <v>51</v>
      </c>
      <c r="H1085" s="1">
        <f>IFERROR(__xludf.DUMMYFUNCTION("""COMPUTED_VALUE"""),39.0)</f>
        <v>39</v>
      </c>
      <c r="I1085" s="1">
        <f>IFERROR(__xludf.DUMMYFUNCTION("""COMPUTED_VALUE"""),32.0)</f>
        <v>32</v>
      </c>
      <c r="J1085" s="1">
        <f>IFERROR(__xludf.DUMMYFUNCTION("""COMPUTED_VALUE"""),223.0)</f>
        <v>223</v>
      </c>
      <c r="K1085" s="1">
        <f>IFERROR(__xludf.DUMMYFUNCTION("""COMPUTED_VALUE"""),44.6)</f>
        <v>44.6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>
        <f>IFERROR(__xludf.DUMMYFUNCTION("""COMPUTED_VALUE"""),63.0)</f>
        <v>63</v>
      </c>
      <c r="E1086" s="1">
        <f>IFERROR(__xludf.DUMMYFUNCTION("""COMPUTED_VALUE"""),56.0)</f>
        <v>56</v>
      </c>
      <c r="F1086" s="1">
        <f>IFERROR(__xludf.DUMMYFUNCTION("""COMPUTED_VALUE"""),88.0)</f>
        <v>88</v>
      </c>
      <c r="G1086" s="1">
        <f>IFERROR(__xludf.DUMMYFUNCTION("""COMPUTED_VALUE"""),77.0)</f>
        <v>77</v>
      </c>
      <c r="H1086" s="1">
        <f>IFERROR(__xludf.DUMMYFUNCTION("""COMPUTED_VALUE"""),97.0)</f>
        <v>97</v>
      </c>
      <c r="I1086" s="1">
        <f>IFERROR(__xludf.DUMMYFUNCTION("""COMPUTED_VALUE"""),62.0)</f>
        <v>62</v>
      </c>
      <c r="J1086" s="1">
        <f>IFERROR(__xludf.DUMMYFUNCTION("""COMPUTED_VALUE"""),380.0)</f>
        <v>380</v>
      </c>
      <c r="K1086" s="1">
        <f>IFERROR(__xludf.DUMMYFUNCTION("""COMPUTED_VALUE"""),76.0)</f>
        <v>76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>
        <f>IFERROR(__xludf.DUMMYFUNCTION("""COMPUTED_VALUE"""),66.0)</f>
        <v>66</v>
      </c>
      <c r="E1087" s="1">
        <f>IFERROR(__xludf.DUMMYFUNCTION("""COMPUTED_VALUE"""),72.0)</f>
        <v>72</v>
      </c>
      <c r="F1087" s="1">
        <f>IFERROR(__xludf.DUMMYFUNCTION("""COMPUTED_VALUE"""),32.0)</f>
        <v>32</v>
      </c>
      <c r="G1087" s="1">
        <f>IFERROR(__xludf.DUMMYFUNCTION("""COMPUTED_VALUE"""),69.0)</f>
        <v>69</v>
      </c>
      <c r="H1087" s="1">
        <f>IFERROR(__xludf.DUMMYFUNCTION("""COMPUTED_VALUE"""),34.0)</f>
        <v>34</v>
      </c>
      <c r="I1087" s="1">
        <f>IFERROR(__xludf.DUMMYFUNCTION("""COMPUTED_VALUE"""),33.0)</f>
        <v>33</v>
      </c>
      <c r="J1087" s="1">
        <f>IFERROR(__xludf.DUMMYFUNCTION("""COMPUTED_VALUE"""),240.0)</f>
        <v>240</v>
      </c>
      <c r="K1087" s="1">
        <f>IFERROR(__xludf.DUMMYFUNCTION("""COMPUTED_VALUE"""),48.0)</f>
        <v>48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>
        <f>IFERROR(__xludf.DUMMYFUNCTION("""COMPUTED_VALUE"""),81.0)</f>
        <v>81</v>
      </c>
      <c r="E1088" s="1">
        <f>IFERROR(__xludf.DUMMYFUNCTION("""COMPUTED_VALUE"""),46.0)</f>
        <v>46</v>
      </c>
      <c r="F1088" s="1">
        <f>IFERROR(__xludf.DUMMYFUNCTION("""COMPUTED_VALUE"""),73.0)</f>
        <v>73</v>
      </c>
      <c r="G1088" s="1">
        <f>IFERROR(__xludf.DUMMYFUNCTION("""COMPUTED_VALUE"""),33.0)</f>
        <v>33</v>
      </c>
      <c r="H1088" s="1">
        <f>IFERROR(__xludf.DUMMYFUNCTION("""COMPUTED_VALUE"""),50.0)</f>
        <v>50</v>
      </c>
      <c r="I1088" s="1">
        <f>IFERROR(__xludf.DUMMYFUNCTION("""COMPUTED_VALUE"""),55.0)</f>
        <v>55</v>
      </c>
      <c r="J1088" s="1">
        <f>IFERROR(__xludf.DUMMYFUNCTION("""COMPUTED_VALUE"""),257.0)</f>
        <v>257</v>
      </c>
      <c r="K1088" s="1">
        <f>IFERROR(__xludf.DUMMYFUNCTION("""COMPUTED_VALUE"""),51.4)</f>
        <v>51.4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>
        <f>IFERROR(__xludf.DUMMYFUNCTION("""COMPUTED_VALUE"""),56.0)</f>
        <v>56</v>
      </c>
      <c r="E1089" s="1">
        <f>IFERROR(__xludf.DUMMYFUNCTION("""COMPUTED_VALUE"""),71.0)</f>
        <v>71</v>
      </c>
      <c r="F1089" s="1">
        <f>IFERROR(__xludf.DUMMYFUNCTION("""COMPUTED_VALUE"""),77.0)</f>
        <v>77</v>
      </c>
      <c r="G1089" s="1">
        <f>IFERROR(__xludf.DUMMYFUNCTION("""COMPUTED_VALUE"""),29.0)</f>
        <v>29</v>
      </c>
      <c r="H1089" s="1">
        <f>IFERROR(__xludf.DUMMYFUNCTION("""COMPUTED_VALUE"""),83.0)</f>
        <v>83</v>
      </c>
      <c r="I1089" s="1">
        <f>IFERROR(__xludf.DUMMYFUNCTION("""COMPUTED_VALUE"""),33.0)</f>
        <v>33</v>
      </c>
      <c r="J1089" s="1">
        <f>IFERROR(__xludf.DUMMYFUNCTION("""COMPUTED_VALUE"""),293.0)</f>
        <v>293</v>
      </c>
      <c r="K1089" s="1">
        <f>IFERROR(__xludf.DUMMYFUNCTION("""COMPUTED_VALUE"""),58.599999999999994)</f>
        <v>58.6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>
        <f>IFERROR(__xludf.DUMMYFUNCTION("""COMPUTED_VALUE"""),77.0)</f>
        <v>77</v>
      </c>
      <c r="E1090" s="1">
        <f>IFERROR(__xludf.DUMMYFUNCTION("""COMPUTED_VALUE"""),69.0)</f>
        <v>69</v>
      </c>
      <c r="F1090" s="1">
        <f>IFERROR(__xludf.DUMMYFUNCTION("""COMPUTED_VALUE"""),47.0)</f>
        <v>47</v>
      </c>
      <c r="G1090" s="1">
        <f>IFERROR(__xludf.DUMMYFUNCTION("""COMPUTED_VALUE"""),60.0)</f>
        <v>60</v>
      </c>
      <c r="H1090" s="1">
        <f>IFERROR(__xludf.DUMMYFUNCTION("""COMPUTED_VALUE"""),95.0)</f>
        <v>95</v>
      </c>
      <c r="I1090" s="1">
        <f>IFERROR(__xludf.DUMMYFUNCTION("""COMPUTED_VALUE"""),36.0)</f>
        <v>36</v>
      </c>
      <c r="J1090" s="1">
        <f>IFERROR(__xludf.DUMMYFUNCTION("""COMPUTED_VALUE"""),307.0)</f>
        <v>307</v>
      </c>
      <c r="K1090" s="1">
        <f>IFERROR(__xludf.DUMMYFUNCTION("""COMPUTED_VALUE"""),61.4)</f>
        <v>61.4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>
        <f>IFERROR(__xludf.DUMMYFUNCTION("""COMPUTED_VALUE"""),80.0)</f>
        <v>80</v>
      </c>
      <c r="E1091" s="1">
        <f>IFERROR(__xludf.DUMMYFUNCTION("""COMPUTED_VALUE"""),36.0)</f>
        <v>36</v>
      </c>
      <c r="F1091" s="1">
        <f>IFERROR(__xludf.DUMMYFUNCTION("""COMPUTED_VALUE"""),80.0)</f>
        <v>80</v>
      </c>
      <c r="G1091" s="1">
        <f>IFERROR(__xludf.DUMMYFUNCTION("""COMPUTED_VALUE"""),71.0)</f>
        <v>71</v>
      </c>
      <c r="H1091" s="1">
        <f>IFERROR(__xludf.DUMMYFUNCTION("""COMPUTED_VALUE"""),42.0)</f>
        <v>42</v>
      </c>
      <c r="I1091" s="1">
        <f>IFERROR(__xludf.DUMMYFUNCTION("""COMPUTED_VALUE"""),78.0)</f>
        <v>78</v>
      </c>
      <c r="J1091" s="1">
        <f>IFERROR(__xludf.DUMMYFUNCTION("""COMPUTED_VALUE"""),307.0)</f>
        <v>307</v>
      </c>
      <c r="K1091" s="1">
        <f>IFERROR(__xludf.DUMMYFUNCTION("""COMPUTED_VALUE"""),61.4)</f>
        <v>61.4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>
        <f>IFERROR(__xludf.DUMMYFUNCTION("""COMPUTED_VALUE"""),77.0)</f>
        <v>77</v>
      </c>
      <c r="E1092" s="1">
        <f>IFERROR(__xludf.DUMMYFUNCTION("""COMPUTED_VALUE"""),70.0)</f>
        <v>70</v>
      </c>
      <c r="F1092" s="1">
        <f>IFERROR(__xludf.DUMMYFUNCTION("""COMPUTED_VALUE"""),61.0)</f>
        <v>61</v>
      </c>
      <c r="G1092" s="1">
        <f>IFERROR(__xludf.DUMMYFUNCTION("""COMPUTED_VALUE"""),23.0)</f>
        <v>23</v>
      </c>
      <c r="H1092" s="1">
        <f>IFERROR(__xludf.DUMMYFUNCTION("""COMPUTED_VALUE"""),82.0)</f>
        <v>82</v>
      </c>
      <c r="I1092" s="1">
        <f>IFERROR(__xludf.DUMMYFUNCTION("""COMPUTED_VALUE"""),27.0)</f>
        <v>27</v>
      </c>
      <c r="J1092" s="1">
        <f>IFERROR(__xludf.DUMMYFUNCTION("""COMPUTED_VALUE"""),263.0)</f>
        <v>263</v>
      </c>
      <c r="K1092" s="1">
        <f>IFERROR(__xludf.DUMMYFUNCTION("""COMPUTED_VALUE"""),52.6)</f>
        <v>52.6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>
        <f>IFERROR(__xludf.DUMMYFUNCTION("""COMPUTED_VALUE"""),64.0)</f>
        <v>64</v>
      </c>
      <c r="E1093" s="1">
        <f>IFERROR(__xludf.DUMMYFUNCTION("""COMPUTED_VALUE"""),65.0)</f>
        <v>65</v>
      </c>
      <c r="F1093" s="1">
        <f>IFERROR(__xludf.DUMMYFUNCTION("""COMPUTED_VALUE"""),45.0)</f>
        <v>45</v>
      </c>
      <c r="G1093" s="1">
        <f>IFERROR(__xludf.DUMMYFUNCTION("""COMPUTED_VALUE"""),85.0)</f>
        <v>85</v>
      </c>
      <c r="H1093" s="1">
        <f>IFERROR(__xludf.DUMMYFUNCTION("""COMPUTED_VALUE"""),36.0)</f>
        <v>36</v>
      </c>
      <c r="I1093" s="1">
        <f>IFERROR(__xludf.DUMMYFUNCTION("""COMPUTED_VALUE"""),39.0)</f>
        <v>39</v>
      </c>
      <c r="J1093" s="1">
        <f>IFERROR(__xludf.DUMMYFUNCTION("""COMPUTED_VALUE"""),270.0)</f>
        <v>270</v>
      </c>
      <c r="K1093" s="1">
        <f>IFERROR(__xludf.DUMMYFUNCTION("""COMPUTED_VALUE"""),54.0)</f>
        <v>54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>
        <f>IFERROR(__xludf.DUMMYFUNCTION("""COMPUTED_VALUE"""),50.0)</f>
        <v>50</v>
      </c>
      <c r="E1094" s="1">
        <f>IFERROR(__xludf.DUMMYFUNCTION("""COMPUTED_VALUE"""),30.0)</f>
        <v>30</v>
      </c>
      <c r="F1094" s="1">
        <f>IFERROR(__xludf.DUMMYFUNCTION("""COMPUTED_VALUE"""),87.0)</f>
        <v>87</v>
      </c>
      <c r="G1094" s="1">
        <f>IFERROR(__xludf.DUMMYFUNCTION("""COMPUTED_VALUE"""),46.0)</f>
        <v>46</v>
      </c>
      <c r="H1094" s="1">
        <f>IFERROR(__xludf.DUMMYFUNCTION("""COMPUTED_VALUE"""),85.0)</f>
        <v>85</v>
      </c>
      <c r="I1094" s="1">
        <f>IFERROR(__xludf.DUMMYFUNCTION("""COMPUTED_VALUE"""),92.0)</f>
        <v>92</v>
      </c>
      <c r="J1094" s="1">
        <f>IFERROR(__xludf.DUMMYFUNCTION("""COMPUTED_VALUE"""),340.0)</f>
        <v>340</v>
      </c>
      <c r="K1094" s="1">
        <f>IFERROR(__xludf.DUMMYFUNCTION("""COMPUTED_VALUE"""),68.0)</f>
        <v>68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>
        <f>IFERROR(__xludf.DUMMYFUNCTION("""COMPUTED_VALUE"""),54.0)</f>
        <v>54</v>
      </c>
      <c r="E1095" s="1">
        <f>IFERROR(__xludf.DUMMYFUNCTION("""COMPUTED_VALUE"""),31.0)</f>
        <v>31</v>
      </c>
      <c r="F1095" s="1">
        <f>IFERROR(__xludf.DUMMYFUNCTION("""COMPUTED_VALUE"""),26.0)</f>
        <v>26</v>
      </c>
      <c r="G1095" s="1">
        <f>IFERROR(__xludf.DUMMYFUNCTION("""COMPUTED_VALUE"""),43.0)</f>
        <v>43</v>
      </c>
      <c r="H1095" s="1">
        <f>IFERROR(__xludf.DUMMYFUNCTION("""COMPUTED_VALUE"""),59.0)</f>
        <v>59</v>
      </c>
      <c r="I1095" s="1">
        <f>IFERROR(__xludf.DUMMYFUNCTION("""COMPUTED_VALUE"""),82.0)</f>
        <v>82</v>
      </c>
      <c r="J1095" s="1">
        <f>IFERROR(__xludf.DUMMYFUNCTION("""COMPUTED_VALUE"""),241.0)</f>
        <v>241</v>
      </c>
      <c r="K1095" s="1">
        <f>IFERROR(__xludf.DUMMYFUNCTION("""COMPUTED_VALUE"""),48.199999999999996)</f>
        <v>48.2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>
        <f>IFERROR(__xludf.DUMMYFUNCTION("""COMPUTED_VALUE"""),97.0)</f>
        <v>97</v>
      </c>
      <c r="E1096" s="1">
        <f>IFERROR(__xludf.DUMMYFUNCTION("""COMPUTED_VALUE"""),24.0)</f>
        <v>24</v>
      </c>
      <c r="F1096" s="1">
        <f>IFERROR(__xludf.DUMMYFUNCTION("""COMPUTED_VALUE"""),88.0)</f>
        <v>88</v>
      </c>
      <c r="G1096" s="1">
        <f>IFERROR(__xludf.DUMMYFUNCTION("""COMPUTED_VALUE"""),72.0)</f>
        <v>72</v>
      </c>
      <c r="H1096" s="1">
        <f>IFERROR(__xludf.DUMMYFUNCTION("""COMPUTED_VALUE"""),98.0)</f>
        <v>98</v>
      </c>
      <c r="I1096" s="1">
        <f>IFERROR(__xludf.DUMMYFUNCTION("""COMPUTED_VALUE"""),20.0)</f>
        <v>20</v>
      </c>
      <c r="J1096" s="1">
        <f>IFERROR(__xludf.DUMMYFUNCTION("""COMPUTED_VALUE"""),302.0)</f>
        <v>302</v>
      </c>
      <c r="K1096" s="1">
        <f>IFERROR(__xludf.DUMMYFUNCTION("""COMPUTED_VALUE"""),60.4)</f>
        <v>60.4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>
        <f>IFERROR(__xludf.DUMMYFUNCTION("""COMPUTED_VALUE"""),86.0)</f>
        <v>86</v>
      </c>
      <c r="E1097" s="1">
        <f>IFERROR(__xludf.DUMMYFUNCTION("""COMPUTED_VALUE"""),55.0)</f>
        <v>55</v>
      </c>
      <c r="F1097" s="1">
        <f>IFERROR(__xludf.DUMMYFUNCTION("""COMPUTED_VALUE"""),25.0)</f>
        <v>25</v>
      </c>
      <c r="G1097" s="1">
        <f>IFERROR(__xludf.DUMMYFUNCTION("""COMPUTED_VALUE"""),93.0)</f>
        <v>93</v>
      </c>
      <c r="H1097" s="1">
        <f>IFERROR(__xludf.DUMMYFUNCTION("""COMPUTED_VALUE"""),41.0)</f>
        <v>41</v>
      </c>
      <c r="I1097" s="1">
        <f>IFERROR(__xludf.DUMMYFUNCTION("""COMPUTED_VALUE"""),75.0)</f>
        <v>75</v>
      </c>
      <c r="J1097" s="1">
        <f>IFERROR(__xludf.DUMMYFUNCTION("""COMPUTED_VALUE"""),289.0)</f>
        <v>289</v>
      </c>
      <c r="K1097" s="1">
        <f>IFERROR(__xludf.DUMMYFUNCTION("""COMPUTED_VALUE"""),57.8)</f>
        <v>57.8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>
        <f>IFERROR(__xludf.DUMMYFUNCTION("""COMPUTED_VALUE"""),16.0)</f>
        <v>16</v>
      </c>
      <c r="E1098" s="1">
        <f>IFERROR(__xludf.DUMMYFUNCTION("""COMPUTED_VALUE"""),80.0)</f>
        <v>80</v>
      </c>
      <c r="F1098" s="1">
        <f>IFERROR(__xludf.DUMMYFUNCTION("""COMPUTED_VALUE"""),52.0)</f>
        <v>52</v>
      </c>
      <c r="G1098" s="1">
        <f>IFERROR(__xludf.DUMMYFUNCTION("""COMPUTED_VALUE"""),73.0)</f>
        <v>73</v>
      </c>
      <c r="H1098" s="1">
        <f>IFERROR(__xludf.DUMMYFUNCTION("""COMPUTED_VALUE"""),97.0)</f>
        <v>97</v>
      </c>
      <c r="I1098" s="1">
        <f>IFERROR(__xludf.DUMMYFUNCTION("""COMPUTED_VALUE"""),70.0)</f>
        <v>70</v>
      </c>
      <c r="J1098" s="1">
        <f>IFERROR(__xludf.DUMMYFUNCTION("""COMPUTED_VALUE"""),372.0)</f>
        <v>372</v>
      </c>
      <c r="K1098" s="1">
        <f>IFERROR(__xludf.DUMMYFUNCTION("""COMPUTED_VALUE"""),74.4)</f>
        <v>74.4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>
        <f>IFERROR(__xludf.DUMMYFUNCTION("""COMPUTED_VALUE"""),44.0)</f>
        <v>44</v>
      </c>
      <c r="E1099" s="1">
        <f>IFERROR(__xludf.DUMMYFUNCTION("""COMPUTED_VALUE"""),53.0)</f>
        <v>53</v>
      </c>
      <c r="F1099" s="1">
        <f>IFERROR(__xludf.DUMMYFUNCTION("""COMPUTED_VALUE"""),70.0)</f>
        <v>70</v>
      </c>
      <c r="G1099" s="1">
        <f>IFERROR(__xludf.DUMMYFUNCTION("""COMPUTED_VALUE"""),90.0)</f>
        <v>90</v>
      </c>
      <c r="H1099" s="1">
        <f>IFERROR(__xludf.DUMMYFUNCTION("""COMPUTED_VALUE"""),40.0)</f>
        <v>40</v>
      </c>
      <c r="I1099" s="1">
        <f>IFERROR(__xludf.DUMMYFUNCTION("""COMPUTED_VALUE"""),61.0)</f>
        <v>61</v>
      </c>
      <c r="J1099" s="1">
        <f>IFERROR(__xludf.DUMMYFUNCTION("""COMPUTED_VALUE"""),314.0)</f>
        <v>314</v>
      </c>
      <c r="K1099" s="1">
        <f>IFERROR(__xludf.DUMMYFUNCTION("""COMPUTED_VALUE"""),62.8)</f>
        <v>62.8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>
        <f>IFERROR(__xludf.DUMMYFUNCTION("""COMPUTED_VALUE"""),77.0)</f>
        <v>77</v>
      </c>
      <c r="E1100" s="1">
        <f>IFERROR(__xludf.DUMMYFUNCTION("""COMPUTED_VALUE"""),76.0)</f>
        <v>76</v>
      </c>
      <c r="F1100" s="1">
        <f>IFERROR(__xludf.DUMMYFUNCTION("""COMPUTED_VALUE"""),20.0)</f>
        <v>20</v>
      </c>
      <c r="G1100" s="1">
        <f>IFERROR(__xludf.DUMMYFUNCTION("""COMPUTED_VALUE"""),28.0)</f>
        <v>28</v>
      </c>
      <c r="H1100" s="1">
        <f>IFERROR(__xludf.DUMMYFUNCTION("""COMPUTED_VALUE"""),90.0)</f>
        <v>90</v>
      </c>
      <c r="I1100" s="1">
        <f>IFERROR(__xludf.DUMMYFUNCTION("""COMPUTED_VALUE"""),21.0)</f>
        <v>21</v>
      </c>
      <c r="J1100" s="1">
        <f>IFERROR(__xludf.DUMMYFUNCTION("""COMPUTED_VALUE"""),235.0)</f>
        <v>235</v>
      </c>
      <c r="K1100" s="1">
        <f>IFERROR(__xludf.DUMMYFUNCTION("""COMPUTED_VALUE"""),47.0)</f>
        <v>47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>
        <f>IFERROR(__xludf.DUMMYFUNCTION("""COMPUTED_VALUE"""),48.0)</f>
        <v>48</v>
      </c>
      <c r="E1101" s="1">
        <f>IFERROR(__xludf.DUMMYFUNCTION("""COMPUTED_VALUE"""),69.0)</f>
        <v>69</v>
      </c>
      <c r="F1101" s="1">
        <f>IFERROR(__xludf.DUMMYFUNCTION("""COMPUTED_VALUE"""),86.0)</f>
        <v>86</v>
      </c>
      <c r="G1101" s="1">
        <f>IFERROR(__xludf.DUMMYFUNCTION("""COMPUTED_VALUE"""),26.0)</f>
        <v>26</v>
      </c>
      <c r="H1101" s="1">
        <f>IFERROR(__xludf.DUMMYFUNCTION("""COMPUTED_VALUE"""),58.0)</f>
        <v>58</v>
      </c>
      <c r="I1101" s="1">
        <f>IFERROR(__xludf.DUMMYFUNCTION("""COMPUTED_VALUE"""),60.0)</f>
        <v>60</v>
      </c>
      <c r="J1101" s="1">
        <f>IFERROR(__xludf.DUMMYFUNCTION("""COMPUTED_VALUE"""),299.0)</f>
        <v>299</v>
      </c>
      <c r="K1101" s="1">
        <f>IFERROR(__xludf.DUMMYFUNCTION("""COMPUTED_VALUE"""),59.8)</f>
        <v>59.8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>
        <f>IFERROR(__xludf.DUMMYFUNCTION("""COMPUTED_VALUE"""),41.0)</f>
        <v>41</v>
      </c>
      <c r="E1102" s="1">
        <f>IFERROR(__xludf.DUMMYFUNCTION("""COMPUTED_VALUE"""),68.0)</f>
        <v>68</v>
      </c>
      <c r="F1102" s="1">
        <f>IFERROR(__xludf.DUMMYFUNCTION("""COMPUTED_VALUE"""),37.0)</f>
        <v>37</v>
      </c>
      <c r="G1102" s="1">
        <f>IFERROR(__xludf.DUMMYFUNCTION("""COMPUTED_VALUE"""),57.0)</f>
        <v>57</v>
      </c>
      <c r="H1102" s="1">
        <f>IFERROR(__xludf.DUMMYFUNCTION("""COMPUTED_VALUE"""),74.0)</f>
        <v>74</v>
      </c>
      <c r="I1102" s="1">
        <f>IFERROR(__xludf.DUMMYFUNCTION("""COMPUTED_VALUE"""),97.0)</f>
        <v>97</v>
      </c>
      <c r="J1102" s="1">
        <f>IFERROR(__xludf.DUMMYFUNCTION("""COMPUTED_VALUE"""),333.0)</f>
        <v>333</v>
      </c>
      <c r="K1102" s="1">
        <f>IFERROR(__xludf.DUMMYFUNCTION("""COMPUTED_VALUE"""),66.60000000000001)</f>
        <v>66.6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>
        <f>IFERROR(__xludf.DUMMYFUNCTION("""COMPUTED_VALUE"""),95.0)</f>
        <v>95</v>
      </c>
      <c r="E1103" s="1">
        <f>IFERROR(__xludf.DUMMYFUNCTION("""COMPUTED_VALUE"""),30.0)</f>
        <v>30</v>
      </c>
      <c r="F1103" s="1">
        <f>IFERROR(__xludf.DUMMYFUNCTION("""COMPUTED_VALUE"""),41.0)</f>
        <v>41</v>
      </c>
      <c r="G1103" s="1">
        <f>IFERROR(__xludf.DUMMYFUNCTION("""COMPUTED_VALUE"""),56.0)</f>
        <v>56</v>
      </c>
      <c r="H1103" s="1">
        <f>IFERROR(__xludf.DUMMYFUNCTION("""COMPUTED_VALUE"""),87.0)</f>
        <v>87</v>
      </c>
      <c r="I1103" s="1">
        <f>IFERROR(__xludf.DUMMYFUNCTION("""COMPUTED_VALUE"""),51.0)</f>
        <v>51</v>
      </c>
      <c r="J1103" s="1">
        <f>IFERROR(__xludf.DUMMYFUNCTION("""COMPUTED_VALUE"""),265.0)</f>
        <v>265</v>
      </c>
      <c r="K1103" s="1">
        <f>IFERROR(__xludf.DUMMYFUNCTION("""COMPUTED_VALUE"""),53.0)</f>
        <v>53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>
        <f>IFERROR(__xludf.DUMMYFUNCTION("""COMPUTED_VALUE"""),48.0)</f>
        <v>48</v>
      </c>
      <c r="E1104" s="1">
        <f>IFERROR(__xludf.DUMMYFUNCTION("""COMPUTED_VALUE"""),82.0)</f>
        <v>82</v>
      </c>
      <c r="F1104" s="1">
        <f>IFERROR(__xludf.DUMMYFUNCTION("""COMPUTED_VALUE"""),77.0)</f>
        <v>77</v>
      </c>
      <c r="G1104" s="1">
        <f>IFERROR(__xludf.DUMMYFUNCTION("""COMPUTED_VALUE"""),75.0)</f>
        <v>75</v>
      </c>
      <c r="H1104" s="1">
        <f>IFERROR(__xludf.DUMMYFUNCTION("""COMPUTED_VALUE"""),43.0)</f>
        <v>43</v>
      </c>
      <c r="I1104" s="1">
        <f>IFERROR(__xludf.DUMMYFUNCTION("""COMPUTED_VALUE"""),63.0)</f>
        <v>63</v>
      </c>
      <c r="J1104" s="1">
        <f>IFERROR(__xludf.DUMMYFUNCTION("""COMPUTED_VALUE"""),340.0)</f>
        <v>340</v>
      </c>
      <c r="K1104" s="1">
        <f>IFERROR(__xludf.DUMMYFUNCTION("""COMPUTED_VALUE"""),68.0)</f>
        <v>68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>
        <f>IFERROR(__xludf.DUMMYFUNCTION("""COMPUTED_VALUE"""),53.0)</f>
        <v>53</v>
      </c>
      <c r="E1105" s="1">
        <f>IFERROR(__xludf.DUMMYFUNCTION("""COMPUTED_VALUE"""),55.0)</f>
        <v>55</v>
      </c>
      <c r="F1105" s="1">
        <f>IFERROR(__xludf.DUMMYFUNCTION("""COMPUTED_VALUE"""),48.0)</f>
        <v>48</v>
      </c>
      <c r="G1105" s="1">
        <f>IFERROR(__xludf.DUMMYFUNCTION("""COMPUTED_VALUE"""),66.0)</f>
        <v>66</v>
      </c>
      <c r="H1105" s="1">
        <f>IFERROR(__xludf.DUMMYFUNCTION("""COMPUTED_VALUE"""),66.0)</f>
        <v>66</v>
      </c>
      <c r="I1105" s="1">
        <f>IFERROR(__xludf.DUMMYFUNCTION("""COMPUTED_VALUE"""),58.0)</f>
        <v>58</v>
      </c>
      <c r="J1105" s="1">
        <f>IFERROR(__xludf.DUMMYFUNCTION("""COMPUTED_VALUE"""),293.0)</f>
        <v>293</v>
      </c>
      <c r="K1105" s="1">
        <f>IFERROR(__xludf.DUMMYFUNCTION("""COMPUTED_VALUE"""),58.599999999999994)</f>
        <v>58.6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>
        <f>IFERROR(__xludf.DUMMYFUNCTION("""COMPUTED_VALUE"""),77.0)</f>
        <v>77</v>
      </c>
      <c r="E1106" s="1">
        <f>IFERROR(__xludf.DUMMYFUNCTION("""COMPUTED_VALUE"""),39.0)</f>
        <v>39</v>
      </c>
      <c r="F1106" s="1">
        <f>IFERROR(__xludf.DUMMYFUNCTION("""COMPUTED_VALUE"""),54.0)</f>
        <v>54</v>
      </c>
      <c r="G1106" s="1">
        <f>IFERROR(__xludf.DUMMYFUNCTION("""COMPUTED_VALUE"""),89.0)</f>
        <v>89</v>
      </c>
      <c r="H1106" s="1">
        <f>IFERROR(__xludf.DUMMYFUNCTION("""COMPUTED_VALUE"""),86.0)</f>
        <v>86</v>
      </c>
      <c r="I1106" s="1">
        <f>IFERROR(__xludf.DUMMYFUNCTION("""COMPUTED_VALUE"""),35.0)</f>
        <v>35</v>
      </c>
      <c r="J1106" s="1">
        <f>IFERROR(__xludf.DUMMYFUNCTION("""COMPUTED_VALUE"""),303.0)</f>
        <v>303</v>
      </c>
      <c r="K1106" s="1">
        <f>IFERROR(__xludf.DUMMYFUNCTION("""COMPUTED_VALUE"""),60.6)</f>
        <v>60.6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>
        <f>IFERROR(__xludf.DUMMYFUNCTION("""COMPUTED_VALUE"""),45.0)</f>
        <v>45</v>
      </c>
      <c r="E1107" s="1">
        <f>IFERROR(__xludf.DUMMYFUNCTION("""COMPUTED_VALUE"""),50.0)</f>
        <v>50</v>
      </c>
      <c r="F1107" s="1">
        <f>IFERROR(__xludf.DUMMYFUNCTION("""COMPUTED_VALUE"""),58.0)</f>
        <v>58</v>
      </c>
      <c r="G1107" s="1">
        <f>IFERROR(__xludf.DUMMYFUNCTION("""COMPUTED_VALUE"""),32.0)</f>
        <v>32</v>
      </c>
      <c r="H1107" s="1">
        <f>IFERROR(__xludf.DUMMYFUNCTION("""COMPUTED_VALUE"""),86.0)</f>
        <v>86</v>
      </c>
      <c r="I1107" s="1">
        <f>IFERROR(__xludf.DUMMYFUNCTION("""COMPUTED_VALUE"""),90.0)</f>
        <v>90</v>
      </c>
      <c r="J1107" s="1">
        <f>IFERROR(__xludf.DUMMYFUNCTION("""COMPUTED_VALUE"""),316.0)</f>
        <v>316</v>
      </c>
      <c r="K1107" s="1">
        <f>IFERROR(__xludf.DUMMYFUNCTION("""COMPUTED_VALUE"""),63.2)</f>
        <v>63.2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>
        <f>IFERROR(__xludf.DUMMYFUNCTION("""COMPUTED_VALUE"""),98.0)</f>
        <v>98</v>
      </c>
      <c r="E1108" s="1">
        <f>IFERROR(__xludf.DUMMYFUNCTION("""COMPUTED_VALUE"""),73.0)</f>
        <v>73</v>
      </c>
      <c r="F1108" s="1">
        <f>IFERROR(__xludf.DUMMYFUNCTION("""COMPUTED_VALUE"""),30.0)</f>
        <v>30</v>
      </c>
      <c r="G1108" s="1">
        <f>IFERROR(__xludf.DUMMYFUNCTION("""COMPUTED_VALUE"""),49.0)</f>
        <v>49</v>
      </c>
      <c r="H1108" s="1">
        <f>IFERROR(__xludf.DUMMYFUNCTION("""COMPUTED_VALUE"""),76.0)</f>
        <v>76</v>
      </c>
      <c r="I1108" s="1">
        <f>IFERROR(__xludf.DUMMYFUNCTION("""COMPUTED_VALUE"""),25.0)</f>
        <v>25</v>
      </c>
      <c r="J1108" s="1">
        <f>IFERROR(__xludf.DUMMYFUNCTION("""COMPUTED_VALUE"""),253.0)</f>
        <v>253</v>
      </c>
      <c r="K1108" s="1">
        <f>IFERROR(__xludf.DUMMYFUNCTION("""COMPUTED_VALUE"""),50.6)</f>
        <v>50.6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>
        <f>IFERROR(__xludf.DUMMYFUNCTION("""COMPUTED_VALUE"""),48.0)</f>
        <v>48</v>
      </c>
      <c r="E1109" s="1">
        <f>IFERROR(__xludf.DUMMYFUNCTION("""COMPUTED_VALUE"""),99.0)</f>
        <v>99</v>
      </c>
      <c r="F1109" s="1">
        <f>IFERROR(__xludf.DUMMYFUNCTION("""COMPUTED_VALUE"""),24.0)</f>
        <v>24</v>
      </c>
      <c r="G1109" s="1">
        <f>IFERROR(__xludf.DUMMYFUNCTION("""COMPUTED_VALUE"""),61.0)</f>
        <v>61</v>
      </c>
      <c r="H1109" s="1">
        <f>IFERROR(__xludf.DUMMYFUNCTION("""COMPUTED_VALUE"""),65.0)</f>
        <v>65</v>
      </c>
      <c r="I1109" s="1">
        <f>IFERROR(__xludf.DUMMYFUNCTION("""COMPUTED_VALUE"""),97.0)</f>
        <v>97</v>
      </c>
      <c r="J1109" s="1">
        <f>IFERROR(__xludf.DUMMYFUNCTION("""COMPUTED_VALUE"""),346.0)</f>
        <v>346</v>
      </c>
      <c r="K1109" s="1">
        <f>IFERROR(__xludf.DUMMYFUNCTION("""COMPUTED_VALUE"""),69.19999999999999)</f>
        <v>69.2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>
        <f>IFERROR(__xludf.DUMMYFUNCTION("""COMPUTED_VALUE"""),17.0)</f>
        <v>17</v>
      </c>
      <c r="E1110" s="1">
        <f>IFERROR(__xludf.DUMMYFUNCTION("""COMPUTED_VALUE"""),31.0)</f>
        <v>31</v>
      </c>
      <c r="F1110" s="1">
        <f>IFERROR(__xludf.DUMMYFUNCTION("""COMPUTED_VALUE"""),78.0)</f>
        <v>78</v>
      </c>
      <c r="G1110" s="1">
        <f>IFERROR(__xludf.DUMMYFUNCTION("""COMPUTED_VALUE"""),50.0)</f>
        <v>50</v>
      </c>
      <c r="H1110" s="1">
        <f>IFERROR(__xludf.DUMMYFUNCTION("""COMPUTED_VALUE"""),78.0)</f>
        <v>78</v>
      </c>
      <c r="I1110" s="1">
        <f>IFERROR(__xludf.DUMMYFUNCTION("""COMPUTED_VALUE"""),67.0)</f>
        <v>67</v>
      </c>
      <c r="J1110" s="1">
        <f>IFERROR(__xludf.DUMMYFUNCTION("""COMPUTED_VALUE"""),304.0)</f>
        <v>304</v>
      </c>
      <c r="K1110" s="1">
        <f>IFERROR(__xludf.DUMMYFUNCTION("""COMPUTED_VALUE"""),60.8)</f>
        <v>60.8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>
        <f>IFERROR(__xludf.DUMMYFUNCTION("""COMPUTED_VALUE"""),77.0)</f>
        <v>77</v>
      </c>
      <c r="E1111" s="1">
        <f>IFERROR(__xludf.DUMMYFUNCTION("""COMPUTED_VALUE"""),21.0)</f>
        <v>21</v>
      </c>
      <c r="F1111" s="1">
        <f>IFERROR(__xludf.DUMMYFUNCTION("""COMPUTED_VALUE"""),20.0)</f>
        <v>20</v>
      </c>
      <c r="G1111" s="1">
        <f>IFERROR(__xludf.DUMMYFUNCTION("""COMPUTED_VALUE"""),68.0)</f>
        <v>68</v>
      </c>
      <c r="H1111" s="1">
        <f>IFERROR(__xludf.DUMMYFUNCTION("""COMPUTED_VALUE"""),46.0)</f>
        <v>46</v>
      </c>
      <c r="I1111" s="1">
        <f>IFERROR(__xludf.DUMMYFUNCTION("""COMPUTED_VALUE"""),78.0)</f>
        <v>78</v>
      </c>
      <c r="J1111" s="1">
        <f>IFERROR(__xludf.DUMMYFUNCTION("""COMPUTED_VALUE"""),233.0)</f>
        <v>233</v>
      </c>
      <c r="K1111" s="1">
        <f>IFERROR(__xludf.DUMMYFUNCTION("""COMPUTED_VALUE"""),46.6)</f>
        <v>46.6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>
        <f>IFERROR(__xludf.DUMMYFUNCTION("""COMPUTED_VALUE"""),88.0)</f>
        <v>88</v>
      </c>
      <c r="E1112" s="1">
        <f>IFERROR(__xludf.DUMMYFUNCTION("""COMPUTED_VALUE"""),62.0)</f>
        <v>62</v>
      </c>
      <c r="F1112" s="1">
        <f>IFERROR(__xludf.DUMMYFUNCTION("""COMPUTED_VALUE"""),86.0)</f>
        <v>86</v>
      </c>
      <c r="G1112" s="1">
        <f>IFERROR(__xludf.DUMMYFUNCTION("""COMPUTED_VALUE"""),32.0)</f>
        <v>32</v>
      </c>
      <c r="H1112" s="1">
        <f>IFERROR(__xludf.DUMMYFUNCTION("""COMPUTED_VALUE"""),86.0)</f>
        <v>86</v>
      </c>
      <c r="I1112" s="1">
        <f>IFERROR(__xludf.DUMMYFUNCTION("""COMPUTED_VALUE"""),49.0)</f>
        <v>49</v>
      </c>
      <c r="J1112" s="1">
        <f>IFERROR(__xludf.DUMMYFUNCTION("""COMPUTED_VALUE"""),315.0)</f>
        <v>315</v>
      </c>
      <c r="K1112" s="1">
        <f>IFERROR(__xludf.DUMMYFUNCTION("""COMPUTED_VALUE"""),63.0)</f>
        <v>63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>
        <f>IFERROR(__xludf.DUMMYFUNCTION("""COMPUTED_VALUE"""),28.0)</f>
        <v>28</v>
      </c>
      <c r="E1113" s="1">
        <f>IFERROR(__xludf.DUMMYFUNCTION("""COMPUTED_VALUE"""),72.0)</f>
        <v>72</v>
      </c>
      <c r="F1113" s="1">
        <f>IFERROR(__xludf.DUMMYFUNCTION("""COMPUTED_VALUE"""),88.0)</f>
        <v>88</v>
      </c>
      <c r="G1113" s="1">
        <f>IFERROR(__xludf.DUMMYFUNCTION("""COMPUTED_VALUE"""),54.0)</f>
        <v>54</v>
      </c>
      <c r="H1113" s="1">
        <f>IFERROR(__xludf.DUMMYFUNCTION("""COMPUTED_VALUE"""),79.0)</f>
        <v>79</v>
      </c>
      <c r="I1113" s="1">
        <f>IFERROR(__xludf.DUMMYFUNCTION("""COMPUTED_VALUE"""),70.0)</f>
        <v>70</v>
      </c>
      <c r="J1113" s="1">
        <f>IFERROR(__xludf.DUMMYFUNCTION("""COMPUTED_VALUE"""),363.0)</f>
        <v>363</v>
      </c>
      <c r="K1113" s="1">
        <f>IFERROR(__xludf.DUMMYFUNCTION("""COMPUTED_VALUE"""),72.6)</f>
        <v>72.6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>
        <f>IFERROR(__xludf.DUMMYFUNCTION("""COMPUTED_VALUE"""),72.0)</f>
        <v>72</v>
      </c>
      <c r="E1114" s="1">
        <f>IFERROR(__xludf.DUMMYFUNCTION("""COMPUTED_VALUE"""),51.0)</f>
        <v>51</v>
      </c>
      <c r="F1114" s="1">
        <f>IFERROR(__xludf.DUMMYFUNCTION("""COMPUTED_VALUE"""),68.0)</f>
        <v>68</v>
      </c>
      <c r="G1114" s="1">
        <f>IFERROR(__xludf.DUMMYFUNCTION("""COMPUTED_VALUE"""),82.0)</f>
        <v>82</v>
      </c>
      <c r="H1114" s="1">
        <f>IFERROR(__xludf.DUMMYFUNCTION("""COMPUTED_VALUE"""),82.0)</f>
        <v>82</v>
      </c>
      <c r="I1114" s="1">
        <f>IFERROR(__xludf.DUMMYFUNCTION("""COMPUTED_VALUE"""),39.0)</f>
        <v>39</v>
      </c>
      <c r="J1114" s="1">
        <f>IFERROR(__xludf.DUMMYFUNCTION("""COMPUTED_VALUE"""),322.0)</f>
        <v>322</v>
      </c>
      <c r="K1114" s="1">
        <f>IFERROR(__xludf.DUMMYFUNCTION("""COMPUTED_VALUE"""),64.4)</f>
        <v>64.4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>
        <f>IFERROR(__xludf.DUMMYFUNCTION("""COMPUTED_VALUE"""),77.0)</f>
        <v>77</v>
      </c>
      <c r="E1115" s="1">
        <f>IFERROR(__xludf.DUMMYFUNCTION("""COMPUTED_VALUE"""),35.0)</f>
        <v>35</v>
      </c>
      <c r="F1115" s="1">
        <f>IFERROR(__xludf.DUMMYFUNCTION("""COMPUTED_VALUE"""),85.0)</f>
        <v>85</v>
      </c>
      <c r="G1115" s="1">
        <f>IFERROR(__xludf.DUMMYFUNCTION("""COMPUTED_VALUE"""),65.0)</f>
        <v>65</v>
      </c>
      <c r="H1115" s="1">
        <f>IFERROR(__xludf.DUMMYFUNCTION("""COMPUTED_VALUE"""),22.0)</f>
        <v>22</v>
      </c>
      <c r="I1115" s="1">
        <f>IFERROR(__xludf.DUMMYFUNCTION("""COMPUTED_VALUE"""),31.0)</f>
        <v>31</v>
      </c>
      <c r="J1115" s="1">
        <f>IFERROR(__xludf.DUMMYFUNCTION("""COMPUTED_VALUE"""),238.0)</f>
        <v>238</v>
      </c>
      <c r="K1115" s="1">
        <f>IFERROR(__xludf.DUMMYFUNCTION("""COMPUTED_VALUE"""),47.599999999999994)</f>
        <v>47.6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>
        <f>IFERROR(__xludf.DUMMYFUNCTION("""COMPUTED_VALUE"""),66.0)</f>
        <v>66</v>
      </c>
      <c r="E1116" s="1">
        <f>IFERROR(__xludf.DUMMYFUNCTION("""COMPUTED_VALUE"""),51.0)</f>
        <v>51</v>
      </c>
      <c r="F1116" s="1">
        <f>IFERROR(__xludf.DUMMYFUNCTION("""COMPUTED_VALUE"""),58.0)</f>
        <v>58</v>
      </c>
      <c r="G1116" s="1">
        <f>IFERROR(__xludf.DUMMYFUNCTION("""COMPUTED_VALUE"""),95.0)</f>
        <v>95</v>
      </c>
      <c r="H1116" s="1">
        <f>IFERROR(__xludf.DUMMYFUNCTION("""COMPUTED_VALUE"""),45.0)</f>
        <v>45</v>
      </c>
      <c r="I1116" s="1">
        <f>IFERROR(__xludf.DUMMYFUNCTION("""COMPUTED_VALUE"""),81.0)</f>
        <v>81</v>
      </c>
      <c r="J1116" s="1">
        <f>IFERROR(__xludf.DUMMYFUNCTION("""COMPUTED_VALUE"""),330.0)</f>
        <v>330</v>
      </c>
      <c r="K1116" s="1">
        <f>IFERROR(__xludf.DUMMYFUNCTION("""COMPUTED_VALUE"""),66.0)</f>
        <v>66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>
        <f>IFERROR(__xludf.DUMMYFUNCTION("""COMPUTED_VALUE"""),11.0)</f>
        <v>11</v>
      </c>
      <c r="E1117" s="1">
        <f>IFERROR(__xludf.DUMMYFUNCTION("""COMPUTED_VALUE"""),69.0)</f>
        <v>69</v>
      </c>
      <c r="F1117" s="1">
        <f>IFERROR(__xludf.DUMMYFUNCTION("""COMPUTED_VALUE"""),20.0)</f>
        <v>20</v>
      </c>
      <c r="G1117" s="1">
        <f>IFERROR(__xludf.DUMMYFUNCTION("""COMPUTED_VALUE"""),66.0)</f>
        <v>66</v>
      </c>
      <c r="H1117" s="1">
        <f>IFERROR(__xludf.DUMMYFUNCTION("""COMPUTED_VALUE"""),76.0)</f>
        <v>76</v>
      </c>
      <c r="I1117" s="1">
        <f>IFERROR(__xludf.DUMMYFUNCTION("""COMPUTED_VALUE"""),83.0)</f>
        <v>83</v>
      </c>
      <c r="J1117" s="1">
        <f>IFERROR(__xludf.DUMMYFUNCTION("""COMPUTED_VALUE"""),314.0)</f>
        <v>314</v>
      </c>
      <c r="K1117" s="1">
        <f>IFERROR(__xludf.DUMMYFUNCTION("""COMPUTED_VALUE"""),62.8)</f>
        <v>62.8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>
        <f>IFERROR(__xludf.DUMMYFUNCTION("""COMPUTED_VALUE"""),70.0)</f>
        <v>70</v>
      </c>
      <c r="E1118" s="1">
        <f>IFERROR(__xludf.DUMMYFUNCTION("""COMPUTED_VALUE"""),90.0)</f>
        <v>90</v>
      </c>
      <c r="F1118" s="1">
        <f>IFERROR(__xludf.DUMMYFUNCTION("""COMPUTED_VALUE"""),32.0)</f>
        <v>32</v>
      </c>
      <c r="G1118" s="1">
        <f>IFERROR(__xludf.DUMMYFUNCTION("""COMPUTED_VALUE"""),30.0)</f>
        <v>30</v>
      </c>
      <c r="H1118" s="1">
        <f>IFERROR(__xludf.DUMMYFUNCTION("""COMPUTED_VALUE"""),61.0)</f>
        <v>61</v>
      </c>
      <c r="I1118" s="1">
        <f>IFERROR(__xludf.DUMMYFUNCTION("""COMPUTED_VALUE"""),49.0)</f>
        <v>49</v>
      </c>
      <c r="J1118" s="1">
        <f>IFERROR(__xludf.DUMMYFUNCTION("""COMPUTED_VALUE"""),262.0)</f>
        <v>262</v>
      </c>
      <c r="K1118" s="1">
        <f>IFERROR(__xludf.DUMMYFUNCTION("""COMPUTED_VALUE"""),52.400000000000006)</f>
        <v>52.4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>
        <f>IFERROR(__xludf.DUMMYFUNCTION("""COMPUTED_VALUE"""),77.0)</f>
        <v>77</v>
      </c>
      <c r="E1119" s="1">
        <f>IFERROR(__xludf.DUMMYFUNCTION("""COMPUTED_VALUE"""),86.0)</f>
        <v>86</v>
      </c>
      <c r="F1119" s="1">
        <f>IFERROR(__xludf.DUMMYFUNCTION("""COMPUTED_VALUE"""),56.0)</f>
        <v>56</v>
      </c>
      <c r="G1119" s="1">
        <f>IFERROR(__xludf.DUMMYFUNCTION("""COMPUTED_VALUE"""),32.0)</f>
        <v>32</v>
      </c>
      <c r="H1119" s="1">
        <f>IFERROR(__xludf.DUMMYFUNCTION("""COMPUTED_VALUE"""),26.0)</f>
        <v>26</v>
      </c>
      <c r="I1119" s="1">
        <f>IFERROR(__xludf.DUMMYFUNCTION("""COMPUTED_VALUE"""),87.0)</f>
        <v>87</v>
      </c>
      <c r="J1119" s="1">
        <f>IFERROR(__xludf.DUMMYFUNCTION("""COMPUTED_VALUE"""),287.0)</f>
        <v>287</v>
      </c>
      <c r="K1119" s="1">
        <f>IFERROR(__xludf.DUMMYFUNCTION("""COMPUTED_VALUE"""),57.4)</f>
        <v>57.4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>
        <f>IFERROR(__xludf.DUMMYFUNCTION("""COMPUTED_VALUE"""),50.0)</f>
        <v>50</v>
      </c>
      <c r="E1120" s="1">
        <f>IFERROR(__xludf.DUMMYFUNCTION("""COMPUTED_VALUE"""),64.0)</f>
        <v>64</v>
      </c>
      <c r="F1120" s="1">
        <f>IFERROR(__xludf.DUMMYFUNCTION("""COMPUTED_VALUE"""),73.0)</f>
        <v>73</v>
      </c>
      <c r="G1120" s="1">
        <f>IFERROR(__xludf.DUMMYFUNCTION("""COMPUTED_VALUE"""),49.0)</f>
        <v>49</v>
      </c>
      <c r="H1120" s="1">
        <f>IFERROR(__xludf.DUMMYFUNCTION("""COMPUTED_VALUE"""),68.0)</f>
        <v>68</v>
      </c>
      <c r="I1120" s="1">
        <f>IFERROR(__xludf.DUMMYFUNCTION("""COMPUTED_VALUE"""),30.0)</f>
        <v>30</v>
      </c>
      <c r="J1120" s="1">
        <f>IFERROR(__xludf.DUMMYFUNCTION("""COMPUTED_VALUE"""),284.0)</f>
        <v>284</v>
      </c>
      <c r="K1120" s="1">
        <f>IFERROR(__xludf.DUMMYFUNCTION("""COMPUTED_VALUE"""),56.8)</f>
        <v>56.8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>
        <f>IFERROR(__xludf.DUMMYFUNCTION("""COMPUTED_VALUE"""),80.0)</f>
        <v>80</v>
      </c>
      <c r="E1121" s="1">
        <f>IFERROR(__xludf.DUMMYFUNCTION("""COMPUTED_VALUE"""),69.0)</f>
        <v>69</v>
      </c>
      <c r="F1121" s="1">
        <f>IFERROR(__xludf.DUMMYFUNCTION("""COMPUTED_VALUE"""),74.0)</f>
        <v>74</v>
      </c>
      <c r="G1121" s="1">
        <f>IFERROR(__xludf.DUMMYFUNCTION("""COMPUTED_VALUE"""),76.0)</f>
        <v>76</v>
      </c>
      <c r="H1121" s="1">
        <f>IFERROR(__xludf.DUMMYFUNCTION("""COMPUTED_VALUE"""),30.0)</f>
        <v>30</v>
      </c>
      <c r="I1121" s="1">
        <f>IFERROR(__xludf.DUMMYFUNCTION("""COMPUTED_VALUE"""),76.0)</f>
        <v>76</v>
      </c>
      <c r="J1121" s="1">
        <f>IFERROR(__xludf.DUMMYFUNCTION("""COMPUTED_VALUE"""),325.0)</f>
        <v>325</v>
      </c>
      <c r="K1121" s="1">
        <f>IFERROR(__xludf.DUMMYFUNCTION("""COMPUTED_VALUE"""),65.0)</f>
        <v>65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>
        <f>IFERROR(__xludf.DUMMYFUNCTION("""COMPUTED_VALUE"""),14.0)</f>
        <v>14</v>
      </c>
      <c r="E1122" s="1">
        <f>IFERROR(__xludf.DUMMYFUNCTION("""COMPUTED_VALUE"""),44.0)</f>
        <v>44</v>
      </c>
      <c r="F1122" s="1">
        <f>IFERROR(__xludf.DUMMYFUNCTION("""COMPUTED_VALUE"""),54.0)</f>
        <v>54</v>
      </c>
      <c r="G1122" s="1">
        <f>IFERROR(__xludf.DUMMYFUNCTION("""COMPUTED_VALUE"""),76.0)</f>
        <v>76</v>
      </c>
      <c r="H1122" s="1">
        <f>IFERROR(__xludf.DUMMYFUNCTION("""COMPUTED_VALUE"""),48.0)</f>
        <v>48</v>
      </c>
      <c r="I1122" s="1">
        <f>IFERROR(__xludf.DUMMYFUNCTION("""COMPUTED_VALUE"""),95.0)</f>
        <v>95</v>
      </c>
      <c r="J1122" s="1">
        <f>IFERROR(__xludf.DUMMYFUNCTION("""COMPUTED_VALUE"""),317.0)</f>
        <v>317</v>
      </c>
      <c r="K1122" s="1">
        <f>IFERROR(__xludf.DUMMYFUNCTION("""COMPUTED_VALUE"""),63.4)</f>
        <v>63.4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>
        <f>IFERROR(__xludf.DUMMYFUNCTION("""COMPUTED_VALUE"""),100.0)</f>
        <v>100</v>
      </c>
      <c r="E1123" s="1">
        <f>IFERROR(__xludf.DUMMYFUNCTION("""COMPUTED_VALUE"""),77.0)</f>
        <v>77</v>
      </c>
      <c r="F1123" s="1">
        <f>IFERROR(__xludf.DUMMYFUNCTION("""COMPUTED_VALUE"""),63.0)</f>
        <v>63</v>
      </c>
      <c r="G1123" s="1">
        <f>IFERROR(__xludf.DUMMYFUNCTION("""COMPUTED_VALUE"""),63.0)</f>
        <v>63</v>
      </c>
      <c r="H1123" s="1">
        <f>IFERROR(__xludf.DUMMYFUNCTION("""COMPUTED_VALUE"""),80.0)</f>
        <v>80</v>
      </c>
      <c r="I1123" s="1">
        <f>IFERROR(__xludf.DUMMYFUNCTION("""COMPUTED_VALUE"""),55.0)</f>
        <v>55</v>
      </c>
      <c r="J1123" s="1">
        <f>IFERROR(__xludf.DUMMYFUNCTION("""COMPUTED_VALUE"""),338.0)</f>
        <v>338</v>
      </c>
      <c r="K1123" s="1">
        <f>IFERROR(__xludf.DUMMYFUNCTION("""COMPUTED_VALUE"""),67.60000000000001)</f>
        <v>67.6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>
        <f>IFERROR(__xludf.DUMMYFUNCTION("""COMPUTED_VALUE"""),99.0)</f>
        <v>99</v>
      </c>
      <c r="E1124" s="1">
        <f>IFERROR(__xludf.DUMMYFUNCTION("""COMPUTED_VALUE"""),49.0)</f>
        <v>49</v>
      </c>
      <c r="F1124" s="1">
        <f>IFERROR(__xludf.DUMMYFUNCTION("""COMPUTED_VALUE"""),51.0)</f>
        <v>51</v>
      </c>
      <c r="G1124" s="1">
        <f>IFERROR(__xludf.DUMMYFUNCTION("""COMPUTED_VALUE"""),95.0)</f>
        <v>95</v>
      </c>
      <c r="H1124" s="1">
        <f>IFERROR(__xludf.DUMMYFUNCTION("""COMPUTED_VALUE"""),37.0)</f>
        <v>37</v>
      </c>
      <c r="I1124" s="1">
        <f>IFERROR(__xludf.DUMMYFUNCTION("""COMPUTED_VALUE"""),58.0)</f>
        <v>58</v>
      </c>
      <c r="J1124" s="1">
        <f>IFERROR(__xludf.DUMMYFUNCTION("""COMPUTED_VALUE"""),290.0)</f>
        <v>290</v>
      </c>
      <c r="K1124" s="1">
        <f>IFERROR(__xludf.DUMMYFUNCTION("""COMPUTED_VALUE"""),57.99999999999999)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>
        <f>IFERROR(__xludf.DUMMYFUNCTION("""COMPUTED_VALUE"""),77.0)</f>
        <v>77</v>
      </c>
      <c r="E1125" s="1">
        <f>IFERROR(__xludf.DUMMYFUNCTION("""COMPUTED_VALUE"""),54.0)</f>
        <v>54</v>
      </c>
      <c r="F1125" s="1">
        <f>IFERROR(__xludf.DUMMYFUNCTION("""COMPUTED_VALUE"""),67.0)</f>
        <v>67</v>
      </c>
      <c r="G1125" s="1">
        <f>IFERROR(__xludf.DUMMYFUNCTION("""COMPUTED_VALUE"""),82.0)</f>
        <v>82</v>
      </c>
      <c r="H1125" s="1">
        <f>IFERROR(__xludf.DUMMYFUNCTION("""COMPUTED_VALUE"""),94.0)</f>
        <v>94</v>
      </c>
      <c r="I1125" s="1">
        <f>IFERROR(__xludf.DUMMYFUNCTION("""COMPUTED_VALUE"""),90.0)</f>
        <v>90</v>
      </c>
      <c r="J1125" s="1">
        <f>IFERROR(__xludf.DUMMYFUNCTION("""COMPUTED_VALUE"""),387.0)</f>
        <v>387</v>
      </c>
      <c r="K1125" s="1">
        <f>IFERROR(__xludf.DUMMYFUNCTION("""COMPUTED_VALUE"""),77.4)</f>
        <v>77.4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>
        <f>IFERROR(__xludf.DUMMYFUNCTION("""COMPUTED_VALUE"""),12.0)</f>
        <v>12</v>
      </c>
      <c r="E1126" s="1">
        <f>IFERROR(__xludf.DUMMYFUNCTION("""COMPUTED_VALUE"""),86.0)</f>
        <v>86</v>
      </c>
      <c r="F1126" s="1">
        <f>IFERROR(__xludf.DUMMYFUNCTION("""COMPUTED_VALUE"""),70.0)</f>
        <v>70</v>
      </c>
      <c r="G1126" s="1">
        <f>IFERROR(__xludf.DUMMYFUNCTION("""COMPUTED_VALUE"""),73.0)</f>
        <v>73</v>
      </c>
      <c r="H1126" s="1">
        <f>IFERROR(__xludf.DUMMYFUNCTION("""COMPUTED_VALUE"""),36.0)</f>
        <v>36</v>
      </c>
      <c r="I1126" s="1">
        <f>IFERROR(__xludf.DUMMYFUNCTION("""COMPUTED_VALUE"""),30.0)</f>
        <v>30</v>
      </c>
      <c r="J1126" s="1">
        <f>IFERROR(__xludf.DUMMYFUNCTION("""COMPUTED_VALUE"""),295.0)</f>
        <v>295</v>
      </c>
      <c r="K1126" s="1">
        <f>IFERROR(__xludf.DUMMYFUNCTION("""COMPUTED_VALUE"""),59.0)</f>
        <v>59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>
        <f>IFERROR(__xludf.DUMMYFUNCTION("""COMPUTED_VALUE"""),75.0)</f>
        <v>75</v>
      </c>
      <c r="E1127" s="1">
        <f>IFERROR(__xludf.DUMMYFUNCTION("""COMPUTED_VALUE"""),95.0)</f>
        <v>95</v>
      </c>
      <c r="F1127" s="1">
        <f>IFERROR(__xludf.DUMMYFUNCTION("""COMPUTED_VALUE"""),28.0)</f>
        <v>28</v>
      </c>
      <c r="G1127" s="1">
        <f>IFERROR(__xludf.DUMMYFUNCTION("""COMPUTED_VALUE"""),95.0)</f>
        <v>95</v>
      </c>
      <c r="H1127" s="1">
        <f>IFERROR(__xludf.DUMMYFUNCTION("""COMPUTED_VALUE"""),65.0)</f>
        <v>65</v>
      </c>
      <c r="I1127" s="1">
        <f>IFERROR(__xludf.DUMMYFUNCTION("""COMPUTED_VALUE"""),26.0)</f>
        <v>26</v>
      </c>
      <c r="J1127" s="1">
        <f>IFERROR(__xludf.DUMMYFUNCTION("""COMPUTED_VALUE"""),309.0)</f>
        <v>309</v>
      </c>
      <c r="K1127" s="1">
        <f>IFERROR(__xludf.DUMMYFUNCTION("""COMPUTED_VALUE"""),61.8)</f>
        <v>61.8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>
        <f>IFERROR(__xludf.DUMMYFUNCTION("""COMPUTED_VALUE"""),21.0)</f>
        <v>21</v>
      </c>
      <c r="E1128" s="1">
        <f>IFERROR(__xludf.DUMMYFUNCTION("""COMPUTED_VALUE"""),62.0)</f>
        <v>62</v>
      </c>
      <c r="F1128" s="1">
        <f>IFERROR(__xludf.DUMMYFUNCTION("""COMPUTED_VALUE"""),51.0)</f>
        <v>51</v>
      </c>
      <c r="G1128" s="1">
        <f>IFERROR(__xludf.DUMMYFUNCTION("""COMPUTED_VALUE"""),84.0)</f>
        <v>84</v>
      </c>
      <c r="H1128" s="1">
        <f>IFERROR(__xludf.DUMMYFUNCTION("""COMPUTED_VALUE"""),63.0)</f>
        <v>63</v>
      </c>
      <c r="I1128" s="1">
        <f>IFERROR(__xludf.DUMMYFUNCTION("""COMPUTED_VALUE"""),78.0)</f>
        <v>78</v>
      </c>
      <c r="J1128" s="1">
        <f>IFERROR(__xludf.DUMMYFUNCTION("""COMPUTED_VALUE"""),338.0)</f>
        <v>338</v>
      </c>
      <c r="K1128" s="1">
        <f>IFERROR(__xludf.DUMMYFUNCTION("""COMPUTED_VALUE"""),67.60000000000001)</f>
        <v>67.6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>
        <f>IFERROR(__xludf.DUMMYFUNCTION("""COMPUTED_VALUE"""),80.0)</f>
        <v>80</v>
      </c>
      <c r="E1129" s="1">
        <f>IFERROR(__xludf.DUMMYFUNCTION("""COMPUTED_VALUE"""),23.0)</f>
        <v>23</v>
      </c>
      <c r="F1129" s="1">
        <f>IFERROR(__xludf.DUMMYFUNCTION("""COMPUTED_VALUE"""),80.0)</f>
        <v>80</v>
      </c>
      <c r="G1129" s="1">
        <f>IFERROR(__xludf.DUMMYFUNCTION("""COMPUTED_VALUE"""),72.0)</f>
        <v>72</v>
      </c>
      <c r="H1129" s="1">
        <f>IFERROR(__xludf.DUMMYFUNCTION("""COMPUTED_VALUE"""),26.0)</f>
        <v>26</v>
      </c>
      <c r="I1129" s="1">
        <f>IFERROR(__xludf.DUMMYFUNCTION("""COMPUTED_VALUE"""),82.0)</f>
        <v>82</v>
      </c>
      <c r="J1129" s="1">
        <f>IFERROR(__xludf.DUMMYFUNCTION("""COMPUTED_VALUE"""),283.0)</f>
        <v>283</v>
      </c>
      <c r="K1129" s="1">
        <f>IFERROR(__xludf.DUMMYFUNCTION("""COMPUTED_VALUE"""),56.599999999999994)</f>
        <v>56.6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>
        <f>IFERROR(__xludf.DUMMYFUNCTION("""COMPUTED_VALUE"""),54.0)</f>
        <v>54</v>
      </c>
      <c r="E1130" s="1">
        <f>IFERROR(__xludf.DUMMYFUNCTION("""COMPUTED_VALUE"""),58.0)</f>
        <v>58</v>
      </c>
      <c r="F1130" s="1">
        <f>IFERROR(__xludf.DUMMYFUNCTION("""COMPUTED_VALUE"""),68.0)</f>
        <v>68</v>
      </c>
      <c r="G1130" s="1">
        <f>IFERROR(__xludf.DUMMYFUNCTION("""COMPUTED_VALUE"""),87.0)</f>
        <v>87</v>
      </c>
      <c r="H1130" s="1">
        <f>IFERROR(__xludf.DUMMYFUNCTION("""COMPUTED_VALUE"""),74.0)</f>
        <v>74</v>
      </c>
      <c r="I1130" s="1">
        <f>IFERROR(__xludf.DUMMYFUNCTION("""COMPUTED_VALUE"""),50.0)</f>
        <v>50</v>
      </c>
      <c r="J1130" s="1">
        <f>IFERROR(__xludf.DUMMYFUNCTION("""COMPUTED_VALUE"""),337.0)</f>
        <v>337</v>
      </c>
      <c r="K1130" s="1">
        <f>IFERROR(__xludf.DUMMYFUNCTION("""COMPUTED_VALUE"""),67.4)</f>
        <v>67.4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>
        <f>IFERROR(__xludf.DUMMYFUNCTION("""COMPUTED_VALUE"""),23.0)</f>
        <v>23</v>
      </c>
      <c r="E1131" s="1">
        <f>IFERROR(__xludf.DUMMYFUNCTION("""COMPUTED_VALUE"""),67.0)</f>
        <v>67</v>
      </c>
      <c r="F1131" s="1">
        <f>IFERROR(__xludf.DUMMYFUNCTION("""COMPUTED_VALUE"""),25.0)</f>
        <v>25</v>
      </c>
      <c r="G1131" s="1">
        <f>IFERROR(__xludf.DUMMYFUNCTION("""COMPUTED_VALUE"""),94.0)</f>
        <v>94</v>
      </c>
      <c r="H1131" s="1">
        <f>IFERROR(__xludf.DUMMYFUNCTION("""COMPUTED_VALUE"""),23.0)</f>
        <v>23</v>
      </c>
      <c r="I1131" s="1">
        <f>IFERROR(__xludf.DUMMYFUNCTION("""COMPUTED_VALUE"""),72.0)</f>
        <v>72</v>
      </c>
      <c r="J1131" s="1">
        <f>IFERROR(__xludf.DUMMYFUNCTION("""COMPUTED_VALUE"""),281.0)</f>
        <v>281</v>
      </c>
      <c r="K1131" s="1">
        <f>IFERROR(__xludf.DUMMYFUNCTION("""COMPUTED_VALUE"""),56.2)</f>
        <v>56.2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>
        <f>IFERROR(__xludf.DUMMYFUNCTION("""COMPUTED_VALUE"""),84.0)</f>
        <v>84</v>
      </c>
      <c r="E1132" s="1">
        <f>IFERROR(__xludf.DUMMYFUNCTION("""COMPUTED_VALUE"""),33.0)</f>
        <v>33</v>
      </c>
      <c r="F1132" s="1">
        <f>IFERROR(__xludf.DUMMYFUNCTION("""COMPUTED_VALUE"""),45.0)</f>
        <v>45</v>
      </c>
      <c r="G1132" s="1">
        <f>IFERROR(__xludf.DUMMYFUNCTION("""COMPUTED_VALUE"""),71.0)</f>
        <v>71</v>
      </c>
      <c r="H1132" s="1">
        <f>IFERROR(__xludf.DUMMYFUNCTION("""COMPUTED_VALUE"""),43.0)</f>
        <v>43</v>
      </c>
      <c r="I1132" s="1">
        <f>IFERROR(__xludf.DUMMYFUNCTION("""COMPUTED_VALUE"""),94.0)</f>
        <v>94</v>
      </c>
      <c r="J1132" s="1">
        <f>IFERROR(__xludf.DUMMYFUNCTION("""COMPUTED_VALUE"""),286.0)</f>
        <v>286</v>
      </c>
      <c r="K1132" s="1">
        <f>IFERROR(__xludf.DUMMYFUNCTION("""COMPUTED_VALUE"""),57.199999999999996)</f>
        <v>57.2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>
        <f>IFERROR(__xludf.DUMMYFUNCTION("""COMPUTED_VALUE"""),77.0)</f>
        <v>77</v>
      </c>
      <c r="E1133" s="1">
        <f>IFERROR(__xludf.DUMMYFUNCTION("""COMPUTED_VALUE"""),97.0)</f>
        <v>97</v>
      </c>
      <c r="F1133" s="1">
        <f>IFERROR(__xludf.DUMMYFUNCTION("""COMPUTED_VALUE"""),99.0)</f>
        <v>99</v>
      </c>
      <c r="G1133" s="1">
        <f>IFERROR(__xludf.DUMMYFUNCTION("""COMPUTED_VALUE"""),75.0)</f>
        <v>75</v>
      </c>
      <c r="H1133" s="1">
        <f>IFERROR(__xludf.DUMMYFUNCTION("""COMPUTED_VALUE"""),90.0)</f>
        <v>90</v>
      </c>
      <c r="I1133" s="1">
        <f>IFERROR(__xludf.DUMMYFUNCTION("""COMPUTED_VALUE"""),60.0)</f>
        <v>60</v>
      </c>
      <c r="J1133" s="1">
        <f>IFERROR(__xludf.DUMMYFUNCTION("""COMPUTED_VALUE"""),421.0)</f>
        <v>421</v>
      </c>
      <c r="K1133" s="1">
        <f>IFERROR(__xludf.DUMMYFUNCTION("""COMPUTED_VALUE"""),84.2)</f>
        <v>84.2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>
        <f>IFERROR(__xludf.DUMMYFUNCTION("""COMPUTED_VALUE"""),33.0)</f>
        <v>33</v>
      </c>
      <c r="E1134" s="1">
        <f>IFERROR(__xludf.DUMMYFUNCTION("""COMPUTED_VALUE"""),22.0)</f>
        <v>22</v>
      </c>
      <c r="F1134" s="1">
        <f>IFERROR(__xludf.DUMMYFUNCTION("""COMPUTED_VALUE"""),68.0)</f>
        <v>68</v>
      </c>
      <c r="G1134" s="1">
        <f>IFERROR(__xludf.DUMMYFUNCTION("""COMPUTED_VALUE"""),26.0)</f>
        <v>26</v>
      </c>
      <c r="H1134" s="1">
        <f>IFERROR(__xludf.DUMMYFUNCTION("""COMPUTED_VALUE"""),52.0)</f>
        <v>52</v>
      </c>
      <c r="I1134" s="1">
        <f>IFERROR(__xludf.DUMMYFUNCTION("""COMPUTED_VALUE"""),25.0)</f>
        <v>25</v>
      </c>
      <c r="J1134" s="1">
        <f>IFERROR(__xludf.DUMMYFUNCTION("""COMPUTED_VALUE"""),193.0)</f>
        <v>193</v>
      </c>
      <c r="K1134" s="1">
        <f>IFERROR(__xludf.DUMMYFUNCTION("""COMPUTED_VALUE"""),38.6)</f>
        <v>38.6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>
        <f>IFERROR(__xludf.DUMMYFUNCTION("""COMPUTED_VALUE"""),63.0)</f>
        <v>63</v>
      </c>
      <c r="E1135" s="1">
        <f>IFERROR(__xludf.DUMMYFUNCTION("""COMPUTED_VALUE"""),29.0)</f>
        <v>29</v>
      </c>
      <c r="F1135" s="1">
        <f>IFERROR(__xludf.DUMMYFUNCTION("""COMPUTED_VALUE"""),42.0)</f>
        <v>42</v>
      </c>
      <c r="G1135" s="1">
        <f>IFERROR(__xludf.DUMMYFUNCTION("""COMPUTED_VALUE"""),74.0)</f>
        <v>74</v>
      </c>
      <c r="H1135" s="1">
        <f>IFERROR(__xludf.DUMMYFUNCTION("""COMPUTED_VALUE"""),35.0)</f>
        <v>35</v>
      </c>
      <c r="I1135" s="1">
        <f>IFERROR(__xludf.DUMMYFUNCTION("""COMPUTED_VALUE"""),53.0)</f>
        <v>53</v>
      </c>
      <c r="J1135" s="1">
        <f>IFERROR(__xludf.DUMMYFUNCTION("""COMPUTED_VALUE"""),233.0)</f>
        <v>233</v>
      </c>
      <c r="K1135" s="1">
        <f>IFERROR(__xludf.DUMMYFUNCTION("""COMPUTED_VALUE"""),46.6)</f>
        <v>46.6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>
        <f>IFERROR(__xludf.DUMMYFUNCTION("""COMPUTED_VALUE"""),22.0)</f>
        <v>22</v>
      </c>
      <c r="E1136" s="1">
        <f>IFERROR(__xludf.DUMMYFUNCTION("""COMPUTED_VALUE"""),54.0)</f>
        <v>54</v>
      </c>
      <c r="F1136" s="1">
        <f>IFERROR(__xludf.DUMMYFUNCTION("""COMPUTED_VALUE"""),28.0)</f>
        <v>28</v>
      </c>
      <c r="G1136" s="1">
        <f>IFERROR(__xludf.DUMMYFUNCTION("""COMPUTED_VALUE"""),56.0)</f>
        <v>56</v>
      </c>
      <c r="H1136" s="1">
        <f>IFERROR(__xludf.DUMMYFUNCTION("""COMPUTED_VALUE"""),32.0)</f>
        <v>32</v>
      </c>
      <c r="I1136" s="1">
        <f>IFERROR(__xludf.DUMMYFUNCTION("""COMPUTED_VALUE"""),62.0)</f>
        <v>62</v>
      </c>
      <c r="J1136" s="1">
        <f>IFERROR(__xludf.DUMMYFUNCTION("""COMPUTED_VALUE"""),232.0)</f>
        <v>232</v>
      </c>
      <c r="K1136" s="1">
        <f>IFERROR(__xludf.DUMMYFUNCTION("""COMPUTED_VALUE"""),46.400000000000006)</f>
        <v>46.4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>
        <f>IFERROR(__xludf.DUMMYFUNCTION("""COMPUTED_VALUE"""),32.0)</f>
        <v>32</v>
      </c>
      <c r="E1137" s="1">
        <f>IFERROR(__xludf.DUMMYFUNCTION("""COMPUTED_VALUE"""),55.0)</f>
        <v>55</v>
      </c>
      <c r="F1137" s="1">
        <f>IFERROR(__xludf.DUMMYFUNCTION("""COMPUTED_VALUE"""),75.0)</f>
        <v>75</v>
      </c>
      <c r="G1137" s="1">
        <f>IFERROR(__xludf.DUMMYFUNCTION("""COMPUTED_VALUE"""),86.0)</f>
        <v>86</v>
      </c>
      <c r="H1137" s="1">
        <f>IFERROR(__xludf.DUMMYFUNCTION("""COMPUTED_VALUE"""),90.0)</f>
        <v>90</v>
      </c>
      <c r="I1137" s="1">
        <f>IFERROR(__xludf.DUMMYFUNCTION("""COMPUTED_VALUE"""),42.0)</f>
        <v>42</v>
      </c>
      <c r="J1137" s="1">
        <f>IFERROR(__xludf.DUMMYFUNCTION("""COMPUTED_VALUE"""),348.0)</f>
        <v>348</v>
      </c>
      <c r="K1137" s="1">
        <f>IFERROR(__xludf.DUMMYFUNCTION("""COMPUTED_VALUE"""),69.6)</f>
        <v>69.6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>
        <f>IFERROR(__xludf.DUMMYFUNCTION("""COMPUTED_VALUE"""),19.0)</f>
        <v>19</v>
      </c>
      <c r="E1138" s="1">
        <f>IFERROR(__xludf.DUMMYFUNCTION("""COMPUTED_VALUE"""),61.0)</f>
        <v>61</v>
      </c>
      <c r="F1138" s="1">
        <f>IFERROR(__xludf.DUMMYFUNCTION("""COMPUTED_VALUE"""),59.0)</f>
        <v>59</v>
      </c>
      <c r="G1138" s="1">
        <f>IFERROR(__xludf.DUMMYFUNCTION("""COMPUTED_VALUE"""),35.0)</f>
        <v>35</v>
      </c>
      <c r="H1138" s="1">
        <f>IFERROR(__xludf.DUMMYFUNCTION("""COMPUTED_VALUE"""),51.0)</f>
        <v>51</v>
      </c>
      <c r="I1138" s="1">
        <f>IFERROR(__xludf.DUMMYFUNCTION("""COMPUTED_VALUE"""),51.0)</f>
        <v>51</v>
      </c>
      <c r="J1138" s="1">
        <f>IFERROR(__xludf.DUMMYFUNCTION("""COMPUTED_VALUE"""),257.0)</f>
        <v>257</v>
      </c>
      <c r="K1138" s="1">
        <f>IFERROR(__xludf.DUMMYFUNCTION("""COMPUTED_VALUE"""),51.4)</f>
        <v>51.4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>
        <f>IFERROR(__xludf.DUMMYFUNCTION("""COMPUTED_VALUE"""),47.0)</f>
        <v>47</v>
      </c>
      <c r="E1139" s="1">
        <f>IFERROR(__xludf.DUMMYFUNCTION("""COMPUTED_VALUE"""),24.0)</f>
        <v>24</v>
      </c>
      <c r="F1139" s="1">
        <f>IFERROR(__xludf.DUMMYFUNCTION("""COMPUTED_VALUE"""),64.0)</f>
        <v>64</v>
      </c>
      <c r="G1139" s="1">
        <f>IFERROR(__xludf.DUMMYFUNCTION("""COMPUTED_VALUE"""),74.0)</f>
        <v>74</v>
      </c>
      <c r="H1139" s="1">
        <f>IFERROR(__xludf.DUMMYFUNCTION("""COMPUTED_VALUE"""),72.0)</f>
        <v>72</v>
      </c>
      <c r="I1139" s="1">
        <f>IFERROR(__xludf.DUMMYFUNCTION("""COMPUTED_VALUE"""),51.0)</f>
        <v>51</v>
      </c>
      <c r="J1139" s="1">
        <f>IFERROR(__xludf.DUMMYFUNCTION("""COMPUTED_VALUE"""),285.0)</f>
        <v>285</v>
      </c>
      <c r="K1139" s="1">
        <f>IFERROR(__xludf.DUMMYFUNCTION("""COMPUTED_VALUE"""),56.99999999999999)</f>
        <v>57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>
        <f>IFERROR(__xludf.DUMMYFUNCTION("""COMPUTED_VALUE"""),28.0)</f>
        <v>28</v>
      </c>
      <c r="E1140" s="1">
        <f>IFERROR(__xludf.DUMMYFUNCTION("""COMPUTED_VALUE"""),63.0)</f>
        <v>63</v>
      </c>
      <c r="F1140" s="1">
        <f>IFERROR(__xludf.DUMMYFUNCTION("""COMPUTED_VALUE"""),69.0)</f>
        <v>69</v>
      </c>
      <c r="G1140" s="1">
        <f>IFERROR(__xludf.DUMMYFUNCTION("""COMPUTED_VALUE"""),97.0)</f>
        <v>97</v>
      </c>
      <c r="H1140" s="1">
        <f>IFERROR(__xludf.DUMMYFUNCTION("""COMPUTED_VALUE"""),81.0)</f>
        <v>81</v>
      </c>
      <c r="I1140" s="1">
        <f>IFERROR(__xludf.DUMMYFUNCTION("""COMPUTED_VALUE"""),38.0)</f>
        <v>38</v>
      </c>
      <c r="J1140" s="1">
        <f>IFERROR(__xludf.DUMMYFUNCTION("""COMPUTED_VALUE"""),348.0)</f>
        <v>348</v>
      </c>
      <c r="K1140" s="1">
        <f>IFERROR(__xludf.DUMMYFUNCTION("""COMPUTED_VALUE"""),69.6)</f>
        <v>69.6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>
        <f>IFERROR(__xludf.DUMMYFUNCTION("""COMPUTED_VALUE"""),63.0)</f>
        <v>63</v>
      </c>
      <c r="E1141" s="1">
        <f>IFERROR(__xludf.DUMMYFUNCTION("""COMPUTED_VALUE"""),92.0)</f>
        <v>92</v>
      </c>
      <c r="F1141" s="1">
        <f>IFERROR(__xludf.DUMMYFUNCTION("""COMPUTED_VALUE"""),56.0)</f>
        <v>56</v>
      </c>
      <c r="G1141" s="1">
        <f>IFERROR(__xludf.DUMMYFUNCTION("""COMPUTED_VALUE"""),37.0)</f>
        <v>37</v>
      </c>
      <c r="H1141" s="1">
        <f>IFERROR(__xludf.DUMMYFUNCTION("""COMPUTED_VALUE"""),62.0)</f>
        <v>62</v>
      </c>
      <c r="I1141" s="1">
        <f>IFERROR(__xludf.DUMMYFUNCTION("""COMPUTED_VALUE"""),44.0)</f>
        <v>44</v>
      </c>
      <c r="J1141" s="1">
        <f>IFERROR(__xludf.DUMMYFUNCTION("""COMPUTED_VALUE"""),291.0)</f>
        <v>291</v>
      </c>
      <c r="K1141" s="1">
        <f>IFERROR(__xludf.DUMMYFUNCTION("""COMPUTED_VALUE"""),58.199999999999996)</f>
        <v>58.2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>
        <f>IFERROR(__xludf.DUMMYFUNCTION("""COMPUTED_VALUE"""),47.0)</f>
        <v>47</v>
      </c>
      <c r="E1142" s="1">
        <f>IFERROR(__xludf.DUMMYFUNCTION("""COMPUTED_VALUE"""),83.0)</f>
        <v>83</v>
      </c>
      <c r="F1142" s="1">
        <f>IFERROR(__xludf.DUMMYFUNCTION("""COMPUTED_VALUE"""),75.0)</f>
        <v>75</v>
      </c>
      <c r="G1142" s="1">
        <f>IFERROR(__xludf.DUMMYFUNCTION("""COMPUTED_VALUE"""),39.0)</f>
        <v>39</v>
      </c>
      <c r="H1142" s="1">
        <f>IFERROR(__xludf.DUMMYFUNCTION("""COMPUTED_VALUE"""),41.0)</f>
        <v>41</v>
      </c>
      <c r="I1142" s="1">
        <f>IFERROR(__xludf.DUMMYFUNCTION("""COMPUTED_VALUE"""),77.0)</f>
        <v>77</v>
      </c>
      <c r="J1142" s="1">
        <f>IFERROR(__xludf.DUMMYFUNCTION("""COMPUTED_VALUE"""),315.0)</f>
        <v>315</v>
      </c>
      <c r="K1142" s="1">
        <f>IFERROR(__xludf.DUMMYFUNCTION("""COMPUTED_VALUE"""),63.0)</f>
        <v>63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>
        <f>IFERROR(__xludf.DUMMYFUNCTION("""COMPUTED_VALUE"""),42.0)</f>
        <v>42</v>
      </c>
      <c r="E1143" s="1">
        <f>IFERROR(__xludf.DUMMYFUNCTION("""COMPUTED_VALUE"""),91.0)</f>
        <v>91</v>
      </c>
      <c r="F1143" s="1">
        <f>IFERROR(__xludf.DUMMYFUNCTION("""COMPUTED_VALUE"""),84.0)</f>
        <v>84</v>
      </c>
      <c r="G1143" s="1">
        <f>IFERROR(__xludf.DUMMYFUNCTION("""COMPUTED_VALUE"""),82.0)</f>
        <v>82</v>
      </c>
      <c r="H1143" s="1">
        <f>IFERROR(__xludf.DUMMYFUNCTION("""COMPUTED_VALUE"""),44.0)</f>
        <v>44</v>
      </c>
      <c r="I1143" s="1">
        <f>IFERROR(__xludf.DUMMYFUNCTION("""COMPUTED_VALUE"""),42.0)</f>
        <v>42</v>
      </c>
      <c r="J1143" s="1">
        <f>IFERROR(__xludf.DUMMYFUNCTION("""COMPUTED_VALUE"""),343.0)</f>
        <v>343</v>
      </c>
      <c r="K1143" s="1">
        <f>IFERROR(__xludf.DUMMYFUNCTION("""COMPUTED_VALUE"""),68.60000000000001)</f>
        <v>68.6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>
        <f>IFERROR(__xludf.DUMMYFUNCTION("""COMPUTED_VALUE"""),46.0)</f>
        <v>46</v>
      </c>
      <c r="E1144" s="1">
        <f>IFERROR(__xludf.DUMMYFUNCTION("""COMPUTED_VALUE"""),32.0)</f>
        <v>32</v>
      </c>
      <c r="F1144" s="1">
        <f>IFERROR(__xludf.DUMMYFUNCTION("""COMPUTED_VALUE"""),22.0)</f>
        <v>22</v>
      </c>
      <c r="G1144" s="1">
        <f>IFERROR(__xludf.DUMMYFUNCTION("""COMPUTED_VALUE"""),38.0)</f>
        <v>38</v>
      </c>
      <c r="H1144" s="1">
        <f>IFERROR(__xludf.DUMMYFUNCTION("""COMPUTED_VALUE"""),64.0)</f>
        <v>64</v>
      </c>
      <c r="I1144" s="1">
        <f>IFERROR(__xludf.DUMMYFUNCTION("""COMPUTED_VALUE"""),43.0)</f>
        <v>43</v>
      </c>
      <c r="J1144" s="1">
        <f>IFERROR(__xludf.DUMMYFUNCTION("""COMPUTED_VALUE"""),199.0)</f>
        <v>199</v>
      </c>
      <c r="K1144" s="1">
        <f>IFERROR(__xludf.DUMMYFUNCTION("""COMPUTED_VALUE"""),39.800000000000004)</f>
        <v>39.8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>
        <f>IFERROR(__xludf.DUMMYFUNCTION("""COMPUTED_VALUE"""),37.0)</f>
        <v>37</v>
      </c>
      <c r="E1145" s="1">
        <f>IFERROR(__xludf.DUMMYFUNCTION("""COMPUTED_VALUE"""),53.0)</f>
        <v>53</v>
      </c>
      <c r="F1145" s="1">
        <f>IFERROR(__xludf.DUMMYFUNCTION("""COMPUTED_VALUE"""),99.0)</f>
        <v>99</v>
      </c>
      <c r="G1145" s="1">
        <f>IFERROR(__xludf.DUMMYFUNCTION("""COMPUTED_VALUE"""),49.0)</f>
        <v>49</v>
      </c>
      <c r="H1145" s="1">
        <f>IFERROR(__xludf.DUMMYFUNCTION("""COMPUTED_VALUE"""),56.0)</f>
        <v>56</v>
      </c>
      <c r="I1145" s="1">
        <f>IFERROR(__xludf.DUMMYFUNCTION("""COMPUTED_VALUE"""),50.0)</f>
        <v>50</v>
      </c>
      <c r="J1145" s="1">
        <f>IFERROR(__xludf.DUMMYFUNCTION("""COMPUTED_VALUE"""),307.0)</f>
        <v>307</v>
      </c>
      <c r="K1145" s="1">
        <f>IFERROR(__xludf.DUMMYFUNCTION("""COMPUTED_VALUE"""),61.4)</f>
        <v>61.4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>
        <f>IFERROR(__xludf.DUMMYFUNCTION("""COMPUTED_VALUE"""),60.0)</f>
        <v>60</v>
      </c>
      <c r="E1146" s="1">
        <f>IFERROR(__xludf.DUMMYFUNCTION("""COMPUTED_VALUE"""),44.0)</f>
        <v>44</v>
      </c>
      <c r="F1146" s="1">
        <f>IFERROR(__xludf.DUMMYFUNCTION("""COMPUTED_VALUE"""),59.0)</f>
        <v>59</v>
      </c>
      <c r="G1146" s="1">
        <f>IFERROR(__xludf.DUMMYFUNCTION("""COMPUTED_VALUE"""),44.0)</f>
        <v>44</v>
      </c>
      <c r="H1146" s="1">
        <f>IFERROR(__xludf.DUMMYFUNCTION("""COMPUTED_VALUE"""),66.0)</f>
        <v>66</v>
      </c>
      <c r="I1146" s="1">
        <f>IFERROR(__xludf.DUMMYFUNCTION("""COMPUTED_VALUE"""),52.0)</f>
        <v>52</v>
      </c>
      <c r="J1146" s="1">
        <f>IFERROR(__xludf.DUMMYFUNCTION("""COMPUTED_VALUE"""),265.0)</f>
        <v>265</v>
      </c>
      <c r="K1146" s="1">
        <f>IFERROR(__xludf.DUMMYFUNCTION("""COMPUTED_VALUE"""),53.0)</f>
        <v>53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>
        <f>IFERROR(__xludf.DUMMYFUNCTION("""COMPUTED_VALUE"""),21.0)</f>
        <v>21</v>
      </c>
      <c r="E1147" s="1">
        <f>IFERROR(__xludf.DUMMYFUNCTION("""COMPUTED_VALUE"""),70.0)</f>
        <v>70</v>
      </c>
      <c r="F1147" s="1">
        <f>IFERROR(__xludf.DUMMYFUNCTION("""COMPUTED_VALUE"""),26.0)</f>
        <v>26</v>
      </c>
      <c r="G1147" s="1">
        <f>IFERROR(__xludf.DUMMYFUNCTION("""COMPUTED_VALUE"""),89.0)</f>
        <v>89</v>
      </c>
      <c r="H1147" s="1">
        <f>IFERROR(__xludf.DUMMYFUNCTION("""COMPUTED_VALUE"""),58.0)</f>
        <v>58</v>
      </c>
      <c r="I1147" s="1">
        <f>IFERROR(__xludf.DUMMYFUNCTION("""COMPUTED_VALUE"""),33.0)</f>
        <v>33</v>
      </c>
      <c r="J1147" s="1">
        <f>IFERROR(__xludf.DUMMYFUNCTION("""COMPUTED_VALUE"""),276.0)</f>
        <v>276</v>
      </c>
      <c r="K1147" s="1">
        <f>IFERROR(__xludf.DUMMYFUNCTION("""COMPUTED_VALUE"""),55.2)</f>
        <v>55.2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>
        <f>IFERROR(__xludf.DUMMYFUNCTION("""COMPUTED_VALUE"""),79.0)</f>
        <v>79</v>
      </c>
      <c r="E1148" s="1">
        <f>IFERROR(__xludf.DUMMYFUNCTION("""COMPUTED_VALUE"""),27.0)</f>
        <v>27</v>
      </c>
      <c r="F1148" s="1">
        <f>IFERROR(__xludf.DUMMYFUNCTION("""COMPUTED_VALUE"""),63.0)</f>
        <v>63</v>
      </c>
      <c r="G1148" s="1">
        <f>IFERROR(__xludf.DUMMYFUNCTION("""COMPUTED_VALUE"""),35.0)</f>
        <v>35</v>
      </c>
      <c r="H1148" s="1">
        <f>IFERROR(__xludf.DUMMYFUNCTION("""COMPUTED_VALUE"""),25.0)</f>
        <v>25</v>
      </c>
      <c r="I1148" s="1">
        <f>IFERROR(__xludf.DUMMYFUNCTION("""COMPUTED_VALUE"""),56.0)</f>
        <v>56</v>
      </c>
      <c r="J1148" s="1">
        <f>IFERROR(__xludf.DUMMYFUNCTION("""COMPUTED_VALUE"""),206.0)</f>
        <v>206</v>
      </c>
      <c r="K1148" s="1">
        <f>IFERROR(__xludf.DUMMYFUNCTION("""COMPUTED_VALUE"""),41.199999999999996)</f>
        <v>41.2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>
        <f>IFERROR(__xludf.DUMMYFUNCTION("""COMPUTED_VALUE"""),61.0)</f>
        <v>61</v>
      </c>
      <c r="E1149" s="1">
        <f>IFERROR(__xludf.DUMMYFUNCTION("""COMPUTED_VALUE"""),81.0)</f>
        <v>81</v>
      </c>
      <c r="F1149" s="1">
        <f>IFERROR(__xludf.DUMMYFUNCTION("""COMPUTED_VALUE"""),45.0)</f>
        <v>45</v>
      </c>
      <c r="G1149" s="1">
        <f>IFERROR(__xludf.DUMMYFUNCTION("""COMPUTED_VALUE"""),50.0)</f>
        <v>50</v>
      </c>
      <c r="H1149" s="1">
        <f>IFERROR(__xludf.DUMMYFUNCTION("""COMPUTED_VALUE"""),78.0)</f>
        <v>78</v>
      </c>
      <c r="I1149" s="1">
        <f>IFERROR(__xludf.DUMMYFUNCTION("""COMPUTED_VALUE"""),35.0)</f>
        <v>35</v>
      </c>
      <c r="J1149" s="1">
        <f>IFERROR(__xludf.DUMMYFUNCTION("""COMPUTED_VALUE"""),289.0)</f>
        <v>289</v>
      </c>
      <c r="K1149" s="1">
        <f>IFERROR(__xludf.DUMMYFUNCTION("""COMPUTED_VALUE"""),57.8)</f>
        <v>57.8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>
        <f>IFERROR(__xludf.DUMMYFUNCTION("""COMPUTED_VALUE"""),21.0)</f>
        <v>21</v>
      </c>
      <c r="E1150" s="1">
        <f>IFERROR(__xludf.DUMMYFUNCTION("""COMPUTED_VALUE"""),85.0)</f>
        <v>85</v>
      </c>
      <c r="F1150" s="1">
        <f>IFERROR(__xludf.DUMMYFUNCTION("""COMPUTED_VALUE"""),41.0)</f>
        <v>41</v>
      </c>
      <c r="G1150" s="1">
        <f>IFERROR(__xludf.DUMMYFUNCTION("""COMPUTED_VALUE"""),60.0)</f>
        <v>60</v>
      </c>
      <c r="H1150" s="1">
        <f>IFERROR(__xludf.DUMMYFUNCTION("""COMPUTED_VALUE"""),76.0)</f>
        <v>76</v>
      </c>
      <c r="I1150" s="1">
        <f>IFERROR(__xludf.DUMMYFUNCTION("""COMPUTED_VALUE"""),76.0)</f>
        <v>76</v>
      </c>
      <c r="J1150" s="1">
        <f>IFERROR(__xludf.DUMMYFUNCTION("""COMPUTED_VALUE"""),338.0)</f>
        <v>338</v>
      </c>
      <c r="K1150" s="1">
        <f>IFERROR(__xludf.DUMMYFUNCTION("""COMPUTED_VALUE"""),67.60000000000001)</f>
        <v>67.6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>
        <f>IFERROR(__xludf.DUMMYFUNCTION("""COMPUTED_VALUE"""),98.0)</f>
        <v>98</v>
      </c>
      <c r="E1151" s="1">
        <f>IFERROR(__xludf.DUMMYFUNCTION("""COMPUTED_VALUE"""),50.0)</f>
        <v>50</v>
      </c>
      <c r="F1151" s="1">
        <f>IFERROR(__xludf.DUMMYFUNCTION("""COMPUTED_VALUE"""),60.0)</f>
        <v>60</v>
      </c>
      <c r="G1151" s="1">
        <f>IFERROR(__xludf.DUMMYFUNCTION("""COMPUTED_VALUE"""),47.0)</f>
        <v>47</v>
      </c>
      <c r="H1151" s="1">
        <f>IFERROR(__xludf.DUMMYFUNCTION("""COMPUTED_VALUE"""),89.0)</f>
        <v>89</v>
      </c>
      <c r="I1151" s="1">
        <f>IFERROR(__xludf.DUMMYFUNCTION("""COMPUTED_VALUE"""),59.0)</f>
        <v>59</v>
      </c>
      <c r="J1151" s="1">
        <f>IFERROR(__xludf.DUMMYFUNCTION("""COMPUTED_VALUE"""),305.0)</f>
        <v>305</v>
      </c>
      <c r="K1151" s="1">
        <f>IFERROR(__xludf.DUMMYFUNCTION("""COMPUTED_VALUE"""),61.0)</f>
        <v>61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>
        <f>IFERROR(__xludf.DUMMYFUNCTION("""COMPUTED_VALUE"""),84.0)</f>
        <v>84</v>
      </c>
      <c r="E1152" s="1">
        <f>IFERROR(__xludf.DUMMYFUNCTION("""COMPUTED_VALUE"""),51.0)</f>
        <v>51</v>
      </c>
      <c r="F1152" s="1">
        <f>IFERROR(__xludf.DUMMYFUNCTION("""COMPUTED_VALUE"""),28.0)</f>
        <v>28</v>
      </c>
      <c r="G1152" s="1">
        <f>IFERROR(__xludf.DUMMYFUNCTION("""COMPUTED_VALUE"""),87.0)</f>
        <v>87</v>
      </c>
      <c r="H1152" s="1">
        <f>IFERROR(__xludf.DUMMYFUNCTION("""COMPUTED_VALUE"""),25.0)</f>
        <v>25</v>
      </c>
      <c r="I1152" s="1">
        <f>IFERROR(__xludf.DUMMYFUNCTION("""COMPUTED_VALUE"""),65.0)</f>
        <v>65</v>
      </c>
      <c r="J1152" s="1">
        <f>IFERROR(__xludf.DUMMYFUNCTION("""COMPUTED_VALUE"""),256.0)</f>
        <v>256</v>
      </c>
      <c r="K1152" s="1">
        <f>IFERROR(__xludf.DUMMYFUNCTION("""COMPUTED_VALUE"""),51.2)</f>
        <v>51.2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>
        <f>IFERROR(__xludf.DUMMYFUNCTION("""COMPUTED_VALUE"""),15.0)</f>
        <v>15</v>
      </c>
      <c r="E1153" s="1">
        <f>IFERROR(__xludf.DUMMYFUNCTION("""COMPUTED_VALUE"""),66.0)</f>
        <v>66</v>
      </c>
      <c r="F1153" s="1">
        <f>IFERROR(__xludf.DUMMYFUNCTION("""COMPUTED_VALUE"""),53.0)</f>
        <v>53</v>
      </c>
      <c r="G1153" s="1">
        <f>IFERROR(__xludf.DUMMYFUNCTION("""COMPUTED_VALUE"""),23.0)</f>
        <v>23</v>
      </c>
      <c r="H1153" s="1">
        <f>IFERROR(__xludf.DUMMYFUNCTION("""COMPUTED_VALUE"""),71.0)</f>
        <v>71</v>
      </c>
      <c r="I1153" s="1">
        <f>IFERROR(__xludf.DUMMYFUNCTION("""COMPUTED_VALUE"""),93.0)</f>
        <v>93</v>
      </c>
      <c r="J1153" s="1">
        <f>IFERROR(__xludf.DUMMYFUNCTION("""COMPUTED_VALUE"""),306.0)</f>
        <v>306</v>
      </c>
      <c r="K1153" s="1">
        <f>IFERROR(__xludf.DUMMYFUNCTION("""COMPUTED_VALUE"""),61.199999999999996)</f>
        <v>61.2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>
        <f>IFERROR(__xludf.DUMMYFUNCTION("""COMPUTED_VALUE"""),95.0)</f>
        <v>95</v>
      </c>
      <c r="E1154" s="1">
        <f>IFERROR(__xludf.DUMMYFUNCTION("""COMPUTED_VALUE"""),25.0)</f>
        <v>25</v>
      </c>
      <c r="F1154" s="1">
        <f>IFERROR(__xludf.DUMMYFUNCTION("""COMPUTED_VALUE"""),31.0)</f>
        <v>31</v>
      </c>
      <c r="G1154" s="1">
        <f>IFERROR(__xludf.DUMMYFUNCTION("""COMPUTED_VALUE"""),87.0)</f>
        <v>87</v>
      </c>
      <c r="H1154" s="1">
        <f>IFERROR(__xludf.DUMMYFUNCTION("""COMPUTED_VALUE"""),73.0)</f>
        <v>73</v>
      </c>
      <c r="I1154" s="1">
        <f>IFERROR(__xludf.DUMMYFUNCTION("""COMPUTED_VALUE"""),74.0)</f>
        <v>74</v>
      </c>
      <c r="J1154" s="1">
        <f>IFERROR(__xludf.DUMMYFUNCTION("""COMPUTED_VALUE"""),290.0)</f>
        <v>290</v>
      </c>
      <c r="K1154" s="1">
        <f>IFERROR(__xludf.DUMMYFUNCTION("""COMPUTED_VALUE"""),57.99999999999999)</f>
        <v>58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>
        <f>IFERROR(__xludf.DUMMYFUNCTION("""COMPUTED_VALUE"""),30.0)</f>
        <v>30</v>
      </c>
      <c r="E1155" s="1">
        <f>IFERROR(__xludf.DUMMYFUNCTION("""COMPUTED_VALUE"""),29.0)</f>
        <v>29</v>
      </c>
      <c r="F1155" s="1">
        <f>IFERROR(__xludf.DUMMYFUNCTION("""COMPUTED_VALUE"""),85.0)</f>
        <v>85</v>
      </c>
      <c r="G1155" s="1">
        <f>IFERROR(__xludf.DUMMYFUNCTION("""COMPUTED_VALUE"""),45.0)</f>
        <v>45</v>
      </c>
      <c r="H1155" s="1">
        <f>IFERROR(__xludf.DUMMYFUNCTION("""COMPUTED_VALUE"""),36.0)</f>
        <v>36</v>
      </c>
      <c r="I1155" s="1">
        <f>IFERROR(__xludf.DUMMYFUNCTION("""COMPUTED_VALUE"""),79.0)</f>
        <v>79</v>
      </c>
      <c r="J1155" s="1">
        <f>IFERROR(__xludf.DUMMYFUNCTION("""COMPUTED_VALUE"""),274.0)</f>
        <v>274</v>
      </c>
      <c r="K1155" s="1">
        <f>IFERROR(__xludf.DUMMYFUNCTION("""COMPUTED_VALUE"""),54.800000000000004)</f>
        <v>54.8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>
        <f>IFERROR(__xludf.DUMMYFUNCTION("""COMPUTED_VALUE"""),18.0)</f>
        <v>18</v>
      </c>
      <c r="E1156" s="1">
        <f>IFERROR(__xludf.DUMMYFUNCTION("""COMPUTED_VALUE"""),35.0)</f>
        <v>35</v>
      </c>
      <c r="F1156" s="1">
        <f>IFERROR(__xludf.DUMMYFUNCTION("""COMPUTED_VALUE"""),98.0)</f>
        <v>98</v>
      </c>
      <c r="G1156" s="1">
        <f>IFERROR(__xludf.DUMMYFUNCTION("""COMPUTED_VALUE"""),82.0)</f>
        <v>82</v>
      </c>
      <c r="H1156" s="1">
        <f>IFERROR(__xludf.DUMMYFUNCTION("""COMPUTED_VALUE"""),27.0)</f>
        <v>27</v>
      </c>
      <c r="I1156" s="1">
        <f>IFERROR(__xludf.DUMMYFUNCTION("""COMPUTED_VALUE"""),31.0)</f>
        <v>31</v>
      </c>
      <c r="J1156" s="1">
        <f>IFERROR(__xludf.DUMMYFUNCTION("""COMPUTED_VALUE"""),273.0)</f>
        <v>273</v>
      </c>
      <c r="K1156" s="1">
        <f>IFERROR(__xludf.DUMMYFUNCTION("""COMPUTED_VALUE"""),54.6)</f>
        <v>54.6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>
        <f>IFERROR(__xludf.DUMMYFUNCTION("""COMPUTED_VALUE"""),16.0)</f>
        <v>16</v>
      </c>
      <c r="E1157" s="1">
        <f>IFERROR(__xludf.DUMMYFUNCTION("""COMPUTED_VALUE"""),72.0)</f>
        <v>72</v>
      </c>
      <c r="F1157" s="1">
        <f>IFERROR(__xludf.DUMMYFUNCTION("""COMPUTED_VALUE"""),47.0)</f>
        <v>47</v>
      </c>
      <c r="G1157" s="1">
        <f>IFERROR(__xludf.DUMMYFUNCTION("""COMPUTED_VALUE"""),40.0)</f>
        <v>40</v>
      </c>
      <c r="H1157" s="1">
        <f>IFERROR(__xludf.DUMMYFUNCTION("""COMPUTED_VALUE"""),72.0)</f>
        <v>72</v>
      </c>
      <c r="I1157" s="1">
        <f>IFERROR(__xludf.DUMMYFUNCTION("""COMPUTED_VALUE"""),95.0)</f>
        <v>95</v>
      </c>
      <c r="J1157" s="1">
        <f>IFERROR(__xludf.DUMMYFUNCTION("""COMPUTED_VALUE"""),326.0)</f>
        <v>326</v>
      </c>
      <c r="K1157" s="1">
        <f>IFERROR(__xludf.DUMMYFUNCTION("""COMPUTED_VALUE"""),65.2)</f>
        <v>65.2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>
        <f>IFERROR(__xludf.DUMMYFUNCTION("""COMPUTED_VALUE"""),55.0)</f>
        <v>55</v>
      </c>
      <c r="E1158" s="1">
        <f>IFERROR(__xludf.DUMMYFUNCTION("""COMPUTED_VALUE"""),82.0)</f>
        <v>82</v>
      </c>
      <c r="F1158" s="1">
        <f>IFERROR(__xludf.DUMMYFUNCTION("""COMPUTED_VALUE"""),82.0)</f>
        <v>82</v>
      </c>
      <c r="G1158" s="1">
        <f>IFERROR(__xludf.DUMMYFUNCTION("""COMPUTED_VALUE"""),85.0)</f>
        <v>85</v>
      </c>
      <c r="H1158" s="1">
        <f>IFERROR(__xludf.DUMMYFUNCTION("""COMPUTED_VALUE"""),31.0)</f>
        <v>31</v>
      </c>
      <c r="I1158" s="1">
        <f>IFERROR(__xludf.DUMMYFUNCTION("""COMPUTED_VALUE"""),70.0)</f>
        <v>70</v>
      </c>
      <c r="J1158" s="1">
        <f>IFERROR(__xludf.DUMMYFUNCTION("""COMPUTED_VALUE"""),350.0)</f>
        <v>350</v>
      </c>
      <c r="K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>
        <f>IFERROR(__xludf.DUMMYFUNCTION("""COMPUTED_VALUE"""),28.0)</f>
        <v>28</v>
      </c>
      <c r="E1159" s="1">
        <f>IFERROR(__xludf.DUMMYFUNCTION("""COMPUTED_VALUE"""),21.0)</f>
        <v>21</v>
      </c>
      <c r="F1159" s="1">
        <f>IFERROR(__xludf.DUMMYFUNCTION("""COMPUTED_VALUE"""),80.0)</f>
        <v>80</v>
      </c>
      <c r="G1159" s="1">
        <f>IFERROR(__xludf.DUMMYFUNCTION("""COMPUTED_VALUE"""),99.0)</f>
        <v>99</v>
      </c>
      <c r="H1159" s="1">
        <f>IFERROR(__xludf.DUMMYFUNCTION("""COMPUTED_VALUE"""),39.0)</f>
        <v>39</v>
      </c>
      <c r="I1159" s="1">
        <f>IFERROR(__xludf.DUMMYFUNCTION("""COMPUTED_VALUE"""),45.0)</f>
        <v>45</v>
      </c>
      <c r="J1159" s="1">
        <f>IFERROR(__xludf.DUMMYFUNCTION("""COMPUTED_VALUE"""),284.0)</f>
        <v>284</v>
      </c>
      <c r="K1159" s="1">
        <f>IFERROR(__xludf.DUMMYFUNCTION("""COMPUTED_VALUE"""),56.8)</f>
        <v>56.8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>
        <f>IFERROR(__xludf.DUMMYFUNCTION("""COMPUTED_VALUE"""),79.0)</f>
        <v>79</v>
      </c>
      <c r="E1160" s="1">
        <f>IFERROR(__xludf.DUMMYFUNCTION("""COMPUTED_VALUE"""),99.0)</f>
        <v>99</v>
      </c>
      <c r="F1160" s="1">
        <f>IFERROR(__xludf.DUMMYFUNCTION("""COMPUTED_VALUE"""),36.0)</f>
        <v>36</v>
      </c>
      <c r="G1160" s="1">
        <f>IFERROR(__xludf.DUMMYFUNCTION("""COMPUTED_VALUE"""),51.0)</f>
        <v>51</v>
      </c>
      <c r="H1160" s="1">
        <f>IFERROR(__xludf.DUMMYFUNCTION("""COMPUTED_VALUE"""),22.0)</f>
        <v>22</v>
      </c>
      <c r="I1160" s="1">
        <f>IFERROR(__xludf.DUMMYFUNCTION("""COMPUTED_VALUE"""),26.0)</f>
        <v>26</v>
      </c>
      <c r="J1160" s="1">
        <f>IFERROR(__xludf.DUMMYFUNCTION("""COMPUTED_VALUE"""),234.0)</f>
        <v>234</v>
      </c>
      <c r="K1160" s="1">
        <f>IFERROR(__xludf.DUMMYFUNCTION("""COMPUTED_VALUE"""),46.800000000000004)</f>
        <v>46.8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>
        <f>IFERROR(__xludf.DUMMYFUNCTION("""COMPUTED_VALUE"""),92.0)</f>
        <v>92</v>
      </c>
      <c r="E1161" s="1">
        <f>IFERROR(__xludf.DUMMYFUNCTION("""COMPUTED_VALUE"""),88.0)</f>
        <v>88</v>
      </c>
      <c r="F1161" s="1">
        <f>IFERROR(__xludf.DUMMYFUNCTION("""COMPUTED_VALUE"""),33.0)</f>
        <v>33</v>
      </c>
      <c r="G1161" s="1">
        <f>IFERROR(__xludf.DUMMYFUNCTION("""COMPUTED_VALUE"""),32.0)</f>
        <v>32</v>
      </c>
      <c r="H1161" s="1">
        <f>IFERROR(__xludf.DUMMYFUNCTION("""COMPUTED_VALUE"""),47.0)</f>
        <v>47</v>
      </c>
      <c r="I1161" s="1">
        <f>IFERROR(__xludf.DUMMYFUNCTION("""COMPUTED_VALUE"""),67.0)</f>
        <v>67</v>
      </c>
      <c r="J1161" s="1">
        <f>IFERROR(__xludf.DUMMYFUNCTION("""COMPUTED_VALUE"""),267.0)</f>
        <v>267</v>
      </c>
      <c r="K1161" s="1">
        <f>IFERROR(__xludf.DUMMYFUNCTION("""COMPUTED_VALUE"""),53.400000000000006)</f>
        <v>53.4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>
        <f>IFERROR(__xludf.DUMMYFUNCTION("""COMPUTED_VALUE"""),10.0)</f>
        <v>10</v>
      </c>
      <c r="E1162" s="1">
        <f>IFERROR(__xludf.DUMMYFUNCTION("""COMPUTED_VALUE"""),93.0)</f>
        <v>93</v>
      </c>
      <c r="F1162" s="1">
        <f>IFERROR(__xludf.DUMMYFUNCTION("""COMPUTED_VALUE"""),81.0)</f>
        <v>81</v>
      </c>
      <c r="G1162" s="1">
        <f>IFERROR(__xludf.DUMMYFUNCTION("""COMPUTED_VALUE"""),84.0)</f>
        <v>84</v>
      </c>
      <c r="H1162" s="1">
        <f>IFERROR(__xludf.DUMMYFUNCTION("""COMPUTED_VALUE"""),39.0)</f>
        <v>39</v>
      </c>
      <c r="I1162" s="1">
        <f>IFERROR(__xludf.DUMMYFUNCTION("""COMPUTED_VALUE"""),63.0)</f>
        <v>63</v>
      </c>
      <c r="J1162" s="1">
        <f>IFERROR(__xludf.DUMMYFUNCTION("""COMPUTED_VALUE"""),360.0)</f>
        <v>360</v>
      </c>
      <c r="K1162" s="1">
        <f>IFERROR(__xludf.DUMMYFUNCTION("""COMPUTED_VALUE"""),72.0)</f>
        <v>72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>
        <f>IFERROR(__xludf.DUMMYFUNCTION("""COMPUTED_VALUE"""),10.0)</f>
        <v>10</v>
      </c>
      <c r="E1163" s="1">
        <f>IFERROR(__xludf.DUMMYFUNCTION("""COMPUTED_VALUE"""),80.0)</f>
        <v>80</v>
      </c>
      <c r="F1163" s="1">
        <f>IFERROR(__xludf.DUMMYFUNCTION("""COMPUTED_VALUE"""),72.0)</f>
        <v>72</v>
      </c>
      <c r="G1163" s="1">
        <f>IFERROR(__xludf.DUMMYFUNCTION("""COMPUTED_VALUE"""),87.0)</f>
        <v>87</v>
      </c>
      <c r="H1163" s="1">
        <f>IFERROR(__xludf.DUMMYFUNCTION("""COMPUTED_VALUE"""),98.0)</f>
        <v>98</v>
      </c>
      <c r="I1163" s="1">
        <f>IFERROR(__xludf.DUMMYFUNCTION("""COMPUTED_VALUE"""),42.0)</f>
        <v>42</v>
      </c>
      <c r="J1163" s="1">
        <f>IFERROR(__xludf.DUMMYFUNCTION("""COMPUTED_VALUE"""),379.0)</f>
        <v>379</v>
      </c>
      <c r="K1163" s="1">
        <f>IFERROR(__xludf.DUMMYFUNCTION("""COMPUTED_VALUE"""),75.8)</f>
        <v>75.8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>
        <f>IFERROR(__xludf.DUMMYFUNCTION("""COMPUTED_VALUE"""),42.0)</f>
        <v>42</v>
      </c>
      <c r="E1164" s="1">
        <f>IFERROR(__xludf.DUMMYFUNCTION("""COMPUTED_VALUE"""),74.0)</f>
        <v>74</v>
      </c>
      <c r="F1164" s="1">
        <f>IFERROR(__xludf.DUMMYFUNCTION("""COMPUTED_VALUE"""),34.0)</f>
        <v>34</v>
      </c>
      <c r="G1164" s="1">
        <f>IFERROR(__xludf.DUMMYFUNCTION("""COMPUTED_VALUE"""),99.0)</f>
        <v>99</v>
      </c>
      <c r="H1164" s="1">
        <f>IFERROR(__xludf.DUMMYFUNCTION("""COMPUTED_VALUE"""),58.0)</f>
        <v>58</v>
      </c>
      <c r="I1164" s="1">
        <f>IFERROR(__xludf.DUMMYFUNCTION("""COMPUTED_VALUE"""),49.0)</f>
        <v>49</v>
      </c>
      <c r="J1164" s="1">
        <f>IFERROR(__xludf.DUMMYFUNCTION("""COMPUTED_VALUE"""),314.0)</f>
        <v>314</v>
      </c>
      <c r="K1164" s="1">
        <f>IFERROR(__xludf.DUMMYFUNCTION("""COMPUTED_VALUE"""),62.8)</f>
        <v>62.8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>
        <f>IFERROR(__xludf.DUMMYFUNCTION("""COMPUTED_VALUE"""),82.0)</f>
        <v>82</v>
      </c>
      <c r="E1165" s="1">
        <f>IFERROR(__xludf.DUMMYFUNCTION("""COMPUTED_VALUE"""),92.0)</f>
        <v>92</v>
      </c>
      <c r="F1165" s="1">
        <f>IFERROR(__xludf.DUMMYFUNCTION("""COMPUTED_VALUE"""),66.0)</f>
        <v>66</v>
      </c>
      <c r="G1165" s="1">
        <f>IFERROR(__xludf.DUMMYFUNCTION("""COMPUTED_VALUE"""),78.0)</f>
        <v>78</v>
      </c>
      <c r="H1165" s="1">
        <f>IFERROR(__xludf.DUMMYFUNCTION("""COMPUTED_VALUE"""),71.0)</f>
        <v>71</v>
      </c>
      <c r="I1165" s="1">
        <f>IFERROR(__xludf.DUMMYFUNCTION("""COMPUTED_VALUE"""),45.0)</f>
        <v>45</v>
      </c>
      <c r="J1165" s="1">
        <f>IFERROR(__xludf.DUMMYFUNCTION("""COMPUTED_VALUE"""),352.0)</f>
        <v>352</v>
      </c>
      <c r="K1165" s="1">
        <f>IFERROR(__xludf.DUMMYFUNCTION("""COMPUTED_VALUE"""),70.39999999999999)</f>
        <v>70.4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>
        <f>IFERROR(__xludf.DUMMYFUNCTION("""COMPUTED_VALUE"""),96.0)</f>
        <v>96</v>
      </c>
      <c r="E1166" s="1">
        <f>IFERROR(__xludf.DUMMYFUNCTION("""COMPUTED_VALUE"""),26.0)</f>
        <v>26</v>
      </c>
      <c r="F1166" s="1">
        <f>IFERROR(__xludf.DUMMYFUNCTION("""COMPUTED_VALUE"""),41.0)</f>
        <v>41</v>
      </c>
      <c r="G1166" s="1">
        <f>IFERROR(__xludf.DUMMYFUNCTION("""COMPUTED_VALUE"""),40.0)</f>
        <v>40</v>
      </c>
      <c r="H1166" s="1">
        <f>IFERROR(__xludf.DUMMYFUNCTION("""COMPUTED_VALUE"""),51.0)</f>
        <v>51</v>
      </c>
      <c r="I1166" s="1">
        <f>IFERROR(__xludf.DUMMYFUNCTION("""COMPUTED_VALUE"""),45.0)</f>
        <v>45</v>
      </c>
      <c r="J1166" s="1">
        <f>IFERROR(__xludf.DUMMYFUNCTION("""COMPUTED_VALUE"""),203.0)</f>
        <v>203</v>
      </c>
      <c r="K1166" s="1">
        <f>IFERROR(__xludf.DUMMYFUNCTION("""COMPUTED_VALUE"""),40.6)</f>
        <v>40.6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>
        <f>IFERROR(__xludf.DUMMYFUNCTION("""COMPUTED_VALUE"""),51.0)</f>
        <v>51</v>
      </c>
      <c r="E1167" s="1">
        <f>IFERROR(__xludf.DUMMYFUNCTION("""COMPUTED_VALUE"""),76.0)</f>
        <v>76</v>
      </c>
      <c r="F1167" s="1">
        <f>IFERROR(__xludf.DUMMYFUNCTION("""COMPUTED_VALUE"""),58.0)</f>
        <v>58</v>
      </c>
      <c r="G1167" s="1">
        <f>IFERROR(__xludf.DUMMYFUNCTION("""COMPUTED_VALUE"""),47.0)</f>
        <v>47</v>
      </c>
      <c r="H1167" s="1">
        <f>IFERROR(__xludf.DUMMYFUNCTION("""COMPUTED_VALUE"""),61.0)</f>
        <v>61</v>
      </c>
      <c r="I1167" s="1">
        <f>IFERROR(__xludf.DUMMYFUNCTION("""COMPUTED_VALUE"""),69.0)</f>
        <v>69</v>
      </c>
      <c r="J1167" s="1">
        <f>IFERROR(__xludf.DUMMYFUNCTION("""COMPUTED_VALUE"""),311.0)</f>
        <v>311</v>
      </c>
      <c r="K1167" s="1">
        <f>IFERROR(__xludf.DUMMYFUNCTION("""COMPUTED_VALUE"""),62.2)</f>
        <v>62.2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>
        <f>IFERROR(__xludf.DUMMYFUNCTION("""COMPUTED_VALUE"""),59.0)</f>
        <v>59</v>
      </c>
      <c r="E1168" s="1">
        <f>IFERROR(__xludf.DUMMYFUNCTION("""COMPUTED_VALUE"""),79.0)</f>
        <v>79</v>
      </c>
      <c r="F1168" s="1">
        <f>IFERROR(__xludf.DUMMYFUNCTION("""COMPUTED_VALUE"""),46.0)</f>
        <v>46</v>
      </c>
      <c r="G1168" s="1">
        <f>IFERROR(__xludf.DUMMYFUNCTION("""COMPUTED_VALUE"""),78.0)</f>
        <v>78</v>
      </c>
      <c r="H1168" s="1">
        <f>IFERROR(__xludf.DUMMYFUNCTION("""COMPUTED_VALUE"""),65.0)</f>
        <v>65</v>
      </c>
      <c r="I1168" s="1">
        <f>IFERROR(__xludf.DUMMYFUNCTION("""COMPUTED_VALUE"""),27.0)</f>
        <v>27</v>
      </c>
      <c r="J1168" s="1">
        <f>IFERROR(__xludf.DUMMYFUNCTION("""COMPUTED_VALUE"""),295.0)</f>
        <v>295</v>
      </c>
      <c r="K1168" s="1">
        <f>IFERROR(__xludf.DUMMYFUNCTION("""COMPUTED_VALUE"""),59.0)</f>
        <v>59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>
        <f>IFERROR(__xludf.DUMMYFUNCTION("""COMPUTED_VALUE"""),55.0)</f>
        <v>55</v>
      </c>
      <c r="E1169" s="1">
        <f>IFERROR(__xludf.DUMMYFUNCTION("""COMPUTED_VALUE"""),95.0)</f>
        <v>95</v>
      </c>
      <c r="F1169" s="1">
        <f>IFERROR(__xludf.DUMMYFUNCTION("""COMPUTED_VALUE"""),91.0)</f>
        <v>91</v>
      </c>
      <c r="G1169" s="1">
        <f>IFERROR(__xludf.DUMMYFUNCTION("""COMPUTED_VALUE"""),81.0)</f>
        <v>81</v>
      </c>
      <c r="H1169" s="1">
        <f>IFERROR(__xludf.DUMMYFUNCTION("""COMPUTED_VALUE"""),82.0)</f>
        <v>82</v>
      </c>
      <c r="I1169" s="1">
        <f>IFERROR(__xludf.DUMMYFUNCTION("""COMPUTED_VALUE"""),72.0)</f>
        <v>72</v>
      </c>
      <c r="J1169" s="1">
        <f>IFERROR(__xludf.DUMMYFUNCTION("""COMPUTED_VALUE"""),421.0)</f>
        <v>421</v>
      </c>
      <c r="K1169" s="1">
        <f>IFERROR(__xludf.DUMMYFUNCTION("""COMPUTED_VALUE"""),84.2)</f>
        <v>84.2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>
        <f>IFERROR(__xludf.DUMMYFUNCTION("""COMPUTED_VALUE"""),35.0)</f>
        <v>35</v>
      </c>
      <c r="E1170" s="1">
        <f>IFERROR(__xludf.DUMMYFUNCTION("""COMPUTED_VALUE"""),80.0)</f>
        <v>80</v>
      </c>
      <c r="F1170" s="1">
        <f>IFERROR(__xludf.DUMMYFUNCTION("""COMPUTED_VALUE"""),24.0)</f>
        <v>24</v>
      </c>
      <c r="G1170" s="1">
        <f>IFERROR(__xludf.DUMMYFUNCTION("""COMPUTED_VALUE"""),20.0)</f>
        <v>20</v>
      </c>
      <c r="H1170" s="1">
        <f>IFERROR(__xludf.DUMMYFUNCTION("""COMPUTED_VALUE"""),48.0)</f>
        <v>48</v>
      </c>
      <c r="I1170" s="1">
        <f>IFERROR(__xludf.DUMMYFUNCTION("""COMPUTED_VALUE"""),50.0)</f>
        <v>50</v>
      </c>
      <c r="J1170" s="1">
        <f>IFERROR(__xludf.DUMMYFUNCTION("""COMPUTED_VALUE"""),222.0)</f>
        <v>222</v>
      </c>
      <c r="K1170" s="1">
        <f>IFERROR(__xludf.DUMMYFUNCTION("""COMPUTED_VALUE"""),44.4)</f>
        <v>44.4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>
        <f>IFERROR(__xludf.DUMMYFUNCTION("""COMPUTED_VALUE"""),16.0)</f>
        <v>16</v>
      </c>
      <c r="E1171" s="1">
        <f>IFERROR(__xludf.DUMMYFUNCTION("""COMPUTED_VALUE"""),44.0)</f>
        <v>44</v>
      </c>
      <c r="F1171" s="1">
        <f>IFERROR(__xludf.DUMMYFUNCTION("""COMPUTED_VALUE"""),38.0)</f>
        <v>38</v>
      </c>
      <c r="G1171" s="1">
        <f>IFERROR(__xludf.DUMMYFUNCTION("""COMPUTED_VALUE"""),65.0)</f>
        <v>65</v>
      </c>
      <c r="H1171" s="1">
        <f>IFERROR(__xludf.DUMMYFUNCTION("""COMPUTED_VALUE"""),69.0)</f>
        <v>69</v>
      </c>
      <c r="I1171" s="1">
        <f>IFERROR(__xludf.DUMMYFUNCTION("""COMPUTED_VALUE"""),74.0)</f>
        <v>74</v>
      </c>
      <c r="J1171" s="1">
        <f>IFERROR(__xludf.DUMMYFUNCTION("""COMPUTED_VALUE"""),290.0)</f>
        <v>290</v>
      </c>
      <c r="K1171" s="1">
        <f>IFERROR(__xludf.DUMMYFUNCTION("""COMPUTED_VALUE"""),57.99999999999999)</f>
        <v>58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>
        <f>IFERROR(__xludf.DUMMYFUNCTION("""COMPUTED_VALUE"""),36.0)</f>
        <v>36</v>
      </c>
      <c r="E1172" s="1">
        <f>IFERROR(__xludf.DUMMYFUNCTION("""COMPUTED_VALUE"""),36.0)</f>
        <v>36</v>
      </c>
      <c r="F1172" s="1">
        <f>IFERROR(__xludf.DUMMYFUNCTION("""COMPUTED_VALUE"""),49.0)</f>
        <v>49</v>
      </c>
      <c r="G1172" s="1">
        <f>IFERROR(__xludf.DUMMYFUNCTION("""COMPUTED_VALUE"""),52.0)</f>
        <v>52</v>
      </c>
      <c r="H1172" s="1">
        <f>IFERROR(__xludf.DUMMYFUNCTION("""COMPUTED_VALUE"""),20.0)</f>
        <v>20</v>
      </c>
      <c r="I1172" s="1">
        <f>IFERROR(__xludf.DUMMYFUNCTION("""COMPUTED_VALUE"""),28.0)</f>
        <v>28</v>
      </c>
      <c r="J1172" s="1">
        <f>IFERROR(__xludf.DUMMYFUNCTION("""COMPUTED_VALUE"""),185.0)</f>
        <v>185</v>
      </c>
      <c r="K1172" s="1">
        <f>IFERROR(__xludf.DUMMYFUNCTION("""COMPUTED_VALUE"""),37.0)</f>
        <v>37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>
        <f>IFERROR(__xludf.DUMMYFUNCTION("""COMPUTED_VALUE"""),77.0)</f>
        <v>77</v>
      </c>
      <c r="E1173" s="1">
        <f>IFERROR(__xludf.DUMMYFUNCTION("""COMPUTED_VALUE"""),55.0)</f>
        <v>55</v>
      </c>
      <c r="F1173" s="1">
        <f>IFERROR(__xludf.DUMMYFUNCTION("""COMPUTED_VALUE"""),32.0)</f>
        <v>32</v>
      </c>
      <c r="G1173" s="1">
        <f>IFERROR(__xludf.DUMMYFUNCTION("""COMPUTED_VALUE"""),36.0)</f>
        <v>36</v>
      </c>
      <c r="H1173" s="1">
        <f>IFERROR(__xludf.DUMMYFUNCTION("""COMPUTED_VALUE"""),68.0)</f>
        <v>68</v>
      </c>
      <c r="I1173" s="1">
        <f>IFERROR(__xludf.DUMMYFUNCTION("""COMPUTED_VALUE"""),90.0)</f>
        <v>90</v>
      </c>
      <c r="J1173" s="1">
        <f>IFERROR(__xludf.DUMMYFUNCTION("""COMPUTED_VALUE"""),281.0)</f>
        <v>281</v>
      </c>
      <c r="K1173" s="1">
        <f>IFERROR(__xludf.DUMMYFUNCTION("""COMPUTED_VALUE"""),56.2)</f>
        <v>56.2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>
        <f>IFERROR(__xludf.DUMMYFUNCTION("""COMPUTED_VALUE"""),59.0)</f>
        <v>59</v>
      </c>
      <c r="E1174" s="1">
        <f>IFERROR(__xludf.DUMMYFUNCTION("""COMPUTED_VALUE"""),33.0)</f>
        <v>33</v>
      </c>
      <c r="F1174" s="1">
        <f>IFERROR(__xludf.DUMMYFUNCTION("""COMPUTED_VALUE"""),33.0)</f>
        <v>33</v>
      </c>
      <c r="G1174" s="1">
        <f>IFERROR(__xludf.DUMMYFUNCTION("""COMPUTED_VALUE"""),69.0)</f>
        <v>69</v>
      </c>
      <c r="H1174" s="1">
        <f>IFERROR(__xludf.DUMMYFUNCTION("""COMPUTED_VALUE"""),25.0)</f>
        <v>25</v>
      </c>
      <c r="I1174" s="1">
        <f>IFERROR(__xludf.DUMMYFUNCTION("""COMPUTED_VALUE"""),86.0)</f>
        <v>86</v>
      </c>
      <c r="J1174" s="1">
        <f>IFERROR(__xludf.DUMMYFUNCTION("""COMPUTED_VALUE"""),246.0)</f>
        <v>246</v>
      </c>
      <c r="K1174" s="1">
        <f>IFERROR(__xludf.DUMMYFUNCTION("""COMPUTED_VALUE"""),49.2)</f>
        <v>49.2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>
        <f>IFERROR(__xludf.DUMMYFUNCTION("""COMPUTED_VALUE"""),22.0)</f>
        <v>22</v>
      </c>
      <c r="E1175" s="1">
        <f>IFERROR(__xludf.DUMMYFUNCTION("""COMPUTED_VALUE"""),22.0)</f>
        <v>22</v>
      </c>
      <c r="F1175" s="1">
        <f>IFERROR(__xludf.DUMMYFUNCTION("""COMPUTED_VALUE"""),69.0)</f>
        <v>69</v>
      </c>
      <c r="G1175" s="1">
        <f>IFERROR(__xludf.DUMMYFUNCTION("""COMPUTED_VALUE"""),38.0)</f>
        <v>38</v>
      </c>
      <c r="H1175" s="1">
        <f>IFERROR(__xludf.DUMMYFUNCTION("""COMPUTED_VALUE"""),96.0)</f>
        <v>96</v>
      </c>
      <c r="I1175" s="1">
        <f>IFERROR(__xludf.DUMMYFUNCTION("""COMPUTED_VALUE"""),95.0)</f>
        <v>95</v>
      </c>
      <c r="J1175" s="1">
        <f>IFERROR(__xludf.DUMMYFUNCTION("""COMPUTED_VALUE"""),320.0)</f>
        <v>320</v>
      </c>
      <c r="K1175" s="1">
        <f>IFERROR(__xludf.DUMMYFUNCTION("""COMPUTED_VALUE"""),64.0)</f>
        <v>64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>
        <f>IFERROR(__xludf.DUMMYFUNCTION("""COMPUTED_VALUE"""),78.0)</f>
        <v>78</v>
      </c>
      <c r="E1176" s="1">
        <f>IFERROR(__xludf.DUMMYFUNCTION("""COMPUTED_VALUE"""),71.0)</f>
        <v>71</v>
      </c>
      <c r="F1176" s="1">
        <f>IFERROR(__xludf.DUMMYFUNCTION("""COMPUTED_VALUE"""),60.0)</f>
        <v>60</v>
      </c>
      <c r="G1176" s="1">
        <f>IFERROR(__xludf.DUMMYFUNCTION("""COMPUTED_VALUE"""),88.0)</f>
        <v>88</v>
      </c>
      <c r="H1176" s="1">
        <f>IFERROR(__xludf.DUMMYFUNCTION("""COMPUTED_VALUE"""),47.0)</f>
        <v>47</v>
      </c>
      <c r="I1176" s="1">
        <f>IFERROR(__xludf.DUMMYFUNCTION("""COMPUTED_VALUE"""),43.0)</f>
        <v>43</v>
      </c>
      <c r="J1176" s="1">
        <f>IFERROR(__xludf.DUMMYFUNCTION("""COMPUTED_VALUE"""),309.0)</f>
        <v>309</v>
      </c>
      <c r="K1176" s="1">
        <f>IFERROR(__xludf.DUMMYFUNCTION("""COMPUTED_VALUE"""),61.8)</f>
        <v>61.8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>
        <f>IFERROR(__xludf.DUMMYFUNCTION("""COMPUTED_VALUE"""),93.0)</f>
        <v>93</v>
      </c>
      <c r="E1177" s="1">
        <f>IFERROR(__xludf.DUMMYFUNCTION("""COMPUTED_VALUE"""),26.0)</f>
        <v>26</v>
      </c>
      <c r="F1177" s="1">
        <f>IFERROR(__xludf.DUMMYFUNCTION("""COMPUTED_VALUE"""),22.0)</f>
        <v>22</v>
      </c>
      <c r="G1177" s="1">
        <f>IFERROR(__xludf.DUMMYFUNCTION("""COMPUTED_VALUE"""),66.0)</f>
        <v>66</v>
      </c>
      <c r="H1177" s="1">
        <f>IFERROR(__xludf.DUMMYFUNCTION("""COMPUTED_VALUE"""),41.0)</f>
        <v>41</v>
      </c>
      <c r="I1177" s="1">
        <f>IFERROR(__xludf.DUMMYFUNCTION("""COMPUTED_VALUE"""),29.0)</f>
        <v>29</v>
      </c>
      <c r="J1177" s="1">
        <f>IFERROR(__xludf.DUMMYFUNCTION("""COMPUTED_VALUE"""),184.0)</f>
        <v>184</v>
      </c>
      <c r="K1177" s="1">
        <f>IFERROR(__xludf.DUMMYFUNCTION("""COMPUTED_VALUE"""),36.8)</f>
        <v>36.8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>
        <f>IFERROR(__xludf.DUMMYFUNCTION("""COMPUTED_VALUE"""),53.0)</f>
        <v>53</v>
      </c>
      <c r="E1178" s="1">
        <f>IFERROR(__xludf.DUMMYFUNCTION("""COMPUTED_VALUE"""),79.0)</f>
        <v>79</v>
      </c>
      <c r="F1178" s="1">
        <f>IFERROR(__xludf.DUMMYFUNCTION("""COMPUTED_VALUE"""),49.0)</f>
        <v>49</v>
      </c>
      <c r="G1178" s="1">
        <f>IFERROR(__xludf.DUMMYFUNCTION("""COMPUTED_VALUE"""),45.0)</f>
        <v>45</v>
      </c>
      <c r="H1178" s="1">
        <f>IFERROR(__xludf.DUMMYFUNCTION("""COMPUTED_VALUE"""),57.0)</f>
        <v>57</v>
      </c>
      <c r="I1178" s="1">
        <f>IFERROR(__xludf.DUMMYFUNCTION("""COMPUTED_VALUE"""),41.0)</f>
        <v>41</v>
      </c>
      <c r="J1178" s="1">
        <f>IFERROR(__xludf.DUMMYFUNCTION("""COMPUTED_VALUE"""),271.0)</f>
        <v>271</v>
      </c>
      <c r="K1178" s="1">
        <f>IFERROR(__xludf.DUMMYFUNCTION("""COMPUTED_VALUE"""),54.2)</f>
        <v>54.2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>
        <f>IFERROR(__xludf.DUMMYFUNCTION("""COMPUTED_VALUE"""),45.0)</f>
        <v>45</v>
      </c>
      <c r="E1179" s="1">
        <f>IFERROR(__xludf.DUMMYFUNCTION("""COMPUTED_VALUE"""),31.0)</f>
        <v>31</v>
      </c>
      <c r="F1179" s="1">
        <f>IFERROR(__xludf.DUMMYFUNCTION("""COMPUTED_VALUE"""),45.0)</f>
        <v>45</v>
      </c>
      <c r="G1179" s="1">
        <f>IFERROR(__xludf.DUMMYFUNCTION("""COMPUTED_VALUE"""),68.0)</f>
        <v>68</v>
      </c>
      <c r="H1179" s="1">
        <f>IFERROR(__xludf.DUMMYFUNCTION("""COMPUTED_VALUE"""),92.0)</f>
        <v>92</v>
      </c>
      <c r="I1179" s="1">
        <f>IFERROR(__xludf.DUMMYFUNCTION("""COMPUTED_VALUE"""),65.0)</f>
        <v>65</v>
      </c>
      <c r="J1179" s="1">
        <f>IFERROR(__xludf.DUMMYFUNCTION("""COMPUTED_VALUE"""),301.0)</f>
        <v>301</v>
      </c>
      <c r="K1179" s="1">
        <f>IFERROR(__xludf.DUMMYFUNCTION("""COMPUTED_VALUE"""),60.199999999999996)</f>
        <v>60.2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>
        <f>IFERROR(__xludf.DUMMYFUNCTION("""COMPUTED_VALUE"""),55.0)</f>
        <v>55</v>
      </c>
      <c r="E1180" s="1">
        <f>IFERROR(__xludf.DUMMYFUNCTION("""COMPUTED_VALUE"""),82.0)</f>
        <v>82</v>
      </c>
      <c r="F1180" s="1">
        <f>IFERROR(__xludf.DUMMYFUNCTION("""COMPUTED_VALUE"""),27.0)</f>
        <v>27</v>
      </c>
      <c r="G1180" s="1">
        <f>IFERROR(__xludf.DUMMYFUNCTION("""COMPUTED_VALUE"""),30.0)</f>
        <v>30</v>
      </c>
      <c r="H1180" s="1">
        <f>IFERROR(__xludf.DUMMYFUNCTION("""COMPUTED_VALUE"""),48.0)</f>
        <v>48</v>
      </c>
      <c r="I1180" s="1">
        <f>IFERROR(__xludf.DUMMYFUNCTION("""COMPUTED_VALUE"""),84.0)</f>
        <v>84</v>
      </c>
      <c r="J1180" s="1">
        <f>IFERROR(__xludf.DUMMYFUNCTION("""COMPUTED_VALUE"""),271.0)</f>
        <v>271</v>
      </c>
      <c r="K1180" s="1">
        <f>IFERROR(__xludf.DUMMYFUNCTION("""COMPUTED_VALUE"""),54.2)</f>
        <v>54.2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>
        <f>IFERROR(__xludf.DUMMYFUNCTION("""COMPUTED_VALUE"""),41.0)</f>
        <v>41</v>
      </c>
      <c r="E1181" s="1">
        <f>IFERROR(__xludf.DUMMYFUNCTION("""COMPUTED_VALUE"""),39.0)</f>
        <v>39</v>
      </c>
      <c r="F1181" s="1">
        <f>IFERROR(__xludf.DUMMYFUNCTION("""COMPUTED_VALUE"""),41.0)</f>
        <v>41</v>
      </c>
      <c r="G1181" s="1">
        <f>IFERROR(__xludf.DUMMYFUNCTION("""COMPUTED_VALUE"""),87.0)</f>
        <v>87</v>
      </c>
      <c r="H1181" s="1">
        <f>IFERROR(__xludf.DUMMYFUNCTION("""COMPUTED_VALUE"""),86.0)</f>
        <v>86</v>
      </c>
      <c r="I1181" s="1">
        <f>IFERROR(__xludf.DUMMYFUNCTION("""COMPUTED_VALUE"""),81.0)</f>
        <v>81</v>
      </c>
      <c r="J1181" s="1">
        <f>IFERROR(__xludf.DUMMYFUNCTION("""COMPUTED_VALUE"""),334.0)</f>
        <v>334</v>
      </c>
      <c r="K1181" s="1">
        <f>IFERROR(__xludf.DUMMYFUNCTION("""COMPUTED_VALUE"""),66.8)</f>
        <v>66.8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>
        <f>IFERROR(__xludf.DUMMYFUNCTION("""COMPUTED_VALUE"""),59.0)</f>
        <v>59</v>
      </c>
      <c r="E1182" s="1">
        <f>IFERROR(__xludf.DUMMYFUNCTION("""COMPUTED_VALUE"""),40.0)</f>
        <v>40</v>
      </c>
      <c r="F1182" s="1">
        <f>IFERROR(__xludf.DUMMYFUNCTION("""COMPUTED_VALUE"""),86.0)</f>
        <v>86</v>
      </c>
      <c r="G1182" s="1">
        <f>IFERROR(__xludf.DUMMYFUNCTION("""COMPUTED_VALUE"""),22.0)</f>
        <v>22</v>
      </c>
      <c r="H1182" s="1">
        <f>IFERROR(__xludf.DUMMYFUNCTION("""COMPUTED_VALUE"""),98.0)</f>
        <v>98</v>
      </c>
      <c r="I1182" s="1">
        <f>IFERROR(__xludf.DUMMYFUNCTION("""COMPUTED_VALUE"""),89.0)</f>
        <v>89</v>
      </c>
      <c r="J1182" s="1">
        <f>IFERROR(__xludf.DUMMYFUNCTION("""COMPUTED_VALUE"""),335.0)</f>
        <v>335</v>
      </c>
      <c r="K1182" s="1">
        <f>IFERROR(__xludf.DUMMYFUNCTION("""COMPUTED_VALUE"""),67.0)</f>
        <v>67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>
        <f>IFERROR(__xludf.DUMMYFUNCTION("""COMPUTED_VALUE"""),19.0)</f>
        <v>19</v>
      </c>
      <c r="E1183" s="1">
        <f>IFERROR(__xludf.DUMMYFUNCTION("""COMPUTED_VALUE"""),84.0)</f>
        <v>84</v>
      </c>
      <c r="F1183" s="1">
        <f>IFERROR(__xludf.DUMMYFUNCTION("""COMPUTED_VALUE"""),65.0)</f>
        <v>65</v>
      </c>
      <c r="G1183" s="1">
        <f>IFERROR(__xludf.DUMMYFUNCTION("""COMPUTED_VALUE"""),20.0)</f>
        <v>20</v>
      </c>
      <c r="H1183" s="1">
        <f>IFERROR(__xludf.DUMMYFUNCTION("""COMPUTED_VALUE"""),73.0)</f>
        <v>73</v>
      </c>
      <c r="I1183" s="1">
        <f>IFERROR(__xludf.DUMMYFUNCTION("""COMPUTED_VALUE"""),66.0)</f>
        <v>66</v>
      </c>
      <c r="J1183" s="1">
        <f>IFERROR(__xludf.DUMMYFUNCTION("""COMPUTED_VALUE"""),308.0)</f>
        <v>308</v>
      </c>
      <c r="K1183" s="1">
        <f>IFERROR(__xludf.DUMMYFUNCTION("""COMPUTED_VALUE"""),61.6)</f>
        <v>61.6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>
        <f>IFERROR(__xludf.DUMMYFUNCTION("""COMPUTED_VALUE"""),20.0)</f>
        <v>20</v>
      </c>
      <c r="E1184" s="1">
        <f>IFERROR(__xludf.DUMMYFUNCTION("""COMPUTED_VALUE"""),99.0)</f>
        <v>99</v>
      </c>
      <c r="F1184" s="1">
        <f>IFERROR(__xludf.DUMMYFUNCTION("""COMPUTED_VALUE"""),66.0)</f>
        <v>66</v>
      </c>
      <c r="G1184" s="1">
        <f>IFERROR(__xludf.DUMMYFUNCTION("""COMPUTED_VALUE"""),41.0)</f>
        <v>41</v>
      </c>
      <c r="H1184" s="1">
        <f>IFERROR(__xludf.DUMMYFUNCTION("""COMPUTED_VALUE"""),28.0)</f>
        <v>28</v>
      </c>
      <c r="I1184" s="1">
        <f>IFERROR(__xludf.DUMMYFUNCTION("""COMPUTED_VALUE"""),23.0)</f>
        <v>23</v>
      </c>
      <c r="J1184" s="1">
        <f>IFERROR(__xludf.DUMMYFUNCTION("""COMPUTED_VALUE"""),257.0)</f>
        <v>257</v>
      </c>
      <c r="K1184" s="1">
        <f>IFERROR(__xludf.DUMMYFUNCTION("""COMPUTED_VALUE"""),51.4)</f>
        <v>51.4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>
        <f>IFERROR(__xludf.DUMMYFUNCTION("""COMPUTED_VALUE"""),94.0)</f>
        <v>94</v>
      </c>
      <c r="E1185" s="1">
        <f>IFERROR(__xludf.DUMMYFUNCTION("""COMPUTED_VALUE"""),89.0)</f>
        <v>89</v>
      </c>
      <c r="F1185" s="1">
        <f>IFERROR(__xludf.DUMMYFUNCTION("""COMPUTED_VALUE"""),24.0)</f>
        <v>24</v>
      </c>
      <c r="G1185" s="1">
        <f>IFERROR(__xludf.DUMMYFUNCTION("""COMPUTED_VALUE"""),81.0)</f>
        <v>81</v>
      </c>
      <c r="H1185" s="1">
        <f>IFERROR(__xludf.DUMMYFUNCTION("""COMPUTED_VALUE"""),85.0)</f>
        <v>85</v>
      </c>
      <c r="I1185" s="1">
        <f>IFERROR(__xludf.DUMMYFUNCTION("""COMPUTED_VALUE"""),51.0)</f>
        <v>51</v>
      </c>
      <c r="J1185" s="1">
        <f>IFERROR(__xludf.DUMMYFUNCTION("""COMPUTED_VALUE"""),330.0)</f>
        <v>330</v>
      </c>
      <c r="K1185" s="1">
        <f>IFERROR(__xludf.DUMMYFUNCTION("""COMPUTED_VALUE"""),66.0)</f>
        <v>66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>
        <f>IFERROR(__xludf.DUMMYFUNCTION("""COMPUTED_VALUE"""),21.0)</f>
        <v>21</v>
      </c>
      <c r="E1186" s="1">
        <f>IFERROR(__xludf.DUMMYFUNCTION("""COMPUTED_VALUE"""),86.0)</f>
        <v>86</v>
      </c>
      <c r="F1186" s="1">
        <f>IFERROR(__xludf.DUMMYFUNCTION("""COMPUTED_VALUE"""),52.0)</f>
        <v>52</v>
      </c>
      <c r="G1186" s="1">
        <f>IFERROR(__xludf.DUMMYFUNCTION("""COMPUTED_VALUE"""),45.0)</f>
        <v>45</v>
      </c>
      <c r="H1186" s="1">
        <f>IFERROR(__xludf.DUMMYFUNCTION("""COMPUTED_VALUE"""),66.0)</f>
        <v>66</v>
      </c>
      <c r="I1186" s="1">
        <f>IFERROR(__xludf.DUMMYFUNCTION("""COMPUTED_VALUE"""),51.0)</f>
        <v>51</v>
      </c>
      <c r="J1186" s="1">
        <f>IFERROR(__xludf.DUMMYFUNCTION("""COMPUTED_VALUE"""),300.0)</f>
        <v>300</v>
      </c>
      <c r="K1186" s="1">
        <f>IFERROR(__xludf.DUMMYFUNCTION("""COMPUTED_VALUE"""),60.0)</f>
        <v>60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>
        <f>IFERROR(__xludf.DUMMYFUNCTION("""COMPUTED_VALUE"""),51.0)</f>
        <v>51</v>
      </c>
      <c r="E1187" s="1">
        <f>IFERROR(__xludf.DUMMYFUNCTION("""COMPUTED_VALUE"""),60.0)</f>
        <v>60</v>
      </c>
      <c r="F1187" s="1">
        <f>IFERROR(__xludf.DUMMYFUNCTION("""COMPUTED_VALUE"""),20.0)</f>
        <v>20</v>
      </c>
      <c r="G1187" s="1">
        <f>IFERROR(__xludf.DUMMYFUNCTION("""COMPUTED_VALUE"""),58.0)</f>
        <v>58</v>
      </c>
      <c r="H1187" s="1">
        <f>IFERROR(__xludf.DUMMYFUNCTION("""COMPUTED_VALUE"""),43.0)</f>
        <v>43</v>
      </c>
      <c r="I1187" s="1">
        <f>IFERROR(__xludf.DUMMYFUNCTION("""COMPUTED_VALUE"""),26.0)</f>
        <v>26</v>
      </c>
      <c r="J1187" s="1">
        <f>IFERROR(__xludf.DUMMYFUNCTION("""COMPUTED_VALUE"""),207.0)</f>
        <v>207</v>
      </c>
      <c r="K1187" s="1">
        <f>IFERROR(__xludf.DUMMYFUNCTION("""COMPUTED_VALUE"""),41.4)</f>
        <v>41.4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>
        <f>IFERROR(__xludf.DUMMYFUNCTION("""COMPUTED_VALUE"""),58.0)</f>
        <v>58</v>
      </c>
      <c r="E1188" s="1">
        <f>IFERROR(__xludf.DUMMYFUNCTION("""COMPUTED_VALUE"""),46.0)</f>
        <v>46</v>
      </c>
      <c r="F1188" s="1">
        <f>IFERROR(__xludf.DUMMYFUNCTION("""COMPUTED_VALUE"""),52.0)</f>
        <v>52</v>
      </c>
      <c r="G1188" s="1">
        <f>IFERROR(__xludf.DUMMYFUNCTION("""COMPUTED_VALUE"""),44.0)</f>
        <v>44</v>
      </c>
      <c r="H1188" s="1">
        <f>IFERROR(__xludf.DUMMYFUNCTION("""COMPUTED_VALUE"""),86.0)</f>
        <v>86</v>
      </c>
      <c r="I1188" s="1">
        <f>IFERROR(__xludf.DUMMYFUNCTION("""COMPUTED_VALUE"""),32.0)</f>
        <v>32</v>
      </c>
      <c r="J1188" s="1">
        <f>IFERROR(__xludf.DUMMYFUNCTION("""COMPUTED_VALUE"""),260.0)</f>
        <v>260</v>
      </c>
      <c r="K1188" s="1">
        <f>IFERROR(__xludf.DUMMYFUNCTION("""COMPUTED_VALUE"""),52.0)</f>
        <v>52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>
        <f>IFERROR(__xludf.DUMMYFUNCTION("""COMPUTED_VALUE"""),27.0)</f>
        <v>27</v>
      </c>
      <c r="E1189" s="1">
        <f>IFERROR(__xludf.DUMMYFUNCTION("""COMPUTED_VALUE"""),90.0)</f>
        <v>90</v>
      </c>
      <c r="F1189" s="1">
        <f>IFERROR(__xludf.DUMMYFUNCTION("""COMPUTED_VALUE"""),59.0)</f>
        <v>59</v>
      </c>
      <c r="G1189" s="1">
        <f>IFERROR(__xludf.DUMMYFUNCTION("""COMPUTED_VALUE"""),99.0)</f>
        <v>99</v>
      </c>
      <c r="H1189" s="1">
        <f>IFERROR(__xludf.DUMMYFUNCTION("""COMPUTED_VALUE"""),71.0)</f>
        <v>71</v>
      </c>
      <c r="I1189" s="1">
        <f>IFERROR(__xludf.DUMMYFUNCTION("""COMPUTED_VALUE"""),40.0)</f>
        <v>40</v>
      </c>
      <c r="J1189" s="1">
        <f>IFERROR(__xludf.DUMMYFUNCTION("""COMPUTED_VALUE"""),359.0)</f>
        <v>359</v>
      </c>
      <c r="K1189" s="1">
        <f>IFERROR(__xludf.DUMMYFUNCTION("""COMPUTED_VALUE"""),71.8)</f>
        <v>71.8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>
        <f>IFERROR(__xludf.DUMMYFUNCTION("""COMPUTED_VALUE"""),27.0)</f>
        <v>27</v>
      </c>
      <c r="E1190" s="1">
        <f>IFERROR(__xludf.DUMMYFUNCTION("""COMPUTED_VALUE"""),74.0)</f>
        <v>74</v>
      </c>
      <c r="F1190" s="1">
        <f>IFERROR(__xludf.DUMMYFUNCTION("""COMPUTED_VALUE"""),96.0)</f>
        <v>96</v>
      </c>
      <c r="G1190" s="1">
        <f>IFERROR(__xludf.DUMMYFUNCTION("""COMPUTED_VALUE"""),38.0)</f>
        <v>38</v>
      </c>
      <c r="H1190" s="1">
        <f>IFERROR(__xludf.DUMMYFUNCTION("""COMPUTED_VALUE"""),49.0)</f>
        <v>49</v>
      </c>
      <c r="I1190" s="1">
        <f>IFERROR(__xludf.DUMMYFUNCTION("""COMPUTED_VALUE"""),59.0)</f>
        <v>59</v>
      </c>
      <c r="J1190" s="1">
        <f>IFERROR(__xludf.DUMMYFUNCTION("""COMPUTED_VALUE"""),316.0)</f>
        <v>316</v>
      </c>
      <c r="K1190" s="1">
        <f>IFERROR(__xludf.DUMMYFUNCTION("""COMPUTED_VALUE"""),63.2)</f>
        <v>63.2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>
        <f>IFERROR(__xludf.DUMMYFUNCTION("""COMPUTED_VALUE"""),97.0)</f>
        <v>97</v>
      </c>
      <c r="E1191" s="1">
        <f>IFERROR(__xludf.DUMMYFUNCTION("""COMPUTED_VALUE"""),95.0)</f>
        <v>95</v>
      </c>
      <c r="F1191" s="1">
        <f>IFERROR(__xludf.DUMMYFUNCTION("""COMPUTED_VALUE"""),93.0)</f>
        <v>93</v>
      </c>
      <c r="G1191" s="1">
        <f>IFERROR(__xludf.DUMMYFUNCTION("""COMPUTED_VALUE"""),35.0)</f>
        <v>35</v>
      </c>
      <c r="H1191" s="1">
        <f>IFERROR(__xludf.DUMMYFUNCTION("""COMPUTED_VALUE"""),73.0)</f>
        <v>73</v>
      </c>
      <c r="I1191" s="1">
        <f>IFERROR(__xludf.DUMMYFUNCTION("""COMPUTED_VALUE"""),91.0)</f>
        <v>91</v>
      </c>
      <c r="J1191" s="1">
        <f>IFERROR(__xludf.DUMMYFUNCTION("""COMPUTED_VALUE"""),387.0)</f>
        <v>387</v>
      </c>
      <c r="K1191" s="1">
        <f>IFERROR(__xludf.DUMMYFUNCTION("""COMPUTED_VALUE"""),77.4)</f>
        <v>77.4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>
        <f>IFERROR(__xludf.DUMMYFUNCTION("""COMPUTED_VALUE"""),87.0)</f>
        <v>87</v>
      </c>
      <c r="E1192" s="1">
        <f>IFERROR(__xludf.DUMMYFUNCTION("""COMPUTED_VALUE"""),50.0)</f>
        <v>50</v>
      </c>
      <c r="F1192" s="1">
        <f>IFERROR(__xludf.DUMMYFUNCTION("""COMPUTED_VALUE"""),58.0)</f>
        <v>58</v>
      </c>
      <c r="G1192" s="1">
        <f>IFERROR(__xludf.DUMMYFUNCTION("""COMPUTED_VALUE"""),72.0)</f>
        <v>72</v>
      </c>
      <c r="H1192" s="1">
        <f>IFERROR(__xludf.DUMMYFUNCTION("""COMPUTED_VALUE"""),41.0)</f>
        <v>41</v>
      </c>
      <c r="I1192" s="1">
        <f>IFERROR(__xludf.DUMMYFUNCTION("""COMPUTED_VALUE"""),62.0)</f>
        <v>62</v>
      </c>
      <c r="J1192" s="1">
        <f>IFERROR(__xludf.DUMMYFUNCTION("""COMPUTED_VALUE"""),283.0)</f>
        <v>283</v>
      </c>
      <c r="K1192" s="1">
        <f>IFERROR(__xludf.DUMMYFUNCTION("""COMPUTED_VALUE"""),56.599999999999994)</f>
        <v>56.6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>
        <f>IFERROR(__xludf.DUMMYFUNCTION("""COMPUTED_VALUE"""),82.0)</f>
        <v>82</v>
      </c>
      <c r="E1193" s="1">
        <f>IFERROR(__xludf.DUMMYFUNCTION("""COMPUTED_VALUE"""),54.0)</f>
        <v>54</v>
      </c>
      <c r="F1193" s="1">
        <f>IFERROR(__xludf.DUMMYFUNCTION("""COMPUTED_VALUE"""),42.0)</f>
        <v>42</v>
      </c>
      <c r="G1193" s="1">
        <f>IFERROR(__xludf.DUMMYFUNCTION("""COMPUTED_VALUE"""),45.0)</f>
        <v>45</v>
      </c>
      <c r="H1193" s="1">
        <f>IFERROR(__xludf.DUMMYFUNCTION("""COMPUTED_VALUE"""),89.0)</f>
        <v>89</v>
      </c>
      <c r="I1193" s="1">
        <f>IFERROR(__xludf.DUMMYFUNCTION("""COMPUTED_VALUE"""),59.0)</f>
        <v>59</v>
      </c>
      <c r="J1193" s="1">
        <f>IFERROR(__xludf.DUMMYFUNCTION("""COMPUTED_VALUE"""),289.0)</f>
        <v>289</v>
      </c>
      <c r="K1193" s="1">
        <f>IFERROR(__xludf.DUMMYFUNCTION("""COMPUTED_VALUE"""),57.8)</f>
        <v>57.8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>
        <f>IFERROR(__xludf.DUMMYFUNCTION("""COMPUTED_VALUE"""),32.0)</f>
        <v>32</v>
      </c>
      <c r="E1194" s="1">
        <f>IFERROR(__xludf.DUMMYFUNCTION("""COMPUTED_VALUE"""),80.0)</f>
        <v>80</v>
      </c>
      <c r="F1194" s="1">
        <f>IFERROR(__xludf.DUMMYFUNCTION("""COMPUTED_VALUE"""),55.0)</f>
        <v>55</v>
      </c>
      <c r="G1194" s="1">
        <f>IFERROR(__xludf.DUMMYFUNCTION("""COMPUTED_VALUE"""),58.0)</f>
        <v>58</v>
      </c>
      <c r="H1194" s="1">
        <f>IFERROR(__xludf.DUMMYFUNCTION("""COMPUTED_VALUE"""),68.0)</f>
        <v>68</v>
      </c>
      <c r="I1194" s="1">
        <f>IFERROR(__xludf.DUMMYFUNCTION("""COMPUTED_VALUE"""),63.0)</f>
        <v>63</v>
      </c>
      <c r="J1194" s="1">
        <f>IFERROR(__xludf.DUMMYFUNCTION("""COMPUTED_VALUE"""),324.0)</f>
        <v>324</v>
      </c>
      <c r="K1194" s="1">
        <f>IFERROR(__xludf.DUMMYFUNCTION("""COMPUTED_VALUE"""),64.8)</f>
        <v>64.8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>
        <f>IFERROR(__xludf.DUMMYFUNCTION("""COMPUTED_VALUE"""),17.0)</f>
        <v>17</v>
      </c>
      <c r="E1195" s="1">
        <f>IFERROR(__xludf.DUMMYFUNCTION("""COMPUTED_VALUE"""),96.0)</f>
        <v>96</v>
      </c>
      <c r="F1195" s="1">
        <f>IFERROR(__xludf.DUMMYFUNCTION("""COMPUTED_VALUE"""),28.0)</f>
        <v>28</v>
      </c>
      <c r="G1195" s="1">
        <f>IFERROR(__xludf.DUMMYFUNCTION("""COMPUTED_VALUE"""),66.0)</f>
        <v>66</v>
      </c>
      <c r="H1195" s="1">
        <f>IFERROR(__xludf.DUMMYFUNCTION("""COMPUTED_VALUE"""),55.0)</f>
        <v>55</v>
      </c>
      <c r="I1195" s="1">
        <f>IFERROR(__xludf.DUMMYFUNCTION("""COMPUTED_VALUE"""),36.0)</f>
        <v>36</v>
      </c>
      <c r="J1195" s="1">
        <f>IFERROR(__xludf.DUMMYFUNCTION("""COMPUTED_VALUE"""),281.0)</f>
        <v>281</v>
      </c>
      <c r="K1195" s="1">
        <f>IFERROR(__xludf.DUMMYFUNCTION("""COMPUTED_VALUE"""),56.2)</f>
        <v>56.2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>
        <f>IFERROR(__xludf.DUMMYFUNCTION("""COMPUTED_VALUE"""),36.0)</f>
        <v>36</v>
      </c>
      <c r="E1196" s="1">
        <f>IFERROR(__xludf.DUMMYFUNCTION("""COMPUTED_VALUE"""),51.0)</f>
        <v>51</v>
      </c>
      <c r="F1196" s="1">
        <f>IFERROR(__xludf.DUMMYFUNCTION("""COMPUTED_VALUE"""),44.0)</f>
        <v>44</v>
      </c>
      <c r="G1196" s="1">
        <f>IFERROR(__xludf.DUMMYFUNCTION("""COMPUTED_VALUE"""),77.0)</f>
        <v>77</v>
      </c>
      <c r="H1196" s="1">
        <f>IFERROR(__xludf.DUMMYFUNCTION("""COMPUTED_VALUE"""),53.0)</f>
        <v>53</v>
      </c>
      <c r="I1196" s="1">
        <f>IFERROR(__xludf.DUMMYFUNCTION("""COMPUTED_VALUE"""),46.0)</f>
        <v>46</v>
      </c>
      <c r="J1196" s="1">
        <f>IFERROR(__xludf.DUMMYFUNCTION("""COMPUTED_VALUE"""),271.0)</f>
        <v>271</v>
      </c>
      <c r="K1196" s="1">
        <f>IFERROR(__xludf.DUMMYFUNCTION("""COMPUTED_VALUE"""),54.2)</f>
        <v>54.2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>
        <f>IFERROR(__xludf.DUMMYFUNCTION("""COMPUTED_VALUE"""),38.0)</f>
        <v>38</v>
      </c>
      <c r="E1197" s="1">
        <f>IFERROR(__xludf.DUMMYFUNCTION("""COMPUTED_VALUE"""),21.0)</f>
        <v>21</v>
      </c>
      <c r="F1197" s="1">
        <f>IFERROR(__xludf.DUMMYFUNCTION("""COMPUTED_VALUE"""),94.0)</f>
        <v>94</v>
      </c>
      <c r="G1197" s="1">
        <f>IFERROR(__xludf.DUMMYFUNCTION("""COMPUTED_VALUE"""),54.0)</f>
        <v>54</v>
      </c>
      <c r="H1197" s="1">
        <f>IFERROR(__xludf.DUMMYFUNCTION("""COMPUTED_VALUE"""),99.0)</f>
        <v>99</v>
      </c>
      <c r="I1197" s="1">
        <f>IFERROR(__xludf.DUMMYFUNCTION("""COMPUTED_VALUE"""),51.0)</f>
        <v>51</v>
      </c>
      <c r="J1197" s="1">
        <f>IFERROR(__xludf.DUMMYFUNCTION("""COMPUTED_VALUE"""),319.0)</f>
        <v>319</v>
      </c>
      <c r="K1197" s="1">
        <f>IFERROR(__xludf.DUMMYFUNCTION("""COMPUTED_VALUE"""),63.800000000000004)</f>
        <v>63.8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>
        <f>IFERROR(__xludf.DUMMYFUNCTION("""COMPUTED_VALUE"""),77.0)</f>
        <v>77</v>
      </c>
      <c r="E1198" s="1">
        <f>IFERROR(__xludf.DUMMYFUNCTION("""COMPUTED_VALUE"""),94.0)</f>
        <v>94</v>
      </c>
      <c r="F1198" s="1">
        <f>IFERROR(__xludf.DUMMYFUNCTION("""COMPUTED_VALUE"""),77.0)</f>
        <v>77</v>
      </c>
      <c r="G1198" s="1">
        <f>IFERROR(__xludf.DUMMYFUNCTION("""COMPUTED_VALUE"""),89.0)</f>
        <v>89</v>
      </c>
      <c r="H1198" s="1">
        <f>IFERROR(__xludf.DUMMYFUNCTION("""COMPUTED_VALUE"""),29.0)</f>
        <v>29</v>
      </c>
      <c r="I1198" s="1">
        <f>IFERROR(__xludf.DUMMYFUNCTION("""COMPUTED_VALUE"""),59.0)</f>
        <v>59</v>
      </c>
      <c r="J1198" s="1">
        <f>IFERROR(__xludf.DUMMYFUNCTION("""COMPUTED_VALUE"""),348.0)</f>
        <v>348</v>
      </c>
      <c r="K1198" s="1">
        <f>IFERROR(__xludf.DUMMYFUNCTION("""COMPUTED_VALUE"""),69.6)</f>
        <v>69.6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>
        <f>IFERROR(__xludf.DUMMYFUNCTION("""COMPUTED_VALUE"""),37.0)</f>
        <v>37</v>
      </c>
      <c r="E1199" s="1">
        <f>IFERROR(__xludf.DUMMYFUNCTION("""COMPUTED_VALUE"""),87.0)</f>
        <v>87</v>
      </c>
      <c r="F1199" s="1">
        <f>IFERROR(__xludf.DUMMYFUNCTION("""COMPUTED_VALUE"""),46.0)</f>
        <v>46</v>
      </c>
      <c r="G1199" s="1">
        <f>IFERROR(__xludf.DUMMYFUNCTION("""COMPUTED_VALUE"""),50.0)</f>
        <v>50</v>
      </c>
      <c r="H1199" s="1">
        <f>IFERROR(__xludf.DUMMYFUNCTION("""COMPUTED_VALUE"""),72.0)</f>
        <v>72</v>
      </c>
      <c r="I1199" s="1">
        <f>IFERROR(__xludf.DUMMYFUNCTION("""COMPUTED_VALUE"""),49.0)</f>
        <v>49</v>
      </c>
      <c r="J1199" s="1">
        <f>IFERROR(__xludf.DUMMYFUNCTION("""COMPUTED_VALUE"""),304.0)</f>
        <v>304</v>
      </c>
      <c r="K1199" s="1">
        <f>IFERROR(__xludf.DUMMYFUNCTION("""COMPUTED_VALUE"""),60.8)</f>
        <v>60.8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>
        <f>IFERROR(__xludf.DUMMYFUNCTION("""COMPUTED_VALUE"""),47.0)</f>
        <v>47</v>
      </c>
      <c r="E1200" s="1">
        <f>IFERROR(__xludf.DUMMYFUNCTION("""COMPUTED_VALUE"""),91.0)</f>
        <v>91</v>
      </c>
      <c r="F1200" s="1">
        <f>IFERROR(__xludf.DUMMYFUNCTION("""COMPUTED_VALUE"""),80.0)</f>
        <v>80</v>
      </c>
      <c r="G1200" s="1">
        <f>IFERROR(__xludf.DUMMYFUNCTION("""COMPUTED_VALUE"""),36.0)</f>
        <v>36</v>
      </c>
      <c r="H1200" s="1">
        <f>IFERROR(__xludf.DUMMYFUNCTION("""COMPUTED_VALUE"""),54.0)</f>
        <v>54</v>
      </c>
      <c r="I1200" s="1">
        <f>IFERROR(__xludf.DUMMYFUNCTION("""COMPUTED_VALUE"""),28.0)</f>
        <v>28</v>
      </c>
      <c r="J1200" s="1">
        <f>IFERROR(__xludf.DUMMYFUNCTION("""COMPUTED_VALUE"""),289.0)</f>
        <v>289</v>
      </c>
      <c r="K1200" s="1">
        <f>IFERROR(__xludf.DUMMYFUNCTION("""COMPUTED_VALUE"""),57.8)</f>
        <v>57.8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>
        <f>IFERROR(__xludf.DUMMYFUNCTION("""COMPUTED_VALUE"""),46.0)</f>
        <v>46</v>
      </c>
      <c r="E1201" s="1">
        <f>IFERROR(__xludf.DUMMYFUNCTION("""COMPUTED_VALUE"""),94.0)</f>
        <v>94</v>
      </c>
      <c r="F1201" s="1">
        <f>IFERROR(__xludf.DUMMYFUNCTION("""COMPUTED_VALUE"""),69.0)</f>
        <v>69</v>
      </c>
      <c r="G1201" s="1">
        <f>IFERROR(__xludf.DUMMYFUNCTION("""COMPUTED_VALUE"""),46.0)</f>
        <v>46</v>
      </c>
      <c r="H1201" s="1">
        <f>IFERROR(__xludf.DUMMYFUNCTION("""COMPUTED_VALUE"""),30.0)</f>
        <v>30</v>
      </c>
      <c r="I1201" s="1">
        <f>IFERROR(__xludf.DUMMYFUNCTION("""COMPUTED_VALUE"""),96.0)</f>
        <v>96</v>
      </c>
      <c r="J1201" s="1">
        <f>IFERROR(__xludf.DUMMYFUNCTION("""COMPUTED_VALUE"""),335.0)</f>
        <v>335</v>
      </c>
      <c r="K1201" s="1">
        <f>IFERROR(__xludf.DUMMYFUNCTION("""COMPUTED_VALUE"""),67.0)</f>
        <v>67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>
        <f>IFERROR(__xludf.DUMMYFUNCTION("""COMPUTED_VALUE"""),23.0)</f>
        <v>23</v>
      </c>
      <c r="E1202" s="1">
        <f>IFERROR(__xludf.DUMMYFUNCTION("""COMPUTED_VALUE"""),72.0)</f>
        <v>72</v>
      </c>
      <c r="F1202" s="1">
        <f>IFERROR(__xludf.DUMMYFUNCTION("""COMPUTED_VALUE"""),93.0)</f>
        <v>93</v>
      </c>
      <c r="G1202" s="1">
        <f>IFERROR(__xludf.DUMMYFUNCTION("""COMPUTED_VALUE"""),28.0)</f>
        <v>28</v>
      </c>
      <c r="H1202" s="1">
        <f>IFERROR(__xludf.DUMMYFUNCTION("""COMPUTED_VALUE"""),57.0)</f>
        <v>57</v>
      </c>
      <c r="I1202" s="1">
        <f>IFERROR(__xludf.DUMMYFUNCTION("""COMPUTED_VALUE"""),47.0)</f>
        <v>47</v>
      </c>
      <c r="J1202" s="1">
        <f>IFERROR(__xludf.DUMMYFUNCTION("""COMPUTED_VALUE"""),297.0)</f>
        <v>297</v>
      </c>
      <c r="K1202" s="1">
        <f>IFERROR(__xludf.DUMMYFUNCTION("""COMPUTED_VALUE"""),59.4)</f>
        <v>59.4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>
        <f>IFERROR(__xludf.DUMMYFUNCTION("""COMPUTED_VALUE"""),63.0)</f>
        <v>63</v>
      </c>
      <c r="E1203" s="1">
        <f>IFERROR(__xludf.DUMMYFUNCTION("""COMPUTED_VALUE"""),83.0)</f>
        <v>83</v>
      </c>
      <c r="F1203" s="1">
        <f>IFERROR(__xludf.DUMMYFUNCTION("""COMPUTED_VALUE"""),20.0)</f>
        <v>20</v>
      </c>
      <c r="G1203" s="1">
        <f>IFERROR(__xludf.DUMMYFUNCTION("""COMPUTED_VALUE"""),61.0)</f>
        <v>61</v>
      </c>
      <c r="H1203" s="1">
        <f>IFERROR(__xludf.DUMMYFUNCTION("""COMPUTED_VALUE"""),30.0)</f>
        <v>30</v>
      </c>
      <c r="I1203" s="1">
        <f>IFERROR(__xludf.DUMMYFUNCTION("""COMPUTED_VALUE"""),79.0)</f>
        <v>79</v>
      </c>
      <c r="J1203" s="1">
        <f>IFERROR(__xludf.DUMMYFUNCTION("""COMPUTED_VALUE"""),273.0)</f>
        <v>273</v>
      </c>
      <c r="K1203" s="1">
        <f>IFERROR(__xludf.DUMMYFUNCTION("""COMPUTED_VALUE"""),54.6)</f>
        <v>54.6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>
        <f>IFERROR(__xludf.DUMMYFUNCTION("""COMPUTED_VALUE"""),23.0)</f>
        <v>23</v>
      </c>
      <c r="E1204" s="1">
        <f>IFERROR(__xludf.DUMMYFUNCTION("""COMPUTED_VALUE"""),45.0)</f>
        <v>45</v>
      </c>
      <c r="F1204" s="1">
        <f>IFERROR(__xludf.DUMMYFUNCTION("""COMPUTED_VALUE"""),32.0)</f>
        <v>32</v>
      </c>
      <c r="G1204" s="1">
        <f>IFERROR(__xludf.DUMMYFUNCTION("""COMPUTED_VALUE"""),56.0)</f>
        <v>56</v>
      </c>
      <c r="H1204" s="1">
        <f>IFERROR(__xludf.DUMMYFUNCTION("""COMPUTED_VALUE"""),56.0)</f>
        <v>56</v>
      </c>
      <c r="I1204" s="1">
        <f>IFERROR(__xludf.DUMMYFUNCTION("""COMPUTED_VALUE"""),45.0)</f>
        <v>45</v>
      </c>
      <c r="J1204" s="1">
        <f>IFERROR(__xludf.DUMMYFUNCTION("""COMPUTED_VALUE"""),234.0)</f>
        <v>234</v>
      </c>
      <c r="K1204" s="1">
        <f>IFERROR(__xludf.DUMMYFUNCTION("""COMPUTED_VALUE"""),46.800000000000004)</f>
        <v>46.8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>
        <f>IFERROR(__xludf.DUMMYFUNCTION("""COMPUTED_VALUE"""),44.0)</f>
        <v>44</v>
      </c>
      <c r="E1205" s="1">
        <f>IFERROR(__xludf.DUMMYFUNCTION("""COMPUTED_VALUE"""),27.0)</f>
        <v>27</v>
      </c>
      <c r="F1205" s="1">
        <f>IFERROR(__xludf.DUMMYFUNCTION("""COMPUTED_VALUE"""),23.0)</f>
        <v>23</v>
      </c>
      <c r="G1205" s="1">
        <f>IFERROR(__xludf.DUMMYFUNCTION("""COMPUTED_VALUE"""),72.0)</f>
        <v>72</v>
      </c>
      <c r="H1205" s="1">
        <f>IFERROR(__xludf.DUMMYFUNCTION("""COMPUTED_VALUE"""),42.0)</f>
        <v>42</v>
      </c>
      <c r="I1205" s="1">
        <f>IFERROR(__xludf.DUMMYFUNCTION("""COMPUTED_VALUE"""),52.0)</f>
        <v>52</v>
      </c>
      <c r="J1205" s="1">
        <f>IFERROR(__xludf.DUMMYFUNCTION("""COMPUTED_VALUE"""),216.0)</f>
        <v>216</v>
      </c>
      <c r="K1205" s="1">
        <f>IFERROR(__xludf.DUMMYFUNCTION("""COMPUTED_VALUE"""),43.2)</f>
        <v>43.2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>
        <f>IFERROR(__xludf.DUMMYFUNCTION("""COMPUTED_VALUE"""),76.0)</f>
        <v>76</v>
      </c>
      <c r="E1206" s="1">
        <f>IFERROR(__xludf.DUMMYFUNCTION("""COMPUTED_VALUE"""),74.0)</f>
        <v>74</v>
      </c>
      <c r="F1206" s="1">
        <f>IFERROR(__xludf.DUMMYFUNCTION("""COMPUTED_VALUE"""),27.0)</f>
        <v>27</v>
      </c>
      <c r="G1206" s="1">
        <f>IFERROR(__xludf.DUMMYFUNCTION("""COMPUTED_VALUE"""),50.0)</f>
        <v>50</v>
      </c>
      <c r="H1206" s="1">
        <f>IFERROR(__xludf.DUMMYFUNCTION("""COMPUTED_VALUE"""),79.0)</f>
        <v>79</v>
      </c>
      <c r="I1206" s="1">
        <f>IFERROR(__xludf.DUMMYFUNCTION("""COMPUTED_VALUE"""),97.0)</f>
        <v>97</v>
      </c>
      <c r="J1206" s="1">
        <f>IFERROR(__xludf.DUMMYFUNCTION("""COMPUTED_VALUE"""),327.0)</f>
        <v>327</v>
      </c>
      <c r="K1206" s="1">
        <f>IFERROR(__xludf.DUMMYFUNCTION("""COMPUTED_VALUE"""),65.4)</f>
        <v>65.4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>
        <f>IFERROR(__xludf.DUMMYFUNCTION("""COMPUTED_VALUE"""),21.0)</f>
        <v>21</v>
      </c>
      <c r="E1207" s="1">
        <f>IFERROR(__xludf.DUMMYFUNCTION("""COMPUTED_VALUE"""),78.0)</f>
        <v>78</v>
      </c>
      <c r="F1207" s="1">
        <f>IFERROR(__xludf.DUMMYFUNCTION("""COMPUTED_VALUE"""),77.0)</f>
        <v>77</v>
      </c>
      <c r="G1207" s="1">
        <f>IFERROR(__xludf.DUMMYFUNCTION("""COMPUTED_VALUE"""),73.0)</f>
        <v>73</v>
      </c>
      <c r="H1207" s="1">
        <f>IFERROR(__xludf.DUMMYFUNCTION("""COMPUTED_VALUE"""),64.0)</f>
        <v>64</v>
      </c>
      <c r="I1207" s="1">
        <f>IFERROR(__xludf.DUMMYFUNCTION("""COMPUTED_VALUE"""),29.0)</f>
        <v>29</v>
      </c>
      <c r="J1207" s="1">
        <f>IFERROR(__xludf.DUMMYFUNCTION("""COMPUTED_VALUE"""),321.0)</f>
        <v>321</v>
      </c>
      <c r="K1207" s="1">
        <f>IFERROR(__xludf.DUMMYFUNCTION("""COMPUTED_VALUE"""),64.2)</f>
        <v>64.2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>
        <f>IFERROR(__xludf.DUMMYFUNCTION("""COMPUTED_VALUE"""),28.0)</f>
        <v>28</v>
      </c>
      <c r="E1208" s="1">
        <f>IFERROR(__xludf.DUMMYFUNCTION("""COMPUTED_VALUE"""),94.0)</f>
        <v>94</v>
      </c>
      <c r="F1208" s="1">
        <f>IFERROR(__xludf.DUMMYFUNCTION("""COMPUTED_VALUE"""),64.0)</f>
        <v>64</v>
      </c>
      <c r="G1208" s="1">
        <f>IFERROR(__xludf.DUMMYFUNCTION("""COMPUTED_VALUE"""),27.0)</f>
        <v>27</v>
      </c>
      <c r="H1208" s="1">
        <f>IFERROR(__xludf.DUMMYFUNCTION("""COMPUTED_VALUE"""),85.0)</f>
        <v>85</v>
      </c>
      <c r="I1208" s="1">
        <f>IFERROR(__xludf.DUMMYFUNCTION("""COMPUTED_VALUE"""),28.0)</f>
        <v>28</v>
      </c>
      <c r="J1208" s="1">
        <f>IFERROR(__xludf.DUMMYFUNCTION("""COMPUTED_VALUE"""),298.0)</f>
        <v>298</v>
      </c>
      <c r="K1208" s="1">
        <f>IFERROR(__xludf.DUMMYFUNCTION("""COMPUTED_VALUE"""),59.599999999999994)</f>
        <v>59.6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>
        <f>IFERROR(__xludf.DUMMYFUNCTION("""COMPUTED_VALUE"""),48.0)</f>
        <v>48</v>
      </c>
      <c r="E1209" s="1">
        <f>IFERROR(__xludf.DUMMYFUNCTION("""COMPUTED_VALUE"""),34.0)</f>
        <v>34</v>
      </c>
      <c r="F1209" s="1">
        <f>IFERROR(__xludf.DUMMYFUNCTION("""COMPUTED_VALUE"""),93.0)</f>
        <v>93</v>
      </c>
      <c r="G1209" s="1">
        <f>IFERROR(__xludf.DUMMYFUNCTION("""COMPUTED_VALUE"""),27.0)</f>
        <v>27</v>
      </c>
      <c r="H1209" s="1">
        <f>IFERROR(__xludf.DUMMYFUNCTION("""COMPUTED_VALUE"""),71.0)</f>
        <v>71</v>
      </c>
      <c r="I1209" s="1">
        <f>IFERROR(__xludf.DUMMYFUNCTION("""COMPUTED_VALUE"""),79.0)</f>
        <v>79</v>
      </c>
      <c r="J1209" s="1">
        <f>IFERROR(__xludf.DUMMYFUNCTION("""COMPUTED_VALUE"""),304.0)</f>
        <v>304</v>
      </c>
      <c r="K1209" s="1">
        <f>IFERROR(__xludf.DUMMYFUNCTION("""COMPUTED_VALUE"""),60.8)</f>
        <v>60.8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>
        <f>IFERROR(__xludf.DUMMYFUNCTION("""COMPUTED_VALUE"""),12.0)</f>
        <v>12</v>
      </c>
      <c r="E1210" s="1">
        <f>IFERROR(__xludf.DUMMYFUNCTION("""COMPUTED_VALUE"""),33.0)</f>
        <v>33</v>
      </c>
      <c r="F1210" s="1">
        <f>IFERROR(__xludf.DUMMYFUNCTION("""COMPUTED_VALUE"""),52.0)</f>
        <v>52</v>
      </c>
      <c r="G1210" s="1">
        <f>IFERROR(__xludf.DUMMYFUNCTION("""COMPUTED_VALUE"""),53.0)</f>
        <v>53</v>
      </c>
      <c r="H1210" s="1">
        <f>IFERROR(__xludf.DUMMYFUNCTION("""COMPUTED_VALUE"""),79.0)</f>
        <v>79</v>
      </c>
      <c r="I1210" s="1">
        <f>IFERROR(__xludf.DUMMYFUNCTION("""COMPUTED_VALUE"""),36.0)</f>
        <v>36</v>
      </c>
      <c r="J1210" s="1">
        <f>IFERROR(__xludf.DUMMYFUNCTION("""COMPUTED_VALUE"""),253.0)</f>
        <v>253</v>
      </c>
      <c r="K1210" s="1">
        <f>IFERROR(__xludf.DUMMYFUNCTION("""COMPUTED_VALUE"""),50.6)</f>
        <v>50.6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>
        <f>IFERROR(__xludf.DUMMYFUNCTION("""COMPUTED_VALUE"""),14.0)</f>
        <v>14</v>
      </c>
      <c r="E1211" s="1">
        <f>IFERROR(__xludf.DUMMYFUNCTION("""COMPUTED_VALUE"""),58.0)</f>
        <v>58</v>
      </c>
      <c r="F1211" s="1">
        <f>IFERROR(__xludf.DUMMYFUNCTION("""COMPUTED_VALUE"""),56.0)</f>
        <v>56</v>
      </c>
      <c r="G1211" s="1">
        <f>IFERROR(__xludf.DUMMYFUNCTION("""COMPUTED_VALUE"""),60.0)</f>
        <v>60</v>
      </c>
      <c r="H1211" s="1">
        <f>IFERROR(__xludf.DUMMYFUNCTION("""COMPUTED_VALUE"""),73.0)</f>
        <v>73</v>
      </c>
      <c r="I1211" s="1">
        <f>IFERROR(__xludf.DUMMYFUNCTION("""COMPUTED_VALUE"""),32.0)</f>
        <v>32</v>
      </c>
      <c r="J1211" s="1">
        <f>IFERROR(__xludf.DUMMYFUNCTION("""COMPUTED_VALUE"""),279.0)</f>
        <v>279</v>
      </c>
      <c r="K1211" s="1">
        <f>IFERROR(__xludf.DUMMYFUNCTION("""COMPUTED_VALUE"""),55.800000000000004)</f>
        <v>55.8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>
        <f>IFERROR(__xludf.DUMMYFUNCTION("""COMPUTED_VALUE"""),39.0)</f>
        <v>39</v>
      </c>
      <c r="E1212" s="1">
        <f>IFERROR(__xludf.DUMMYFUNCTION("""COMPUTED_VALUE"""),72.0)</f>
        <v>72</v>
      </c>
      <c r="F1212" s="1">
        <f>IFERROR(__xludf.DUMMYFUNCTION("""COMPUTED_VALUE"""),82.0)</f>
        <v>82</v>
      </c>
      <c r="G1212" s="1">
        <f>IFERROR(__xludf.DUMMYFUNCTION("""COMPUTED_VALUE"""),85.0)</f>
        <v>85</v>
      </c>
      <c r="H1212" s="1">
        <f>IFERROR(__xludf.DUMMYFUNCTION("""COMPUTED_VALUE"""),81.0)</f>
        <v>81</v>
      </c>
      <c r="I1212" s="1">
        <f>IFERROR(__xludf.DUMMYFUNCTION("""COMPUTED_VALUE"""),37.0)</f>
        <v>37</v>
      </c>
      <c r="J1212" s="1">
        <f>IFERROR(__xludf.DUMMYFUNCTION("""COMPUTED_VALUE"""),357.0)</f>
        <v>357</v>
      </c>
      <c r="K1212" s="1">
        <f>IFERROR(__xludf.DUMMYFUNCTION("""COMPUTED_VALUE"""),71.39999999999999)</f>
        <v>71.4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>
        <f>IFERROR(__xludf.DUMMYFUNCTION("""COMPUTED_VALUE"""),22.0)</f>
        <v>22</v>
      </c>
      <c r="E1213" s="1">
        <f>IFERROR(__xludf.DUMMYFUNCTION("""COMPUTED_VALUE"""),59.0)</f>
        <v>59</v>
      </c>
      <c r="F1213" s="1">
        <f>IFERROR(__xludf.DUMMYFUNCTION("""COMPUTED_VALUE"""),77.0)</f>
        <v>77</v>
      </c>
      <c r="G1213" s="1">
        <f>IFERROR(__xludf.DUMMYFUNCTION("""COMPUTED_VALUE"""),94.0)</f>
        <v>94</v>
      </c>
      <c r="H1213" s="1">
        <f>IFERROR(__xludf.DUMMYFUNCTION("""COMPUTED_VALUE"""),24.0)</f>
        <v>24</v>
      </c>
      <c r="I1213" s="1">
        <f>IFERROR(__xludf.DUMMYFUNCTION("""COMPUTED_VALUE"""),78.0)</f>
        <v>78</v>
      </c>
      <c r="J1213" s="1">
        <f>IFERROR(__xludf.DUMMYFUNCTION("""COMPUTED_VALUE"""),332.0)</f>
        <v>332</v>
      </c>
      <c r="K1213" s="1">
        <f>IFERROR(__xludf.DUMMYFUNCTION("""COMPUTED_VALUE"""),66.4)</f>
        <v>66.4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>
        <f>IFERROR(__xludf.DUMMYFUNCTION("""COMPUTED_VALUE"""),25.0)</f>
        <v>25</v>
      </c>
      <c r="E1214" s="1">
        <f>IFERROR(__xludf.DUMMYFUNCTION("""COMPUTED_VALUE"""),75.0)</f>
        <v>75</v>
      </c>
      <c r="F1214" s="1">
        <f>IFERROR(__xludf.DUMMYFUNCTION("""COMPUTED_VALUE"""),40.0)</f>
        <v>40</v>
      </c>
      <c r="G1214" s="1">
        <f>IFERROR(__xludf.DUMMYFUNCTION("""COMPUTED_VALUE"""),26.0)</f>
        <v>26</v>
      </c>
      <c r="H1214" s="1">
        <f>IFERROR(__xludf.DUMMYFUNCTION("""COMPUTED_VALUE"""),49.0)</f>
        <v>49</v>
      </c>
      <c r="I1214" s="1">
        <f>IFERROR(__xludf.DUMMYFUNCTION("""COMPUTED_VALUE"""),52.0)</f>
        <v>52</v>
      </c>
      <c r="J1214" s="1">
        <f>IFERROR(__xludf.DUMMYFUNCTION("""COMPUTED_VALUE"""),242.0)</f>
        <v>242</v>
      </c>
      <c r="K1214" s="1">
        <f>IFERROR(__xludf.DUMMYFUNCTION("""COMPUTED_VALUE"""),48.4)</f>
        <v>48.4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>
        <f>IFERROR(__xludf.DUMMYFUNCTION("""COMPUTED_VALUE"""),61.0)</f>
        <v>61</v>
      </c>
      <c r="E1215" s="1">
        <f>IFERROR(__xludf.DUMMYFUNCTION("""COMPUTED_VALUE"""),70.0)</f>
        <v>70</v>
      </c>
      <c r="F1215" s="1">
        <f>IFERROR(__xludf.DUMMYFUNCTION("""COMPUTED_VALUE"""),46.0)</f>
        <v>46</v>
      </c>
      <c r="G1215" s="1">
        <f>IFERROR(__xludf.DUMMYFUNCTION("""COMPUTED_VALUE"""),91.0)</f>
        <v>91</v>
      </c>
      <c r="H1215" s="1">
        <f>IFERROR(__xludf.DUMMYFUNCTION("""COMPUTED_VALUE"""),98.0)</f>
        <v>98</v>
      </c>
      <c r="I1215" s="1">
        <f>IFERROR(__xludf.DUMMYFUNCTION("""COMPUTED_VALUE"""),71.0)</f>
        <v>71</v>
      </c>
      <c r="J1215" s="1">
        <f>IFERROR(__xludf.DUMMYFUNCTION("""COMPUTED_VALUE"""),376.0)</f>
        <v>376</v>
      </c>
      <c r="K1215" s="1">
        <f>IFERROR(__xludf.DUMMYFUNCTION("""COMPUTED_VALUE"""),75.2)</f>
        <v>75.2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>
        <f>IFERROR(__xludf.DUMMYFUNCTION("""COMPUTED_VALUE"""),83.0)</f>
        <v>83</v>
      </c>
      <c r="E1216" s="1">
        <f>IFERROR(__xludf.DUMMYFUNCTION("""COMPUTED_VALUE"""),72.0)</f>
        <v>72</v>
      </c>
      <c r="F1216" s="1">
        <f>IFERROR(__xludf.DUMMYFUNCTION("""COMPUTED_VALUE"""),99.0)</f>
        <v>99</v>
      </c>
      <c r="G1216" s="1">
        <f>IFERROR(__xludf.DUMMYFUNCTION("""COMPUTED_VALUE"""),64.0)</f>
        <v>64</v>
      </c>
      <c r="H1216" s="1">
        <f>IFERROR(__xludf.DUMMYFUNCTION("""COMPUTED_VALUE"""),45.0)</f>
        <v>45</v>
      </c>
      <c r="I1216" s="1">
        <f>IFERROR(__xludf.DUMMYFUNCTION("""COMPUTED_VALUE"""),64.0)</f>
        <v>64</v>
      </c>
      <c r="J1216" s="1">
        <f>IFERROR(__xludf.DUMMYFUNCTION("""COMPUTED_VALUE"""),344.0)</f>
        <v>344</v>
      </c>
      <c r="K1216" s="1">
        <f>IFERROR(__xludf.DUMMYFUNCTION("""COMPUTED_VALUE"""),68.8)</f>
        <v>68.8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>
        <f>IFERROR(__xludf.DUMMYFUNCTION("""COMPUTED_VALUE"""),65.0)</f>
        <v>65</v>
      </c>
      <c r="E1217" s="1">
        <f>IFERROR(__xludf.DUMMYFUNCTION("""COMPUTED_VALUE"""),89.0)</f>
        <v>89</v>
      </c>
      <c r="F1217" s="1">
        <f>IFERROR(__xludf.DUMMYFUNCTION("""COMPUTED_VALUE"""),49.0)</f>
        <v>49</v>
      </c>
      <c r="G1217" s="1">
        <f>IFERROR(__xludf.DUMMYFUNCTION("""COMPUTED_VALUE"""),34.0)</f>
        <v>34</v>
      </c>
      <c r="H1217" s="1">
        <f>IFERROR(__xludf.DUMMYFUNCTION("""COMPUTED_VALUE"""),73.0)</f>
        <v>73</v>
      </c>
      <c r="I1217" s="1">
        <f>IFERROR(__xludf.DUMMYFUNCTION("""COMPUTED_VALUE"""),33.0)</f>
        <v>33</v>
      </c>
      <c r="J1217" s="1">
        <f>IFERROR(__xludf.DUMMYFUNCTION("""COMPUTED_VALUE"""),278.0)</f>
        <v>278</v>
      </c>
      <c r="K1217" s="1">
        <f>IFERROR(__xludf.DUMMYFUNCTION("""COMPUTED_VALUE"""),55.60000000000001)</f>
        <v>55.6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>
        <f>IFERROR(__xludf.DUMMYFUNCTION("""COMPUTED_VALUE"""),85.0)</f>
        <v>85</v>
      </c>
      <c r="E1218" s="1">
        <f>IFERROR(__xludf.DUMMYFUNCTION("""COMPUTED_VALUE"""),80.0)</f>
        <v>80</v>
      </c>
      <c r="F1218" s="1">
        <f>IFERROR(__xludf.DUMMYFUNCTION("""COMPUTED_VALUE"""),26.0)</f>
        <v>26</v>
      </c>
      <c r="G1218" s="1">
        <f>IFERROR(__xludf.DUMMYFUNCTION("""COMPUTED_VALUE"""),70.0)</f>
        <v>70</v>
      </c>
      <c r="H1218" s="1">
        <f>IFERROR(__xludf.DUMMYFUNCTION("""COMPUTED_VALUE"""),67.0)</f>
        <v>67</v>
      </c>
      <c r="I1218" s="1">
        <f>IFERROR(__xludf.DUMMYFUNCTION("""COMPUTED_VALUE"""),78.0)</f>
        <v>78</v>
      </c>
      <c r="J1218" s="1">
        <f>IFERROR(__xludf.DUMMYFUNCTION("""COMPUTED_VALUE"""),321.0)</f>
        <v>321</v>
      </c>
      <c r="K1218" s="1">
        <f>IFERROR(__xludf.DUMMYFUNCTION("""COMPUTED_VALUE"""),64.2)</f>
        <v>64.2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>
        <f>IFERROR(__xludf.DUMMYFUNCTION("""COMPUTED_VALUE"""),88.0)</f>
        <v>88</v>
      </c>
      <c r="E1219" s="1">
        <f>IFERROR(__xludf.DUMMYFUNCTION("""COMPUTED_VALUE"""),82.0)</f>
        <v>82</v>
      </c>
      <c r="F1219" s="1">
        <f>IFERROR(__xludf.DUMMYFUNCTION("""COMPUTED_VALUE"""),63.0)</f>
        <v>63</v>
      </c>
      <c r="G1219" s="1">
        <f>IFERROR(__xludf.DUMMYFUNCTION("""COMPUTED_VALUE"""),85.0)</f>
        <v>85</v>
      </c>
      <c r="H1219" s="1">
        <f>IFERROR(__xludf.DUMMYFUNCTION("""COMPUTED_VALUE"""),77.0)</f>
        <v>77</v>
      </c>
      <c r="I1219" s="1">
        <f>IFERROR(__xludf.DUMMYFUNCTION("""COMPUTED_VALUE"""),72.0)</f>
        <v>72</v>
      </c>
      <c r="J1219" s="1">
        <f>IFERROR(__xludf.DUMMYFUNCTION("""COMPUTED_VALUE"""),379.0)</f>
        <v>379</v>
      </c>
      <c r="K1219" s="1">
        <f>IFERROR(__xludf.DUMMYFUNCTION("""COMPUTED_VALUE"""),75.8)</f>
        <v>75.8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>
        <f>IFERROR(__xludf.DUMMYFUNCTION("""COMPUTED_VALUE"""),46.0)</f>
        <v>46</v>
      </c>
      <c r="E1220" s="1">
        <f>IFERROR(__xludf.DUMMYFUNCTION("""COMPUTED_VALUE"""),23.0)</f>
        <v>23</v>
      </c>
      <c r="F1220" s="1">
        <f>IFERROR(__xludf.DUMMYFUNCTION("""COMPUTED_VALUE"""),41.0)</f>
        <v>41</v>
      </c>
      <c r="G1220" s="1">
        <f>IFERROR(__xludf.DUMMYFUNCTION("""COMPUTED_VALUE"""),70.0)</f>
        <v>70</v>
      </c>
      <c r="H1220" s="1">
        <f>IFERROR(__xludf.DUMMYFUNCTION("""COMPUTED_VALUE"""),92.0)</f>
        <v>92</v>
      </c>
      <c r="I1220" s="1">
        <f>IFERROR(__xludf.DUMMYFUNCTION("""COMPUTED_VALUE"""),80.0)</f>
        <v>80</v>
      </c>
      <c r="J1220" s="1">
        <f>IFERROR(__xludf.DUMMYFUNCTION("""COMPUTED_VALUE"""),306.0)</f>
        <v>306</v>
      </c>
      <c r="K1220" s="1">
        <f>IFERROR(__xludf.DUMMYFUNCTION("""COMPUTED_VALUE"""),61.199999999999996)</f>
        <v>61.2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>
        <f>IFERROR(__xludf.DUMMYFUNCTION("""COMPUTED_VALUE"""),87.0)</f>
        <v>87</v>
      </c>
      <c r="E1221" s="1">
        <f>IFERROR(__xludf.DUMMYFUNCTION("""COMPUTED_VALUE"""),88.0)</f>
        <v>88</v>
      </c>
      <c r="F1221" s="1">
        <f>IFERROR(__xludf.DUMMYFUNCTION("""COMPUTED_VALUE"""),79.0)</f>
        <v>79</v>
      </c>
      <c r="G1221" s="1">
        <f>IFERROR(__xludf.DUMMYFUNCTION("""COMPUTED_VALUE"""),22.0)</f>
        <v>22</v>
      </c>
      <c r="H1221" s="1">
        <f>IFERROR(__xludf.DUMMYFUNCTION("""COMPUTED_VALUE"""),70.0)</f>
        <v>70</v>
      </c>
      <c r="I1221" s="1">
        <f>IFERROR(__xludf.DUMMYFUNCTION("""COMPUTED_VALUE"""),39.0)</f>
        <v>39</v>
      </c>
      <c r="J1221" s="1">
        <f>IFERROR(__xludf.DUMMYFUNCTION("""COMPUTED_VALUE"""),298.0)</f>
        <v>298</v>
      </c>
      <c r="K1221" s="1">
        <f>IFERROR(__xludf.DUMMYFUNCTION("""COMPUTED_VALUE"""),59.599999999999994)</f>
        <v>59.6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>
        <f>IFERROR(__xludf.DUMMYFUNCTION("""COMPUTED_VALUE"""),15.0)</f>
        <v>15</v>
      </c>
      <c r="E1222" s="1">
        <f>IFERROR(__xludf.DUMMYFUNCTION("""COMPUTED_VALUE"""),38.0)</f>
        <v>38</v>
      </c>
      <c r="F1222" s="1">
        <f>IFERROR(__xludf.DUMMYFUNCTION("""COMPUTED_VALUE"""),45.0)</f>
        <v>45</v>
      </c>
      <c r="G1222" s="1">
        <f>IFERROR(__xludf.DUMMYFUNCTION("""COMPUTED_VALUE"""),82.0)</f>
        <v>82</v>
      </c>
      <c r="H1222" s="1">
        <f>IFERROR(__xludf.DUMMYFUNCTION("""COMPUTED_VALUE"""),89.0)</f>
        <v>89</v>
      </c>
      <c r="I1222" s="1">
        <f>IFERROR(__xludf.DUMMYFUNCTION("""COMPUTED_VALUE"""),40.0)</f>
        <v>40</v>
      </c>
      <c r="J1222" s="1">
        <f>IFERROR(__xludf.DUMMYFUNCTION("""COMPUTED_VALUE"""),294.0)</f>
        <v>294</v>
      </c>
      <c r="K1222" s="1">
        <f>IFERROR(__xludf.DUMMYFUNCTION("""COMPUTED_VALUE"""),58.8)</f>
        <v>58.8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>
        <f>IFERROR(__xludf.DUMMYFUNCTION("""COMPUTED_VALUE"""),14.0)</f>
        <v>14</v>
      </c>
      <c r="E1223" s="1">
        <f>IFERROR(__xludf.DUMMYFUNCTION("""COMPUTED_VALUE"""),24.0)</f>
        <v>24</v>
      </c>
      <c r="F1223" s="1">
        <f>IFERROR(__xludf.DUMMYFUNCTION("""COMPUTED_VALUE"""),84.0)</f>
        <v>84</v>
      </c>
      <c r="G1223" s="1">
        <f>IFERROR(__xludf.DUMMYFUNCTION("""COMPUTED_VALUE"""),49.0)</f>
        <v>49</v>
      </c>
      <c r="H1223" s="1">
        <f>IFERROR(__xludf.DUMMYFUNCTION("""COMPUTED_VALUE"""),65.0)</f>
        <v>65</v>
      </c>
      <c r="I1223" s="1">
        <f>IFERROR(__xludf.DUMMYFUNCTION("""COMPUTED_VALUE"""),73.0)</f>
        <v>73</v>
      </c>
      <c r="J1223" s="1">
        <f>IFERROR(__xludf.DUMMYFUNCTION("""COMPUTED_VALUE"""),295.0)</f>
        <v>295</v>
      </c>
      <c r="K1223" s="1">
        <f>IFERROR(__xludf.DUMMYFUNCTION("""COMPUTED_VALUE"""),59.0)</f>
        <v>59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>
        <f>IFERROR(__xludf.DUMMYFUNCTION("""COMPUTED_VALUE"""),38.0)</f>
        <v>38</v>
      </c>
      <c r="E1224" s="1">
        <f>IFERROR(__xludf.DUMMYFUNCTION("""COMPUTED_VALUE"""),27.0)</f>
        <v>27</v>
      </c>
      <c r="F1224" s="1">
        <f>IFERROR(__xludf.DUMMYFUNCTION("""COMPUTED_VALUE"""),61.0)</f>
        <v>61</v>
      </c>
      <c r="G1224" s="1">
        <f>IFERROR(__xludf.DUMMYFUNCTION("""COMPUTED_VALUE"""),95.0)</f>
        <v>95</v>
      </c>
      <c r="H1224" s="1">
        <f>IFERROR(__xludf.DUMMYFUNCTION("""COMPUTED_VALUE"""),61.0)</f>
        <v>61</v>
      </c>
      <c r="I1224" s="1">
        <f>IFERROR(__xludf.DUMMYFUNCTION("""COMPUTED_VALUE"""),52.0)</f>
        <v>52</v>
      </c>
      <c r="J1224" s="1">
        <f>IFERROR(__xludf.DUMMYFUNCTION("""COMPUTED_VALUE"""),296.0)</f>
        <v>296</v>
      </c>
      <c r="K1224" s="1">
        <f>IFERROR(__xludf.DUMMYFUNCTION("""COMPUTED_VALUE"""),59.199999999999996)</f>
        <v>59.2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>
        <f>IFERROR(__xludf.DUMMYFUNCTION("""COMPUTED_VALUE"""),49.0)</f>
        <v>49</v>
      </c>
      <c r="E1225" s="1">
        <f>IFERROR(__xludf.DUMMYFUNCTION("""COMPUTED_VALUE"""),78.0)</f>
        <v>78</v>
      </c>
      <c r="F1225" s="1">
        <f>IFERROR(__xludf.DUMMYFUNCTION("""COMPUTED_VALUE"""),47.0)</f>
        <v>47</v>
      </c>
      <c r="G1225" s="1">
        <f>IFERROR(__xludf.DUMMYFUNCTION("""COMPUTED_VALUE"""),96.0)</f>
        <v>96</v>
      </c>
      <c r="H1225" s="1">
        <f>IFERROR(__xludf.DUMMYFUNCTION("""COMPUTED_VALUE"""),65.0)</f>
        <v>65</v>
      </c>
      <c r="I1225" s="1">
        <f>IFERROR(__xludf.DUMMYFUNCTION("""COMPUTED_VALUE"""),36.0)</f>
        <v>36</v>
      </c>
      <c r="J1225" s="1">
        <f>IFERROR(__xludf.DUMMYFUNCTION("""COMPUTED_VALUE"""),322.0)</f>
        <v>322</v>
      </c>
      <c r="K1225" s="1">
        <f>IFERROR(__xludf.DUMMYFUNCTION("""COMPUTED_VALUE"""),64.4)</f>
        <v>64.4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>
        <f>IFERROR(__xludf.DUMMYFUNCTION("""COMPUTED_VALUE"""),77.0)</f>
        <v>77</v>
      </c>
      <c r="E1226" s="1">
        <f>IFERROR(__xludf.DUMMYFUNCTION("""COMPUTED_VALUE"""),51.0)</f>
        <v>51</v>
      </c>
      <c r="F1226" s="1">
        <f>IFERROR(__xludf.DUMMYFUNCTION("""COMPUTED_VALUE"""),28.0)</f>
        <v>28</v>
      </c>
      <c r="G1226" s="1">
        <f>IFERROR(__xludf.DUMMYFUNCTION("""COMPUTED_VALUE"""),73.0)</f>
        <v>73</v>
      </c>
      <c r="H1226" s="1">
        <f>IFERROR(__xludf.DUMMYFUNCTION("""COMPUTED_VALUE"""),39.0)</f>
        <v>39</v>
      </c>
      <c r="I1226" s="1">
        <f>IFERROR(__xludf.DUMMYFUNCTION("""COMPUTED_VALUE"""),50.0)</f>
        <v>50</v>
      </c>
      <c r="J1226" s="1">
        <f>IFERROR(__xludf.DUMMYFUNCTION("""COMPUTED_VALUE"""),241.0)</f>
        <v>241</v>
      </c>
      <c r="K1226" s="1">
        <f>IFERROR(__xludf.DUMMYFUNCTION("""COMPUTED_VALUE"""),48.199999999999996)</f>
        <v>48.2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>
        <f>IFERROR(__xludf.DUMMYFUNCTION("""COMPUTED_VALUE"""),87.0)</f>
        <v>87</v>
      </c>
      <c r="E1227" s="1">
        <f>IFERROR(__xludf.DUMMYFUNCTION("""COMPUTED_VALUE"""),22.0)</f>
        <v>22</v>
      </c>
      <c r="F1227" s="1">
        <f>IFERROR(__xludf.DUMMYFUNCTION("""COMPUTED_VALUE"""),38.0)</f>
        <v>38</v>
      </c>
      <c r="G1227" s="1">
        <f>IFERROR(__xludf.DUMMYFUNCTION("""COMPUTED_VALUE"""),79.0)</f>
        <v>79</v>
      </c>
      <c r="H1227" s="1">
        <f>IFERROR(__xludf.DUMMYFUNCTION("""COMPUTED_VALUE"""),22.0)</f>
        <v>22</v>
      </c>
      <c r="I1227" s="1">
        <f>IFERROR(__xludf.DUMMYFUNCTION("""COMPUTED_VALUE"""),58.0)</f>
        <v>58</v>
      </c>
      <c r="J1227" s="1">
        <f>IFERROR(__xludf.DUMMYFUNCTION("""COMPUTED_VALUE"""),219.0)</f>
        <v>219</v>
      </c>
      <c r="K1227" s="1">
        <f>IFERROR(__xludf.DUMMYFUNCTION("""COMPUTED_VALUE"""),43.8)</f>
        <v>43.8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>
        <f>IFERROR(__xludf.DUMMYFUNCTION("""COMPUTED_VALUE"""),84.0)</f>
        <v>84</v>
      </c>
      <c r="E1228" s="1">
        <f>IFERROR(__xludf.DUMMYFUNCTION("""COMPUTED_VALUE"""),60.0)</f>
        <v>60</v>
      </c>
      <c r="F1228" s="1">
        <f>IFERROR(__xludf.DUMMYFUNCTION("""COMPUTED_VALUE"""),72.0)</f>
        <v>72</v>
      </c>
      <c r="G1228" s="1">
        <f>IFERROR(__xludf.DUMMYFUNCTION("""COMPUTED_VALUE"""),88.0)</f>
        <v>88</v>
      </c>
      <c r="H1228" s="1">
        <f>IFERROR(__xludf.DUMMYFUNCTION("""COMPUTED_VALUE"""),60.0)</f>
        <v>60</v>
      </c>
      <c r="I1228" s="1">
        <f>IFERROR(__xludf.DUMMYFUNCTION("""COMPUTED_VALUE"""),25.0)</f>
        <v>25</v>
      </c>
      <c r="J1228" s="1">
        <f>IFERROR(__xludf.DUMMYFUNCTION("""COMPUTED_VALUE"""),305.0)</f>
        <v>305</v>
      </c>
      <c r="K1228" s="1">
        <f>IFERROR(__xludf.DUMMYFUNCTION("""COMPUTED_VALUE"""),61.0)</f>
        <v>61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>
        <f>IFERROR(__xludf.DUMMYFUNCTION("""COMPUTED_VALUE"""),19.0)</f>
        <v>19</v>
      </c>
      <c r="E1229" s="1">
        <f>IFERROR(__xludf.DUMMYFUNCTION("""COMPUTED_VALUE"""),41.0)</f>
        <v>41</v>
      </c>
      <c r="F1229" s="1">
        <f>IFERROR(__xludf.DUMMYFUNCTION("""COMPUTED_VALUE"""),52.0)</f>
        <v>52</v>
      </c>
      <c r="G1229" s="1">
        <f>IFERROR(__xludf.DUMMYFUNCTION("""COMPUTED_VALUE"""),70.0)</f>
        <v>70</v>
      </c>
      <c r="H1229" s="1">
        <f>IFERROR(__xludf.DUMMYFUNCTION("""COMPUTED_VALUE"""),59.0)</f>
        <v>59</v>
      </c>
      <c r="I1229" s="1">
        <f>IFERROR(__xludf.DUMMYFUNCTION("""COMPUTED_VALUE"""),76.0)</f>
        <v>76</v>
      </c>
      <c r="J1229" s="1">
        <f>IFERROR(__xludf.DUMMYFUNCTION("""COMPUTED_VALUE"""),298.0)</f>
        <v>298</v>
      </c>
      <c r="K1229" s="1">
        <f>IFERROR(__xludf.DUMMYFUNCTION("""COMPUTED_VALUE"""),59.599999999999994)</f>
        <v>59.6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>
        <f>IFERROR(__xludf.DUMMYFUNCTION("""COMPUTED_VALUE"""),28.0)</f>
        <v>28</v>
      </c>
      <c r="E1230" s="1">
        <f>IFERROR(__xludf.DUMMYFUNCTION("""COMPUTED_VALUE"""),44.0)</f>
        <v>44</v>
      </c>
      <c r="F1230" s="1">
        <f>IFERROR(__xludf.DUMMYFUNCTION("""COMPUTED_VALUE"""),44.0)</f>
        <v>44</v>
      </c>
      <c r="G1230" s="1">
        <f>IFERROR(__xludf.DUMMYFUNCTION("""COMPUTED_VALUE"""),56.0)</f>
        <v>56</v>
      </c>
      <c r="H1230" s="1">
        <f>IFERROR(__xludf.DUMMYFUNCTION("""COMPUTED_VALUE"""),21.0)</f>
        <v>21</v>
      </c>
      <c r="I1230" s="1">
        <f>IFERROR(__xludf.DUMMYFUNCTION("""COMPUTED_VALUE"""),34.0)</f>
        <v>34</v>
      </c>
      <c r="J1230" s="1">
        <f>IFERROR(__xludf.DUMMYFUNCTION("""COMPUTED_VALUE"""),199.0)</f>
        <v>199</v>
      </c>
      <c r="K1230" s="1">
        <f>IFERROR(__xludf.DUMMYFUNCTION("""COMPUTED_VALUE"""),39.800000000000004)</f>
        <v>39.8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>
        <f>IFERROR(__xludf.DUMMYFUNCTION("""COMPUTED_VALUE"""),92.0)</f>
        <v>92</v>
      </c>
      <c r="E1231" s="1">
        <f>IFERROR(__xludf.DUMMYFUNCTION("""COMPUTED_VALUE"""),46.0)</f>
        <v>46</v>
      </c>
      <c r="F1231" s="1">
        <f>IFERROR(__xludf.DUMMYFUNCTION("""COMPUTED_VALUE"""),41.0)</f>
        <v>41</v>
      </c>
      <c r="G1231" s="1">
        <f>IFERROR(__xludf.DUMMYFUNCTION("""COMPUTED_VALUE"""),41.0)</f>
        <v>41</v>
      </c>
      <c r="H1231" s="1">
        <f>IFERROR(__xludf.DUMMYFUNCTION("""COMPUTED_VALUE"""),66.0)</f>
        <v>66</v>
      </c>
      <c r="I1231" s="1">
        <f>IFERROR(__xludf.DUMMYFUNCTION("""COMPUTED_VALUE"""),98.0)</f>
        <v>98</v>
      </c>
      <c r="J1231" s="1">
        <f>IFERROR(__xludf.DUMMYFUNCTION("""COMPUTED_VALUE"""),292.0)</f>
        <v>292</v>
      </c>
      <c r="K1231" s="1">
        <f>IFERROR(__xludf.DUMMYFUNCTION("""COMPUTED_VALUE"""),58.4)</f>
        <v>58.4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>
        <f>IFERROR(__xludf.DUMMYFUNCTION("""COMPUTED_VALUE"""),99.0)</f>
        <v>99</v>
      </c>
      <c r="E1232" s="1">
        <f>IFERROR(__xludf.DUMMYFUNCTION("""COMPUTED_VALUE"""),60.0)</f>
        <v>60</v>
      </c>
      <c r="F1232" s="1">
        <f>IFERROR(__xludf.DUMMYFUNCTION("""COMPUTED_VALUE"""),99.0)</f>
        <v>99</v>
      </c>
      <c r="G1232" s="1">
        <f>IFERROR(__xludf.DUMMYFUNCTION("""COMPUTED_VALUE"""),85.0)</f>
        <v>85</v>
      </c>
      <c r="H1232" s="1">
        <f>IFERROR(__xludf.DUMMYFUNCTION("""COMPUTED_VALUE"""),28.0)</f>
        <v>28</v>
      </c>
      <c r="I1232" s="1">
        <f>IFERROR(__xludf.DUMMYFUNCTION("""COMPUTED_VALUE"""),92.0)</f>
        <v>92</v>
      </c>
      <c r="J1232" s="1">
        <f>IFERROR(__xludf.DUMMYFUNCTION("""COMPUTED_VALUE"""),364.0)</f>
        <v>364</v>
      </c>
      <c r="K1232" s="1">
        <f>IFERROR(__xludf.DUMMYFUNCTION("""COMPUTED_VALUE"""),72.8)</f>
        <v>72.8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>
        <f>IFERROR(__xludf.DUMMYFUNCTION("""COMPUTED_VALUE"""),20.0)</f>
        <v>20</v>
      </c>
      <c r="E1233" s="1">
        <f>IFERROR(__xludf.DUMMYFUNCTION("""COMPUTED_VALUE"""),27.0)</f>
        <v>27</v>
      </c>
      <c r="F1233" s="1">
        <f>IFERROR(__xludf.DUMMYFUNCTION("""COMPUTED_VALUE"""),78.0)</f>
        <v>78</v>
      </c>
      <c r="G1233" s="1">
        <f>IFERROR(__xludf.DUMMYFUNCTION("""COMPUTED_VALUE"""),78.0)</f>
        <v>78</v>
      </c>
      <c r="H1233" s="1">
        <f>IFERROR(__xludf.DUMMYFUNCTION("""COMPUTED_VALUE"""),80.0)</f>
        <v>80</v>
      </c>
      <c r="I1233" s="1">
        <f>IFERROR(__xludf.DUMMYFUNCTION("""COMPUTED_VALUE"""),26.0)</f>
        <v>26</v>
      </c>
      <c r="J1233" s="1">
        <f>IFERROR(__xludf.DUMMYFUNCTION("""COMPUTED_VALUE"""),289.0)</f>
        <v>289</v>
      </c>
      <c r="K1233" s="1">
        <f>IFERROR(__xludf.DUMMYFUNCTION("""COMPUTED_VALUE"""),57.8)</f>
        <v>57.8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>
        <f>IFERROR(__xludf.DUMMYFUNCTION("""COMPUTED_VALUE"""),73.0)</f>
        <v>73</v>
      </c>
      <c r="E1234" s="1">
        <f>IFERROR(__xludf.DUMMYFUNCTION("""COMPUTED_VALUE"""),53.0)</f>
        <v>53</v>
      </c>
      <c r="F1234" s="1">
        <f>IFERROR(__xludf.DUMMYFUNCTION("""COMPUTED_VALUE"""),57.0)</f>
        <v>57</v>
      </c>
      <c r="G1234" s="1">
        <f>IFERROR(__xludf.DUMMYFUNCTION("""COMPUTED_VALUE"""),38.0)</f>
        <v>38</v>
      </c>
      <c r="H1234" s="1">
        <f>IFERROR(__xludf.DUMMYFUNCTION("""COMPUTED_VALUE"""),58.0)</f>
        <v>58</v>
      </c>
      <c r="I1234" s="1">
        <f>IFERROR(__xludf.DUMMYFUNCTION("""COMPUTED_VALUE"""),60.0)</f>
        <v>60</v>
      </c>
      <c r="J1234" s="1">
        <f>IFERROR(__xludf.DUMMYFUNCTION("""COMPUTED_VALUE"""),266.0)</f>
        <v>266</v>
      </c>
      <c r="K1234" s="1">
        <f>IFERROR(__xludf.DUMMYFUNCTION("""COMPUTED_VALUE"""),53.2)</f>
        <v>53.2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>
        <f>IFERROR(__xludf.DUMMYFUNCTION("""COMPUTED_VALUE"""),48.0)</f>
        <v>48</v>
      </c>
      <c r="E1235" s="1">
        <f>IFERROR(__xludf.DUMMYFUNCTION("""COMPUTED_VALUE"""),76.0)</f>
        <v>76</v>
      </c>
      <c r="F1235" s="1">
        <f>IFERROR(__xludf.DUMMYFUNCTION("""COMPUTED_VALUE"""),99.0)</f>
        <v>99</v>
      </c>
      <c r="G1235" s="1">
        <f>IFERROR(__xludf.DUMMYFUNCTION("""COMPUTED_VALUE"""),60.0)</f>
        <v>60</v>
      </c>
      <c r="H1235" s="1">
        <f>IFERROR(__xludf.DUMMYFUNCTION("""COMPUTED_VALUE"""),57.0)</f>
        <v>57</v>
      </c>
      <c r="I1235" s="1">
        <f>IFERROR(__xludf.DUMMYFUNCTION("""COMPUTED_VALUE"""),78.0)</f>
        <v>78</v>
      </c>
      <c r="J1235" s="1">
        <f>IFERROR(__xludf.DUMMYFUNCTION("""COMPUTED_VALUE"""),370.0)</f>
        <v>370</v>
      </c>
      <c r="K1235" s="1">
        <f>IFERROR(__xludf.DUMMYFUNCTION("""COMPUTED_VALUE"""),74.0)</f>
        <v>74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>
        <f>IFERROR(__xludf.DUMMYFUNCTION("""COMPUTED_VALUE"""),33.0)</f>
        <v>33</v>
      </c>
      <c r="E1236" s="1">
        <f>IFERROR(__xludf.DUMMYFUNCTION("""COMPUTED_VALUE"""),32.0)</f>
        <v>32</v>
      </c>
      <c r="F1236" s="1">
        <f>IFERROR(__xludf.DUMMYFUNCTION("""COMPUTED_VALUE"""),61.0)</f>
        <v>61</v>
      </c>
      <c r="G1236" s="1">
        <f>IFERROR(__xludf.DUMMYFUNCTION("""COMPUTED_VALUE"""),73.0)</f>
        <v>73</v>
      </c>
      <c r="H1236" s="1">
        <f>IFERROR(__xludf.DUMMYFUNCTION("""COMPUTED_VALUE"""),53.0)</f>
        <v>53</v>
      </c>
      <c r="I1236" s="1">
        <f>IFERROR(__xludf.DUMMYFUNCTION("""COMPUTED_VALUE"""),77.0)</f>
        <v>77</v>
      </c>
      <c r="J1236" s="1">
        <f>IFERROR(__xludf.DUMMYFUNCTION("""COMPUTED_VALUE"""),296.0)</f>
        <v>296</v>
      </c>
      <c r="K1236" s="1">
        <f>IFERROR(__xludf.DUMMYFUNCTION("""COMPUTED_VALUE"""),59.199999999999996)</f>
        <v>59.2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>
        <f>IFERROR(__xludf.DUMMYFUNCTION("""COMPUTED_VALUE"""),95.0)</f>
        <v>95</v>
      </c>
      <c r="E1237" s="1">
        <f>IFERROR(__xludf.DUMMYFUNCTION("""COMPUTED_VALUE"""),95.0)</f>
        <v>95</v>
      </c>
      <c r="F1237" s="1">
        <f>IFERROR(__xludf.DUMMYFUNCTION("""COMPUTED_VALUE"""),45.0)</f>
        <v>45</v>
      </c>
      <c r="G1237" s="1">
        <f>IFERROR(__xludf.DUMMYFUNCTION("""COMPUTED_VALUE"""),88.0)</f>
        <v>88</v>
      </c>
      <c r="H1237" s="1">
        <f>IFERROR(__xludf.DUMMYFUNCTION("""COMPUTED_VALUE"""),56.0)</f>
        <v>56</v>
      </c>
      <c r="I1237" s="1">
        <f>IFERROR(__xludf.DUMMYFUNCTION("""COMPUTED_VALUE"""),28.0)</f>
        <v>28</v>
      </c>
      <c r="J1237" s="1">
        <f>IFERROR(__xludf.DUMMYFUNCTION("""COMPUTED_VALUE"""),312.0)</f>
        <v>312</v>
      </c>
      <c r="K1237" s="1">
        <f>IFERROR(__xludf.DUMMYFUNCTION("""COMPUTED_VALUE"""),62.4)</f>
        <v>62.4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>
        <f>IFERROR(__xludf.DUMMYFUNCTION("""COMPUTED_VALUE"""),40.0)</f>
        <v>40</v>
      </c>
      <c r="E1238" s="1">
        <f>IFERROR(__xludf.DUMMYFUNCTION("""COMPUTED_VALUE"""),29.0)</f>
        <v>29</v>
      </c>
      <c r="F1238" s="1">
        <f>IFERROR(__xludf.DUMMYFUNCTION("""COMPUTED_VALUE"""),81.0)</f>
        <v>81</v>
      </c>
      <c r="G1238" s="1">
        <f>IFERROR(__xludf.DUMMYFUNCTION("""COMPUTED_VALUE"""),35.0)</f>
        <v>35</v>
      </c>
      <c r="H1238" s="1">
        <f>IFERROR(__xludf.DUMMYFUNCTION("""COMPUTED_VALUE"""),38.0)</f>
        <v>38</v>
      </c>
      <c r="I1238" s="1">
        <f>IFERROR(__xludf.DUMMYFUNCTION("""COMPUTED_VALUE"""),51.0)</f>
        <v>51</v>
      </c>
      <c r="J1238" s="1">
        <f>IFERROR(__xludf.DUMMYFUNCTION("""COMPUTED_VALUE"""),234.0)</f>
        <v>234</v>
      </c>
      <c r="K1238" s="1">
        <f>IFERROR(__xludf.DUMMYFUNCTION("""COMPUTED_VALUE"""),46.800000000000004)</f>
        <v>46.8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>
        <f>IFERROR(__xludf.DUMMYFUNCTION("""COMPUTED_VALUE"""),16.0)</f>
        <v>16</v>
      </c>
      <c r="E1239" s="1">
        <f>IFERROR(__xludf.DUMMYFUNCTION("""COMPUTED_VALUE"""),93.0)</f>
        <v>93</v>
      </c>
      <c r="F1239" s="1">
        <f>IFERROR(__xludf.DUMMYFUNCTION("""COMPUTED_VALUE"""),70.0)</f>
        <v>70</v>
      </c>
      <c r="G1239" s="1">
        <f>IFERROR(__xludf.DUMMYFUNCTION("""COMPUTED_VALUE"""),83.0)</f>
        <v>83</v>
      </c>
      <c r="H1239" s="1">
        <f>IFERROR(__xludf.DUMMYFUNCTION("""COMPUTED_VALUE"""),70.0)</f>
        <v>70</v>
      </c>
      <c r="I1239" s="1">
        <f>IFERROR(__xludf.DUMMYFUNCTION("""COMPUTED_VALUE"""),39.0)</f>
        <v>39</v>
      </c>
      <c r="J1239" s="1">
        <f>IFERROR(__xludf.DUMMYFUNCTION("""COMPUTED_VALUE"""),355.0)</f>
        <v>355</v>
      </c>
      <c r="K1239" s="1">
        <f>IFERROR(__xludf.DUMMYFUNCTION("""COMPUTED_VALUE"""),71.0)</f>
        <v>71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>
        <f>IFERROR(__xludf.DUMMYFUNCTION("""COMPUTED_VALUE"""),73.0)</f>
        <v>73</v>
      </c>
      <c r="E1240" s="1">
        <f>IFERROR(__xludf.DUMMYFUNCTION("""COMPUTED_VALUE"""),66.0)</f>
        <v>66</v>
      </c>
      <c r="F1240" s="1">
        <f>IFERROR(__xludf.DUMMYFUNCTION("""COMPUTED_VALUE"""),25.0)</f>
        <v>25</v>
      </c>
      <c r="G1240" s="1">
        <f>IFERROR(__xludf.DUMMYFUNCTION("""COMPUTED_VALUE"""),41.0)</f>
        <v>41</v>
      </c>
      <c r="H1240" s="1">
        <f>IFERROR(__xludf.DUMMYFUNCTION("""COMPUTED_VALUE"""),55.0)</f>
        <v>55</v>
      </c>
      <c r="I1240" s="1">
        <f>IFERROR(__xludf.DUMMYFUNCTION("""COMPUTED_VALUE"""),26.0)</f>
        <v>26</v>
      </c>
      <c r="J1240" s="1">
        <f>IFERROR(__xludf.DUMMYFUNCTION("""COMPUTED_VALUE"""),213.0)</f>
        <v>213</v>
      </c>
      <c r="K1240" s="1">
        <f>IFERROR(__xludf.DUMMYFUNCTION("""COMPUTED_VALUE"""),42.6)</f>
        <v>42.6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>
        <f>IFERROR(__xludf.DUMMYFUNCTION("""COMPUTED_VALUE"""),99.0)</f>
        <v>99</v>
      </c>
      <c r="E1241" s="1">
        <f>IFERROR(__xludf.DUMMYFUNCTION("""COMPUTED_VALUE"""),68.0)</f>
        <v>68</v>
      </c>
      <c r="F1241" s="1">
        <f>IFERROR(__xludf.DUMMYFUNCTION("""COMPUTED_VALUE"""),97.0)</f>
        <v>97</v>
      </c>
      <c r="G1241" s="1">
        <f>IFERROR(__xludf.DUMMYFUNCTION("""COMPUTED_VALUE"""),34.0)</f>
        <v>34</v>
      </c>
      <c r="H1241" s="1">
        <f>IFERROR(__xludf.DUMMYFUNCTION("""COMPUTED_VALUE"""),20.0)</f>
        <v>20</v>
      </c>
      <c r="I1241" s="1">
        <f>IFERROR(__xludf.DUMMYFUNCTION("""COMPUTED_VALUE"""),33.0)</f>
        <v>33</v>
      </c>
      <c r="J1241" s="1">
        <f>IFERROR(__xludf.DUMMYFUNCTION("""COMPUTED_VALUE"""),252.0)</f>
        <v>252</v>
      </c>
      <c r="K1241" s="1">
        <f>IFERROR(__xludf.DUMMYFUNCTION("""COMPUTED_VALUE"""),50.4)</f>
        <v>50.4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>
        <f>IFERROR(__xludf.DUMMYFUNCTION("""COMPUTED_VALUE"""),54.0)</f>
        <v>54</v>
      </c>
      <c r="E1242" s="1">
        <f>IFERROR(__xludf.DUMMYFUNCTION("""COMPUTED_VALUE"""),54.0)</f>
        <v>54</v>
      </c>
      <c r="F1242" s="1">
        <f>IFERROR(__xludf.DUMMYFUNCTION("""COMPUTED_VALUE"""),44.0)</f>
        <v>44</v>
      </c>
      <c r="G1242" s="1">
        <f>IFERROR(__xludf.DUMMYFUNCTION("""COMPUTED_VALUE"""),72.0)</f>
        <v>72</v>
      </c>
      <c r="H1242" s="1">
        <f>IFERROR(__xludf.DUMMYFUNCTION("""COMPUTED_VALUE"""),27.0)</f>
        <v>27</v>
      </c>
      <c r="I1242" s="1">
        <f>IFERROR(__xludf.DUMMYFUNCTION("""COMPUTED_VALUE"""),60.0)</f>
        <v>60</v>
      </c>
      <c r="J1242" s="1">
        <f>IFERROR(__xludf.DUMMYFUNCTION("""COMPUTED_VALUE"""),257.0)</f>
        <v>257</v>
      </c>
      <c r="K1242" s="1">
        <f>IFERROR(__xludf.DUMMYFUNCTION("""COMPUTED_VALUE"""),51.4)</f>
        <v>51.4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>
        <f>IFERROR(__xludf.DUMMYFUNCTION("""COMPUTED_VALUE"""),85.0)</f>
        <v>85</v>
      </c>
      <c r="E1243" s="1">
        <f>IFERROR(__xludf.DUMMYFUNCTION("""COMPUTED_VALUE"""),96.0)</f>
        <v>96</v>
      </c>
      <c r="F1243" s="1">
        <f>IFERROR(__xludf.DUMMYFUNCTION("""COMPUTED_VALUE"""),97.0)</f>
        <v>97</v>
      </c>
      <c r="G1243" s="1">
        <f>IFERROR(__xludf.DUMMYFUNCTION("""COMPUTED_VALUE"""),39.0)</f>
        <v>39</v>
      </c>
      <c r="H1243" s="1">
        <f>IFERROR(__xludf.DUMMYFUNCTION("""COMPUTED_VALUE"""),28.0)</f>
        <v>28</v>
      </c>
      <c r="I1243" s="1">
        <f>IFERROR(__xludf.DUMMYFUNCTION("""COMPUTED_VALUE"""),57.0)</f>
        <v>57</v>
      </c>
      <c r="J1243" s="1">
        <f>IFERROR(__xludf.DUMMYFUNCTION("""COMPUTED_VALUE"""),317.0)</f>
        <v>317</v>
      </c>
      <c r="K1243" s="1">
        <f>IFERROR(__xludf.DUMMYFUNCTION("""COMPUTED_VALUE"""),63.4)</f>
        <v>63.4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>
        <f>IFERROR(__xludf.DUMMYFUNCTION("""COMPUTED_VALUE"""),73.0)</f>
        <v>73</v>
      </c>
      <c r="E1244" s="1">
        <f>IFERROR(__xludf.DUMMYFUNCTION("""COMPUTED_VALUE"""),26.0)</f>
        <v>26</v>
      </c>
      <c r="F1244" s="1">
        <f>IFERROR(__xludf.DUMMYFUNCTION("""COMPUTED_VALUE"""),52.0)</f>
        <v>52</v>
      </c>
      <c r="G1244" s="1">
        <f>IFERROR(__xludf.DUMMYFUNCTION("""COMPUTED_VALUE"""),92.0)</f>
        <v>92</v>
      </c>
      <c r="H1244" s="1">
        <f>IFERROR(__xludf.DUMMYFUNCTION("""COMPUTED_VALUE"""),91.0)</f>
        <v>91</v>
      </c>
      <c r="I1244" s="1">
        <f>IFERROR(__xludf.DUMMYFUNCTION("""COMPUTED_VALUE"""),21.0)</f>
        <v>21</v>
      </c>
      <c r="J1244" s="1">
        <f>IFERROR(__xludf.DUMMYFUNCTION("""COMPUTED_VALUE"""),282.0)</f>
        <v>282</v>
      </c>
      <c r="K1244" s="1">
        <f>IFERROR(__xludf.DUMMYFUNCTION("""COMPUTED_VALUE"""),56.39999999999999)</f>
        <v>56.4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>
        <f>IFERROR(__xludf.DUMMYFUNCTION("""COMPUTED_VALUE"""),100.0)</f>
        <v>100</v>
      </c>
      <c r="E1245" s="1">
        <f>IFERROR(__xludf.DUMMYFUNCTION("""COMPUTED_VALUE"""),53.0)</f>
        <v>53</v>
      </c>
      <c r="F1245" s="1">
        <f>IFERROR(__xludf.DUMMYFUNCTION("""COMPUTED_VALUE"""),77.0)</f>
        <v>77</v>
      </c>
      <c r="G1245" s="1">
        <f>IFERROR(__xludf.DUMMYFUNCTION("""COMPUTED_VALUE"""),78.0)</f>
        <v>78</v>
      </c>
      <c r="H1245" s="1">
        <f>IFERROR(__xludf.DUMMYFUNCTION("""COMPUTED_VALUE"""),99.0)</f>
        <v>99</v>
      </c>
      <c r="I1245" s="1">
        <f>IFERROR(__xludf.DUMMYFUNCTION("""COMPUTED_VALUE"""),52.0)</f>
        <v>52</v>
      </c>
      <c r="J1245" s="1">
        <f>IFERROR(__xludf.DUMMYFUNCTION("""COMPUTED_VALUE"""),359.0)</f>
        <v>359</v>
      </c>
      <c r="K1245" s="1">
        <f>IFERROR(__xludf.DUMMYFUNCTION("""COMPUTED_VALUE"""),71.8)</f>
        <v>71.8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>
        <f>IFERROR(__xludf.DUMMYFUNCTION("""COMPUTED_VALUE"""),45.0)</f>
        <v>45</v>
      </c>
      <c r="E1246" s="1">
        <f>IFERROR(__xludf.DUMMYFUNCTION("""COMPUTED_VALUE"""),96.0)</f>
        <v>96</v>
      </c>
      <c r="F1246" s="1">
        <f>IFERROR(__xludf.DUMMYFUNCTION("""COMPUTED_VALUE"""),50.0)</f>
        <v>50</v>
      </c>
      <c r="G1246" s="1">
        <f>IFERROR(__xludf.DUMMYFUNCTION("""COMPUTED_VALUE"""),69.0)</f>
        <v>69</v>
      </c>
      <c r="H1246" s="1">
        <f>IFERROR(__xludf.DUMMYFUNCTION("""COMPUTED_VALUE"""),75.0)</f>
        <v>75</v>
      </c>
      <c r="I1246" s="1">
        <f>IFERROR(__xludf.DUMMYFUNCTION("""COMPUTED_VALUE"""),83.0)</f>
        <v>83</v>
      </c>
      <c r="J1246" s="1">
        <f>IFERROR(__xludf.DUMMYFUNCTION("""COMPUTED_VALUE"""),373.0)</f>
        <v>373</v>
      </c>
      <c r="K1246" s="1">
        <f>IFERROR(__xludf.DUMMYFUNCTION("""COMPUTED_VALUE"""),74.6)</f>
        <v>74.6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>
        <f>IFERROR(__xludf.DUMMYFUNCTION("""COMPUTED_VALUE"""),67.0)</f>
        <v>67</v>
      </c>
      <c r="E1247" s="1">
        <f>IFERROR(__xludf.DUMMYFUNCTION("""COMPUTED_VALUE"""),30.0)</f>
        <v>30</v>
      </c>
      <c r="F1247" s="1">
        <f>IFERROR(__xludf.DUMMYFUNCTION("""COMPUTED_VALUE"""),73.0)</f>
        <v>73</v>
      </c>
      <c r="G1247" s="1">
        <f>IFERROR(__xludf.DUMMYFUNCTION("""COMPUTED_VALUE"""),90.0)</f>
        <v>90</v>
      </c>
      <c r="H1247" s="1">
        <f>IFERROR(__xludf.DUMMYFUNCTION("""COMPUTED_VALUE"""),29.0)</f>
        <v>29</v>
      </c>
      <c r="I1247" s="1">
        <f>IFERROR(__xludf.DUMMYFUNCTION("""COMPUTED_VALUE"""),80.0)</f>
        <v>80</v>
      </c>
      <c r="J1247" s="1">
        <f>IFERROR(__xludf.DUMMYFUNCTION("""COMPUTED_VALUE"""),302.0)</f>
        <v>302</v>
      </c>
      <c r="K1247" s="1">
        <f>IFERROR(__xludf.DUMMYFUNCTION("""COMPUTED_VALUE"""),60.4)</f>
        <v>60.4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>
        <f>IFERROR(__xludf.DUMMYFUNCTION("""COMPUTED_VALUE"""),30.0)</f>
        <v>30</v>
      </c>
      <c r="E1248" s="1">
        <f>IFERROR(__xludf.DUMMYFUNCTION("""COMPUTED_VALUE"""),65.0)</f>
        <v>65</v>
      </c>
      <c r="F1248" s="1">
        <f>IFERROR(__xludf.DUMMYFUNCTION("""COMPUTED_VALUE"""),67.0)</f>
        <v>67</v>
      </c>
      <c r="G1248" s="1">
        <f>IFERROR(__xludf.DUMMYFUNCTION("""COMPUTED_VALUE"""),82.0)</f>
        <v>82</v>
      </c>
      <c r="H1248" s="1">
        <f>IFERROR(__xludf.DUMMYFUNCTION("""COMPUTED_VALUE"""),26.0)</f>
        <v>26</v>
      </c>
      <c r="I1248" s="1">
        <f>IFERROR(__xludf.DUMMYFUNCTION("""COMPUTED_VALUE"""),29.0)</f>
        <v>29</v>
      </c>
      <c r="J1248" s="1">
        <f>IFERROR(__xludf.DUMMYFUNCTION("""COMPUTED_VALUE"""),269.0)</f>
        <v>269</v>
      </c>
      <c r="K1248" s="1">
        <f>IFERROR(__xludf.DUMMYFUNCTION("""COMPUTED_VALUE"""),53.800000000000004)</f>
        <v>53.8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>
        <f>IFERROR(__xludf.DUMMYFUNCTION("""COMPUTED_VALUE"""),25.0)</f>
        <v>25</v>
      </c>
      <c r="E1249" s="1">
        <f>IFERROR(__xludf.DUMMYFUNCTION("""COMPUTED_VALUE"""),38.0)</f>
        <v>38</v>
      </c>
      <c r="F1249" s="1">
        <f>IFERROR(__xludf.DUMMYFUNCTION("""COMPUTED_VALUE"""),65.0)</f>
        <v>65</v>
      </c>
      <c r="G1249" s="1">
        <f>IFERROR(__xludf.DUMMYFUNCTION("""COMPUTED_VALUE"""),99.0)</f>
        <v>99</v>
      </c>
      <c r="H1249" s="1">
        <f>IFERROR(__xludf.DUMMYFUNCTION("""COMPUTED_VALUE"""),51.0)</f>
        <v>51</v>
      </c>
      <c r="I1249" s="1">
        <f>IFERROR(__xludf.DUMMYFUNCTION("""COMPUTED_VALUE"""),66.0)</f>
        <v>66</v>
      </c>
      <c r="J1249" s="1">
        <f>IFERROR(__xludf.DUMMYFUNCTION("""COMPUTED_VALUE"""),319.0)</f>
        <v>319</v>
      </c>
      <c r="K1249" s="1">
        <f>IFERROR(__xludf.DUMMYFUNCTION("""COMPUTED_VALUE"""),63.800000000000004)</f>
        <v>63.8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>
        <f>IFERROR(__xludf.DUMMYFUNCTION("""COMPUTED_VALUE"""),77.0)</f>
        <v>77</v>
      </c>
      <c r="E1250" s="1">
        <f>IFERROR(__xludf.DUMMYFUNCTION("""COMPUTED_VALUE"""),61.0)</f>
        <v>61</v>
      </c>
      <c r="F1250" s="1">
        <f>IFERROR(__xludf.DUMMYFUNCTION("""COMPUTED_VALUE"""),36.0)</f>
        <v>36</v>
      </c>
      <c r="G1250" s="1">
        <f>IFERROR(__xludf.DUMMYFUNCTION("""COMPUTED_VALUE"""),45.0)</f>
        <v>45</v>
      </c>
      <c r="H1250" s="1">
        <f>IFERROR(__xludf.DUMMYFUNCTION("""COMPUTED_VALUE"""),24.0)</f>
        <v>24</v>
      </c>
      <c r="I1250" s="1">
        <f>IFERROR(__xludf.DUMMYFUNCTION("""COMPUTED_VALUE"""),31.0)</f>
        <v>31</v>
      </c>
      <c r="J1250" s="1">
        <f>IFERROR(__xludf.DUMMYFUNCTION("""COMPUTED_VALUE"""),197.0)</f>
        <v>197</v>
      </c>
      <c r="K1250" s="1">
        <f>IFERROR(__xludf.DUMMYFUNCTION("""COMPUTED_VALUE"""),39.4)</f>
        <v>39.4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>
        <f>IFERROR(__xludf.DUMMYFUNCTION("""COMPUTED_VALUE"""),20.0)</f>
        <v>20</v>
      </c>
      <c r="E1251" s="1">
        <f>IFERROR(__xludf.DUMMYFUNCTION("""COMPUTED_VALUE"""),75.0)</f>
        <v>75</v>
      </c>
      <c r="F1251" s="1">
        <f>IFERROR(__xludf.DUMMYFUNCTION("""COMPUTED_VALUE"""),34.0)</f>
        <v>34</v>
      </c>
      <c r="G1251" s="1">
        <f>IFERROR(__xludf.DUMMYFUNCTION("""COMPUTED_VALUE"""),58.0)</f>
        <v>58</v>
      </c>
      <c r="H1251" s="1">
        <f>IFERROR(__xludf.DUMMYFUNCTION("""COMPUTED_VALUE"""),36.0)</f>
        <v>36</v>
      </c>
      <c r="I1251" s="1">
        <f>IFERROR(__xludf.DUMMYFUNCTION("""COMPUTED_VALUE"""),76.0)</f>
        <v>76</v>
      </c>
      <c r="J1251" s="1">
        <f>IFERROR(__xludf.DUMMYFUNCTION("""COMPUTED_VALUE"""),279.0)</f>
        <v>279</v>
      </c>
      <c r="K1251" s="1">
        <f>IFERROR(__xludf.DUMMYFUNCTION("""COMPUTED_VALUE"""),55.800000000000004)</f>
        <v>55.8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>
        <f>IFERROR(__xludf.DUMMYFUNCTION("""COMPUTED_VALUE"""),49.0)</f>
        <v>49</v>
      </c>
      <c r="E1252" s="1">
        <f>IFERROR(__xludf.DUMMYFUNCTION("""COMPUTED_VALUE"""),85.0)</f>
        <v>85</v>
      </c>
      <c r="F1252" s="1">
        <f>IFERROR(__xludf.DUMMYFUNCTION("""COMPUTED_VALUE"""),41.0)</f>
        <v>41</v>
      </c>
      <c r="G1252" s="1">
        <f>IFERROR(__xludf.DUMMYFUNCTION("""COMPUTED_VALUE"""),80.0)</f>
        <v>80</v>
      </c>
      <c r="H1252" s="1">
        <f>IFERROR(__xludf.DUMMYFUNCTION("""COMPUTED_VALUE"""),24.0)</f>
        <v>24</v>
      </c>
      <c r="I1252" s="1">
        <f>IFERROR(__xludf.DUMMYFUNCTION("""COMPUTED_VALUE"""),76.0)</f>
        <v>76</v>
      </c>
      <c r="J1252" s="1">
        <f>IFERROR(__xludf.DUMMYFUNCTION("""COMPUTED_VALUE"""),306.0)</f>
        <v>306</v>
      </c>
      <c r="K1252" s="1">
        <f>IFERROR(__xludf.DUMMYFUNCTION("""COMPUTED_VALUE"""),61.199999999999996)</f>
        <v>61.2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>
        <f>IFERROR(__xludf.DUMMYFUNCTION("""COMPUTED_VALUE"""),78.0)</f>
        <v>78</v>
      </c>
      <c r="E1253" s="1">
        <f>IFERROR(__xludf.DUMMYFUNCTION("""COMPUTED_VALUE"""),33.0)</f>
        <v>33</v>
      </c>
      <c r="F1253" s="1">
        <f>IFERROR(__xludf.DUMMYFUNCTION("""COMPUTED_VALUE"""),82.0)</f>
        <v>82</v>
      </c>
      <c r="G1253" s="1">
        <f>IFERROR(__xludf.DUMMYFUNCTION("""COMPUTED_VALUE"""),59.0)</f>
        <v>59</v>
      </c>
      <c r="H1253" s="1">
        <f>IFERROR(__xludf.DUMMYFUNCTION("""COMPUTED_VALUE"""),88.0)</f>
        <v>88</v>
      </c>
      <c r="I1253" s="1">
        <f>IFERROR(__xludf.DUMMYFUNCTION("""COMPUTED_VALUE"""),71.0)</f>
        <v>71</v>
      </c>
      <c r="J1253" s="1">
        <f>IFERROR(__xludf.DUMMYFUNCTION("""COMPUTED_VALUE"""),333.0)</f>
        <v>333</v>
      </c>
      <c r="K1253" s="1">
        <f>IFERROR(__xludf.DUMMYFUNCTION("""COMPUTED_VALUE"""),66.60000000000001)</f>
        <v>66.6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>
        <f>IFERROR(__xludf.DUMMYFUNCTION("""COMPUTED_VALUE"""),33.0)</f>
        <v>33</v>
      </c>
      <c r="E1254" s="1">
        <f>IFERROR(__xludf.DUMMYFUNCTION("""COMPUTED_VALUE"""),64.0)</f>
        <v>64</v>
      </c>
      <c r="F1254" s="1">
        <f>IFERROR(__xludf.DUMMYFUNCTION("""COMPUTED_VALUE"""),89.0)</f>
        <v>89</v>
      </c>
      <c r="G1254" s="1">
        <f>IFERROR(__xludf.DUMMYFUNCTION("""COMPUTED_VALUE"""),51.0)</f>
        <v>51</v>
      </c>
      <c r="H1254" s="1">
        <f>IFERROR(__xludf.DUMMYFUNCTION("""COMPUTED_VALUE"""),98.0)</f>
        <v>98</v>
      </c>
      <c r="I1254" s="1">
        <f>IFERROR(__xludf.DUMMYFUNCTION("""COMPUTED_VALUE"""),88.0)</f>
        <v>88</v>
      </c>
      <c r="J1254" s="1">
        <f>IFERROR(__xludf.DUMMYFUNCTION("""COMPUTED_VALUE"""),390.0)</f>
        <v>390</v>
      </c>
      <c r="K1254" s="1">
        <f>IFERROR(__xludf.DUMMYFUNCTION("""COMPUTED_VALUE"""),78.0)</f>
        <v>78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>
        <f>IFERROR(__xludf.DUMMYFUNCTION("""COMPUTED_VALUE"""),15.0)</f>
        <v>15</v>
      </c>
      <c r="E1255" s="1">
        <f>IFERROR(__xludf.DUMMYFUNCTION("""COMPUTED_VALUE"""),96.0)</f>
        <v>96</v>
      </c>
      <c r="F1255" s="1">
        <f>IFERROR(__xludf.DUMMYFUNCTION("""COMPUTED_VALUE"""),74.0)</f>
        <v>74</v>
      </c>
      <c r="G1255" s="1">
        <f>IFERROR(__xludf.DUMMYFUNCTION("""COMPUTED_VALUE"""),47.0)</f>
        <v>47</v>
      </c>
      <c r="H1255" s="1">
        <f>IFERROR(__xludf.DUMMYFUNCTION("""COMPUTED_VALUE"""),48.0)</f>
        <v>48</v>
      </c>
      <c r="I1255" s="1">
        <f>IFERROR(__xludf.DUMMYFUNCTION("""COMPUTED_VALUE"""),26.0)</f>
        <v>26</v>
      </c>
      <c r="J1255" s="1">
        <f>IFERROR(__xludf.DUMMYFUNCTION("""COMPUTED_VALUE"""),291.0)</f>
        <v>291</v>
      </c>
      <c r="K1255" s="1">
        <f>IFERROR(__xludf.DUMMYFUNCTION("""COMPUTED_VALUE"""),58.199999999999996)</f>
        <v>58.2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>
        <f>IFERROR(__xludf.DUMMYFUNCTION("""COMPUTED_VALUE"""),60.0)</f>
        <v>60</v>
      </c>
      <c r="E1256" s="1">
        <f>IFERROR(__xludf.DUMMYFUNCTION("""COMPUTED_VALUE"""),50.0)</f>
        <v>50</v>
      </c>
      <c r="F1256" s="1">
        <f>IFERROR(__xludf.DUMMYFUNCTION("""COMPUTED_VALUE"""),21.0)</f>
        <v>21</v>
      </c>
      <c r="G1256" s="1">
        <f>IFERROR(__xludf.DUMMYFUNCTION("""COMPUTED_VALUE"""),75.0)</f>
        <v>75</v>
      </c>
      <c r="H1256" s="1">
        <f>IFERROR(__xludf.DUMMYFUNCTION("""COMPUTED_VALUE"""),67.0)</f>
        <v>67</v>
      </c>
      <c r="I1256" s="1">
        <f>IFERROR(__xludf.DUMMYFUNCTION("""COMPUTED_VALUE"""),26.0)</f>
        <v>26</v>
      </c>
      <c r="J1256" s="1">
        <f>IFERROR(__xludf.DUMMYFUNCTION("""COMPUTED_VALUE"""),239.0)</f>
        <v>239</v>
      </c>
      <c r="K1256" s="1">
        <f>IFERROR(__xludf.DUMMYFUNCTION("""COMPUTED_VALUE"""),47.8)</f>
        <v>47.8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>
        <f>IFERROR(__xludf.DUMMYFUNCTION("""COMPUTED_VALUE"""),83.0)</f>
        <v>83</v>
      </c>
      <c r="E1257" s="1">
        <f>IFERROR(__xludf.DUMMYFUNCTION("""COMPUTED_VALUE"""),57.0)</f>
        <v>57</v>
      </c>
      <c r="F1257" s="1">
        <f>IFERROR(__xludf.DUMMYFUNCTION("""COMPUTED_VALUE"""),53.0)</f>
        <v>53</v>
      </c>
      <c r="G1257" s="1">
        <f>IFERROR(__xludf.DUMMYFUNCTION("""COMPUTED_VALUE"""),51.0)</f>
        <v>51</v>
      </c>
      <c r="H1257" s="1">
        <f>IFERROR(__xludf.DUMMYFUNCTION("""COMPUTED_VALUE"""),88.0)</f>
        <v>88</v>
      </c>
      <c r="I1257" s="1">
        <f>IFERROR(__xludf.DUMMYFUNCTION("""COMPUTED_VALUE"""),78.0)</f>
        <v>78</v>
      </c>
      <c r="J1257" s="1">
        <f>IFERROR(__xludf.DUMMYFUNCTION("""COMPUTED_VALUE"""),327.0)</f>
        <v>327</v>
      </c>
      <c r="K1257" s="1">
        <f>IFERROR(__xludf.DUMMYFUNCTION("""COMPUTED_VALUE"""),65.4)</f>
        <v>65.4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>
        <f>IFERROR(__xludf.DUMMYFUNCTION("""COMPUTED_VALUE"""),42.0)</f>
        <v>42</v>
      </c>
      <c r="E1258" s="1">
        <f>IFERROR(__xludf.DUMMYFUNCTION("""COMPUTED_VALUE"""),90.0)</f>
        <v>90</v>
      </c>
      <c r="F1258" s="1">
        <f>IFERROR(__xludf.DUMMYFUNCTION("""COMPUTED_VALUE"""),49.0)</f>
        <v>49</v>
      </c>
      <c r="G1258" s="1">
        <f>IFERROR(__xludf.DUMMYFUNCTION("""COMPUTED_VALUE"""),95.0)</f>
        <v>95</v>
      </c>
      <c r="H1258" s="1">
        <f>IFERROR(__xludf.DUMMYFUNCTION("""COMPUTED_VALUE"""),33.0)</f>
        <v>33</v>
      </c>
      <c r="I1258" s="1">
        <f>IFERROR(__xludf.DUMMYFUNCTION("""COMPUTED_VALUE"""),70.0)</f>
        <v>70</v>
      </c>
      <c r="J1258" s="1">
        <f>IFERROR(__xludf.DUMMYFUNCTION("""COMPUTED_VALUE"""),337.0)</f>
        <v>337</v>
      </c>
      <c r="K1258" s="1">
        <f>IFERROR(__xludf.DUMMYFUNCTION("""COMPUTED_VALUE"""),67.4)</f>
        <v>67.4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>
        <f>IFERROR(__xludf.DUMMYFUNCTION("""COMPUTED_VALUE"""),90.0)</f>
        <v>90</v>
      </c>
      <c r="E1259" s="1">
        <f>IFERROR(__xludf.DUMMYFUNCTION("""COMPUTED_VALUE"""),82.0)</f>
        <v>82</v>
      </c>
      <c r="F1259" s="1">
        <f>IFERROR(__xludf.DUMMYFUNCTION("""COMPUTED_VALUE"""),23.0)</f>
        <v>23</v>
      </c>
      <c r="G1259" s="1">
        <f>IFERROR(__xludf.DUMMYFUNCTION("""COMPUTED_VALUE"""),86.0)</f>
        <v>86</v>
      </c>
      <c r="H1259" s="1">
        <f>IFERROR(__xludf.DUMMYFUNCTION("""COMPUTED_VALUE"""),61.0)</f>
        <v>61</v>
      </c>
      <c r="I1259" s="1">
        <f>IFERROR(__xludf.DUMMYFUNCTION("""COMPUTED_VALUE"""),33.0)</f>
        <v>33</v>
      </c>
      <c r="J1259" s="1">
        <f>IFERROR(__xludf.DUMMYFUNCTION("""COMPUTED_VALUE"""),285.0)</f>
        <v>285</v>
      </c>
      <c r="K1259" s="1">
        <f>IFERROR(__xludf.DUMMYFUNCTION("""COMPUTED_VALUE"""),56.99999999999999)</f>
        <v>57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>
        <f>IFERROR(__xludf.DUMMYFUNCTION("""COMPUTED_VALUE"""),85.0)</f>
        <v>85</v>
      </c>
      <c r="E1260" s="1">
        <f>IFERROR(__xludf.DUMMYFUNCTION("""COMPUTED_VALUE"""),31.0)</f>
        <v>31</v>
      </c>
      <c r="F1260" s="1">
        <f>IFERROR(__xludf.DUMMYFUNCTION("""COMPUTED_VALUE"""),42.0)</f>
        <v>42</v>
      </c>
      <c r="G1260" s="1">
        <f>IFERROR(__xludf.DUMMYFUNCTION("""COMPUTED_VALUE"""),89.0)</f>
        <v>89</v>
      </c>
      <c r="H1260" s="1">
        <f>IFERROR(__xludf.DUMMYFUNCTION("""COMPUTED_VALUE"""),63.0)</f>
        <v>63</v>
      </c>
      <c r="I1260" s="1">
        <f>IFERROR(__xludf.DUMMYFUNCTION("""COMPUTED_VALUE"""),41.0)</f>
        <v>41</v>
      </c>
      <c r="J1260" s="1">
        <f>IFERROR(__xludf.DUMMYFUNCTION("""COMPUTED_VALUE"""),266.0)</f>
        <v>266</v>
      </c>
      <c r="K1260" s="1">
        <f>IFERROR(__xludf.DUMMYFUNCTION("""COMPUTED_VALUE"""),53.2)</f>
        <v>53.2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>
        <f>IFERROR(__xludf.DUMMYFUNCTION("""COMPUTED_VALUE"""),11.0)</f>
        <v>11</v>
      </c>
      <c r="E1261" s="1">
        <f>IFERROR(__xludf.DUMMYFUNCTION("""COMPUTED_VALUE"""),80.0)</f>
        <v>80</v>
      </c>
      <c r="F1261" s="1">
        <f>IFERROR(__xludf.DUMMYFUNCTION("""COMPUTED_VALUE"""),61.0)</f>
        <v>61</v>
      </c>
      <c r="G1261" s="1">
        <f>IFERROR(__xludf.DUMMYFUNCTION("""COMPUTED_VALUE"""),96.0)</f>
        <v>96</v>
      </c>
      <c r="H1261" s="1">
        <f>IFERROR(__xludf.DUMMYFUNCTION("""COMPUTED_VALUE"""),70.0)</f>
        <v>70</v>
      </c>
      <c r="I1261" s="1">
        <f>IFERROR(__xludf.DUMMYFUNCTION("""COMPUTED_VALUE"""),94.0)</f>
        <v>94</v>
      </c>
      <c r="J1261" s="1">
        <f>IFERROR(__xludf.DUMMYFUNCTION("""COMPUTED_VALUE"""),401.0)</f>
        <v>401</v>
      </c>
      <c r="K1261" s="1">
        <f>IFERROR(__xludf.DUMMYFUNCTION("""COMPUTED_VALUE"""),80.2)</f>
        <v>80.2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>
        <f>IFERROR(__xludf.DUMMYFUNCTION("""COMPUTED_VALUE"""),56.0)</f>
        <v>56</v>
      </c>
      <c r="E1262" s="1">
        <f>IFERROR(__xludf.DUMMYFUNCTION("""COMPUTED_VALUE"""),51.0)</f>
        <v>51</v>
      </c>
      <c r="F1262" s="1">
        <f>IFERROR(__xludf.DUMMYFUNCTION("""COMPUTED_VALUE"""),39.0)</f>
        <v>39</v>
      </c>
      <c r="G1262" s="1">
        <f>IFERROR(__xludf.DUMMYFUNCTION("""COMPUTED_VALUE"""),69.0)</f>
        <v>69</v>
      </c>
      <c r="H1262" s="1">
        <f>IFERROR(__xludf.DUMMYFUNCTION("""COMPUTED_VALUE"""),43.0)</f>
        <v>43</v>
      </c>
      <c r="I1262" s="1">
        <f>IFERROR(__xludf.DUMMYFUNCTION("""COMPUTED_VALUE"""),80.0)</f>
        <v>80</v>
      </c>
      <c r="J1262" s="1">
        <f>IFERROR(__xludf.DUMMYFUNCTION("""COMPUTED_VALUE"""),282.0)</f>
        <v>282</v>
      </c>
      <c r="K1262" s="1">
        <f>IFERROR(__xludf.DUMMYFUNCTION("""COMPUTED_VALUE"""),56.39999999999999)</f>
        <v>56.4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>
        <f>IFERROR(__xludf.DUMMYFUNCTION("""COMPUTED_VALUE"""),26.0)</f>
        <v>26</v>
      </c>
      <c r="E1263" s="1">
        <f>IFERROR(__xludf.DUMMYFUNCTION("""COMPUTED_VALUE"""),66.0)</f>
        <v>66</v>
      </c>
      <c r="F1263" s="1">
        <f>IFERROR(__xludf.DUMMYFUNCTION("""COMPUTED_VALUE"""),89.0)</f>
        <v>89</v>
      </c>
      <c r="G1263" s="1">
        <f>IFERROR(__xludf.DUMMYFUNCTION("""COMPUTED_VALUE"""),35.0)</f>
        <v>35</v>
      </c>
      <c r="H1263" s="1">
        <f>IFERROR(__xludf.DUMMYFUNCTION("""COMPUTED_VALUE"""),52.0)</f>
        <v>52</v>
      </c>
      <c r="I1263" s="1">
        <f>IFERROR(__xludf.DUMMYFUNCTION("""COMPUTED_VALUE"""),72.0)</f>
        <v>72</v>
      </c>
      <c r="J1263" s="1">
        <f>IFERROR(__xludf.DUMMYFUNCTION("""COMPUTED_VALUE"""),314.0)</f>
        <v>314</v>
      </c>
      <c r="K1263" s="1">
        <f>IFERROR(__xludf.DUMMYFUNCTION("""COMPUTED_VALUE"""),62.8)</f>
        <v>62.8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>
        <f>IFERROR(__xludf.DUMMYFUNCTION("""COMPUTED_VALUE"""),20.0)</f>
        <v>20</v>
      </c>
      <c r="E1264" s="1">
        <f>IFERROR(__xludf.DUMMYFUNCTION("""COMPUTED_VALUE"""),31.0)</f>
        <v>31</v>
      </c>
      <c r="F1264" s="1">
        <f>IFERROR(__xludf.DUMMYFUNCTION("""COMPUTED_VALUE"""),63.0)</f>
        <v>63</v>
      </c>
      <c r="G1264" s="1">
        <f>IFERROR(__xludf.DUMMYFUNCTION("""COMPUTED_VALUE"""),60.0)</f>
        <v>60</v>
      </c>
      <c r="H1264" s="1">
        <f>IFERROR(__xludf.DUMMYFUNCTION("""COMPUTED_VALUE"""),69.0)</f>
        <v>69</v>
      </c>
      <c r="I1264" s="1">
        <f>IFERROR(__xludf.DUMMYFUNCTION("""COMPUTED_VALUE"""),22.0)</f>
        <v>22</v>
      </c>
      <c r="J1264" s="1">
        <f>IFERROR(__xludf.DUMMYFUNCTION("""COMPUTED_VALUE"""),245.0)</f>
        <v>245</v>
      </c>
      <c r="K1264" s="1">
        <f>IFERROR(__xludf.DUMMYFUNCTION("""COMPUTED_VALUE"""),49.0)</f>
        <v>49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>
        <f>IFERROR(__xludf.DUMMYFUNCTION("""COMPUTED_VALUE"""),90.0)</f>
        <v>90</v>
      </c>
      <c r="E1265" s="1">
        <f>IFERROR(__xludf.DUMMYFUNCTION("""COMPUTED_VALUE"""),28.0)</f>
        <v>28</v>
      </c>
      <c r="F1265" s="1">
        <f>IFERROR(__xludf.DUMMYFUNCTION("""COMPUTED_VALUE"""),96.0)</f>
        <v>96</v>
      </c>
      <c r="G1265" s="1">
        <f>IFERROR(__xludf.DUMMYFUNCTION("""COMPUTED_VALUE"""),39.0)</f>
        <v>39</v>
      </c>
      <c r="H1265" s="1">
        <f>IFERROR(__xludf.DUMMYFUNCTION("""COMPUTED_VALUE"""),85.0)</f>
        <v>85</v>
      </c>
      <c r="I1265" s="1">
        <f>IFERROR(__xludf.DUMMYFUNCTION("""COMPUTED_VALUE"""),67.0)</f>
        <v>67</v>
      </c>
      <c r="J1265" s="1">
        <f>IFERROR(__xludf.DUMMYFUNCTION("""COMPUTED_VALUE"""),315.0)</f>
        <v>315</v>
      </c>
      <c r="K1265" s="1">
        <f>IFERROR(__xludf.DUMMYFUNCTION("""COMPUTED_VALUE"""),63.0)</f>
        <v>63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>
        <f>IFERROR(__xludf.DUMMYFUNCTION("""COMPUTED_VALUE"""),22.0)</f>
        <v>22</v>
      </c>
      <c r="E1266" s="1">
        <f>IFERROR(__xludf.DUMMYFUNCTION("""COMPUTED_VALUE"""),82.0)</f>
        <v>82</v>
      </c>
      <c r="F1266" s="1">
        <f>IFERROR(__xludf.DUMMYFUNCTION("""COMPUTED_VALUE"""),22.0)</f>
        <v>22</v>
      </c>
      <c r="G1266" s="1">
        <f>IFERROR(__xludf.DUMMYFUNCTION("""COMPUTED_VALUE"""),95.0)</f>
        <v>95</v>
      </c>
      <c r="H1266" s="1">
        <f>IFERROR(__xludf.DUMMYFUNCTION("""COMPUTED_VALUE"""),62.0)</f>
        <v>62</v>
      </c>
      <c r="I1266" s="1">
        <f>IFERROR(__xludf.DUMMYFUNCTION("""COMPUTED_VALUE"""),33.0)</f>
        <v>33</v>
      </c>
      <c r="J1266" s="1">
        <f>IFERROR(__xludf.DUMMYFUNCTION("""COMPUTED_VALUE"""),294.0)</f>
        <v>294</v>
      </c>
      <c r="K1266" s="1">
        <f>IFERROR(__xludf.DUMMYFUNCTION("""COMPUTED_VALUE"""),58.8)</f>
        <v>58.8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>
        <f>IFERROR(__xludf.DUMMYFUNCTION("""COMPUTED_VALUE"""),22.0)</f>
        <v>22</v>
      </c>
      <c r="E1267" s="1">
        <f>IFERROR(__xludf.DUMMYFUNCTION("""COMPUTED_VALUE"""),96.0)</f>
        <v>96</v>
      </c>
      <c r="F1267" s="1">
        <f>IFERROR(__xludf.DUMMYFUNCTION("""COMPUTED_VALUE"""),22.0)</f>
        <v>22</v>
      </c>
      <c r="G1267" s="1">
        <f>IFERROR(__xludf.DUMMYFUNCTION("""COMPUTED_VALUE"""),27.0)</f>
        <v>27</v>
      </c>
      <c r="H1267" s="1">
        <f>IFERROR(__xludf.DUMMYFUNCTION("""COMPUTED_VALUE"""),27.0)</f>
        <v>27</v>
      </c>
      <c r="I1267" s="1">
        <f>IFERROR(__xludf.DUMMYFUNCTION("""COMPUTED_VALUE"""),60.0)</f>
        <v>60</v>
      </c>
      <c r="J1267" s="1">
        <f>IFERROR(__xludf.DUMMYFUNCTION("""COMPUTED_VALUE"""),232.0)</f>
        <v>232</v>
      </c>
      <c r="K1267" s="1">
        <f>IFERROR(__xludf.DUMMYFUNCTION("""COMPUTED_VALUE"""),46.400000000000006)</f>
        <v>46.4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>
        <f>IFERROR(__xludf.DUMMYFUNCTION("""COMPUTED_VALUE"""),84.0)</f>
        <v>84</v>
      </c>
      <c r="E1268" s="1">
        <f>IFERROR(__xludf.DUMMYFUNCTION("""COMPUTED_VALUE"""),43.0)</f>
        <v>43</v>
      </c>
      <c r="F1268" s="1">
        <f>IFERROR(__xludf.DUMMYFUNCTION("""COMPUTED_VALUE"""),39.0)</f>
        <v>39</v>
      </c>
      <c r="G1268" s="1">
        <f>IFERROR(__xludf.DUMMYFUNCTION("""COMPUTED_VALUE"""),52.0)</f>
        <v>52</v>
      </c>
      <c r="H1268" s="1">
        <f>IFERROR(__xludf.DUMMYFUNCTION("""COMPUTED_VALUE"""),98.0)</f>
        <v>98</v>
      </c>
      <c r="I1268" s="1">
        <f>IFERROR(__xludf.DUMMYFUNCTION("""COMPUTED_VALUE"""),84.0)</f>
        <v>84</v>
      </c>
      <c r="J1268" s="1">
        <f>IFERROR(__xludf.DUMMYFUNCTION("""COMPUTED_VALUE"""),316.0)</f>
        <v>316</v>
      </c>
      <c r="K1268" s="1">
        <f>IFERROR(__xludf.DUMMYFUNCTION("""COMPUTED_VALUE"""),63.2)</f>
        <v>63.2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>
        <f>IFERROR(__xludf.DUMMYFUNCTION("""COMPUTED_VALUE"""),34.0)</f>
        <v>34</v>
      </c>
      <c r="E1269" s="1">
        <f>IFERROR(__xludf.DUMMYFUNCTION("""COMPUTED_VALUE"""),64.0)</f>
        <v>64</v>
      </c>
      <c r="F1269" s="1">
        <f>IFERROR(__xludf.DUMMYFUNCTION("""COMPUTED_VALUE"""),67.0)</f>
        <v>67</v>
      </c>
      <c r="G1269" s="1">
        <f>IFERROR(__xludf.DUMMYFUNCTION("""COMPUTED_VALUE"""),20.0)</f>
        <v>20</v>
      </c>
      <c r="H1269" s="1">
        <f>IFERROR(__xludf.DUMMYFUNCTION("""COMPUTED_VALUE"""),53.0)</f>
        <v>53</v>
      </c>
      <c r="I1269" s="1">
        <f>IFERROR(__xludf.DUMMYFUNCTION("""COMPUTED_VALUE"""),23.0)</f>
        <v>23</v>
      </c>
      <c r="J1269" s="1">
        <f>IFERROR(__xludf.DUMMYFUNCTION("""COMPUTED_VALUE"""),227.0)</f>
        <v>227</v>
      </c>
      <c r="K1269" s="1">
        <f>IFERROR(__xludf.DUMMYFUNCTION("""COMPUTED_VALUE"""),45.4)</f>
        <v>45.4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>
        <f>IFERROR(__xludf.DUMMYFUNCTION("""COMPUTED_VALUE"""),18.0)</f>
        <v>18</v>
      </c>
      <c r="E1270" s="1">
        <f>IFERROR(__xludf.DUMMYFUNCTION("""COMPUTED_VALUE"""),43.0)</f>
        <v>43</v>
      </c>
      <c r="F1270" s="1">
        <f>IFERROR(__xludf.DUMMYFUNCTION("""COMPUTED_VALUE"""),42.0)</f>
        <v>42</v>
      </c>
      <c r="G1270" s="1">
        <f>IFERROR(__xludf.DUMMYFUNCTION("""COMPUTED_VALUE"""),59.0)</f>
        <v>59</v>
      </c>
      <c r="H1270" s="1">
        <f>IFERROR(__xludf.DUMMYFUNCTION("""COMPUTED_VALUE"""),89.0)</f>
        <v>89</v>
      </c>
      <c r="I1270" s="1">
        <f>IFERROR(__xludf.DUMMYFUNCTION("""COMPUTED_VALUE"""),40.0)</f>
        <v>40</v>
      </c>
      <c r="J1270" s="1">
        <f>IFERROR(__xludf.DUMMYFUNCTION("""COMPUTED_VALUE"""),273.0)</f>
        <v>273</v>
      </c>
      <c r="K1270" s="1">
        <f>IFERROR(__xludf.DUMMYFUNCTION("""COMPUTED_VALUE"""),54.6)</f>
        <v>54.6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>
        <f>IFERROR(__xludf.DUMMYFUNCTION("""COMPUTED_VALUE"""),25.0)</f>
        <v>25</v>
      </c>
      <c r="E1271" s="1">
        <f>IFERROR(__xludf.DUMMYFUNCTION("""COMPUTED_VALUE"""),71.0)</f>
        <v>71</v>
      </c>
      <c r="F1271" s="1">
        <f>IFERROR(__xludf.DUMMYFUNCTION("""COMPUTED_VALUE"""),24.0)</f>
        <v>24</v>
      </c>
      <c r="G1271" s="1">
        <f>IFERROR(__xludf.DUMMYFUNCTION("""COMPUTED_VALUE"""),33.0)</f>
        <v>33</v>
      </c>
      <c r="H1271" s="1">
        <f>IFERROR(__xludf.DUMMYFUNCTION("""COMPUTED_VALUE"""),26.0)</f>
        <v>26</v>
      </c>
      <c r="I1271" s="1">
        <f>IFERROR(__xludf.DUMMYFUNCTION("""COMPUTED_VALUE"""),42.0)</f>
        <v>42</v>
      </c>
      <c r="J1271" s="1">
        <f>IFERROR(__xludf.DUMMYFUNCTION("""COMPUTED_VALUE"""),196.0)</f>
        <v>196</v>
      </c>
      <c r="K1271" s="1">
        <f>IFERROR(__xludf.DUMMYFUNCTION("""COMPUTED_VALUE"""),39.2)</f>
        <v>39.2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>
        <f>IFERROR(__xludf.DUMMYFUNCTION("""COMPUTED_VALUE"""),93.0)</f>
        <v>93</v>
      </c>
      <c r="E1272" s="1">
        <f>IFERROR(__xludf.DUMMYFUNCTION("""COMPUTED_VALUE"""),96.0)</f>
        <v>96</v>
      </c>
      <c r="F1272" s="1">
        <f>IFERROR(__xludf.DUMMYFUNCTION("""COMPUTED_VALUE"""),75.0)</f>
        <v>75</v>
      </c>
      <c r="G1272" s="1">
        <f>IFERROR(__xludf.DUMMYFUNCTION("""COMPUTED_VALUE"""),32.0)</f>
        <v>32</v>
      </c>
      <c r="H1272" s="1">
        <f>IFERROR(__xludf.DUMMYFUNCTION("""COMPUTED_VALUE"""),54.0)</f>
        <v>54</v>
      </c>
      <c r="I1272" s="1">
        <f>IFERROR(__xludf.DUMMYFUNCTION("""COMPUTED_VALUE"""),21.0)</f>
        <v>21</v>
      </c>
      <c r="J1272" s="1">
        <f>IFERROR(__xludf.DUMMYFUNCTION("""COMPUTED_VALUE"""),278.0)</f>
        <v>278</v>
      </c>
      <c r="K1272" s="1">
        <f>IFERROR(__xludf.DUMMYFUNCTION("""COMPUTED_VALUE"""),55.60000000000001)</f>
        <v>55.6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>
        <f>IFERROR(__xludf.DUMMYFUNCTION("""COMPUTED_VALUE"""),36.0)</f>
        <v>36</v>
      </c>
      <c r="E1273" s="1">
        <f>IFERROR(__xludf.DUMMYFUNCTION("""COMPUTED_VALUE"""),80.0)</f>
        <v>80</v>
      </c>
      <c r="F1273" s="1">
        <f>IFERROR(__xludf.DUMMYFUNCTION("""COMPUTED_VALUE"""),53.0)</f>
        <v>53</v>
      </c>
      <c r="G1273" s="1">
        <f>IFERROR(__xludf.DUMMYFUNCTION("""COMPUTED_VALUE"""),61.0)</f>
        <v>61</v>
      </c>
      <c r="H1273" s="1">
        <f>IFERROR(__xludf.DUMMYFUNCTION("""COMPUTED_VALUE"""),20.0)</f>
        <v>20</v>
      </c>
      <c r="I1273" s="1">
        <f>IFERROR(__xludf.DUMMYFUNCTION("""COMPUTED_VALUE"""),45.0)</f>
        <v>45</v>
      </c>
      <c r="J1273" s="1">
        <f>IFERROR(__xludf.DUMMYFUNCTION("""COMPUTED_VALUE"""),259.0)</f>
        <v>259</v>
      </c>
      <c r="K1273" s="1">
        <f>IFERROR(__xludf.DUMMYFUNCTION("""COMPUTED_VALUE"""),51.800000000000004)</f>
        <v>51.8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>
        <f>IFERROR(__xludf.DUMMYFUNCTION("""COMPUTED_VALUE"""),79.0)</f>
        <v>79</v>
      </c>
      <c r="E1274" s="1">
        <f>IFERROR(__xludf.DUMMYFUNCTION("""COMPUTED_VALUE"""),82.0)</f>
        <v>82</v>
      </c>
      <c r="F1274" s="1">
        <f>IFERROR(__xludf.DUMMYFUNCTION("""COMPUTED_VALUE"""),62.0)</f>
        <v>62</v>
      </c>
      <c r="G1274" s="1">
        <f>IFERROR(__xludf.DUMMYFUNCTION("""COMPUTED_VALUE"""),57.0)</f>
        <v>57</v>
      </c>
      <c r="H1274" s="1">
        <f>IFERROR(__xludf.DUMMYFUNCTION("""COMPUTED_VALUE"""),60.0)</f>
        <v>60</v>
      </c>
      <c r="I1274" s="1">
        <f>IFERROR(__xludf.DUMMYFUNCTION("""COMPUTED_VALUE"""),91.0)</f>
        <v>91</v>
      </c>
      <c r="J1274" s="1">
        <f>IFERROR(__xludf.DUMMYFUNCTION("""COMPUTED_VALUE"""),352.0)</f>
        <v>352</v>
      </c>
      <c r="K1274" s="1">
        <f>IFERROR(__xludf.DUMMYFUNCTION("""COMPUTED_VALUE"""),70.39999999999999)</f>
        <v>70.4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>
        <f>IFERROR(__xludf.DUMMYFUNCTION("""COMPUTED_VALUE"""),70.0)</f>
        <v>70</v>
      </c>
      <c r="E1275" s="1">
        <f>IFERROR(__xludf.DUMMYFUNCTION("""COMPUTED_VALUE"""),24.0)</f>
        <v>24</v>
      </c>
      <c r="F1275" s="1">
        <f>IFERROR(__xludf.DUMMYFUNCTION("""COMPUTED_VALUE"""),69.0)</f>
        <v>69</v>
      </c>
      <c r="G1275" s="1">
        <f>IFERROR(__xludf.DUMMYFUNCTION("""COMPUTED_VALUE"""),36.0)</f>
        <v>36</v>
      </c>
      <c r="H1275" s="1">
        <f>IFERROR(__xludf.DUMMYFUNCTION("""COMPUTED_VALUE"""),70.0)</f>
        <v>70</v>
      </c>
      <c r="I1275" s="1">
        <f>IFERROR(__xludf.DUMMYFUNCTION("""COMPUTED_VALUE"""),82.0)</f>
        <v>82</v>
      </c>
      <c r="J1275" s="1">
        <f>IFERROR(__xludf.DUMMYFUNCTION("""COMPUTED_VALUE"""),281.0)</f>
        <v>281</v>
      </c>
      <c r="K1275" s="1">
        <f>IFERROR(__xludf.DUMMYFUNCTION("""COMPUTED_VALUE"""),56.2)</f>
        <v>56.2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>
        <f>IFERROR(__xludf.DUMMYFUNCTION("""COMPUTED_VALUE"""),31.0)</f>
        <v>31</v>
      </c>
      <c r="E1276" s="1">
        <f>IFERROR(__xludf.DUMMYFUNCTION("""COMPUTED_VALUE"""),33.0)</f>
        <v>33</v>
      </c>
      <c r="F1276" s="1">
        <f>IFERROR(__xludf.DUMMYFUNCTION("""COMPUTED_VALUE"""),44.0)</f>
        <v>44</v>
      </c>
      <c r="G1276" s="1">
        <f>IFERROR(__xludf.DUMMYFUNCTION("""COMPUTED_VALUE"""),44.0)</f>
        <v>44</v>
      </c>
      <c r="H1276" s="1">
        <f>IFERROR(__xludf.DUMMYFUNCTION("""COMPUTED_VALUE"""),55.0)</f>
        <v>55</v>
      </c>
      <c r="I1276" s="1">
        <f>IFERROR(__xludf.DUMMYFUNCTION("""COMPUTED_VALUE"""),65.0)</f>
        <v>65</v>
      </c>
      <c r="J1276" s="1">
        <f>IFERROR(__xludf.DUMMYFUNCTION("""COMPUTED_VALUE"""),241.0)</f>
        <v>241</v>
      </c>
      <c r="K1276" s="1">
        <f>IFERROR(__xludf.DUMMYFUNCTION("""COMPUTED_VALUE"""),48.199999999999996)</f>
        <v>48.2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>
        <f>IFERROR(__xludf.DUMMYFUNCTION("""COMPUTED_VALUE"""),43.0)</f>
        <v>43</v>
      </c>
      <c r="E1277" s="1">
        <f>IFERROR(__xludf.DUMMYFUNCTION("""COMPUTED_VALUE"""),99.0)</f>
        <v>99</v>
      </c>
      <c r="F1277" s="1">
        <f>IFERROR(__xludf.DUMMYFUNCTION("""COMPUTED_VALUE"""),29.0)</f>
        <v>29</v>
      </c>
      <c r="G1277" s="1">
        <f>IFERROR(__xludf.DUMMYFUNCTION("""COMPUTED_VALUE"""),87.0)</f>
        <v>87</v>
      </c>
      <c r="H1277" s="1">
        <f>IFERROR(__xludf.DUMMYFUNCTION("""COMPUTED_VALUE"""),72.0)</f>
        <v>72</v>
      </c>
      <c r="I1277" s="1">
        <f>IFERROR(__xludf.DUMMYFUNCTION("""COMPUTED_VALUE"""),23.0)</f>
        <v>23</v>
      </c>
      <c r="J1277" s="1">
        <f>IFERROR(__xludf.DUMMYFUNCTION("""COMPUTED_VALUE"""),310.0)</f>
        <v>310</v>
      </c>
      <c r="K1277" s="1">
        <f>IFERROR(__xludf.DUMMYFUNCTION("""COMPUTED_VALUE"""),62.0)</f>
        <v>62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>
        <f>IFERROR(__xludf.DUMMYFUNCTION("""COMPUTED_VALUE"""),73.0)</f>
        <v>73</v>
      </c>
      <c r="E1278" s="1">
        <f>IFERROR(__xludf.DUMMYFUNCTION("""COMPUTED_VALUE"""),46.0)</f>
        <v>46</v>
      </c>
      <c r="F1278" s="1">
        <f>IFERROR(__xludf.DUMMYFUNCTION("""COMPUTED_VALUE"""),78.0)</f>
        <v>78</v>
      </c>
      <c r="G1278" s="1">
        <f>IFERROR(__xludf.DUMMYFUNCTION("""COMPUTED_VALUE"""),44.0)</f>
        <v>44</v>
      </c>
      <c r="H1278" s="1">
        <f>IFERROR(__xludf.DUMMYFUNCTION("""COMPUTED_VALUE"""),77.0)</f>
        <v>77</v>
      </c>
      <c r="I1278" s="1">
        <f>IFERROR(__xludf.DUMMYFUNCTION("""COMPUTED_VALUE"""),82.0)</f>
        <v>82</v>
      </c>
      <c r="J1278" s="1">
        <f>IFERROR(__xludf.DUMMYFUNCTION("""COMPUTED_VALUE"""),327.0)</f>
        <v>327</v>
      </c>
      <c r="K1278" s="1">
        <f>IFERROR(__xludf.DUMMYFUNCTION("""COMPUTED_VALUE"""),65.4)</f>
        <v>65.4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>
        <f>IFERROR(__xludf.DUMMYFUNCTION("""COMPUTED_VALUE"""),11.0)</f>
        <v>11</v>
      </c>
      <c r="E1279" s="1">
        <f>IFERROR(__xludf.DUMMYFUNCTION("""COMPUTED_VALUE"""),82.0)</f>
        <v>82</v>
      </c>
      <c r="F1279" s="1">
        <f>IFERROR(__xludf.DUMMYFUNCTION("""COMPUTED_VALUE"""),28.0)</f>
        <v>28</v>
      </c>
      <c r="G1279" s="1">
        <f>IFERROR(__xludf.DUMMYFUNCTION("""COMPUTED_VALUE"""),51.0)</f>
        <v>51</v>
      </c>
      <c r="H1279" s="1">
        <f>IFERROR(__xludf.DUMMYFUNCTION("""COMPUTED_VALUE"""),22.0)</f>
        <v>22</v>
      </c>
      <c r="I1279" s="1">
        <f>IFERROR(__xludf.DUMMYFUNCTION("""COMPUTED_VALUE"""),64.0)</f>
        <v>64</v>
      </c>
      <c r="J1279" s="1">
        <f>IFERROR(__xludf.DUMMYFUNCTION("""COMPUTED_VALUE"""),247.0)</f>
        <v>247</v>
      </c>
      <c r="K1279" s="1">
        <f>IFERROR(__xludf.DUMMYFUNCTION("""COMPUTED_VALUE"""),49.4)</f>
        <v>49.4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>
        <f>IFERROR(__xludf.DUMMYFUNCTION("""COMPUTED_VALUE"""),34.0)</f>
        <v>34</v>
      </c>
      <c r="E1280" s="1">
        <f>IFERROR(__xludf.DUMMYFUNCTION("""COMPUTED_VALUE"""),47.0)</f>
        <v>47</v>
      </c>
      <c r="F1280" s="1">
        <f>IFERROR(__xludf.DUMMYFUNCTION("""COMPUTED_VALUE"""),34.0)</f>
        <v>34</v>
      </c>
      <c r="G1280" s="1">
        <f>IFERROR(__xludf.DUMMYFUNCTION("""COMPUTED_VALUE"""),30.0)</f>
        <v>30</v>
      </c>
      <c r="H1280" s="1">
        <f>IFERROR(__xludf.DUMMYFUNCTION("""COMPUTED_VALUE"""),38.0)</f>
        <v>38</v>
      </c>
      <c r="I1280" s="1">
        <f>IFERROR(__xludf.DUMMYFUNCTION("""COMPUTED_VALUE"""),79.0)</f>
        <v>79</v>
      </c>
      <c r="J1280" s="1">
        <f>IFERROR(__xludf.DUMMYFUNCTION("""COMPUTED_VALUE"""),228.0)</f>
        <v>228</v>
      </c>
      <c r="K1280" s="1">
        <f>IFERROR(__xludf.DUMMYFUNCTION("""COMPUTED_VALUE"""),45.6)</f>
        <v>45.6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>
        <f>IFERROR(__xludf.DUMMYFUNCTION("""COMPUTED_VALUE"""),91.0)</f>
        <v>91</v>
      </c>
      <c r="E1281" s="1">
        <f>IFERROR(__xludf.DUMMYFUNCTION("""COMPUTED_VALUE"""),63.0)</f>
        <v>63</v>
      </c>
      <c r="F1281" s="1">
        <f>IFERROR(__xludf.DUMMYFUNCTION("""COMPUTED_VALUE"""),72.0)</f>
        <v>72</v>
      </c>
      <c r="G1281" s="1">
        <f>IFERROR(__xludf.DUMMYFUNCTION("""COMPUTED_VALUE"""),66.0)</f>
        <v>66</v>
      </c>
      <c r="H1281" s="1">
        <f>IFERROR(__xludf.DUMMYFUNCTION("""COMPUTED_VALUE"""),51.0)</f>
        <v>51</v>
      </c>
      <c r="I1281" s="1">
        <f>IFERROR(__xludf.DUMMYFUNCTION("""COMPUTED_VALUE"""),32.0)</f>
        <v>32</v>
      </c>
      <c r="J1281" s="1">
        <f>IFERROR(__xludf.DUMMYFUNCTION("""COMPUTED_VALUE"""),284.0)</f>
        <v>284</v>
      </c>
      <c r="K1281" s="1">
        <f>IFERROR(__xludf.DUMMYFUNCTION("""COMPUTED_VALUE"""),56.8)</f>
        <v>56.8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>
        <f>IFERROR(__xludf.DUMMYFUNCTION("""COMPUTED_VALUE"""),55.0)</f>
        <v>55</v>
      </c>
      <c r="E1282" s="1">
        <f>IFERROR(__xludf.DUMMYFUNCTION("""COMPUTED_VALUE"""),54.0)</f>
        <v>54</v>
      </c>
      <c r="F1282" s="1">
        <f>IFERROR(__xludf.DUMMYFUNCTION("""COMPUTED_VALUE"""),76.0)</f>
        <v>76</v>
      </c>
      <c r="G1282" s="1">
        <f>IFERROR(__xludf.DUMMYFUNCTION("""COMPUTED_VALUE"""),71.0)</f>
        <v>71</v>
      </c>
      <c r="H1282" s="1">
        <f>IFERROR(__xludf.DUMMYFUNCTION("""COMPUTED_VALUE"""),32.0)</f>
        <v>32</v>
      </c>
      <c r="I1282" s="1">
        <f>IFERROR(__xludf.DUMMYFUNCTION("""COMPUTED_VALUE"""),51.0)</f>
        <v>51</v>
      </c>
      <c r="J1282" s="1">
        <f>IFERROR(__xludf.DUMMYFUNCTION("""COMPUTED_VALUE"""),284.0)</f>
        <v>284</v>
      </c>
      <c r="K1282" s="1">
        <f>IFERROR(__xludf.DUMMYFUNCTION("""COMPUTED_VALUE"""),56.8)</f>
        <v>56.8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>
        <f>IFERROR(__xludf.DUMMYFUNCTION("""COMPUTED_VALUE"""),85.0)</f>
        <v>85</v>
      </c>
      <c r="E1283" s="1">
        <f>IFERROR(__xludf.DUMMYFUNCTION("""COMPUTED_VALUE"""),90.0)</f>
        <v>90</v>
      </c>
      <c r="F1283" s="1">
        <f>IFERROR(__xludf.DUMMYFUNCTION("""COMPUTED_VALUE"""),83.0)</f>
        <v>83</v>
      </c>
      <c r="G1283" s="1">
        <f>IFERROR(__xludf.DUMMYFUNCTION("""COMPUTED_VALUE"""),72.0)</f>
        <v>72</v>
      </c>
      <c r="H1283" s="1">
        <f>IFERROR(__xludf.DUMMYFUNCTION("""COMPUTED_VALUE"""),63.0)</f>
        <v>63</v>
      </c>
      <c r="I1283" s="1">
        <f>IFERROR(__xludf.DUMMYFUNCTION("""COMPUTED_VALUE"""),85.0)</f>
        <v>85</v>
      </c>
      <c r="J1283" s="1">
        <f>IFERROR(__xludf.DUMMYFUNCTION("""COMPUTED_VALUE"""),393.0)</f>
        <v>393</v>
      </c>
      <c r="K1283" s="1">
        <f>IFERROR(__xludf.DUMMYFUNCTION("""COMPUTED_VALUE"""),78.60000000000001)</f>
        <v>78.6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>
        <f>IFERROR(__xludf.DUMMYFUNCTION("""COMPUTED_VALUE"""),73.0)</f>
        <v>73</v>
      </c>
      <c r="E1284" s="1">
        <f>IFERROR(__xludf.DUMMYFUNCTION("""COMPUTED_VALUE"""),43.0)</f>
        <v>43</v>
      </c>
      <c r="F1284" s="1">
        <f>IFERROR(__xludf.DUMMYFUNCTION("""COMPUTED_VALUE"""),86.0)</f>
        <v>86</v>
      </c>
      <c r="G1284" s="1">
        <f>IFERROR(__xludf.DUMMYFUNCTION("""COMPUTED_VALUE"""),81.0)</f>
        <v>81</v>
      </c>
      <c r="H1284" s="1">
        <f>IFERROR(__xludf.DUMMYFUNCTION("""COMPUTED_VALUE"""),60.0)</f>
        <v>60</v>
      </c>
      <c r="I1284" s="1">
        <f>IFERROR(__xludf.DUMMYFUNCTION("""COMPUTED_VALUE"""),75.0)</f>
        <v>75</v>
      </c>
      <c r="J1284" s="1">
        <f>IFERROR(__xludf.DUMMYFUNCTION("""COMPUTED_VALUE"""),345.0)</f>
        <v>345</v>
      </c>
      <c r="K1284" s="1">
        <f>IFERROR(__xludf.DUMMYFUNCTION("""COMPUTED_VALUE"""),69.0)</f>
        <v>69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>
        <f>IFERROR(__xludf.DUMMYFUNCTION("""COMPUTED_VALUE"""),86.0)</f>
        <v>86</v>
      </c>
      <c r="E1285" s="1">
        <f>IFERROR(__xludf.DUMMYFUNCTION("""COMPUTED_VALUE"""),33.0)</f>
        <v>33</v>
      </c>
      <c r="F1285" s="1">
        <f>IFERROR(__xludf.DUMMYFUNCTION("""COMPUTED_VALUE"""),54.0)</f>
        <v>54</v>
      </c>
      <c r="G1285" s="1">
        <f>IFERROR(__xludf.DUMMYFUNCTION("""COMPUTED_VALUE"""),32.0)</f>
        <v>32</v>
      </c>
      <c r="H1285" s="1">
        <f>IFERROR(__xludf.DUMMYFUNCTION("""COMPUTED_VALUE"""),26.0)</f>
        <v>26</v>
      </c>
      <c r="I1285" s="1">
        <f>IFERROR(__xludf.DUMMYFUNCTION("""COMPUTED_VALUE"""),51.0)</f>
        <v>51</v>
      </c>
      <c r="J1285" s="1">
        <f>IFERROR(__xludf.DUMMYFUNCTION("""COMPUTED_VALUE"""),196.0)</f>
        <v>196</v>
      </c>
      <c r="K1285" s="1">
        <f>IFERROR(__xludf.DUMMYFUNCTION("""COMPUTED_VALUE"""),39.2)</f>
        <v>39.2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>
        <f>IFERROR(__xludf.DUMMYFUNCTION("""COMPUTED_VALUE"""),91.0)</f>
        <v>91</v>
      </c>
      <c r="E1286" s="1">
        <f>IFERROR(__xludf.DUMMYFUNCTION("""COMPUTED_VALUE"""),62.0)</f>
        <v>62</v>
      </c>
      <c r="F1286" s="1">
        <f>IFERROR(__xludf.DUMMYFUNCTION("""COMPUTED_VALUE"""),22.0)</f>
        <v>22</v>
      </c>
      <c r="G1286" s="1">
        <f>IFERROR(__xludf.DUMMYFUNCTION("""COMPUTED_VALUE"""),68.0)</f>
        <v>68</v>
      </c>
      <c r="H1286" s="1">
        <f>IFERROR(__xludf.DUMMYFUNCTION("""COMPUTED_VALUE"""),49.0)</f>
        <v>49</v>
      </c>
      <c r="I1286" s="1">
        <f>IFERROR(__xludf.DUMMYFUNCTION("""COMPUTED_VALUE"""),49.0)</f>
        <v>49</v>
      </c>
      <c r="J1286" s="1">
        <f>IFERROR(__xludf.DUMMYFUNCTION("""COMPUTED_VALUE"""),250.0)</f>
        <v>250</v>
      </c>
      <c r="K1286" s="1">
        <f>IFERROR(__xludf.DUMMYFUNCTION("""COMPUTED_VALUE"""),50.0)</f>
        <v>50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>
        <f>IFERROR(__xludf.DUMMYFUNCTION("""COMPUTED_VALUE"""),91.0)</f>
        <v>91</v>
      </c>
      <c r="E1287" s="1">
        <f>IFERROR(__xludf.DUMMYFUNCTION("""COMPUTED_VALUE"""),84.0)</f>
        <v>84</v>
      </c>
      <c r="F1287" s="1">
        <f>IFERROR(__xludf.DUMMYFUNCTION("""COMPUTED_VALUE"""),64.0)</f>
        <v>64</v>
      </c>
      <c r="G1287" s="1">
        <f>IFERROR(__xludf.DUMMYFUNCTION("""COMPUTED_VALUE"""),76.0)</f>
        <v>76</v>
      </c>
      <c r="H1287" s="1">
        <f>IFERROR(__xludf.DUMMYFUNCTION("""COMPUTED_VALUE"""),94.0)</f>
        <v>94</v>
      </c>
      <c r="I1287" s="1">
        <f>IFERROR(__xludf.DUMMYFUNCTION("""COMPUTED_VALUE"""),81.0)</f>
        <v>81</v>
      </c>
      <c r="J1287" s="1">
        <f>IFERROR(__xludf.DUMMYFUNCTION("""COMPUTED_VALUE"""),399.0)</f>
        <v>399</v>
      </c>
      <c r="K1287" s="1">
        <f>IFERROR(__xludf.DUMMYFUNCTION("""COMPUTED_VALUE"""),79.80000000000001)</f>
        <v>79.8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>
        <f>IFERROR(__xludf.DUMMYFUNCTION("""COMPUTED_VALUE"""),66.0)</f>
        <v>66</v>
      </c>
      <c r="E1288" s="1">
        <f>IFERROR(__xludf.DUMMYFUNCTION("""COMPUTED_VALUE"""),71.0)</f>
        <v>71</v>
      </c>
      <c r="F1288" s="1">
        <f>IFERROR(__xludf.DUMMYFUNCTION("""COMPUTED_VALUE"""),90.0)</f>
        <v>90</v>
      </c>
      <c r="G1288" s="1">
        <f>IFERROR(__xludf.DUMMYFUNCTION("""COMPUTED_VALUE"""),50.0)</f>
        <v>50</v>
      </c>
      <c r="H1288" s="1">
        <f>IFERROR(__xludf.DUMMYFUNCTION("""COMPUTED_VALUE"""),98.0)</f>
        <v>98</v>
      </c>
      <c r="I1288" s="1">
        <f>IFERROR(__xludf.DUMMYFUNCTION("""COMPUTED_VALUE"""),35.0)</f>
        <v>35</v>
      </c>
      <c r="J1288" s="1">
        <f>IFERROR(__xludf.DUMMYFUNCTION("""COMPUTED_VALUE"""),344.0)</f>
        <v>344</v>
      </c>
      <c r="K1288" s="1">
        <f>IFERROR(__xludf.DUMMYFUNCTION("""COMPUTED_VALUE"""),68.8)</f>
        <v>68.8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>
        <f>IFERROR(__xludf.DUMMYFUNCTION("""COMPUTED_VALUE"""),52.0)</f>
        <v>52</v>
      </c>
      <c r="E1289" s="1">
        <f>IFERROR(__xludf.DUMMYFUNCTION("""COMPUTED_VALUE"""),33.0)</f>
        <v>33</v>
      </c>
      <c r="F1289" s="1">
        <f>IFERROR(__xludf.DUMMYFUNCTION("""COMPUTED_VALUE"""),73.0)</f>
        <v>73</v>
      </c>
      <c r="G1289" s="1">
        <f>IFERROR(__xludf.DUMMYFUNCTION("""COMPUTED_VALUE"""),31.0)</f>
        <v>31</v>
      </c>
      <c r="H1289" s="1">
        <f>IFERROR(__xludf.DUMMYFUNCTION("""COMPUTED_VALUE"""),71.0)</f>
        <v>71</v>
      </c>
      <c r="I1289" s="1">
        <f>IFERROR(__xludf.DUMMYFUNCTION("""COMPUTED_VALUE"""),46.0)</f>
        <v>46</v>
      </c>
      <c r="J1289" s="1">
        <f>IFERROR(__xludf.DUMMYFUNCTION("""COMPUTED_VALUE"""),254.0)</f>
        <v>254</v>
      </c>
      <c r="K1289" s="1">
        <f>IFERROR(__xludf.DUMMYFUNCTION("""COMPUTED_VALUE"""),50.8)</f>
        <v>50.8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>
        <f>IFERROR(__xludf.DUMMYFUNCTION("""COMPUTED_VALUE"""),24.0)</f>
        <v>24</v>
      </c>
      <c r="E1290" s="1">
        <f>IFERROR(__xludf.DUMMYFUNCTION("""COMPUTED_VALUE"""),83.0)</f>
        <v>83</v>
      </c>
      <c r="F1290" s="1">
        <f>IFERROR(__xludf.DUMMYFUNCTION("""COMPUTED_VALUE"""),50.0)</f>
        <v>50</v>
      </c>
      <c r="G1290" s="1">
        <f>IFERROR(__xludf.DUMMYFUNCTION("""COMPUTED_VALUE"""),28.0)</f>
        <v>28</v>
      </c>
      <c r="H1290" s="1">
        <f>IFERROR(__xludf.DUMMYFUNCTION("""COMPUTED_VALUE"""),85.0)</f>
        <v>85</v>
      </c>
      <c r="I1290" s="1">
        <f>IFERROR(__xludf.DUMMYFUNCTION("""COMPUTED_VALUE"""),23.0)</f>
        <v>23</v>
      </c>
      <c r="J1290" s="1">
        <f>IFERROR(__xludf.DUMMYFUNCTION("""COMPUTED_VALUE"""),269.0)</f>
        <v>269</v>
      </c>
      <c r="K1290" s="1">
        <f>IFERROR(__xludf.DUMMYFUNCTION("""COMPUTED_VALUE"""),53.800000000000004)</f>
        <v>53.8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>
        <f>IFERROR(__xludf.DUMMYFUNCTION("""COMPUTED_VALUE"""),99.0)</f>
        <v>99</v>
      </c>
      <c r="E1291" s="1">
        <f>IFERROR(__xludf.DUMMYFUNCTION("""COMPUTED_VALUE"""),98.0)</f>
        <v>98</v>
      </c>
      <c r="F1291" s="1">
        <f>IFERROR(__xludf.DUMMYFUNCTION("""COMPUTED_VALUE"""),39.0)</f>
        <v>39</v>
      </c>
      <c r="G1291" s="1">
        <f>IFERROR(__xludf.DUMMYFUNCTION("""COMPUTED_VALUE"""),84.0)</f>
        <v>84</v>
      </c>
      <c r="H1291" s="1">
        <f>IFERROR(__xludf.DUMMYFUNCTION("""COMPUTED_VALUE"""),47.0)</f>
        <v>47</v>
      </c>
      <c r="I1291" s="1">
        <f>IFERROR(__xludf.DUMMYFUNCTION("""COMPUTED_VALUE"""),44.0)</f>
        <v>44</v>
      </c>
      <c r="J1291" s="1">
        <f>IFERROR(__xludf.DUMMYFUNCTION("""COMPUTED_VALUE"""),312.0)</f>
        <v>312</v>
      </c>
      <c r="K1291" s="1">
        <f>IFERROR(__xludf.DUMMYFUNCTION("""COMPUTED_VALUE"""),62.4)</f>
        <v>62.4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>
        <f>IFERROR(__xludf.DUMMYFUNCTION("""COMPUTED_VALUE"""),57.0)</f>
        <v>57</v>
      </c>
      <c r="E1292" s="1">
        <f>IFERROR(__xludf.DUMMYFUNCTION("""COMPUTED_VALUE"""),60.0)</f>
        <v>60</v>
      </c>
      <c r="F1292" s="1">
        <f>IFERROR(__xludf.DUMMYFUNCTION("""COMPUTED_VALUE"""),53.0)</f>
        <v>53</v>
      </c>
      <c r="G1292" s="1">
        <f>IFERROR(__xludf.DUMMYFUNCTION("""COMPUTED_VALUE"""),83.0)</f>
        <v>83</v>
      </c>
      <c r="H1292" s="1">
        <f>IFERROR(__xludf.DUMMYFUNCTION("""COMPUTED_VALUE"""),92.0)</f>
        <v>92</v>
      </c>
      <c r="I1292" s="1">
        <f>IFERROR(__xludf.DUMMYFUNCTION("""COMPUTED_VALUE"""),63.0)</f>
        <v>63</v>
      </c>
      <c r="J1292" s="1">
        <f>IFERROR(__xludf.DUMMYFUNCTION("""COMPUTED_VALUE"""),351.0)</f>
        <v>351</v>
      </c>
      <c r="K1292" s="1">
        <f>IFERROR(__xludf.DUMMYFUNCTION("""COMPUTED_VALUE"""),70.19999999999999)</f>
        <v>70.2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>
        <f>IFERROR(__xludf.DUMMYFUNCTION("""COMPUTED_VALUE"""),21.0)</f>
        <v>21</v>
      </c>
      <c r="E1293" s="1">
        <f>IFERROR(__xludf.DUMMYFUNCTION("""COMPUTED_VALUE"""),70.0)</f>
        <v>70</v>
      </c>
      <c r="F1293" s="1">
        <f>IFERROR(__xludf.DUMMYFUNCTION("""COMPUTED_VALUE"""),43.0)</f>
        <v>43</v>
      </c>
      <c r="G1293" s="1">
        <f>IFERROR(__xludf.DUMMYFUNCTION("""COMPUTED_VALUE"""),86.0)</f>
        <v>86</v>
      </c>
      <c r="H1293" s="1">
        <f>IFERROR(__xludf.DUMMYFUNCTION("""COMPUTED_VALUE"""),78.0)</f>
        <v>78</v>
      </c>
      <c r="I1293" s="1">
        <f>IFERROR(__xludf.DUMMYFUNCTION("""COMPUTED_VALUE"""),61.0)</f>
        <v>61</v>
      </c>
      <c r="J1293" s="1">
        <f>IFERROR(__xludf.DUMMYFUNCTION("""COMPUTED_VALUE"""),338.0)</f>
        <v>338</v>
      </c>
      <c r="K1293" s="1">
        <f>IFERROR(__xludf.DUMMYFUNCTION("""COMPUTED_VALUE"""),67.60000000000001)</f>
        <v>67.6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>
        <f>IFERROR(__xludf.DUMMYFUNCTION("""COMPUTED_VALUE"""),49.0)</f>
        <v>49</v>
      </c>
      <c r="E1294" s="1">
        <f>IFERROR(__xludf.DUMMYFUNCTION("""COMPUTED_VALUE"""),22.0)</f>
        <v>22</v>
      </c>
      <c r="F1294" s="1">
        <f>IFERROR(__xludf.DUMMYFUNCTION("""COMPUTED_VALUE"""),94.0)</f>
        <v>94</v>
      </c>
      <c r="G1294" s="1">
        <f>IFERROR(__xludf.DUMMYFUNCTION("""COMPUTED_VALUE"""),79.0)</f>
        <v>79</v>
      </c>
      <c r="H1294" s="1">
        <f>IFERROR(__xludf.DUMMYFUNCTION("""COMPUTED_VALUE"""),97.0)</f>
        <v>97</v>
      </c>
      <c r="I1294" s="1">
        <f>IFERROR(__xludf.DUMMYFUNCTION("""COMPUTED_VALUE"""),26.0)</f>
        <v>26</v>
      </c>
      <c r="J1294" s="1">
        <f>IFERROR(__xludf.DUMMYFUNCTION("""COMPUTED_VALUE"""),318.0)</f>
        <v>318</v>
      </c>
      <c r="K1294" s="1">
        <f>IFERROR(__xludf.DUMMYFUNCTION("""COMPUTED_VALUE"""),63.6)</f>
        <v>63.6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>
        <f>IFERROR(__xludf.DUMMYFUNCTION("""COMPUTED_VALUE"""),23.0)</f>
        <v>23</v>
      </c>
      <c r="E1295" s="1">
        <f>IFERROR(__xludf.DUMMYFUNCTION("""COMPUTED_VALUE"""),38.0)</f>
        <v>38</v>
      </c>
      <c r="F1295" s="1">
        <f>IFERROR(__xludf.DUMMYFUNCTION("""COMPUTED_VALUE"""),39.0)</f>
        <v>39</v>
      </c>
      <c r="G1295" s="1">
        <f>IFERROR(__xludf.DUMMYFUNCTION("""COMPUTED_VALUE"""),86.0)</f>
        <v>86</v>
      </c>
      <c r="H1295" s="1">
        <f>IFERROR(__xludf.DUMMYFUNCTION("""COMPUTED_VALUE"""),72.0)</f>
        <v>72</v>
      </c>
      <c r="I1295" s="1">
        <f>IFERROR(__xludf.DUMMYFUNCTION("""COMPUTED_VALUE"""),59.0)</f>
        <v>59</v>
      </c>
      <c r="J1295" s="1">
        <f>IFERROR(__xludf.DUMMYFUNCTION("""COMPUTED_VALUE"""),294.0)</f>
        <v>294</v>
      </c>
      <c r="K1295" s="1">
        <f>IFERROR(__xludf.DUMMYFUNCTION("""COMPUTED_VALUE"""),58.8)</f>
        <v>58.8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>
        <f>IFERROR(__xludf.DUMMYFUNCTION("""COMPUTED_VALUE"""),62.0)</f>
        <v>62</v>
      </c>
      <c r="E1296" s="1">
        <f>IFERROR(__xludf.DUMMYFUNCTION("""COMPUTED_VALUE"""),49.0)</f>
        <v>49</v>
      </c>
      <c r="F1296" s="1">
        <f>IFERROR(__xludf.DUMMYFUNCTION("""COMPUTED_VALUE"""),54.0)</f>
        <v>54</v>
      </c>
      <c r="G1296" s="1">
        <f>IFERROR(__xludf.DUMMYFUNCTION("""COMPUTED_VALUE"""),30.0)</f>
        <v>30</v>
      </c>
      <c r="H1296" s="1">
        <f>IFERROR(__xludf.DUMMYFUNCTION("""COMPUTED_VALUE"""),23.0)</f>
        <v>23</v>
      </c>
      <c r="I1296" s="1">
        <f>IFERROR(__xludf.DUMMYFUNCTION("""COMPUTED_VALUE"""),99.0)</f>
        <v>99</v>
      </c>
      <c r="J1296" s="1">
        <f>IFERROR(__xludf.DUMMYFUNCTION("""COMPUTED_VALUE"""),255.0)</f>
        <v>255</v>
      </c>
      <c r="K1296" s="1">
        <f>IFERROR(__xludf.DUMMYFUNCTION("""COMPUTED_VALUE"""),51.0)</f>
        <v>51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>
        <f>IFERROR(__xludf.DUMMYFUNCTION("""COMPUTED_VALUE"""),74.0)</f>
        <v>74</v>
      </c>
      <c r="E1297" s="1">
        <f>IFERROR(__xludf.DUMMYFUNCTION("""COMPUTED_VALUE"""),98.0)</f>
        <v>98</v>
      </c>
      <c r="F1297" s="1">
        <f>IFERROR(__xludf.DUMMYFUNCTION("""COMPUTED_VALUE"""),47.0)</f>
        <v>47</v>
      </c>
      <c r="G1297" s="1">
        <f>IFERROR(__xludf.DUMMYFUNCTION("""COMPUTED_VALUE"""),58.0)</f>
        <v>58</v>
      </c>
      <c r="H1297" s="1">
        <f>IFERROR(__xludf.DUMMYFUNCTION("""COMPUTED_VALUE"""),24.0)</f>
        <v>24</v>
      </c>
      <c r="I1297" s="1">
        <f>IFERROR(__xludf.DUMMYFUNCTION("""COMPUTED_VALUE"""),44.0)</f>
        <v>44</v>
      </c>
      <c r="J1297" s="1">
        <f>IFERROR(__xludf.DUMMYFUNCTION("""COMPUTED_VALUE"""),271.0)</f>
        <v>271</v>
      </c>
      <c r="K1297" s="1">
        <f>IFERROR(__xludf.DUMMYFUNCTION("""COMPUTED_VALUE"""),54.2)</f>
        <v>54.2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>
        <f>IFERROR(__xludf.DUMMYFUNCTION("""COMPUTED_VALUE"""),40.0)</f>
        <v>40</v>
      </c>
      <c r="E1298" s="1">
        <f>IFERROR(__xludf.DUMMYFUNCTION("""COMPUTED_VALUE"""),25.0)</f>
        <v>25</v>
      </c>
      <c r="F1298" s="1">
        <f>IFERROR(__xludf.DUMMYFUNCTION("""COMPUTED_VALUE"""),84.0)</f>
        <v>84</v>
      </c>
      <c r="G1298" s="1">
        <f>IFERROR(__xludf.DUMMYFUNCTION("""COMPUTED_VALUE"""),34.0)</f>
        <v>34</v>
      </c>
      <c r="H1298" s="1">
        <f>IFERROR(__xludf.DUMMYFUNCTION("""COMPUTED_VALUE"""),55.0)</f>
        <v>55</v>
      </c>
      <c r="I1298" s="1">
        <f>IFERROR(__xludf.DUMMYFUNCTION("""COMPUTED_VALUE"""),92.0)</f>
        <v>92</v>
      </c>
      <c r="J1298" s="1">
        <f>IFERROR(__xludf.DUMMYFUNCTION("""COMPUTED_VALUE"""),290.0)</f>
        <v>290</v>
      </c>
      <c r="K1298" s="1">
        <f>IFERROR(__xludf.DUMMYFUNCTION("""COMPUTED_VALUE"""),57.99999999999999)</f>
        <v>58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>
        <f>IFERROR(__xludf.DUMMYFUNCTION("""COMPUTED_VALUE"""),74.0)</f>
        <v>74</v>
      </c>
      <c r="E1299" s="1">
        <f>IFERROR(__xludf.DUMMYFUNCTION("""COMPUTED_VALUE"""),57.0)</f>
        <v>57</v>
      </c>
      <c r="F1299" s="1">
        <f>IFERROR(__xludf.DUMMYFUNCTION("""COMPUTED_VALUE"""),98.0)</f>
        <v>98</v>
      </c>
      <c r="G1299" s="1">
        <f>IFERROR(__xludf.DUMMYFUNCTION("""COMPUTED_VALUE"""),97.0)</f>
        <v>97</v>
      </c>
      <c r="H1299" s="1">
        <f>IFERROR(__xludf.DUMMYFUNCTION("""COMPUTED_VALUE"""),85.0)</f>
        <v>85</v>
      </c>
      <c r="I1299" s="1">
        <f>IFERROR(__xludf.DUMMYFUNCTION("""COMPUTED_VALUE"""),70.0)</f>
        <v>70</v>
      </c>
      <c r="J1299" s="1">
        <f>IFERROR(__xludf.DUMMYFUNCTION("""COMPUTED_VALUE"""),407.0)</f>
        <v>407</v>
      </c>
      <c r="K1299" s="1">
        <f>IFERROR(__xludf.DUMMYFUNCTION("""COMPUTED_VALUE"""),81.39999999999999)</f>
        <v>81.4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>
        <f>IFERROR(__xludf.DUMMYFUNCTION("""COMPUTED_VALUE"""),22.0)</f>
        <v>22</v>
      </c>
      <c r="E1300" s="1">
        <f>IFERROR(__xludf.DUMMYFUNCTION("""COMPUTED_VALUE"""),77.0)</f>
        <v>77</v>
      </c>
      <c r="F1300" s="1">
        <f>IFERROR(__xludf.DUMMYFUNCTION("""COMPUTED_VALUE"""),33.0)</f>
        <v>33</v>
      </c>
      <c r="G1300" s="1">
        <f>IFERROR(__xludf.DUMMYFUNCTION("""COMPUTED_VALUE"""),63.0)</f>
        <v>63</v>
      </c>
      <c r="H1300" s="1">
        <f>IFERROR(__xludf.DUMMYFUNCTION("""COMPUTED_VALUE"""),48.0)</f>
        <v>48</v>
      </c>
      <c r="I1300" s="1">
        <f>IFERROR(__xludf.DUMMYFUNCTION("""COMPUTED_VALUE"""),24.0)</f>
        <v>24</v>
      </c>
      <c r="J1300" s="1">
        <f>IFERROR(__xludf.DUMMYFUNCTION("""COMPUTED_VALUE"""),245.0)</f>
        <v>245</v>
      </c>
      <c r="K1300" s="1">
        <f>IFERROR(__xludf.DUMMYFUNCTION("""COMPUTED_VALUE"""),49.0)</f>
        <v>49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>
        <f>IFERROR(__xludf.DUMMYFUNCTION("""COMPUTED_VALUE"""),20.0)</f>
        <v>20</v>
      </c>
      <c r="E1301" s="1">
        <f>IFERROR(__xludf.DUMMYFUNCTION("""COMPUTED_VALUE"""),55.0)</f>
        <v>55</v>
      </c>
      <c r="F1301" s="1">
        <f>IFERROR(__xludf.DUMMYFUNCTION("""COMPUTED_VALUE"""),48.0)</f>
        <v>48</v>
      </c>
      <c r="G1301" s="1">
        <f>IFERROR(__xludf.DUMMYFUNCTION("""COMPUTED_VALUE"""),63.0)</f>
        <v>63</v>
      </c>
      <c r="H1301" s="1">
        <f>IFERROR(__xludf.DUMMYFUNCTION("""COMPUTED_VALUE"""),24.0)</f>
        <v>24</v>
      </c>
      <c r="I1301" s="1">
        <f>IFERROR(__xludf.DUMMYFUNCTION("""COMPUTED_VALUE"""),44.0)</f>
        <v>44</v>
      </c>
      <c r="J1301" s="1">
        <f>IFERROR(__xludf.DUMMYFUNCTION("""COMPUTED_VALUE"""),234.0)</f>
        <v>234</v>
      </c>
      <c r="K1301" s="1">
        <f>IFERROR(__xludf.DUMMYFUNCTION("""COMPUTED_VALUE"""),46.800000000000004)</f>
        <v>46.8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>
        <f>IFERROR(__xludf.DUMMYFUNCTION("""COMPUTED_VALUE"""),71.0)</f>
        <v>71</v>
      </c>
      <c r="E1302" s="1">
        <f>IFERROR(__xludf.DUMMYFUNCTION("""COMPUTED_VALUE"""),23.0)</f>
        <v>23</v>
      </c>
      <c r="F1302" s="1">
        <f>IFERROR(__xludf.DUMMYFUNCTION("""COMPUTED_VALUE"""),78.0)</f>
        <v>78</v>
      </c>
      <c r="G1302" s="1">
        <f>IFERROR(__xludf.DUMMYFUNCTION("""COMPUTED_VALUE"""),29.0)</f>
        <v>29</v>
      </c>
      <c r="H1302" s="1">
        <f>IFERROR(__xludf.DUMMYFUNCTION("""COMPUTED_VALUE"""),88.0)</f>
        <v>88</v>
      </c>
      <c r="I1302" s="1">
        <f>IFERROR(__xludf.DUMMYFUNCTION("""COMPUTED_VALUE"""),62.0)</f>
        <v>62</v>
      </c>
      <c r="J1302" s="1">
        <f>IFERROR(__xludf.DUMMYFUNCTION("""COMPUTED_VALUE"""),280.0)</f>
        <v>280</v>
      </c>
      <c r="K1302" s="1">
        <f>IFERROR(__xludf.DUMMYFUNCTION("""COMPUTED_VALUE"""),56.00000000000001)</f>
        <v>56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>
        <f>IFERROR(__xludf.DUMMYFUNCTION("""COMPUTED_VALUE"""),34.0)</f>
        <v>34</v>
      </c>
      <c r="E1303" s="1">
        <f>IFERROR(__xludf.DUMMYFUNCTION("""COMPUTED_VALUE"""),70.0)</f>
        <v>70</v>
      </c>
      <c r="F1303" s="1">
        <f>IFERROR(__xludf.DUMMYFUNCTION("""COMPUTED_VALUE"""),96.0)</f>
        <v>96</v>
      </c>
      <c r="G1303" s="1">
        <f>IFERROR(__xludf.DUMMYFUNCTION("""COMPUTED_VALUE"""),58.0)</f>
        <v>58</v>
      </c>
      <c r="H1303" s="1">
        <f>IFERROR(__xludf.DUMMYFUNCTION("""COMPUTED_VALUE"""),37.0)</f>
        <v>37</v>
      </c>
      <c r="I1303" s="1">
        <f>IFERROR(__xludf.DUMMYFUNCTION("""COMPUTED_VALUE"""),79.0)</f>
        <v>79</v>
      </c>
      <c r="J1303" s="1">
        <f>IFERROR(__xludf.DUMMYFUNCTION("""COMPUTED_VALUE"""),340.0)</f>
        <v>340</v>
      </c>
      <c r="K1303" s="1">
        <f>IFERROR(__xludf.DUMMYFUNCTION("""COMPUTED_VALUE"""),68.0)</f>
        <v>68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>
        <f>IFERROR(__xludf.DUMMYFUNCTION("""COMPUTED_VALUE"""),88.0)</f>
        <v>88</v>
      </c>
      <c r="E1304" s="1">
        <f>IFERROR(__xludf.DUMMYFUNCTION("""COMPUTED_VALUE"""),57.0)</f>
        <v>57</v>
      </c>
      <c r="F1304" s="1">
        <f>IFERROR(__xludf.DUMMYFUNCTION("""COMPUTED_VALUE"""),62.0)</f>
        <v>62</v>
      </c>
      <c r="G1304" s="1">
        <f>IFERROR(__xludf.DUMMYFUNCTION("""COMPUTED_VALUE"""),22.0)</f>
        <v>22</v>
      </c>
      <c r="H1304" s="1">
        <f>IFERROR(__xludf.DUMMYFUNCTION("""COMPUTED_VALUE"""),71.0)</f>
        <v>71</v>
      </c>
      <c r="I1304" s="1">
        <f>IFERROR(__xludf.DUMMYFUNCTION("""COMPUTED_VALUE"""),26.0)</f>
        <v>26</v>
      </c>
      <c r="J1304" s="1">
        <f>IFERROR(__xludf.DUMMYFUNCTION("""COMPUTED_VALUE"""),238.0)</f>
        <v>238</v>
      </c>
      <c r="K1304" s="1">
        <f>IFERROR(__xludf.DUMMYFUNCTION("""COMPUTED_VALUE"""),47.599999999999994)</f>
        <v>47.6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>
        <f>IFERROR(__xludf.DUMMYFUNCTION("""COMPUTED_VALUE"""),93.0)</f>
        <v>93</v>
      </c>
      <c r="E1305" s="1">
        <f>IFERROR(__xludf.DUMMYFUNCTION("""COMPUTED_VALUE"""),20.0)</f>
        <v>20</v>
      </c>
      <c r="F1305" s="1">
        <f>IFERROR(__xludf.DUMMYFUNCTION("""COMPUTED_VALUE"""),43.0)</f>
        <v>43</v>
      </c>
      <c r="G1305" s="1">
        <f>IFERROR(__xludf.DUMMYFUNCTION("""COMPUTED_VALUE"""),78.0)</f>
        <v>78</v>
      </c>
      <c r="H1305" s="1">
        <f>IFERROR(__xludf.DUMMYFUNCTION("""COMPUTED_VALUE"""),87.0)</f>
        <v>87</v>
      </c>
      <c r="I1305" s="1">
        <f>IFERROR(__xludf.DUMMYFUNCTION("""COMPUTED_VALUE"""),55.0)</f>
        <v>55</v>
      </c>
      <c r="J1305" s="1">
        <f>IFERROR(__xludf.DUMMYFUNCTION("""COMPUTED_VALUE"""),283.0)</f>
        <v>283</v>
      </c>
      <c r="K1305" s="1">
        <f>IFERROR(__xludf.DUMMYFUNCTION("""COMPUTED_VALUE"""),56.599999999999994)</f>
        <v>56.6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>
        <f>IFERROR(__xludf.DUMMYFUNCTION("""COMPUTED_VALUE"""),61.0)</f>
        <v>61</v>
      </c>
      <c r="E1306" s="1">
        <f>IFERROR(__xludf.DUMMYFUNCTION("""COMPUTED_VALUE"""),83.0)</f>
        <v>83</v>
      </c>
      <c r="F1306" s="1">
        <f>IFERROR(__xludf.DUMMYFUNCTION("""COMPUTED_VALUE"""),33.0)</f>
        <v>33</v>
      </c>
      <c r="G1306" s="1">
        <f>IFERROR(__xludf.DUMMYFUNCTION("""COMPUTED_VALUE"""),44.0)</f>
        <v>44</v>
      </c>
      <c r="H1306" s="1">
        <f>IFERROR(__xludf.DUMMYFUNCTION("""COMPUTED_VALUE"""),80.0)</f>
        <v>80</v>
      </c>
      <c r="I1306" s="1">
        <f>IFERROR(__xludf.DUMMYFUNCTION("""COMPUTED_VALUE"""),76.0)</f>
        <v>76</v>
      </c>
      <c r="J1306" s="1">
        <f>IFERROR(__xludf.DUMMYFUNCTION("""COMPUTED_VALUE"""),316.0)</f>
        <v>316</v>
      </c>
      <c r="K1306" s="1">
        <f>IFERROR(__xludf.DUMMYFUNCTION("""COMPUTED_VALUE"""),63.2)</f>
        <v>63.2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>
        <f>IFERROR(__xludf.DUMMYFUNCTION("""COMPUTED_VALUE"""),70.0)</f>
        <v>70</v>
      </c>
      <c r="E1307" s="1">
        <f>IFERROR(__xludf.DUMMYFUNCTION("""COMPUTED_VALUE"""),21.0)</f>
        <v>21</v>
      </c>
      <c r="F1307" s="1">
        <f>IFERROR(__xludf.DUMMYFUNCTION("""COMPUTED_VALUE"""),54.0)</f>
        <v>54</v>
      </c>
      <c r="G1307" s="1">
        <f>IFERROR(__xludf.DUMMYFUNCTION("""COMPUTED_VALUE"""),42.0)</f>
        <v>42</v>
      </c>
      <c r="H1307" s="1">
        <f>IFERROR(__xludf.DUMMYFUNCTION("""COMPUTED_VALUE"""),24.0)</f>
        <v>24</v>
      </c>
      <c r="I1307" s="1">
        <f>IFERROR(__xludf.DUMMYFUNCTION("""COMPUTED_VALUE"""),27.0)</f>
        <v>27</v>
      </c>
      <c r="J1307" s="1">
        <f>IFERROR(__xludf.DUMMYFUNCTION("""COMPUTED_VALUE"""),168.0)</f>
        <v>168</v>
      </c>
      <c r="K1307" s="1">
        <f>IFERROR(__xludf.DUMMYFUNCTION("""COMPUTED_VALUE"""),33.6)</f>
        <v>33.6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>
        <f>IFERROR(__xludf.DUMMYFUNCTION("""COMPUTED_VALUE"""),64.0)</f>
        <v>64</v>
      </c>
      <c r="E1308" s="1">
        <f>IFERROR(__xludf.DUMMYFUNCTION("""COMPUTED_VALUE"""),51.0)</f>
        <v>51</v>
      </c>
      <c r="F1308" s="1">
        <f>IFERROR(__xludf.DUMMYFUNCTION("""COMPUTED_VALUE"""),57.0)</f>
        <v>57</v>
      </c>
      <c r="G1308" s="1">
        <f>IFERROR(__xludf.DUMMYFUNCTION("""COMPUTED_VALUE"""),86.0)</f>
        <v>86</v>
      </c>
      <c r="H1308" s="1">
        <f>IFERROR(__xludf.DUMMYFUNCTION("""COMPUTED_VALUE"""),73.0)</f>
        <v>73</v>
      </c>
      <c r="I1308" s="1">
        <f>IFERROR(__xludf.DUMMYFUNCTION("""COMPUTED_VALUE"""),61.0)</f>
        <v>61</v>
      </c>
      <c r="J1308" s="1">
        <f>IFERROR(__xludf.DUMMYFUNCTION("""COMPUTED_VALUE"""),328.0)</f>
        <v>328</v>
      </c>
      <c r="K1308" s="1">
        <f>IFERROR(__xludf.DUMMYFUNCTION("""COMPUTED_VALUE"""),65.60000000000001)</f>
        <v>65.6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>
        <f>IFERROR(__xludf.DUMMYFUNCTION("""COMPUTED_VALUE"""),75.0)</f>
        <v>75</v>
      </c>
      <c r="E1309" s="1">
        <f>IFERROR(__xludf.DUMMYFUNCTION("""COMPUTED_VALUE"""),28.0)</f>
        <v>28</v>
      </c>
      <c r="F1309" s="1">
        <f>IFERROR(__xludf.DUMMYFUNCTION("""COMPUTED_VALUE"""),81.0)</f>
        <v>81</v>
      </c>
      <c r="G1309" s="1">
        <f>IFERROR(__xludf.DUMMYFUNCTION("""COMPUTED_VALUE"""),31.0)</f>
        <v>31</v>
      </c>
      <c r="H1309" s="1">
        <f>IFERROR(__xludf.DUMMYFUNCTION("""COMPUTED_VALUE"""),90.0)</f>
        <v>90</v>
      </c>
      <c r="I1309" s="1">
        <f>IFERROR(__xludf.DUMMYFUNCTION("""COMPUTED_VALUE"""),31.0)</f>
        <v>31</v>
      </c>
      <c r="J1309" s="1">
        <f>IFERROR(__xludf.DUMMYFUNCTION("""COMPUTED_VALUE"""),261.0)</f>
        <v>261</v>
      </c>
      <c r="K1309" s="1">
        <f>IFERROR(__xludf.DUMMYFUNCTION("""COMPUTED_VALUE"""),52.2)</f>
        <v>52.2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>
        <f>IFERROR(__xludf.DUMMYFUNCTION("""COMPUTED_VALUE"""),32.0)</f>
        <v>32</v>
      </c>
      <c r="E1310" s="1">
        <f>IFERROR(__xludf.DUMMYFUNCTION("""COMPUTED_VALUE"""),85.0)</f>
        <v>85</v>
      </c>
      <c r="F1310" s="1">
        <f>IFERROR(__xludf.DUMMYFUNCTION("""COMPUTED_VALUE"""),92.0)</f>
        <v>92</v>
      </c>
      <c r="G1310" s="1">
        <f>IFERROR(__xludf.DUMMYFUNCTION("""COMPUTED_VALUE"""),73.0)</f>
        <v>73</v>
      </c>
      <c r="H1310" s="1">
        <f>IFERROR(__xludf.DUMMYFUNCTION("""COMPUTED_VALUE"""),48.0)</f>
        <v>48</v>
      </c>
      <c r="I1310" s="1">
        <f>IFERROR(__xludf.DUMMYFUNCTION("""COMPUTED_VALUE"""),46.0)</f>
        <v>46</v>
      </c>
      <c r="J1310" s="1">
        <f>IFERROR(__xludf.DUMMYFUNCTION("""COMPUTED_VALUE"""),344.0)</f>
        <v>344</v>
      </c>
      <c r="K1310" s="1">
        <f>IFERROR(__xludf.DUMMYFUNCTION("""COMPUTED_VALUE"""),68.8)</f>
        <v>68.8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>
        <f>IFERROR(__xludf.DUMMYFUNCTION("""COMPUTED_VALUE"""),66.0)</f>
        <v>66</v>
      </c>
      <c r="E1311" s="1">
        <f>IFERROR(__xludf.DUMMYFUNCTION("""COMPUTED_VALUE"""),83.0)</f>
        <v>83</v>
      </c>
      <c r="F1311" s="1">
        <f>IFERROR(__xludf.DUMMYFUNCTION("""COMPUTED_VALUE"""),24.0)</f>
        <v>24</v>
      </c>
      <c r="G1311" s="1">
        <f>IFERROR(__xludf.DUMMYFUNCTION("""COMPUTED_VALUE"""),47.0)</f>
        <v>47</v>
      </c>
      <c r="H1311" s="1">
        <f>IFERROR(__xludf.DUMMYFUNCTION("""COMPUTED_VALUE"""),85.0)</f>
        <v>85</v>
      </c>
      <c r="I1311" s="1">
        <f>IFERROR(__xludf.DUMMYFUNCTION("""COMPUTED_VALUE"""),55.0)</f>
        <v>55</v>
      </c>
      <c r="J1311" s="1">
        <f>IFERROR(__xludf.DUMMYFUNCTION("""COMPUTED_VALUE"""),294.0)</f>
        <v>294</v>
      </c>
      <c r="K1311" s="1">
        <f>IFERROR(__xludf.DUMMYFUNCTION("""COMPUTED_VALUE"""),58.8)</f>
        <v>58.8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>
        <f>IFERROR(__xludf.DUMMYFUNCTION("""COMPUTED_VALUE"""),92.0)</f>
        <v>92</v>
      </c>
      <c r="E1312" s="1">
        <f>IFERROR(__xludf.DUMMYFUNCTION("""COMPUTED_VALUE"""),23.0)</f>
        <v>23</v>
      </c>
      <c r="F1312" s="1">
        <f>IFERROR(__xludf.DUMMYFUNCTION("""COMPUTED_VALUE"""),38.0)</f>
        <v>38</v>
      </c>
      <c r="G1312" s="1">
        <f>IFERROR(__xludf.DUMMYFUNCTION("""COMPUTED_VALUE"""),51.0)</f>
        <v>51</v>
      </c>
      <c r="H1312" s="1">
        <f>IFERROR(__xludf.DUMMYFUNCTION("""COMPUTED_VALUE"""),49.0)</f>
        <v>49</v>
      </c>
      <c r="I1312" s="1">
        <f>IFERROR(__xludf.DUMMYFUNCTION("""COMPUTED_VALUE"""),90.0)</f>
        <v>90</v>
      </c>
      <c r="J1312" s="1">
        <f>IFERROR(__xludf.DUMMYFUNCTION("""COMPUTED_VALUE"""),251.0)</f>
        <v>251</v>
      </c>
      <c r="K1312" s="1">
        <f>IFERROR(__xludf.DUMMYFUNCTION("""COMPUTED_VALUE"""),50.2)</f>
        <v>50.2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>
        <f>IFERROR(__xludf.DUMMYFUNCTION("""COMPUTED_VALUE"""),19.0)</f>
        <v>19</v>
      </c>
      <c r="E1313" s="1">
        <f>IFERROR(__xludf.DUMMYFUNCTION("""COMPUTED_VALUE"""),48.0)</f>
        <v>48</v>
      </c>
      <c r="F1313" s="1">
        <f>IFERROR(__xludf.DUMMYFUNCTION("""COMPUTED_VALUE"""),29.0)</f>
        <v>29</v>
      </c>
      <c r="G1313" s="1">
        <f>IFERROR(__xludf.DUMMYFUNCTION("""COMPUTED_VALUE"""),69.0)</f>
        <v>69</v>
      </c>
      <c r="H1313" s="1">
        <f>IFERROR(__xludf.DUMMYFUNCTION("""COMPUTED_VALUE"""),74.0)</f>
        <v>74</v>
      </c>
      <c r="I1313" s="1">
        <f>IFERROR(__xludf.DUMMYFUNCTION("""COMPUTED_VALUE"""),97.0)</f>
        <v>97</v>
      </c>
      <c r="J1313" s="1">
        <f>IFERROR(__xludf.DUMMYFUNCTION("""COMPUTED_VALUE"""),317.0)</f>
        <v>317</v>
      </c>
      <c r="K1313" s="1">
        <f>IFERROR(__xludf.DUMMYFUNCTION("""COMPUTED_VALUE"""),63.4)</f>
        <v>63.4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>
        <f>IFERROR(__xludf.DUMMYFUNCTION("""COMPUTED_VALUE"""),34.0)</f>
        <v>34</v>
      </c>
      <c r="E1314" s="1">
        <f>IFERROR(__xludf.DUMMYFUNCTION("""COMPUTED_VALUE"""),38.0)</f>
        <v>38</v>
      </c>
      <c r="F1314" s="1">
        <f>IFERROR(__xludf.DUMMYFUNCTION("""COMPUTED_VALUE"""),93.0)</f>
        <v>93</v>
      </c>
      <c r="G1314" s="1">
        <f>IFERROR(__xludf.DUMMYFUNCTION("""COMPUTED_VALUE"""),21.0)</f>
        <v>21</v>
      </c>
      <c r="H1314" s="1">
        <f>IFERROR(__xludf.DUMMYFUNCTION("""COMPUTED_VALUE"""),48.0)</f>
        <v>48</v>
      </c>
      <c r="I1314" s="1">
        <f>IFERROR(__xludf.DUMMYFUNCTION("""COMPUTED_VALUE"""),97.0)</f>
        <v>97</v>
      </c>
      <c r="J1314" s="1">
        <f>IFERROR(__xludf.DUMMYFUNCTION("""COMPUTED_VALUE"""),297.0)</f>
        <v>297</v>
      </c>
      <c r="K1314" s="1">
        <f>IFERROR(__xludf.DUMMYFUNCTION("""COMPUTED_VALUE"""),59.4)</f>
        <v>59.4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>
        <f>IFERROR(__xludf.DUMMYFUNCTION("""COMPUTED_VALUE"""),70.0)</f>
        <v>70</v>
      </c>
      <c r="E1315" s="1">
        <f>IFERROR(__xludf.DUMMYFUNCTION("""COMPUTED_VALUE"""),61.0)</f>
        <v>61</v>
      </c>
      <c r="F1315" s="1">
        <f>IFERROR(__xludf.DUMMYFUNCTION("""COMPUTED_VALUE"""),36.0)</f>
        <v>36</v>
      </c>
      <c r="G1315" s="1">
        <f>IFERROR(__xludf.DUMMYFUNCTION("""COMPUTED_VALUE"""),82.0)</f>
        <v>82</v>
      </c>
      <c r="H1315" s="1">
        <f>IFERROR(__xludf.DUMMYFUNCTION("""COMPUTED_VALUE"""),46.0)</f>
        <v>46</v>
      </c>
      <c r="I1315" s="1">
        <f>IFERROR(__xludf.DUMMYFUNCTION("""COMPUTED_VALUE"""),73.0)</f>
        <v>73</v>
      </c>
      <c r="J1315" s="1">
        <f>IFERROR(__xludf.DUMMYFUNCTION("""COMPUTED_VALUE"""),298.0)</f>
        <v>298</v>
      </c>
      <c r="K1315" s="1">
        <f>IFERROR(__xludf.DUMMYFUNCTION("""COMPUTED_VALUE"""),59.599999999999994)</f>
        <v>59.6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>
        <f>IFERROR(__xludf.DUMMYFUNCTION("""COMPUTED_VALUE"""),46.0)</f>
        <v>46</v>
      </c>
      <c r="E1316" s="1">
        <f>IFERROR(__xludf.DUMMYFUNCTION("""COMPUTED_VALUE"""),84.0)</f>
        <v>84</v>
      </c>
      <c r="F1316" s="1">
        <f>IFERROR(__xludf.DUMMYFUNCTION("""COMPUTED_VALUE"""),92.0)</f>
        <v>92</v>
      </c>
      <c r="G1316" s="1">
        <f>IFERROR(__xludf.DUMMYFUNCTION("""COMPUTED_VALUE"""),29.0)</f>
        <v>29</v>
      </c>
      <c r="H1316" s="1">
        <f>IFERROR(__xludf.DUMMYFUNCTION("""COMPUTED_VALUE"""),59.0)</f>
        <v>59</v>
      </c>
      <c r="I1316" s="1">
        <f>IFERROR(__xludf.DUMMYFUNCTION("""COMPUTED_VALUE"""),30.0)</f>
        <v>30</v>
      </c>
      <c r="J1316" s="1">
        <f>IFERROR(__xludf.DUMMYFUNCTION("""COMPUTED_VALUE"""),294.0)</f>
        <v>294</v>
      </c>
      <c r="K1316" s="1">
        <f>IFERROR(__xludf.DUMMYFUNCTION("""COMPUTED_VALUE"""),58.8)</f>
        <v>58.8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>
        <f>IFERROR(__xludf.DUMMYFUNCTION("""COMPUTED_VALUE"""),50.0)</f>
        <v>50</v>
      </c>
      <c r="E1317" s="1">
        <f>IFERROR(__xludf.DUMMYFUNCTION("""COMPUTED_VALUE"""),54.0)</f>
        <v>54</v>
      </c>
      <c r="F1317" s="1">
        <f>IFERROR(__xludf.DUMMYFUNCTION("""COMPUTED_VALUE"""),78.0)</f>
        <v>78</v>
      </c>
      <c r="G1317" s="1">
        <f>IFERROR(__xludf.DUMMYFUNCTION("""COMPUTED_VALUE"""),65.0)</f>
        <v>65</v>
      </c>
      <c r="H1317" s="1">
        <f>IFERROR(__xludf.DUMMYFUNCTION("""COMPUTED_VALUE"""),47.0)</f>
        <v>47</v>
      </c>
      <c r="I1317" s="1">
        <f>IFERROR(__xludf.DUMMYFUNCTION("""COMPUTED_VALUE"""),51.0)</f>
        <v>51</v>
      </c>
      <c r="J1317" s="1">
        <f>IFERROR(__xludf.DUMMYFUNCTION("""COMPUTED_VALUE"""),295.0)</f>
        <v>295</v>
      </c>
      <c r="K1317" s="1">
        <f>IFERROR(__xludf.DUMMYFUNCTION("""COMPUTED_VALUE"""),59.0)</f>
        <v>59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>
        <f>IFERROR(__xludf.DUMMYFUNCTION("""COMPUTED_VALUE"""),49.0)</f>
        <v>49</v>
      </c>
      <c r="E1318" s="1">
        <f>IFERROR(__xludf.DUMMYFUNCTION("""COMPUTED_VALUE"""),35.0)</f>
        <v>35</v>
      </c>
      <c r="F1318" s="1">
        <f>IFERROR(__xludf.DUMMYFUNCTION("""COMPUTED_VALUE"""),22.0)</f>
        <v>22</v>
      </c>
      <c r="G1318" s="1">
        <f>IFERROR(__xludf.DUMMYFUNCTION("""COMPUTED_VALUE"""),97.0)</f>
        <v>97</v>
      </c>
      <c r="H1318" s="1">
        <f>IFERROR(__xludf.DUMMYFUNCTION("""COMPUTED_VALUE"""),59.0)</f>
        <v>59</v>
      </c>
      <c r="I1318" s="1">
        <f>IFERROR(__xludf.DUMMYFUNCTION("""COMPUTED_VALUE"""),99.0)</f>
        <v>99</v>
      </c>
      <c r="J1318" s="1">
        <f>IFERROR(__xludf.DUMMYFUNCTION("""COMPUTED_VALUE"""),312.0)</f>
        <v>312</v>
      </c>
      <c r="K1318" s="1">
        <f>IFERROR(__xludf.DUMMYFUNCTION("""COMPUTED_VALUE"""),62.4)</f>
        <v>62.4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>
        <f>IFERROR(__xludf.DUMMYFUNCTION("""COMPUTED_VALUE"""),71.0)</f>
        <v>71</v>
      </c>
      <c r="E1319" s="1">
        <f>IFERROR(__xludf.DUMMYFUNCTION("""COMPUTED_VALUE"""),20.0)</f>
        <v>20</v>
      </c>
      <c r="F1319" s="1">
        <f>IFERROR(__xludf.DUMMYFUNCTION("""COMPUTED_VALUE"""),53.0)</f>
        <v>53</v>
      </c>
      <c r="G1319" s="1">
        <f>IFERROR(__xludf.DUMMYFUNCTION("""COMPUTED_VALUE"""),93.0)</f>
        <v>93</v>
      </c>
      <c r="H1319" s="1">
        <f>IFERROR(__xludf.DUMMYFUNCTION("""COMPUTED_VALUE"""),78.0)</f>
        <v>78</v>
      </c>
      <c r="I1319" s="1">
        <f>IFERROR(__xludf.DUMMYFUNCTION("""COMPUTED_VALUE"""),66.0)</f>
        <v>66</v>
      </c>
      <c r="J1319" s="1">
        <f>IFERROR(__xludf.DUMMYFUNCTION("""COMPUTED_VALUE"""),310.0)</f>
        <v>310</v>
      </c>
      <c r="K1319" s="1">
        <f>IFERROR(__xludf.DUMMYFUNCTION("""COMPUTED_VALUE"""),62.0)</f>
        <v>62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>
        <f>IFERROR(__xludf.DUMMYFUNCTION("""COMPUTED_VALUE"""),75.0)</f>
        <v>75</v>
      </c>
      <c r="E1320" s="1">
        <f>IFERROR(__xludf.DUMMYFUNCTION("""COMPUTED_VALUE"""),61.0)</f>
        <v>61</v>
      </c>
      <c r="F1320" s="1">
        <f>IFERROR(__xludf.DUMMYFUNCTION("""COMPUTED_VALUE"""),33.0)</f>
        <v>33</v>
      </c>
      <c r="G1320" s="1">
        <f>IFERROR(__xludf.DUMMYFUNCTION("""COMPUTED_VALUE"""),49.0)</f>
        <v>49</v>
      </c>
      <c r="H1320" s="1">
        <f>IFERROR(__xludf.DUMMYFUNCTION("""COMPUTED_VALUE"""),76.0)</f>
        <v>76</v>
      </c>
      <c r="I1320" s="1">
        <f>IFERROR(__xludf.DUMMYFUNCTION("""COMPUTED_VALUE"""),34.0)</f>
        <v>34</v>
      </c>
      <c r="J1320" s="1">
        <f>IFERROR(__xludf.DUMMYFUNCTION("""COMPUTED_VALUE"""),253.0)</f>
        <v>253</v>
      </c>
      <c r="K1320" s="1">
        <f>IFERROR(__xludf.DUMMYFUNCTION("""COMPUTED_VALUE"""),50.6)</f>
        <v>50.6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>
        <f>IFERROR(__xludf.DUMMYFUNCTION("""COMPUTED_VALUE"""),91.0)</f>
        <v>91</v>
      </c>
      <c r="E1321" s="1">
        <f>IFERROR(__xludf.DUMMYFUNCTION("""COMPUTED_VALUE"""),93.0)</f>
        <v>93</v>
      </c>
      <c r="F1321" s="1">
        <f>IFERROR(__xludf.DUMMYFUNCTION("""COMPUTED_VALUE"""),64.0)</f>
        <v>64</v>
      </c>
      <c r="G1321" s="1">
        <f>IFERROR(__xludf.DUMMYFUNCTION("""COMPUTED_VALUE"""),24.0)</f>
        <v>24</v>
      </c>
      <c r="H1321" s="1">
        <f>IFERROR(__xludf.DUMMYFUNCTION("""COMPUTED_VALUE"""),89.0)</f>
        <v>89</v>
      </c>
      <c r="I1321" s="1">
        <f>IFERROR(__xludf.DUMMYFUNCTION("""COMPUTED_VALUE"""),40.0)</f>
        <v>40</v>
      </c>
      <c r="J1321" s="1">
        <f>IFERROR(__xludf.DUMMYFUNCTION("""COMPUTED_VALUE"""),310.0)</f>
        <v>310</v>
      </c>
      <c r="K1321" s="1">
        <f>IFERROR(__xludf.DUMMYFUNCTION("""COMPUTED_VALUE"""),62.0)</f>
        <v>62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>
        <f>IFERROR(__xludf.DUMMYFUNCTION("""COMPUTED_VALUE"""),36.0)</f>
        <v>36</v>
      </c>
      <c r="E1322" s="1">
        <f>IFERROR(__xludf.DUMMYFUNCTION("""COMPUTED_VALUE"""),87.0)</f>
        <v>87</v>
      </c>
      <c r="F1322" s="1">
        <f>IFERROR(__xludf.DUMMYFUNCTION("""COMPUTED_VALUE"""),47.0)</f>
        <v>47</v>
      </c>
      <c r="G1322" s="1">
        <f>IFERROR(__xludf.DUMMYFUNCTION("""COMPUTED_VALUE"""),29.0)</f>
        <v>29</v>
      </c>
      <c r="H1322" s="1">
        <f>IFERROR(__xludf.DUMMYFUNCTION("""COMPUTED_VALUE"""),23.0)</f>
        <v>23</v>
      </c>
      <c r="I1322" s="1">
        <f>IFERROR(__xludf.DUMMYFUNCTION("""COMPUTED_VALUE"""),70.0)</f>
        <v>70</v>
      </c>
      <c r="J1322" s="1">
        <f>IFERROR(__xludf.DUMMYFUNCTION("""COMPUTED_VALUE"""),256.0)</f>
        <v>256</v>
      </c>
      <c r="K1322" s="1">
        <f>IFERROR(__xludf.DUMMYFUNCTION("""COMPUTED_VALUE"""),51.2)</f>
        <v>51.2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>
        <f>IFERROR(__xludf.DUMMYFUNCTION("""COMPUTED_VALUE"""),60.0)</f>
        <v>60</v>
      </c>
      <c r="E1323" s="1">
        <f>IFERROR(__xludf.DUMMYFUNCTION("""COMPUTED_VALUE"""),88.0)</f>
        <v>88</v>
      </c>
      <c r="F1323" s="1">
        <f>IFERROR(__xludf.DUMMYFUNCTION("""COMPUTED_VALUE"""),47.0)</f>
        <v>47</v>
      </c>
      <c r="G1323" s="1">
        <f>IFERROR(__xludf.DUMMYFUNCTION("""COMPUTED_VALUE"""),87.0)</f>
        <v>87</v>
      </c>
      <c r="H1323" s="1">
        <f>IFERROR(__xludf.DUMMYFUNCTION("""COMPUTED_VALUE"""),46.0)</f>
        <v>46</v>
      </c>
      <c r="I1323" s="1">
        <f>IFERROR(__xludf.DUMMYFUNCTION("""COMPUTED_VALUE"""),76.0)</f>
        <v>76</v>
      </c>
      <c r="J1323" s="1">
        <f>IFERROR(__xludf.DUMMYFUNCTION("""COMPUTED_VALUE"""),344.0)</f>
        <v>344</v>
      </c>
      <c r="K1323" s="1">
        <f>IFERROR(__xludf.DUMMYFUNCTION("""COMPUTED_VALUE"""),68.8)</f>
        <v>68.8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>
        <f>IFERROR(__xludf.DUMMYFUNCTION("""COMPUTED_VALUE"""),74.0)</f>
        <v>74</v>
      </c>
      <c r="E1324" s="1">
        <f>IFERROR(__xludf.DUMMYFUNCTION("""COMPUTED_VALUE"""),78.0)</f>
        <v>78</v>
      </c>
      <c r="F1324" s="1">
        <f>IFERROR(__xludf.DUMMYFUNCTION("""COMPUTED_VALUE"""),49.0)</f>
        <v>49</v>
      </c>
      <c r="G1324" s="1">
        <f>IFERROR(__xludf.DUMMYFUNCTION("""COMPUTED_VALUE"""),42.0)</f>
        <v>42</v>
      </c>
      <c r="H1324" s="1">
        <f>IFERROR(__xludf.DUMMYFUNCTION("""COMPUTED_VALUE"""),69.0)</f>
        <v>69</v>
      </c>
      <c r="I1324" s="1">
        <f>IFERROR(__xludf.DUMMYFUNCTION("""COMPUTED_VALUE"""),88.0)</f>
        <v>88</v>
      </c>
      <c r="J1324" s="1">
        <f>IFERROR(__xludf.DUMMYFUNCTION("""COMPUTED_VALUE"""),326.0)</f>
        <v>326</v>
      </c>
      <c r="K1324" s="1">
        <f>IFERROR(__xludf.DUMMYFUNCTION("""COMPUTED_VALUE"""),65.2)</f>
        <v>65.2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>
        <f>IFERROR(__xludf.DUMMYFUNCTION("""COMPUTED_VALUE"""),34.0)</f>
        <v>34</v>
      </c>
      <c r="E1325" s="1">
        <f>IFERROR(__xludf.DUMMYFUNCTION("""COMPUTED_VALUE"""),92.0)</f>
        <v>92</v>
      </c>
      <c r="F1325" s="1">
        <f>IFERROR(__xludf.DUMMYFUNCTION("""COMPUTED_VALUE"""),98.0)</f>
        <v>98</v>
      </c>
      <c r="G1325" s="1">
        <f>IFERROR(__xludf.DUMMYFUNCTION("""COMPUTED_VALUE"""),42.0)</f>
        <v>42</v>
      </c>
      <c r="H1325" s="1">
        <f>IFERROR(__xludf.DUMMYFUNCTION("""COMPUTED_VALUE"""),67.0)</f>
        <v>67</v>
      </c>
      <c r="I1325" s="1">
        <f>IFERROR(__xludf.DUMMYFUNCTION("""COMPUTED_VALUE"""),67.0)</f>
        <v>67</v>
      </c>
      <c r="J1325" s="1">
        <f>IFERROR(__xludf.DUMMYFUNCTION("""COMPUTED_VALUE"""),366.0)</f>
        <v>366</v>
      </c>
      <c r="K1325" s="1">
        <f>IFERROR(__xludf.DUMMYFUNCTION("""COMPUTED_VALUE"""),73.2)</f>
        <v>73.2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>
        <f>IFERROR(__xludf.DUMMYFUNCTION("""COMPUTED_VALUE"""),43.0)</f>
        <v>43</v>
      </c>
      <c r="E1326" s="1">
        <f>IFERROR(__xludf.DUMMYFUNCTION("""COMPUTED_VALUE"""),45.0)</f>
        <v>45</v>
      </c>
      <c r="F1326" s="1">
        <f>IFERROR(__xludf.DUMMYFUNCTION("""COMPUTED_VALUE"""),73.0)</f>
        <v>73</v>
      </c>
      <c r="G1326" s="1">
        <f>IFERROR(__xludf.DUMMYFUNCTION("""COMPUTED_VALUE"""),84.0)</f>
        <v>84</v>
      </c>
      <c r="H1326" s="1">
        <f>IFERROR(__xludf.DUMMYFUNCTION("""COMPUTED_VALUE"""),23.0)</f>
        <v>23</v>
      </c>
      <c r="I1326" s="1">
        <f>IFERROR(__xludf.DUMMYFUNCTION("""COMPUTED_VALUE"""),36.0)</f>
        <v>36</v>
      </c>
      <c r="J1326" s="1">
        <f>IFERROR(__xludf.DUMMYFUNCTION("""COMPUTED_VALUE"""),261.0)</f>
        <v>261</v>
      </c>
      <c r="K1326" s="1">
        <f>IFERROR(__xludf.DUMMYFUNCTION("""COMPUTED_VALUE"""),52.2)</f>
        <v>52.2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>
        <f>IFERROR(__xludf.DUMMYFUNCTION("""COMPUTED_VALUE"""),44.0)</f>
        <v>44</v>
      </c>
      <c r="E1327" s="1">
        <f>IFERROR(__xludf.DUMMYFUNCTION("""COMPUTED_VALUE"""),24.0)</f>
        <v>24</v>
      </c>
      <c r="F1327" s="1">
        <f>IFERROR(__xludf.DUMMYFUNCTION("""COMPUTED_VALUE"""),30.0)</f>
        <v>30</v>
      </c>
      <c r="G1327" s="1">
        <f>IFERROR(__xludf.DUMMYFUNCTION("""COMPUTED_VALUE"""),92.0)</f>
        <v>92</v>
      </c>
      <c r="H1327" s="1">
        <f>IFERROR(__xludf.DUMMYFUNCTION("""COMPUTED_VALUE"""),29.0)</f>
        <v>29</v>
      </c>
      <c r="I1327" s="1">
        <f>IFERROR(__xludf.DUMMYFUNCTION("""COMPUTED_VALUE"""),42.0)</f>
        <v>42</v>
      </c>
      <c r="J1327" s="1">
        <f>IFERROR(__xludf.DUMMYFUNCTION("""COMPUTED_VALUE"""),217.0)</f>
        <v>217</v>
      </c>
      <c r="K1327" s="1">
        <f>IFERROR(__xludf.DUMMYFUNCTION("""COMPUTED_VALUE"""),43.4)</f>
        <v>43.4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>
        <f>IFERROR(__xludf.DUMMYFUNCTION("""COMPUTED_VALUE"""),69.0)</f>
        <v>69</v>
      </c>
      <c r="E1328" s="1">
        <f>IFERROR(__xludf.DUMMYFUNCTION("""COMPUTED_VALUE"""),43.0)</f>
        <v>43</v>
      </c>
      <c r="F1328" s="1">
        <f>IFERROR(__xludf.DUMMYFUNCTION("""COMPUTED_VALUE"""),73.0)</f>
        <v>73</v>
      </c>
      <c r="G1328" s="1">
        <f>IFERROR(__xludf.DUMMYFUNCTION("""COMPUTED_VALUE"""),94.0)</f>
        <v>94</v>
      </c>
      <c r="H1328" s="1">
        <f>IFERROR(__xludf.DUMMYFUNCTION("""COMPUTED_VALUE"""),48.0)</f>
        <v>48</v>
      </c>
      <c r="I1328" s="1">
        <f>IFERROR(__xludf.DUMMYFUNCTION("""COMPUTED_VALUE"""),69.0)</f>
        <v>69</v>
      </c>
      <c r="J1328" s="1">
        <f>IFERROR(__xludf.DUMMYFUNCTION("""COMPUTED_VALUE"""),327.0)</f>
        <v>327</v>
      </c>
      <c r="K1328" s="1">
        <f>IFERROR(__xludf.DUMMYFUNCTION("""COMPUTED_VALUE"""),65.4)</f>
        <v>65.4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>
        <f>IFERROR(__xludf.DUMMYFUNCTION("""COMPUTED_VALUE"""),18.0)</f>
        <v>18</v>
      </c>
      <c r="E1329" s="1">
        <f>IFERROR(__xludf.DUMMYFUNCTION("""COMPUTED_VALUE"""),21.0)</f>
        <v>21</v>
      </c>
      <c r="F1329" s="1">
        <f>IFERROR(__xludf.DUMMYFUNCTION("""COMPUTED_VALUE"""),29.0)</f>
        <v>29</v>
      </c>
      <c r="G1329" s="1">
        <f>IFERROR(__xludf.DUMMYFUNCTION("""COMPUTED_VALUE"""),26.0)</f>
        <v>26</v>
      </c>
      <c r="H1329" s="1">
        <f>IFERROR(__xludf.DUMMYFUNCTION("""COMPUTED_VALUE"""),95.0)</f>
        <v>95</v>
      </c>
      <c r="I1329" s="1">
        <f>IFERROR(__xludf.DUMMYFUNCTION("""COMPUTED_VALUE"""),23.0)</f>
        <v>23</v>
      </c>
      <c r="J1329" s="1">
        <f>IFERROR(__xludf.DUMMYFUNCTION("""COMPUTED_VALUE"""),194.0)</f>
        <v>194</v>
      </c>
      <c r="K1329" s="1">
        <f>IFERROR(__xludf.DUMMYFUNCTION("""COMPUTED_VALUE"""),38.800000000000004)</f>
        <v>38.8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>
        <f>IFERROR(__xludf.DUMMYFUNCTION("""COMPUTED_VALUE"""),47.0)</f>
        <v>47</v>
      </c>
      <c r="E1330" s="1">
        <f>IFERROR(__xludf.DUMMYFUNCTION("""COMPUTED_VALUE"""),87.0)</f>
        <v>87</v>
      </c>
      <c r="F1330" s="1">
        <f>IFERROR(__xludf.DUMMYFUNCTION("""COMPUTED_VALUE"""),41.0)</f>
        <v>41</v>
      </c>
      <c r="G1330" s="1">
        <f>IFERROR(__xludf.DUMMYFUNCTION("""COMPUTED_VALUE"""),91.0)</f>
        <v>91</v>
      </c>
      <c r="H1330" s="1">
        <f>IFERROR(__xludf.DUMMYFUNCTION("""COMPUTED_VALUE"""),82.0)</f>
        <v>82</v>
      </c>
      <c r="I1330" s="1">
        <f>IFERROR(__xludf.DUMMYFUNCTION("""COMPUTED_VALUE"""),64.0)</f>
        <v>64</v>
      </c>
      <c r="J1330" s="1">
        <f>IFERROR(__xludf.DUMMYFUNCTION("""COMPUTED_VALUE"""),365.0)</f>
        <v>365</v>
      </c>
      <c r="K1330" s="1">
        <f>IFERROR(__xludf.DUMMYFUNCTION("""COMPUTED_VALUE"""),73.0)</f>
        <v>73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>
        <f>IFERROR(__xludf.DUMMYFUNCTION("""COMPUTED_VALUE"""),80.0)</f>
        <v>80</v>
      </c>
      <c r="E1331" s="1">
        <f>IFERROR(__xludf.DUMMYFUNCTION("""COMPUTED_VALUE"""),90.0)</f>
        <v>90</v>
      </c>
      <c r="F1331" s="1">
        <f>IFERROR(__xludf.DUMMYFUNCTION("""COMPUTED_VALUE"""),38.0)</f>
        <v>38</v>
      </c>
      <c r="G1331" s="1">
        <f>IFERROR(__xludf.DUMMYFUNCTION("""COMPUTED_VALUE"""),92.0)</f>
        <v>92</v>
      </c>
      <c r="H1331" s="1">
        <f>IFERROR(__xludf.DUMMYFUNCTION("""COMPUTED_VALUE"""),25.0)</f>
        <v>25</v>
      </c>
      <c r="I1331" s="1">
        <f>IFERROR(__xludf.DUMMYFUNCTION("""COMPUTED_VALUE"""),71.0)</f>
        <v>71</v>
      </c>
      <c r="J1331" s="1">
        <f>IFERROR(__xludf.DUMMYFUNCTION("""COMPUTED_VALUE"""),316.0)</f>
        <v>316</v>
      </c>
      <c r="K1331" s="1">
        <f>IFERROR(__xludf.DUMMYFUNCTION("""COMPUTED_VALUE"""),63.2)</f>
        <v>63.2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>
        <f>IFERROR(__xludf.DUMMYFUNCTION("""COMPUTED_VALUE"""),94.0)</f>
        <v>94</v>
      </c>
      <c r="E1332" s="1">
        <f>IFERROR(__xludf.DUMMYFUNCTION("""COMPUTED_VALUE"""),84.0)</f>
        <v>84</v>
      </c>
      <c r="F1332" s="1">
        <f>IFERROR(__xludf.DUMMYFUNCTION("""COMPUTED_VALUE"""),74.0)</f>
        <v>74</v>
      </c>
      <c r="G1332" s="1">
        <f>IFERROR(__xludf.DUMMYFUNCTION("""COMPUTED_VALUE"""),58.0)</f>
        <v>58</v>
      </c>
      <c r="H1332" s="1">
        <f>IFERROR(__xludf.DUMMYFUNCTION("""COMPUTED_VALUE"""),73.0)</f>
        <v>73</v>
      </c>
      <c r="I1332" s="1">
        <f>IFERROR(__xludf.DUMMYFUNCTION("""COMPUTED_VALUE"""),91.0)</f>
        <v>91</v>
      </c>
      <c r="J1332" s="1">
        <f>IFERROR(__xludf.DUMMYFUNCTION("""COMPUTED_VALUE"""),380.0)</f>
        <v>380</v>
      </c>
      <c r="K1332" s="1">
        <f>IFERROR(__xludf.DUMMYFUNCTION("""COMPUTED_VALUE"""),76.0)</f>
        <v>76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>
        <f>IFERROR(__xludf.DUMMYFUNCTION("""COMPUTED_VALUE"""),43.0)</f>
        <v>43</v>
      </c>
      <c r="E1333" s="1">
        <f>IFERROR(__xludf.DUMMYFUNCTION("""COMPUTED_VALUE"""),36.0)</f>
        <v>36</v>
      </c>
      <c r="F1333" s="1">
        <f>IFERROR(__xludf.DUMMYFUNCTION("""COMPUTED_VALUE"""),31.0)</f>
        <v>31</v>
      </c>
      <c r="G1333" s="1">
        <f>IFERROR(__xludf.DUMMYFUNCTION("""COMPUTED_VALUE"""),70.0)</f>
        <v>70</v>
      </c>
      <c r="H1333" s="1">
        <f>IFERROR(__xludf.DUMMYFUNCTION("""COMPUTED_VALUE"""),37.0)</f>
        <v>37</v>
      </c>
      <c r="I1333" s="1">
        <f>IFERROR(__xludf.DUMMYFUNCTION("""COMPUTED_VALUE"""),95.0)</f>
        <v>95</v>
      </c>
      <c r="J1333" s="1">
        <f>IFERROR(__xludf.DUMMYFUNCTION("""COMPUTED_VALUE"""),269.0)</f>
        <v>269</v>
      </c>
      <c r="K1333" s="1">
        <f>IFERROR(__xludf.DUMMYFUNCTION("""COMPUTED_VALUE"""),53.800000000000004)</f>
        <v>53.8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>
        <f>IFERROR(__xludf.DUMMYFUNCTION("""COMPUTED_VALUE"""),57.0)</f>
        <v>57</v>
      </c>
      <c r="E1334" s="1">
        <f>IFERROR(__xludf.DUMMYFUNCTION("""COMPUTED_VALUE"""),91.0)</f>
        <v>91</v>
      </c>
      <c r="F1334" s="1">
        <f>IFERROR(__xludf.DUMMYFUNCTION("""COMPUTED_VALUE"""),88.0)</f>
        <v>88</v>
      </c>
      <c r="G1334" s="1">
        <f>IFERROR(__xludf.DUMMYFUNCTION("""COMPUTED_VALUE"""),22.0)</f>
        <v>22</v>
      </c>
      <c r="H1334" s="1">
        <f>IFERROR(__xludf.DUMMYFUNCTION("""COMPUTED_VALUE"""),59.0)</f>
        <v>59</v>
      </c>
      <c r="I1334" s="1">
        <f>IFERROR(__xludf.DUMMYFUNCTION("""COMPUTED_VALUE"""),92.0)</f>
        <v>92</v>
      </c>
      <c r="J1334" s="1">
        <f>IFERROR(__xludf.DUMMYFUNCTION("""COMPUTED_VALUE"""),352.0)</f>
        <v>352</v>
      </c>
      <c r="K1334" s="1">
        <f>IFERROR(__xludf.DUMMYFUNCTION("""COMPUTED_VALUE"""),70.39999999999999)</f>
        <v>70.4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>
        <f>IFERROR(__xludf.DUMMYFUNCTION("""COMPUTED_VALUE"""),44.0)</f>
        <v>44</v>
      </c>
      <c r="E1335" s="1">
        <f>IFERROR(__xludf.DUMMYFUNCTION("""COMPUTED_VALUE"""),38.0)</f>
        <v>38</v>
      </c>
      <c r="F1335" s="1">
        <f>IFERROR(__xludf.DUMMYFUNCTION("""COMPUTED_VALUE"""),57.0)</f>
        <v>57</v>
      </c>
      <c r="G1335" s="1">
        <f>IFERROR(__xludf.DUMMYFUNCTION("""COMPUTED_VALUE"""),56.0)</f>
        <v>56</v>
      </c>
      <c r="H1335" s="1">
        <f>IFERROR(__xludf.DUMMYFUNCTION("""COMPUTED_VALUE"""),26.0)</f>
        <v>26</v>
      </c>
      <c r="I1335" s="1">
        <f>IFERROR(__xludf.DUMMYFUNCTION("""COMPUTED_VALUE"""),79.0)</f>
        <v>79</v>
      </c>
      <c r="J1335" s="1">
        <f>IFERROR(__xludf.DUMMYFUNCTION("""COMPUTED_VALUE"""),256.0)</f>
        <v>256</v>
      </c>
      <c r="K1335" s="1">
        <f>IFERROR(__xludf.DUMMYFUNCTION("""COMPUTED_VALUE"""),51.2)</f>
        <v>51.2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>
        <f>IFERROR(__xludf.DUMMYFUNCTION("""COMPUTED_VALUE"""),56.0)</f>
        <v>56</v>
      </c>
      <c r="E1336" s="1">
        <f>IFERROR(__xludf.DUMMYFUNCTION("""COMPUTED_VALUE"""),47.0)</f>
        <v>47</v>
      </c>
      <c r="F1336" s="1">
        <f>IFERROR(__xludf.DUMMYFUNCTION("""COMPUTED_VALUE"""),92.0)</f>
        <v>92</v>
      </c>
      <c r="G1336" s="1">
        <f>IFERROR(__xludf.DUMMYFUNCTION("""COMPUTED_VALUE"""),59.0)</f>
        <v>59</v>
      </c>
      <c r="H1336" s="1">
        <f>IFERROR(__xludf.DUMMYFUNCTION("""COMPUTED_VALUE"""),40.0)</f>
        <v>40</v>
      </c>
      <c r="I1336" s="1">
        <f>IFERROR(__xludf.DUMMYFUNCTION("""COMPUTED_VALUE"""),45.0)</f>
        <v>45</v>
      </c>
      <c r="J1336" s="1">
        <f>IFERROR(__xludf.DUMMYFUNCTION("""COMPUTED_VALUE"""),283.0)</f>
        <v>283</v>
      </c>
      <c r="K1336" s="1">
        <f>IFERROR(__xludf.DUMMYFUNCTION("""COMPUTED_VALUE"""),56.599999999999994)</f>
        <v>56.6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>
        <f>IFERROR(__xludf.DUMMYFUNCTION("""COMPUTED_VALUE"""),43.0)</f>
        <v>43</v>
      </c>
      <c r="E1337" s="1">
        <f>IFERROR(__xludf.DUMMYFUNCTION("""COMPUTED_VALUE"""),51.0)</f>
        <v>51</v>
      </c>
      <c r="F1337" s="1">
        <f>IFERROR(__xludf.DUMMYFUNCTION("""COMPUTED_VALUE"""),94.0)</f>
        <v>94</v>
      </c>
      <c r="G1337" s="1">
        <f>IFERROR(__xludf.DUMMYFUNCTION("""COMPUTED_VALUE"""),52.0)</f>
        <v>52</v>
      </c>
      <c r="H1337" s="1">
        <f>IFERROR(__xludf.DUMMYFUNCTION("""COMPUTED_VALUE"""),68.0)</f>
        <v>68</v>
      </c>
      <c r="I1337" s="1">
        <f>IFERROR(__xludf.DUMMYFUNCTION("""COMPUTED_VALUE"""),46.0)</f>
        <v>46</v>
      </c>
      <c r="J1337" s="1">
        <f>IFERROR(__xludf.DUMMYFUNCTION("""COMPUTED_VALUE"""),311.0)</f>
        <v>311</v>
      </c>
      <c r="K1337" s="1">
        <f>IFERROR(__xludf.DUMMYFUNCTION("""COMPUTED_VALUE"""),62.2)</f>
        <v>62.2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>
        <f>IFERROR(__xludf.DUMMYFUNCTION("""COMPUTED_VALUE"""),50.0)</f>
        <v>50</v>
      </c>
      <c r="E1338" s="1">
        <f>IFERROR(__xludf.DUMMYFUNCTION("""COMPUTED_VALUE"""),92.0)</f>
        <v>92</v>
      </c>
      <c r="F1338" s="1">
        <f>IFERROR(__xludf.DUMMYFUNCTION("""COMPUTED_VALUE"""),37.0)</f>
        <v>37</v>
      </c>
      <c r="G1338" s="1">
        <f>IFERROR(__xludf.DUMMYFUNCTION("""COMPUTED_VALUE"""),91.0)</f>
        <v>91</v>
      </c>
      <c r="H1338" s="1">
        <f>IFERROR(__xludf.DUMMYFUNCTION("""COMPUTED_VALUE"""),36.0)</f>
        <v>36</v>
      </c>
      <c r="I1338" s="1">
        <f>IFERROR(__xludf.DUMMYFUNCTION("""COMPUTED_VALUE"""),99.0)</f>
        <v>99</v>
      </c>
      <c r="J1338" s="1">
        <f>IFERROR(__xludf.DUMMYFUNCTION("""COMPUTED_VALUE"""),355.0)</f>
        <v>355</v>
      </c>
      <c r="K1338" s="1">
        <f>IFERROR(__xludf.DUMMYFUNCTION("""COMPUTED_VALUE"""),71.0)</f>
        <v>71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>
        <f>IFERROR(__xludf.DUMMYFUNCTION("""COMPUTED_VALUE"""),75.0)</f>
        <v>75</v>
      </c>
      <c r="E1339" s="1">
        <f>IFERROR(__xludf.DUMMYFUNCTION("""COMPUTED_VALUE"""),84.0)</f>
        <v>84</v>
      </c>
      <c r="F1339" s="1">
        <f>IFERROR(__xludf.DUMMYFUNCTION("""COMPUTED_VALUE"""),79.0)</f>
        <v>79</v>
      </c>
      <c r="G1339" s="1">
        <f>IFERROR(__xludf.DUMMYFUNCTION("""COMPUTED_VALUE"""),23.0)</f>
        <v>23</v>
      </c>
      <c r="H1339" s="1">
        <f>IFERROR(__xludf.DUMMYFUNCTION("""COMPUTED_VALUE"""),59.0)</f>
        <v>59</v>
      </c>
      <c r="I1339" s="1">
        <f>IFERROR(__xludf.DUMMYFUNCTION("""COMPUTED_VALUE"""),75.0)</f>
        <v>75</v>
      </c>
      <c r="J1339" s="1">
        <f>IFERROR(__xludf.DUMMYFUNCTION("""COMPUTED_VALUE"""),320.0)</f>
        <v>320</v>
      </c>
      <c r="K1339" s="1">
        <f>IFERROR(__xludf.DUMMYFUNCTION("""COMPUTED_VALUE"""),64.0)</f>
        <v>64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>
        <f>IFERROR(__xludf.DUMMYFUNCTION("""COMPUTED_VALUE"""),36.0)</f>
        <v>36</v>
      </c>
      <c r="E1340" s="1">
        <f>IFERROR(__xludf.DUMMYFUNCTION("""COMPUTED_VALUE"""),49.0)</f>
        <v>49</v>
      </c>
      <c r="F1340" s="1">
        <f>IFERROR(__xludf.DUMMYFUNCTION("""COMPUTED_VALUE"""),41.0)</f>
        <v>41</v>
      </c>
      <c r="G1340" s="1">
        <f>IFERROR(__xludf.DUMMYFUNCTION("""COMPUTED_VALUE"""),68.0)</f>
        <v>68</v>
      </c>
      <c r="H1340" s="1">
        <f>IFERROR(__xludf.DUMMYFUNCTION("""COMPUTED_VALUE"""),23.0)</f>
        <v>23</v>
      </c>
      <c r="I1340" s="1">
        <f>IFERROR(__xludf.DUMMYFUNCTION("""COMPUTED_VALUE"""),94.0)</f>
        <v>94</v>
      </c>
      <c r="J1340" s="1">
        <f>IFERROR(__xludf.DUMMYFUNCTION("""COMPUTED_VALUE"""),275.0)</f>
        <v>275</v>
      </c>
      <c r="K1340" s="1">
        <f>IFERROR(__xludf.DUMMYFUNCTION("""COMPUTED_VALUE"""),55.00000000000001)</f>
        <v>55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>
        <f>IFERROR(__xludf.DUMMYFUNCTION("""COMPUTED_VALUE"""),46.0)</f>
        <v>46</v>
      </c>
      <c r="E1341" s="1">
        <f>IFERROR(__xludf.DUMMYFUNCTION("""COMPUTED_VALUE"""),22.0)</f>
        <v>22</v>
      </c>
      <c r="F1341" s="1">
        <f>IFERROR(__xludf.DUMMYFUNCTION("""COMPUTED_VALUE"""),48.0)</f>
        <v>48</v>
      </c>
      <c r="G1341" s="1">
        <f>IFERROR(__xludf.DUMMYFUNCTION("""COMPUTED_VALUE"""),23.0)</f>
        <v>23</v>
      </c>
      <c r="H1341" s="1">
        <f>IFERROR(__xludf.DUMMYFUNCTION("""COMPUTED_VALUE"""),73.0)</f>
        <v>73</v>
      </c>
      <c r="I1341" s="1">
        <f>IFERROR(__xludf.DUMMYFUNCTION("""COMPUTED_VALUE"""),42.0)</f>
        <v>42</v>
      </c>
      <c r="J1341" s="1">
        <f>IFERROR(__xludf.DUMMYFUNCTION("""COMPUTED_VALUE"""),208.0)</f>
        <v>208</v>
      </c>
      <c r="K1341" s="1">
        <f>IFERROR(__xludf.DUMMYFUNCTION("""COMPUTED_VALUE"""),41.6)</f>
        <v>41.6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>
        <f>IFERROR(__xludf.DUMMYFUNCTION("""COMPUTED_VALUE"""),14.0)</f>
        <v>14</v>
      </c>
      <c r="E1342" s="1">
        <f>IFERROR(__xludf.DUMMYFUNCTION("""COMPUTED_VALUE"""),57.0)</f>
        <v>57</v>
      </c>
      <c r="F1342" s="1">
        <f>IFERROR(__xludf.DUMMYFUNCTION("""COMPUTED_VALUE"""),92.0)</f>
        <v>92</v>
      </c>
      <c r="G1342" s="1">
        <f>IFERROR(__xludf.DUMMYFUNCTION("""COMPUTED_VALUE"""),84.0)</f>
        <v>84</v>
      </c>
      <c r="H1342" s="1">
        <f>IFERROR(__xludf.DUMMYFUNCTION("""COMPUTED_VALUE"""),82.0)</f>
        <v>82</v>
      </c>
      <c r="I1342" s="1">
        <f>IFERROR(__xludf.DUMMYFUNCTION("""COMPUTED_VALUE"""),30.0)</f>
        <v>30</v>
      </c>
      <c r="J1342" s="1">
        <f>IFERROR(__xludf.DUMMYFUNCTION("""COMPUTED_VALUE"""),345.0)</f>
        <v>345</v>
      </c>
      <c r="K1342" s="1">
        <f>IFERROR(__xludf.DUMMYFUNCTION("""COMPUTED_VALUE"""),69.0)</f>
        <v>69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>
        <f>IFERROR(__xludf.DUMMYFUNCTION("""COMPUTED_VALUE"""),76.0)</f>
        <v>76</v>
      </c>
      <c r="E1343" s="1">
        <f>IFERROR(__xludf.DUMMYFUNCTION("""COMPUTED_VALUE"""),86.0)</f>
        <v>86</v>
      </c>
      <c r="F1343" s="1">
        <f>IFERROR(__xludf.DUMMYFUNCTION("""COMPUTED_VALUE"""),64.0)</f>
        <v>64</v>
      </c>
      <c r="G1343" s="1">
        <f>IFERROR(__xludf.DUMMYFUNCTION("""COMPUTED_VALUE"""),71.0)</f>
        <v>71</v>
      </c>
      <c r="H1343" s="1">
        <f>IFERROR(__xludf.DUMMYFUNCTION("""COMPUTED_VALUE"""),48.0)</f>
        <v>48</v>
      </c>
      <c r="I1343" s="1">
        <f>IFERROR(__xludf.DUMMYFUNCTION("""COMPUTED_VALUE"""),45.0)</f>
        <v>45</v>
      </c>
      <c r="J1343" s="1">
        <f>IFERROR(__xludf.DUMMYFUNCTION("""COMPUTED_VALUE"""),314.0)</f>
        <v>314</v>
      </c>
      <c r="K1343" s="1">
        <f>IFERROR(__xludf.DUMMYFUNCTION("""COMPUTED_VALUE"""),62.8)</f>
        <v>62.8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>
        <f>IFERROR(__xludf.DUMMYFUNCTION("""COMPUTED_VALUE"""),98.0)</f>
        <v>98</v>
      </c>
      <c r="E1344" s="1">
        <f>IFERROR(__xludf.DUMMYFUNCTION("""COMPUTED_VALUE"""),66.0)</f>
        <v>66</v>
      </c>
      <c r="F1344" s="1">
        <f>IFERROR(__xludf.DUMMYFUNCTION("""COMPUTED_VALUE"""),45.0)</f>
        <v>45</v>
      </c>
      <c r="G1344" s="1">
        <f>IFERROR(__xludf.DUMMYFUNCTION("""COMPUTED_VALUE"""),45.0)</f>
        <v>45</v>
      </c>
      <c r="H1344" s="1">
        <f>IFERROR(__xludf.DUMMYFUNCTION("""COMPUTED_VALUE"""),41.0)</f>
        <v>41</v>
      </c>
      <c r="I1344" s="1">
        <f>IFERROR(__xludf.DUMMYFUNCTION("""COMPUTED_VALUE"""),45.0)</f>
        <v>45</v>
      </c>
      <c r="J1344" s="1">
        <f>IFERROR(__xludf.DUMMYFUNCTION("""COMPUTED_VALUE"""),242.0)</f>
        <v>242</v>
      </c>
      <c r="K1344" s="1">
        <f>IFERROR(__xludf.DUMMYFUNCTION("""COMPUTED_VALUE"""),48.4)</f>
        <v>48.4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>
        <f>IFERROR(__xludf.DUMMYFUNCTION("""COMPUTED_VALUE"""),23.0)</f>
        <v>23</v>
      </c>
      <c r="E1345" s="1">
        <f>IFERROR(__xludf.DUMMYFUNCTION("""COMPUTED_VALUE"""),31.0)</f>
        <v>31</v>
      </c>
      <c r="F1345" s="1">
        <f>IFERROR(__xludf.DUMMYFUNCTION("""COMPUTED_VALUE"""),77.0)</f>
        <v>77</v>
      </c>
      <c r="G1345" s="1">
        <f>IFERROR(__xludf.DUMMYFUNCTION("""COMPUTED_VALUE"""),81.0)</f>
        <v>81</v>
      </c>
      <c r="H1345" s="1">
        <f>IFERROR(__xludf.DUMMYFUNCTION("""COMPUTED_VALUE"""),95.0)</f>
        <v>95</v>
      </c>
      <c r="I1345" s="1">
        <f>IFERROR(__xludf.DUMMYFUNCTION("""COMPUTED_VALUE"""),97.0)</f>
        <v>97</v>
      </c>
      <c r="J1345" s="1">
        <f>IFERROR(__xludf.DUMMYFUNCTION("""COMPUTED_VALUE"""),381.0)</f>
        <v>381</v>
      </c>
      <c r="K1345" s="1">
        <f>IFERROR(__xludf.DUMMYFUNCTION("""COMPUTED_VALUE"""),76.2)</f>
        <v>76.2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>
        <f>IFERROR(__xludf.DUMMYFUNCTION("""COMPUTED_VALUE"""),29.0)</f>
        <v>29</v>
      </c>
      <c r="E1346" s="1">
        <f>IFERROR(__xludf.DUMMYFUNCTION("""COMPUTED_VALUE"""),60.0)</f>
        <v>60</v>
      </c>
      <c r="F1346" s="1">
        <f>IFERROR(__xludf.DUMMYFUNCTION("""COMPUTED_VALUE"""),87.0)</f>
        <v>87</v>
      </c>
      <c r="G1346" s="1">
        <f>IFERROR(__xludf.DUMMYFUNCTION("""COMPUTED_VALUE"""),82.0)</f>
        <v>82</v>
      </c>
      <c r="H1346" s="1">
        <f>IFERROR(__xludf.DUMMYFUNCTION("""COMPUTED_VALUE"""),90.0)</f>
        <v>90</v>
      </c>
      <c r="I1346" s="1">
        <f>IFERROR(__xludf.DUMMYFUNCTION("""COMPUTED_VALUE"""),94.0)</f>
        <v>94</v>
      </c>
      <c r="J1346" s="1">
        <f>IFERROR(__xludf.DUMMYFUNCTION("""COMPUTED_VALUE"""),413.0)</f>
        <v>413</v>
      </c>
      <c r="K1346" s="1">
        <f>IFERROR(__xludf.DUMMYFUNCTION("""COMPUTED_VALUE"""),82.6)</f>
        <v>82.6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>
        <f>IFERROR(__xludf.DUMMYFUNCTION("""COMPUTED_VALUE"""),93.0)</f>
        <v>93</v>
      </c>
      <c r="E1347" s="1">
        <f>IFERROR(__xludf.DUMMYFUNCTION("""COMPUTED_VALUE"""),65.0)</f>
        <v>65</v>
      </c>
      <c r="F1347" s="1">
        <f>IFERROR(__xludf.DUMMYFUNCTION("""COMPUTED_VALUE"""),81.0)</f>
        <v>81</v>
      </c>
      <c r="G1347" s="1">
        <f>IFERROR(__xludf.DUMMYFUNCTION("""COMPUTED_VALUE"""),91.0)</f>
        <v>91</v>
      </c>
      <c r="H1347" s="1">
        <f>IFERROR(__xludf.DUMMYFUNCTION("""COMPUTED_VALUE"""),28.0)</f>
        <v>28</v>
      </c>
      <c r="I1347" s="1">
        <f>IFERROR(__xludf.DUMMYFUNCTION("""COMPUTED_VALUE"""),62.0)</f>
        <v>62</v>
      </c>
      <c r="J1347" s="1">
        <f>IFERROR(__xludf.DUMMYFUNCTION("""COMPUTED_VALUE"""),327.0)</f>
        <v>327</v>
      </c>
      <c r="K1347" s="1">
        <f>IFERROR(__xludf.DUMMYFUNCTION("""COMPUTED_VALUE"""),65.4)</f>
        <v>65.4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>
        <f>IFERROR(__xludf.DUMMYFUNCTION("""COMPUTED_VALUE"""),31.0)</f>
        <v>31</v>
      </c>
      <c r="E1348" s="1">
        <f>IFERROR(__xludf.DUMMYFUNCTION("""COMPUTED_VALUE"""),46.0)</f>
        <v>46</v>
      </c>
      <c r="F1348" s="1">
        <f>IFERROR(__xludf.DUMMYFUNCTION("""COMPUTED_VALUE"""),39.0)</f>
        <v>39</v>
      </c>
      <c r="G1348" s="1">
        <f>IFERROR(__xludf.DUMMYFUNCTION("""COMPUTED_VALUE"""),75.0)</f>
        <v>75</v>
      </c>
      <c r="H1348" s="1">
        <f>IFERROR(__xludf.DUMMYFUNCTION("""COMPUTED_VALUE"""),66.0)</f>
        <v>66</v>
      </c>
      <c r="I1348" s="1">
        <f>IFERROR(__xludf.DUMMYFUNCTION("""COMPUTED_VALUE"""),46.0)</f>
        <v>46</v>
      </c>
      <c r="J1348" s="1">
        <f>IFERROR(__xludf.DUMMYFUNCTION("""COMPUTED_VALUE"""),272.0)</f>
        <v>272</v>
      </c>
      <c r="K1348" s="1">
        <f>IFERROR(__xludf.DUMMYFUNCTION("""COMPUTED_VALUE"""),54.400000000000006)</f>
        <v>54.4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>
        <f>IFERROR(__xludf.DUMMYFUNCTION("""COMPUTED_VALUE"""),66.0)</f>
        <v>66</v>
      </c>
      <c r="E1349" s="1">
        <f>IFERROR(__xludf.DUMMYFUNCTION("""COMPUTED_VALUE"""),54.0)</f>
        <v>54</v>
      </c>
      <c r="F1349" s="1">
        <f>IFERROR(__xludf.DUMMYFUNCTION("""COMPUTED_VALUE"""),47.0)</f>
        <v>47</v>
      </c>
      <c r="G1349" s="1">
        <f>IFERROR(__xludf.DUMMYFUNCTION("""COMPUTED_VALUE"""),48.0)</f>
        <v>48</v>
      </c>
      <c r="H1349" s="1">
        <f>IFERROR(__xludf.DUMMYFUNCTION("""COMPUTED_VALUE"""),37.0)</f>
        <v>37</v>
      </c>
      <c r="I1349" s="1">
        <f>IFERROR(__xludf.DUMMYFUNCTION("""COMPUTED_VALUE"""),24.0)</f>
        <v>24</v>
      </c>
      <c r="J1349" s="1">
        <f>IFERROR(__xludf.DUMMYFUNCTION("""COMPUTED_VALUE"""),210.0)</f>
        <v>210</v>
      </c>
      <c r="K1349" s="1">
        <f>IFERROR(__xludf.DUMMYFUNCTION("""COMPUTED_VALUE"""),42.0)</f>
        <v>42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>
        <f>IFERROR(__xludf.DUMMYFUNCTION("""COMPUTED_VALUE"""),68.0)</f>
        <v>68</v>
      </c>
      <c r="E1350" s="1">
        <f>IFERROR(__xludf.DUMMYFUNCTION("""COMPUTED_VALUE"""),25.0)</f>
        <v>25</v>
      </c>
      <c r="F1350" s="1">
        <f>IFERROR(__xludf.DUMMYFUNCTION("""COMPUTED_VALUE"""),76.0)</f>
        <v>76</v>
      </c>
      <c r="G1350" s="1">
        <f>IFERROR(__xludf.DUMMYFUNCTION("""COMPUTED_VALUE"""),62.0)</f>
        <v>62</v>
      </c>
      <c r="H1350" s="1">
        <f>IFERROR(__xludf.DUMMYFUNCTION("""COMPUTED_VALUE"""),45.0)</f>
        <v>45</v>
      </c>
      <c r="I1350" s="1">
        <f>IFERROR(__xludf.DUMMYFUNCTION("""COMPUTED_VALUE"""),94.0)</f>
        <v>94</v>
      </c>
      <c r="J1350" s="1">
        <f>IFERROR(__xludf.DUMMYFUNCTION("""COMPUTED_VALUE"""),302.0)</f>
        <v>302</v>
      </c>
      <c r="K1350" s="1">
        <f>IFERROR(__xludf.DUMMYFUNCTION("""COMPUTED_VALUE"""),60.4)</f>
        <v>60.4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>
        <f>IFERROR(__xludf.DUMMYFUNCTION("""COMPUTED_VALUE"""),91.0)</f>
        <v>91</v>
      </c>
      <c r="E1351" s="1">
        <f>IFERROR(__xludf.DUMMYFUNCTION("""COMPUTED_VALUE"""),89.0)</f>
        <v>89</v>
      </c>
      <c r="F1351" s="1">
        <f>IFERROR(__xludf.DUMMYFUNCTION("""COMPUTED_VALUE"""),99.0)</f>
        <v>99</v>
      </c>
      <c r="G1351" s="1">
        <f>IFERROR(__xludf.DUMMYFUNCTION("""COMPUTED_VALUE"""),81.0)</f>
        <v>81</v>
      </c>
      <c r="H1351" s="1">
        <f>IFERROR(__xludf.DUMMYFUNCTION("""COMPUTED_VALUE"""),74.0)</f>
        <v>74</v>
      </c>
      <c r="I1351" s="1">
        <f>IFERROR(__xludf.DUMMYFUNCTION("""COMPUTED_VALUE"""),24.0)</f>
        <v>24</v>
      </c>
      <c r="J1351" s="1">
        <f>IFERROR(__xludf.DUMMYFUNCTION("""COMPUTED_VALUE"""),367.0)</f>
        <v>367</v>
      </c>
      <c r="K1351" s="1">
        <f>IFERROR(__xludf.DUMMYFUNCTION("""COMPUTED_VALUE"""),73.4)</f>
        <v>73.4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>
        <f>IFERROR(__xludf.DUMMYFUNCTION("""COMPUTED_VALUE"""),49.0)</f>
        <v>49</v>
      </c>
      <c r="E1352" s="1">
        <f>IFERROR(__xludf.DUMMYFUNCTION("""COMPUTED_VALUE"""),28.0)</f>
        <v>28</v>
      </c>
      <c r="F1352" s="1">
        <f>IFERROR(__xludf.DUMMYFUNCTION("""COMPUTED_VALUE"""),93.0)</f>
        <v>93</v>
      </c>
      <c r="G1352" s="1">
        <f>IFERROR(__xludf.DUMMYFUNCTION("""COMPUTED_VALUE"""),92.0)</f>
        <v>92</v>
      </c>
      <c r="H1352" s="1">
        <f>IFERROR(__xludf.DUMMYFUNCTION("""COMPUTED_VALUE"""),58.0)</f>
        <v>58</v>
      </c>
      <c r="I1352" s="1">
        <f>IFERROR(__xludf.DUMMYFUNCTION("""COMPUTED_VALUE"""),27.0)</f>
        <v>27</v>
      </c>
      <c r="J1352" s="1">
        <f>IFERROR(__xludf.DUMMYFUNCTION("""COMPUTED_VALUE"""),298.0)</f>
        <v>298</v>
      </c>
      <c r="K1352" s="1">
        <f>IFERROR(__xludf.DUMMYFUNCTION("""COMPUTED_VALUE"""),59.599999999999994)</f>
        <v>59.6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>
        <f>IFERROR(__xludf.DUMMYFUNCTION("""COMPUTED_VALUE"""),70.0)</f>
        <v>70</v>
      </c>
      <c r="E1353" s="1">
        <f>IFERROR(__xludf.DUMMYFUNCTION("""COMPUTED_VALUE"""),66.0)</f>
        <v>66</v>
      </c>
      <c r="F1353" s="1">
        <f>IFERROR(__xludf.DUMMYFUNCTION("""COMPUTED_VALUE"""),44.0)</f>
        <v>44</v>
      </c>
      <c r="G1353" s="1">
        <f>IFERROR(__xludf.DUMMYFUNCTION("""COMPUTED_VALUE"""),62.0)</f>
        <v>62</v>
      </c>
      <c r="H1353" s="1">
        <f>IFERROR(__xludf.DUMMYFUNCTION("""COMPUTED_VALUE"""),75.0)</f>
        <v>75</v>
      </c>
      <c r="I1353" s="1">
        <f>IFERROR(__xludf.DUMMYFUNCTION("""COMPUTED_VALUE"""),74.0)</f>
        <v>74</v>
      </c>
      <c r="J1353" s="1">
        <f>IFERROR(__xludf.DUMMYFUNCTION("""COMPUTED_VALUE"""),321.0)</f>
        <v>321</v>
      </c>
      <c r="K1353" s="1">
        <f>IFERROR(__xludf.DUMMYFUNCTION("""COMPUTED_VALUE"""),64.2)</f>
        <v>64.2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>
        <f>IFERROR(__xludf.DUMMYFUNCTION("""COMPUTED_VALUE"""),34.0)</f>
        <v>34</v>
      </c>
      <c r="E1354" s="1">
        <f>IFERROR(__xludf.DUMMYFUNCTION("""COMPUTED_VALUE"""),82.0)</f>
        <v>82</v>
      </c>
      <c r="F1354" s="1">
        <f>IFERROR(__xludf.DUMMYFUNCTION("""COMPUTED_VALUE"""),37.0)</f>
        <v>37</v>
      </c>
      <c r="G1354" s="1">
        <f>IFERROR(__xludf.DUMMYFUNCTION("""COMPUTED_VALUE"""),99.0)</f>
        <v>99</v>
      </c>
      <c r="H1354" s="1">
        <f>IFERROR(__xludf.DUMMYFUNCTION("""COMPUTED_VALUE"""),88.0)</f>
        <v>88</v>
      </c>
      <c r="I1354" s="1">
        <f>IFERROR(__xludf.DUMMYFUNCTION("""COMPUTED_VALUE"""),43.0)</f>
        <v>43</v>
      </c>
      <c r="J1354" s="1">
        <f>IFERROR(__xludf.DUMMYFUNCTION("""COMPUTED_VALUE"""),349.0)</f>
        <v>349</v>
      </c>
      <c r="K1354" s="1">
        <f>IFERROR(__xludf.DUMMYFUNCTION("""COMPUTED_VALUE"""),69.8)</f>
        <v>69.8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>
        <f>IFERROR(__xludf.DUMMYFUNCTION("""COMPUTED_VALUE"""),31.0)</f>
        <v>31</v>
      </c>
      <c r="E1355" s="1">
        <f>IFERROR(__xludf.DUMMYFUNCTION("""COMPUTED_VALUE"""),96.0)</f>
        <v>96</v>
      </c>
      <c r="F1355" s="1">
        <f>IFERROR(__xludf.DUMMYFUNCTION("""COMPUTED_VALUE"""),89.0)</f>
        <v>89</v>
      </c>
      <c r="G1355" s="1">
        <f>IFERROR(__xludf.DUMMYFUNCTION("""COMPUTED_VALUE"""),72.0)</f>
        <v>72</v>
      </c>
      <c r="H1355" s="1">
        <f>IFERROR(__xludf.DUMMYFUNCTION("""COMPUTED_VALUE"""),32.0)</f>
        <v>32</v>
      </c>
      <c r="I1355" s="1">
        <f>IFERROR(__xludf.DUMMYFUNCTION("""COMPUTED_VALUE"""),95.0)</f>
        <v>95</v>
      </c>
      <c r="J1355" s="1">
        <f>IFERROR(__xludf.DUMMYFUNCTION("""COMPUTED_VALUE"""),384.0)</f>
        <v>384</v>
      </c>
      <c r="K1355" s="1">
        <f>IFERROR(__xludf.DUMMYFUNCTION("""COMPUTED_VALUE"""),76.8)</f>
        <v>76.8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>
        <f>IFERROR(__xludf.DUMMYFUNCTION("""COMPUTED_VALUE"""),94.0)</f>
        <v>94</v>
      </c>
      <c r="E1356" s="1">
        <f>IFERROR(__xludf.DUMMYFUNCTION("""COMPUTED_VALUE"""),60.0)</f>
        <v>60</v>
      </c>
      <c r="F1356" s="1">
        <f>IFERROR(__xludf.DUMMYFUNCTION("""COMPUTED_VALUE"""),33.0)</f>
        <v>33</v>
      </c>
      <c r="G1356" s="1">
        <f>IFERROR(__xludf.DUMMYFUNCTION("""COMPUTED_VALUE"""),24.0)</f>
        <v>24</v>
      </c>
      <c r="H1356" s="1">
        <f>IFERROR(__xludf.DUMMYFUNCTION("""COMPUTED_VALUE"""),92.0)</f>
        <v>92</v>
      </c>
      <c r="I1356" s="1">
        <f>IFERROR(__xludf.DUMMYFUNCTION("""COMPUTED_VALUE"""),31.0)</f>
        <v>31</v>
      </c>
      <c r="J1356" s="1">
        <f>IFERROR(__xludf.DUMMYFUNCTION("""COMPUTED_VALUE"""),240.0)</f>
        <v>240</v>
      </c>
      <c r="K1356" s="1">
        <f>IFERROR(__xludf.DUMMYFUNCTION("""COMPUTED_VALUE"""),48.0)</f>
        <v>48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>
        <f>IFERROR(__xludf.DUMMYFUNCTION("""COMPUTED_VALUE"""),35.0)</f>
        <v>35</v>
      </c>
      <c r="E1357" s="1">
        <f>IFERROR(__xludf.DUMMYFUNCTION("""COMPUTED_VALUE"""),83.0)</f>
        <v>83</v>
      </c>
      <c r="F1357" s="1">
        <f>IFERROR(__xludf.DUMMYFUNCTION("""COMPUTED_VALUE"""),65.0)</f>
        <v>65</v>
      </c>
      <c r="G1357" s="1">
        <f>IFERROR(__xludf.DUMMYFUNCTION("""COMPUTED_VALUE"""),82.0)</f>
        <v>82</v>
      </c>
      <c r="H1357" s="1">
        <f>IFERROR(__xludf.DUMMYFUNCTION("""COMPUTED_VALUE"""),34.0)</f>
        <v>34</v>
      </c>
      <c r="I1357" s="1">
        <f>IFERROR(__xludf.DUMMYFUNCTION("""COMPUTED_VALUE"""),36.0)</f>
        <v>36</v>
      </c>
      <c r="J1357" s="1">
        <f>IFERROR(__xludf.DUMMYFUNCTION("""COMPUTED_VALUE"""),300.0)</f>
        <v>300</v>
      </c>
      <c r="K1357" s="1">
        <f>IFERROR(__xludf.DUMMYFUNCTION("""COMPUTED_VALUE"""),60.0)</f>
        <v>60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>
        <f>IFERROR(__xludf.DUMMYFUNCTION("""COMPUTED_VALUE"""),16.0)</f>
        <v>16</v>
      </c>
      <c r="E1358" s="1">
        <f>IFERROR(__xludf.DUMMYFUNCTION("""COMPUTED_VALUE"""),84.0)</f>
        <v>84</v>
      </c>
      <c r="F1358" s="1">
        <f>IFERROR(__xludf.DUMMYFUNCTION("""COMPUTED_VALUE"""),25.0)</f>
        <v>25</v>
      </c>
      <c r="G1358" s="1">
        <f>IFERROR(__xludf.DUMMYFUNCTION("""COMPUTED_VALUE"""),84.0)</f>
        <v>84</v>
      </c>
      <c r="H1358" s="1">
        <f>IFERROR(__xludf.DUMMYFUNCTION("""COMPUTED_VALUE"""),66.0)</f>
        <v>66</v>
      </c>
      <c r="I1358" s="1">
        <f>IFERROR(__xludf.DUMMYFUNCTION("""COMPUTED_VALUE"""),99.0)</f>
        <v>99</v>
      </c>
      <c r="J1358" s="1">
        <f>IFERROR(__xludf.DUMMYFUNCTION("""COMPUTED_VALUE"""),358.0)</f>
        <v>358</v>
      </c>
      <c r="K1358" s="1">
        <f>IFERROR(__xludf.DUMMYFUNCTION("""COMPUTED_VALUE"""),71.6)</f>
        <v>71.6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>
        <f>IFERROR(__xludf.DUMMYFUNCTION("""COMPUTED_VALUE"""),51.0)</f>
        <v>51</v>
      </c>
      <c r="E1359" s="1">
        <f>IFERROR(__xludf.DUMMYFUNCTION("""COMPUTED_VALUE"""),35.0)</f>
        <v>35</v>
      </c>
      <c r="F1359" s="1">
        <f>IFERROR(__xludf.DUMMYFUNCTION("""COMPUTED_VALUE"""),99.0)</f>
        <v>99</v>
      </c>
      <c r="G1359" s="1">
        <f>IFERROR(__xludf.DUMMYFUNCTION("""COMPUTED_VALUE"""),71.0)</f>
        <v>71</v>
      </c>
      <c r="H1359" s="1">
        <f>IFERROR(__xludf.DUMMYFUNCTION("""COMPUTED_VALUE"""),35.0)</f>
        <v>35</v>
      </c>
      <c r="I1359" s="1">
        <f>IFERROR(__xludf.DUMMYFUNCTION("""COMPUTED_VALUE"""),23.0)</f>
        <v>23</v>
      </c>
      <c r="J1359" s="1">
        <f>IFERROR(__xludf.DUMMYFUNCTION("""COMPUTED_VALUE"""),263.0)</f>
        <v>263</v>
      </c>
      <c r="K1359" s="1">
        <f>IFERROR(__xludf.DUMMYFUNCTION("""COMPUTED_VALUE"""),52.6)</f>
        <v>52.6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>
        <f>IFERROR(__xludf.DUMMYFUNCTION("""COMPUTED_VALUE"""),14.0)</f>
        <v>14</v>
      </c>
      <c r="E1360" s="1">
        <f>IFERROR(__xludf.DUMMYFUNCTION("""COMPUTED_VALUE"""),95.0)</f>
        <v>95</v>
      </c>
      <c r="F1360" s="1">
        <f>IFERROR(__xludf.DUMMYFUNCTION("""COMPUTED_VALUE"""),94.0)</f>
        <v>94</v>
      </c>
      <c r="G1360" s="1">
        <f>IFERROR(__xludf.DUMMYFUNCTION("""COMPUTED_VALUE"""),35.0)</f>
        <v>35</v>
      </c>
      <c r="H1360" s="1">
        <f>IFERROR(__xludf.DUMMYFUNCTION("""COMPUTED_VALUE"""),82.0)</f>
        <v>82</v>
      </c>
      <c r="I1360" s="1">
        <f>IFERROR(__xludf.DUMMYFUNCTION("""COMPUTED_VALUE"""),93.0)</f>
        <v>93</v>
      </c>
      <c r="J1360" s="1">
        <f>IFERROR(__xludf.DUMMYFUNCTION("""COMPUTED_VALUE"""),399.0)</f>
        <v>399</v>
      </c>
      <c r="K1360" s="1">
        <f>IFERROR(__xludf.DUMMYFUNCTION("""COMPUTED_VALUE"""),79.80000000000001)</f>
        <v>79.8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>
        <f>IFERROR(__xludf.DUMMYFUNCTION("""COMPUTED_VALUE"""),85.0)</f>
        <v>85</v>
      </c>
      <c r="E1361" s="1">
        <f>IFERROR(__xludf.DUMMYFUNCTION("""COMPUTED_VALUE"""),62.0)</f>
        <v>62</v>
      </c>
      <c r="F1361" s="1">
        <f>IFERROR(__xludf.DUMMYFUNCTION("""COMPUTED_VALUE"""),38.0)</f>
        <v>38</v>
      </c>
      <c r="G1361" s="1">
        <f>IFERROR(__xludf.DUMMYFUNCTION("""COMPUTED_VALUE"""),60.0)</f>
        <v>60</v>
      </c>
      <c r="H1361" s="1">
        <f>IFERROR(__xludf.DUMMYFUNCTION("""COMPUTED_VALUE"""),22.0)</f>
        <v>22</v>
      </c>
      <c r="I1361" s="1">
        <f>IFERROR(__xludf.DUMMYFUNCTION("""COMPUTED_VALUE"""),46.0)</f>
        <v>46</v>
      </c>
      <c r="J1361" s="1">
        <f>IFERROR(__xludf.DUMMYFUNCTION("""COMPUTED_VALUE"""),228.0)</f>
        <v>228</v>
      </c>
      <c r="K1361" s="1">
        <f>IFERROR(__xludf.DUMMYFUNCTION("""COMPUTED_VALUE"""),45.6)</f>
        <v>45.6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>
        <f>IFERROR(__xludf.DUMMYFUNCTION("""COMPUTED_VALUE"""),55.0)</f>
        <v>55</v>
      </c>
      <c r="E1362" s="1">
        <f>IFERROR(__xludf.DUMMYFUNCTION("""COMPUTED_VALUE"""),21.0)</f>
        <v>21</v>
      </c>
      <c r="F1362" s="1">
        <f>IFERROR(__xludf.DUMMYFUNCTION("""COMPUTED_VALUE"""),64.0)</f>
        <v>64</v>
      </c>
      <c r="G1362" s="1">
        <f>IFERROR(__xludf.DUMMYFUNCTION("""COMPUTED_VALUE"""),40.0)</f>
        <v>40</v>
      </c>
      <c r="H1362" s="1">
        <f>IFERROR(__xludf.DUMMYFUNCTION("""COMPUTED_VALUE"""),83.0)</f>
        <v>83</v>
      </c>
      <c r="I1362" s="1">
        <f>IFERROR(__xludf.DUMMYFUNCTION("""COMPUTED_VALUE"""),79.0)</f>
        <v>79</v>
      </c>
      <c r="J1362" s="1">
        <f>IFERROR(__xludf.DUMMYFUNCTION("""COMPUTED_VALUE"""),287.0)</f>
        <v>287</v>
      </c>
      <c r="K1362" s="1">
        <f>IFERROR(__xludf.DUMMYFUNCTION("""COMPUTED_VALUE"""),57.4)</f>
        <v>57.4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>
        <f>IFERROR(__xludf.DUMMYFUNCTION("""COMPUTED_VALUE"""),49.0)</f>
        <v>49</v>
      </c>
      <c r="E1363" s="1">
        <f>IFERROR(__xludf.DUMMYFUNCTION("""COMPUTED_VALUE"""),37.0)</f>
        <v>37</v>
      </c>
      <c r="F1363" s="1">
        <f>IFERROR(__xludf.DUMMYFUNCTION("""COMPUTED_VALUE"""),30.0)</f>
        <v>30</v>
      </c>
      <c r="G1363" s="1">
        <f>IFERROR(__xludf.DUMMYFUNCTION("""COMPUTED_VALUE"""),35.0)</f>
        <v>35</v>
      </c>
      <c r="H1363" s="1">
        <f>IFERROR(__xludf.DUMMYFUNCTION("""COMPUTED_VALUE"""),56.0)</f>
        <v>56</v>
      </c>
      <c r="I1363" s="1">
        <f>IFERROR(__xludf.DUMMYFUNCTION("""COMPUTED_VALUE"""),43.0)</f>
        <v>43</v>
      </c>
      <c r="J1363" s="1">
        <f>IFERROR(__xludf.DUMMYFUNCTION("""COMPUTED_VALUE"""),201.0)</f>
        <v>201</v>
      </c>
      <c r="K1363" s="1">
        <f>IFERROR(__xludf.DUMMYFUNCTION("""COMPUTED_VALUE"""),40.2)</f>
        <v>40.2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>
        <f>IFERROR(__xludf.DUMMYFUNCTION("""COMPUTED_VALUE"""),69.0)</f>
        <v>69</v>
      </c>
      <c r="E1364" s="1">
        <f>IFERROR(__xludf.DUMMYFUNCTION("""COMPUTED_VALUE"""),68.0)</f>
        <v>68</v>
      </c>
      <c r="F1364" s="1">
        <f>IFERROR(__xludf.DUMMYFUNCTION("""COMPUTED_VALUE"""),55.0)</f>
        <v>55</v>
      </c>
      <c r="G1364" s="1">
        <f>IFERROR(__xludf.DUMMYFUNCTION("""COMPUTED_VALUE"""),82.0)</f>
        <v>82</v>
      </c>
      <c r="H1364" s="1">
        <f>IFERROR(__xludf.DUMMYFUNCTION("""COMPUTED_VALUE"""),35.0)</f>
        <v>35</v>
      </c>
      <c r="I1364" s="1">
        <f>IFERROR(__xludf.DUMMYFUNCTION("""COMPUTED_VALUE"""),61.0)</f>
        <v>61</v>
      </c>
      <c r="J1364" s="1">
        <f>IFERROR(__xludf.DUMMYFUNCTION("""COMPUTED_VALUE"""),301.0)</f>
        <v>301</v>
      </c>
      <c r="K1364" s="1">
        <f>IFERROR(__xludf.DUMMYFUNCTION("""COMPUTED_VALUE"""),60.199999999999996)</f>
        <v>60.2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>
        <f>IFERROR(__xludf.DUMMYFUNCTION("""COMPUTED_VALUE"""),85.0)</f>
        <v>85</v>
      </c>
      <c r="E1365" s="1">
        <f>IFERROR(__xludf.DUMMYFUNCTION("""COMPUTED_VALUE"""),85.0)</f>
        <v>85</v>
      </c>
      <c r="F1365" s="1">
        <f>IFERROR(__xludf.DUMMYFUNCTION("""COMPUTED_VALUE"""),78.0)</f>
        <v>78</v>
      </c>
      <c r="G1365" s="1">
        <f>IFERROR(__xludf.DUMMYFUNCTION("""COMPUTED_VALUE"""),43.0)</f>
        <v>43</v>
      </c>
      <c r="H1365" s="1">
        <f>IFERROR(__xludf.DUMMYFUNCTION("""COMPUTED_VALUE"""),79.0)</f>
        <v>79</v>
      </c>
      <c r="I1365" s="1">
        <f>IFERROR(__xludf.DUMMYFUNCTION("""COMPUTED_VALUE"""),40.0)</f>
        <v>40</v>
      </c>
      <c r="J1365" s="1">
        <f>IFERROR(__xludf.DUMMYFUNCTION("""COMPUTED_VALUE"""),325.0)</f>
        <v>325</v>
      </c>
      <c r="K1365" s="1">
        <f>IFERROR(__xludf.DUMMYFUNCTION("""COMPUTED_VALUE"""),65.0)</f>
        <v>65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>
        <f>IFERROR(__xludf.DUMMYFUNCTION("""COMPUTED_VALUE"""),73.0)</f>
        <v>73</v>
      </c>
      <c r="E1366" s="1">
        <f>IFERROR(__xludf.DUMMYFUNCTION("""COMPUTED_VALUE"""),32.0)</f>
        <v>32</v>
      </c>
      <c r="F1366" s="1">
        <f>IFERROR(__xludf.DUMMYFUNCTION("""COMPUTED_VALUE"""),27.0)</f>
        <v>27</v>
      </c>
      <c r="G1366" s="1">
        <f>IFERROR(__xludf.DUMMYFUNCTION("""COMPUTED_VALUE"""),73.0)</f>
        <v>73</v>
      </c>
      <c r="H1366" s="1">
        <f>IFERROR(__xludf.DUMMYFUNCTION("""COMPUTED_VALUE"""),45.0)</f>
        <v>45</v>
      </c>
      <c r="I1366" s="1">
        <f>IFERROR(__xludf.DUMMYFUNCTION("""COMPUTED_VALUE"""),75.0)</f>
        <v>75</v>
      </c>
      <c r="J1366" s="1">
        <f>IFERROR(__xludf.DUMMYFUNCTION("""COMPUTED_VALUE"""),252.0)</f>
        <v>252</v>
      </c>
      <c r="K1366" s="1">
        <f>IFERROR(__xludf.DUMMYFUNCTION("""COMPUTED_VALUE"""),50.4)</f>
        <v>50.4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>
        <f>IFERROR(__xludf.DUMMYFUNCTION("""COMPUTED_VALUE"""),83.0)</f>
        <v>83</v>
      </c>
      <c r="E1367" s="1">
        <f>IFERROR(__xludf.DUMMYFUNCTION("""COMPUTED_VALUE"""),56.0)</f>
        <v>56</v>
      </c>
      <c r="F1367" s="1">
        <f>IFERROR(__xludf.DUMMYFUNCTION("""COMPUTED_VALUE"""),59.0)</f>
        <v>59</v>
      </c>
      <c r="G1367" s="1">
        <f>IFERROR(__xludf.DUMMYFUNCTION("""COMPUTED_VALUE"""),93.0)</f>
        <v>93</v>
      </c>
      <c r="H1367" s="1">
        <f>IFERROR(__xludf.DUMMYFUNCTION("""COMPUTED_VALUE"""),26.0)</f>
        <v>26</v>
      </c>
      <c r="I1367" s="1">
        <f>IFERROR(__xludf.DUMMYFUNCTION("""COMPUTED_VALUE"""),81.0)</f>
        <v>81</v>
      </c>
      <c r="J1367" s="1">
        <f>IFERROR(__xludf.DUMMYFUNCTION("""COMPUTED_VALUE"""),315.0)</f>
        <v>315</v>
      </c>
      <c r="K1367" s="1">
        <f>IFERROR(__xludf.DUMMYFUNCTION("""COMPUTED_VALUE"""),63.0)</f>
        <v>63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>
        <f>IFERROR(__xludf.DUMMYFUNCTION("""COMPUTED_VALUE"""),22.0)</f>
        <v>22</v>
      </c>
      <c r="E1368" s="1">
        <f>IFERROR(__xludf.DUMMYFUNCTION("""COMPUTED_VALUE"""),40.0)</f>
        <v>40</v>
      </c>
      <c r="F1368" s="1">
        <f>IFERROR(__xludf.DUMMYFUNCTION("""COMPUTED_VALUE"""),62.0)</f>
        <v>62</v>
      </c>
      <c r="G1368" s="1">
        <f>IFERROR(__xludf.DUMMYFUNCTION("""COMPUTED_VALUE"""),22.0)</f>
        <v>22</v>
      </c>
      <c r="H1368" s="1">
        <f>IFERROR(__xludf.DUMMYFUNCTION("""COMPUTED_VALUE"""),36.0)</f>
        <v>36</v>
      </c>
      <c r="I1368" s="1">
        <f>IFERROR(__xludf.DUMMYFUNCTION("""COMPUTED_VALUE"""),22.0)</f>
        <v>22</v>
      </c>
      <c r="J1368" s="1">
        <f>IFERROR(__xludf.DUMMYFUNCTION("""COMPUTED_VALUE"""),182.0)</f>
        <v>182</v>
      </c>
      <c r="K1368" s="1">
        <f>IFERROR(__xludf.DUMMYFUNCTION("""COMPUTED_VALUE"""),36.4)</f>
        <v>36.4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>
        <f>IFERROR(__xludf.DUMMYFUNCTION("""COMPUTED_VALUE"""),71.0)</f>
        <v>71</v>
      </c>
      <c r="E1369" s="1">
        <f>IFERROR(__xludf.DUMMYFUNCTION("""COMPUTED_VALUE"""),50.0)</f>
        <v>50</v>
      </c>
      <c r="F1369" s="1">
        <f>IFERROR(__xludf.DUMMYFUNCTION("""COMPUTED_VALUE"""),23.0)</f>
        <v>23</v>
      </c>
      <c r="G1369" s="1">
        <f>IFERROR(__xludf.DUMMYFUNCTION("""COMPUTED_VALUE"""),90.0)</f>
        <v>90</v>
      </c>
      <c r="H1369" s="1">
        <f>IFERROR(__xludf.DUMMYFUNCTION("""COMPUTED_VALUE"""),88.0)</f>
        <v>88</v>
      </c>
      <c r="I1369" s="1">
        <f>IFERROR(__xludf.DUMMYFUNCTION("""COMPUTED_VALUE"""),61.0)</f>
        <v>61</v>
      </c>
      <c r="J1369" s="1">
        <f>IFERROR(__xludf.DUMMYFUNCTION("""COMPUTED_VALUE"""),312.0)</f>
        <v>312</v>
      </c>
      <c r="K1369" s="1">
        <f>IFERROR(__xludf.DUMMYFUNCTION("""COMPUTED_VALUE"""),62.4)</f>
        <v>62.4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>
        <f>IFERROR(__xludf.DUMMYFUNCTION("""COMPUTED_VALUE"""),79.0)</f>
        <v>79</v>
      </c>
      <c r="E1370" s="1">
        <f>IFERROR(__xludf.DUMMYFUNCTION("""COMPUTED_VALUE"""),31.0)</f>
        <v>31</v>
      </c>
      <c r="F1370" s="1">
        <f>IFERROR(__xludf.DUMMYFUNCTION("""COMPUTED_VALUE"""),83.0)</f>
        <v>83</v>
      </c>
      <c r="G1370" s="1">
        <f>IFERROR(__xludf.DUMMYFUNCTION("""COMPUTED_VALUE"""),51.0)</f>
        <v>51</v>
      </c>
      <c r="H1370" s="1">
        <f>IFERROR(__xludf.DUMMYFUNCTION("""COMPUTED_VALUE"""),43.0)</f>
        <v>43</v>
      </c>
      <c r="I1370" s="1">
        <f>IFERROR(__xludf.DUMMYFUNCTION("""COMPUTED_VALUE"""),76.0)</f>
        <v>76</v>
      </c>
      <c r="J1370" s="1">
        <f>IFERROR(__xludf.DUMMYFUNCTION("""COMPUTED_VALUE"""),284.0)</f>
        <v>284</v>
      </c>
      <c r="K1370" s="1">
        <f>IFERROR(__xludf.DUMMYFUNCTION("""COMPUTED_VALUE"""),56.8)</f>
        <v>56.8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>
        <f>IFERROR(__xludf.DUMMYFUNCTION("""COMPUTED_VALUE"""),67.0)</f>
        <v>67</v>
      </c>
      <c r="E1371" s="1">
        <f>IFERROR(__xludf.DUMMYFUNCTION("""COMPUTED_VALUE"""),35.0)</f>
        <v>35</v>
      </c>
      <c r="F1371" s="1">
        <f>IFERROR(__xludf.DUMMYFUNCTION("""COMPUTED_VALUE"""),95.0)</f>
        <v>95</v>
      </c>
      <c r="G1371" s="1">
        <f>IFERROR(__xludf.DUMMYFUNCTION("""COMPUTED_VALUE"""),63.0)</f>
        <v>63</v>
      </c>
      <c r="H1371" s="1">
        <f>IFERROR(__xludf.DUMMYFUNCTION("""COMPUTED_VALUE"""),91.0)</f>
        <v>91</v>
      </c>
      <c r="I1371" s="1">
        <f>IFERROR(__xludf.DUMMYFUNCTION("""COMPUTED_VALUE"""),26.0)</f>
        <v>26</v>
      </c>
      <c r="J1371" s="1">
        <f>IFERROR(__xludf.DUMMYFUNCTION("""COMPUTED_VALUE"""),310.0)</f>
        <v>310</v>
      </c>
      <c r="K1371" s="1">
        <f>IFERROR(__xludf.DUMMYFUNCTION("""COMPUTED_VALUE"""),62.0)</f>
        <v>62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>
        <f>IFERROR(__xludf.DUMMYFUNCTION("""COMPUTED_VALUE"""),97.0)</f>
        <v>97</v>
      </c>
      <c r="E1372" s="1">
        <f>IFERROR(__xludf.DUMMYFUNCTION("""COMPUTED_VALUE"""),88.0)</f>
        <v>88</v>
      </c>
      <c r="F1372" s="1">
        <f>IFERROR(__xludf.DUMMYFUNCTION("""COMPUTED_VALUE"""),99.0)</f>
        <v>99</v>
      </c>
      <c r="G1372" s="1">
        <f>IFERROR(__xludf.DUMMYFUNCTION("""COMPUTED_VALUE"""),39.0)</f>
        <v>39</v>
      </c>
      <c r="H1372" s="1">
        <f>IFERROR(__xludf.DUMMYFUNCTION("""COMPUTED_VALUE"""),90.0)</f>
        <v>90</v>
      </c>
      <c r="I1372" s="1">
        <f>IFERROR(__xludf.DUMMYFUNCTION("""COMPUTED_VALUE"""),79.0)</f>
        <v>79</v>
      </c>
      <c r="J1372" s="1">
        <f>IFERROR(__xludf.DUMMYFUNCTION("""COMPUTED_VALUE"""),395.0)</f>
        <v>395</v>
      </c>
      <c r="K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>
        <f>IFERROR(__xludf.DUMMYFUNCTION("""COMPUTED_VALUE"""),79.0)</f>
        <v>79</v>
      </c>
      <c r="E1373" s="1">
        <f>IFERROR(__xludf.DUMMYFUNCTION("""COMPUTED_VALUE"""),51.0)</f>
        <v>51</v>
      </c>
      <c r="F1373" s="1">
        <f>IFERROR(__xludf.DUMMYFUNCTION("""COMPUTED_VALUE"""),98.0)</f>
        <v>98</v>
      </c>
      <c r="G1373" s="1">
        <f>IFERROR(__xludf.DUMMYFUNCTION("""COMPUTED_VALUE"""),51.0)</f>
        <v>51</v>
      </c>
      <c r="H1373" s="1">
        <f>IFERROR(__xludf.DUMMYFUNCTION("""COMPUTED_VALUE"""),70.0)</f>
        <v>70</v>
      </c>
      <c r="I1373" s="1">
        <f>IFERROR(__xludf.DUMMYFUNCTION("""COMPUTED_VALUE"""),87.0)</f>
        <v>87</v>
      </c>
      <c r="J1373" s="1">
        <f>IFERROR(__xludf.DUMMYFUNCTION("""COMPUTED_VALUE"""),357.0)</f>
        <v>357</v>
      </c>
      <c r="K1373" s="1">
        <f>IFERROR(__xludf.DUMMYFUNCTION("""COMPUTED_VALUE"""),71.39999999999999)</f>
        <v>71.4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>
        <f>IFERROR(__xludf.DUMMYFUNCTION("""COMPUTED_VALUE"""),23.0)</f>
        <v>23</v>
      </c>
      <c r="E1374" s="1">
        <f>IFERROR(__xludf.DUMMYFUNCTION("""COMPUTED_VALUE"""),83.0)</f>
        <v>83</v>
      </c>
      <c r="F1374" s="1">
        <f>IFERROR(__xludf.DUMMYFUNCTION("""COMPUTED_VALUE"""),66.0)</f>
        <v>66</v>
      </c>
      <c r="G1374" s="1">
        <f>IFERROR(__xludf.DUMMYFUNCTION("""COMPUTED_VALUE"""),29.0)</f>
        <v>29</v>
      </c>
      <c r="H1374" s="1">
        <f>IFERROR(__xludf.DUMMYFUNCTION("""COMPUTED_VALUE"""),92.0)</f>
        <v>92</v>
      </c>
      <c r="I1374" s="1">
        <f>IFERROR(__xludf.DUMMYFUNCTION("""COMPUTED_VALUE"""),29.0)</f>
        <v>29</v>
      </c>
      <c r="J1374" s="1">
        <f>IFERROR(__xludf.DUMMYFUNCTION("""COMPUTED_VALUE"""),299.0)</f>
        <v>299</v>
      </c>
      <c r="K1374" s="1">
        <f>IFERROR(__xludf.DUMMYFUNCTION("""COMPUTED_VALUE"""),59.8)</f>
        <v>59.8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>
        <f>IFERROR(__xludf.DUMMYFUNCTION("""COMPUTED_VALUE"""),54.0)</f>
        <v>54</v>
      </c>
      <c r="E1375" s="1">
        <f>IFERROR(__xludf.DUMMYFUNCTION("""COMPUTED_VALUE"""),84.0)</f>
        <v>84</v>
      </c>
      <c r="F1375" s="1">
        <f>IFERROR(__xludf.DUMMYFUNCTION("""COMPUTED_VALUE"""),29.0)</f>
        <v>29</v>
      </c>
      <c r="G1375" s="1">
        <f>IFERROR(__xludf.DUMMYFUNCTION("""COMPUTED_VALUE"""),72.0)</f>
        <v>72</v>
      </c>
      <c r="H1375" s="1">
        <f>IFERROR(__xludf.DUMMYFUNCTION("""COMPUTED_VALUE"""),30.0)</f>
        <v>30</v>
      </c>
      <c r="I1375" s="1">
        <f>IFERROR(__xludf.DUMMYFUNCTION("""COMPUTED_VALUE"""),79.0)</f>
        <v>79</v>
      </c>
      <c r="J1375" s="1">
        <f>IFERROR(__xludf.DUMMYFUNCTION("""COMPUTED_VALUE"""),294.0)</f>
        <v>294</v>
      </c>
      <c r="K1375" s="1">
        <f>IFERROR(__xludf.DUMMYFUNCTION("""COMPUTED_VALUE"""),58.8)</f>
        <v>58.8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>
        <f>IFERROR(__xludf.DUMMYFUNCTION("""COMPUTED_VALUE"""),59.0)</f>
        <v>59</v>
      </c>
      <c r="E1376" s="1">
        <f>IFERROR(__xludf.DUMMYFUNCTION("""COMPUTED_VALUE"""),55.0)</f>
        <v>55</v>
      </c>
      <c r="F1376" s="1">
        <f>IFERROR(__xludf.DUMMYFUNCTION("""COMPUTED_VALUE"""),75.0)</f>
        <v>75</v>
      </c>
      <c r="G1376" s="1">
        <f>IFERROR(__xludf.DUMMYFUNCTION("""COMPUTED_VALUE"""),99.0)</f>
        <v>99</v>
      </c>
      <c r="H1376" s="1">
        <f>IFERROR(__xludf.DUMMYFUNCTION("""COMPUTED_VALUE"""),21.0)</f>
        <v>21</v>
      </c>
      <c r="I1376" s="1">
        <f>IFERROR(__xludf.DUMMYFUNCTION("""COMPUTED_VALUE"""),59.0)</f>
        <v>59</v>
      </c>
      <c r="J1376" s="1">
        <f>IFERROR(__xludf.DUMMYFUNCTION("""COMPUTED_VALUE"""),309.0)</f>
        <v>309</v>
      </c>
      <c r="K1376" s="1">
        <f>IFERROR(__xludf.DUMMYFUNCTION("""COMPUTED_VALUE"""),61.8)</f>
        <v>61.8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>
        <f>IFERROR(__xludf.DUMMYFUNCTION("""COMPUTED_VALUE"""),79.0)</f>
        <v>79</v>
      </c>
      <c r="E1377" s="1">
        <f>IFERROR(__xludf.DUMMYFUNCTION("""COMPUTED_VALUE"""),46.0)</f>
        <v>46</v>
      </c>
      <c r="F1377" s="1">
        <f>IFERROR(__xludf.DUMMYFUNCTION("""COMPUTED_VALUE"""),32.0)</f>
        <v>32</v>
      </c>
      <c r="G1377" s="1">
        <f>IFERROR(__xludf.DUMMYFUNCTION("""COMPUTED_VALUE"""),39.0)</f>
        <v>39</v>
      </c>
      <c r="H1377" s="1">
        <f>IFERROR(__xludf.DUMMYFUNCTION("""COMPUTED_VALUE"""),22.0)</f>
        <v>22</v>
      </c>
      <c r="I1377" s="1">
        <f>IFERROR(__xludf.DUMMYFUNCTION("""COMPUTED_VALUE"""),59.0)</f>
        <v>59</v>
      </c>
      <c r="J1377" s="1">
        <f>IFERROR(__xludf.DUMMYFUNCTION("""COMPUTED_VALUE"""),198.0)</f>
        <v>198</v>
      </c>
      <c r="K1377" s="1">
        <f>IFERROR(__xludf.DUMMYFUNCTION("""COMPUTED_VALUE"""),39.6)</f>
        <v>39.6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>
        <f>IFERROR(__xludf.DUMMYFUNCTION("""COMPUTED_VALUE"""),37.0)</f>
        <v>37</v>
      </c>
      <c r="E1378" s="1">
        <f>IFERROR(__xludf.DUMMYFUNCTION("""COMPUTED_VALUE"""),44.0)</f>
        <v>44</v>
      </c>
      <c r="F1378" s="1">
        <f>IFERROR(__xludf.DUMMYFUNCTION("""COMPUTED_VALUE"""),51.0)</f>
        <v>51</v>
      </c>
      <c r="G1378" s="1">
        <f>IFERROR(__xludf.DUMMYFUNCTION("""COMPUTED_VALUE"""),69.0)</f>
        <v>69</v>
      </c>
      <c r="H1378" s="1">
        <f>IFERROR(__xludf.DUMMYFUNCTION("""COMPUTED_VALUE"""),94.0)</f>
        <v>94</v>
      </c>
      <c r="I1378" s="1">
        <f>IFERROR(__xludf.DUMMYFUNCTION("""COMPUTED_VALUE"""),87.0)</f>
        <v>87</v>
      </c>
      <c r="J1378" s="1">
        <f>IFERROR(__xludf.DUMMYFUNCTION("""COMPUTED_VALUE"""),345.0)</f>
        <v>345</v>
      </c>
      <c r="K1378" s="1">
        <f>IFERROR(__xludf.DUMMYFUNCTION("""COMPUTED_VALUE"""),69.0)</f>
        <v>69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>
        <f>IFERROR(__xludf.DUMMYFUNCTION("""COMPUTED_VALUE"""),48.0)</f>
        <v>48</v>
      </c>
      <c r="E1379" s="1">
        <f>IFERROR(__xludf.DUMMYFUNCTION("""COMPUTED_VALUE"""),42.0)</f>
        <v>42</v>
      </c>
      <c r="F1379" s="1">
        <f>IFERROR(__xludf.DUMMYFUNCTION("""COMPUTED_VALUE"""),24.0)</f>
        <v>24</v>
      </c>
      <c r="G1379" s="1">
        <f>IFERROR(__xludf.DUMMYFUNCTION("""COMPUTED_VALUE"""),79.0)</f>
        <v>79</v>
      </c>
      <c r="H1379" s="1">
        <f>IFERROR(__xludf.DUMMYFUNCTION("""COMPUTED_VALUE"""),94.0)</f>
        <v>94</v>
      </c>
      <c r="I1379" s="1">
        <f>IFERROR(__xludf.DUMMYFUNCTION("""COMPUTED_VALUE"""),59.0)</f>
        <v>59</v>
      </c>
      <c r="J1379" s="1">
        <f>IFERROR(__xludf.DUMMYFUNCTION("""COMPUTED_VALUE"""),298.0)</f>
        <v>298</v>
      </c>
      <c r="K1379" s="1">
        <f>IFERROR(__xludf.DUMMYFUNCTION("""COMPUTED_VALUE"""),59.599999999999994)</f>
        <v>59.6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>
        <f>IFERROR(__xludf.DUMMYFUNCTION("""COMPUTED_VALUE"""),15.0)</f>
        <v>15</v>
      </c>
      <c r="E1380" s="1">
        <f>IFERROR(__xludf.DUMMYFUNCTION("""COMPUTED_VALUE"""),49.0)</f>
        <v>49</v>
      </c>
      <c r="F1380" s="1">
        <f>IFERROR(__xludf.DUMMYFUNCTION("""COMPUTED_VALUE"""),73.0)</f>
        <v>73</v>
      </c>
      <c r="G1380" s="1">
        <f>IFERROR(__xludf.DUMMYFUNCTION("""COMPUTED_VALUE"""),83.0)</f>
        <v>83</v>
      </c>
      <c r="H1380" s="1">
        <f>IFERROR(__xludf.DUMMYFUNCTION("""COMPUTED_VALUE"""),57.0)</f>
        <v>57</v>
      </c>
      <c r="I1380" s="1">
        <f>IFERROR(__xludf.DUMMYFUNCTION("""COMPUTED_VALUE"""),32.0)</f>
        <v>32</v>
      </c>
      <c r="J1380" s="1">
        <f>IFERROR(__xludf.DUMMYFUNCTION("""COMPUTED_VALUE"""),294.0)</f>
        <v>294</v>
      </c>
      <c r="K1380" s="1">
        <f>IFERROR(__xludf.DUMMYFUNCTION("""COMPUTED_VALUE"""),58.8)</f>
        <v>58.8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>
        <f>IFERROR(__xludf.DUMMYFUNCTION("""COMPUTED_VALUE"""),25.0)</f>
        <v>25</v>
      </c>
      <c r="E1381" s="1">
        <f>IFERROR(__xludf.DUMMYFUNCTION("""COMPUTED_VALUE"""),24.0)</f>
        <v>24</v>
      </c>
      <c r="F1381" s="1">
        <f>IFERROR(__xludf.DUMMYFUNCTION("""COMPUTED_VALUE"""),35.0)</f>
        <v>35</v>
      </c>
      <c r="G1381" s="1">
        <f>IFERROR(__xludf.DUMMYFUNCTION("""COMPUTED_VALUE"""),95.0)</f>
        <v>95</v>
      </c>
      <c r="H1381" s="1">
        <f>IFERROR(__xludf.DUMMYFUNCTION("""COMPUTED_VALUE"""),71.0)</f>
        <v>71</v>
      </c>
      <c r="I1381" s="1">
        <f>IFERROR(__xludf.DUMMYFUNCTION("""COMPUTED_VALUE"""),36.0)</f>
        <v>36</v>
      </c>
      <c r="J1381" s="1">
        <f>IFERROR(__xludf.DUMMYFUNCTION("""COMPUTED_VALUE"""),261.0)</f>
        <v>261</v>
      </c>
      <c r="K1381" s="1">
        <f>IFERROR(__xludf.DUMMYFUNCTION("""COMPUTED_VALUE"""),52.2)</f>
        <v>52.2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>
        <f>IFERROR(__xludf.DUMMYFUNCTION("""COMPUTED_VALUE"""),39.0)</f>
        <v>39</v>
      </c>
      <c r="E1382" s="1">
        <f>IFERROR(__xludf.DUMMYFUNCTION("""COMPUTED_VALUE"""),76.0)</f>
        <v>76</v>
      </c>
      <c r="F1382" s="1">
        <f>IFERROR(__xludf.DUMMYFUNCTION("""COMPUTED_VALUE"""),98.0)</f>
        <v>98</v>
      </c>
      <c r="G1382" s="1">
        <f>IFERROR(__xludf.DUMMYFUNCTION("""COMPUTED_VALUE"""),52.0)</f>
        <v>52</v>
      </c>
      <c r="H1382" s="1">
        <f>IFERROR(__xludf.DUMMYFUNCTION("""COMPUTED_VALUE"""),86.0)</f>
        <v>86</v>
      </c>
      <c r="I1382" s="1">
        <f>IFERROR(__xludf.DUMMYFUNCTION("""COMPUTED_VALUE"""),98.0)</f>
        <v>98</v>
      </c>
      <c r="J1382" s="1">
        <f>IFERROR(__xludf.DUMMYFUNCTION("""COMPUTED_VALUE"""),410.0)</f>
        <v>410</v>
      </c>
      <c r="K1382" s="1">
        <f>IFERROR(__xludf.DUMMYFUNCTION("""COMPUTED_VALUE"""),82.0)</f>
        <v>82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>
        <f>IFERROR(__xludf.DUMMYFUNCTION("""COMPUTED_VALUE"""),14.0)</f>
        <v>14</v>
      </c>
      <c r="E1383" s="1">
        <f>IFERROR(__xludf.DUMMYFUNCTION("""COMPUTED_VALUE"""),34.0)</f>
        <v>34</v>
      </c>
      <c r="F1383" s="1">
        <f>IFERROR(__xludf.DUMMYFUNCTION("""COMPUTED_VALUE"""),62.0)</f>
        <v>62</v>
      </c>
      <c r="G1383" s="1">
        <f>IFERROR(__xludf.DUMMYFUNCTION("""COMPUTED_VALUE"""),93.0)</f>
        <v>93</v>
      </c>
      <c r="H1383" s="1">
        <f>IFERROR(__xludf.DUMMYFUNCTION("""COMPUTED_VALUE"""),42.0)</f>
        <v>42</v>
      </c>
      <c r="I1383" s="1">
        <f>IFERROR(__xludf.DUMMYFUNCTION("""COMPUTED_VALUE"""),25.0)</f>
        <v>25</v>
      </c>
      <c r="J1383" s="1">
        <f>IFERROR(__xludf.DUMMYFUNCTION("""COMPUTED_VALUE"""),256.0)</f>
        <v>256</v>
      </c>
      <c r="K1383" s="1">
        <f>IFERROR(__xludf.DUMMYFUNCTION("""COMPUTED_VALUE"""),51.2)</f>
        <v>51.2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>
        <f>IFERROR(__xludf.DUMMYFUNCTION("""COMPUTED_VALUE"""),57.0)</f>
        <v>57</v>
      </c>
      <c r="E1384" s="1">
        <f>IFERROR(__xludf.DUMMYFUNCTION("""COMPUTED_VALUE"""),32.0)</f>
        <v>32</v>
      </c>
      <c r="F1384" s="1">
        <f>IFERROR(__xludf.DUMMYFUNCTION("""COMPUTED_VALUE"""),82.0)</f>
        <v>82</v>
      </c>
      <c r="G1384" s="1">
        <f>IFERROR(__xludf.DUMMYFUNCTION("""COMPUTED_VALUE"""),31.0)</f>
        <v>31</v>
      </c>
      <c r="H1384" s="1">
        <f>IFERROR(__xludf.DUMMYFUNCTION("""COMPUTED_VALUE"""),36.0)</f>
        <v>36</v>
      </c>
      <c r="I1384" s="1">
        <f>IFERROR(__xludf.DUMMYFUNCTION("""COMPUTED_VALUE"""),85.0)</f>
        <v>85</v>
      </c>
      <c r="J1384" s="1">
        <f>IFERROR(__xludf.DUMMYFUNCTION("""COMPUTED_VALUE"""),266.0)</f>
        <v>266</v>
      </c>
      <c r="K1384" s="1">
        <f>IFERROR(__xludf.DUMMYFUNCTION("""COMPUTED_VALUE"""),53.2)</f>
        <v>53.2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>
        <f>IFERROR(__xludf.DUMMYFUNCTION("""COMPUTED_VALUE"""),59.0)</f>
        <v>59</v>
      </c>
      <c r="E1385" s="1">
        <f>IFERROR(__xludf.DUMMYFUNCTION("""COMPUTED_VALUE"""),81.0)</f>
        <v>81</v>
      </c>
      <c r="F1385" s="1">
        <f>IFERROR(__xludf.DUMMYFUNCTION("""COMPUTED_VALUE"""),49.0)</f>
        <v>49</v>
      </c>
      <c r="G1385" s="1">
        <f>IFERROR(__xludf.DUMMYFUNCTION("""COMPUTED_VALUE"""),57.0)</f>
        <v>57</v>
      </c>
      <c r="H1385" s="1">
        <f>IFERROR(__xludf.DUMMYFUNCTION("""COMPUTED_VALUE"""),61.0)</f>
        <v>61</v>
      </c>
      <c r="I1385" s="1">
        <f>IFERROR(__xludf.DUMMYFUNCTION("""COMPUTED_VALUE"""),34.0)</f>
        <v>34</v>
      </c>
      <c r="J1385" s="1">
        <f>IFERROR(__xludf.DUMMYFUNCTION("""COMPUTED_VALUE"""),282.0)</f>
        <v>282</v>
      </c>
      <c r="K1385" s="1">
        <f>IFERROR(__xludf.DUMMYFUNCTION("""COMPUTED_VALUE"""),56.39999999999999)</f>
        <v>56.4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>
        <f>IFERROR(__xludf.DUMMYFUNCTION("""COMPUTED_VALUE"""),45.0)</f>
        <v>45</v>
      </c>
      <c r="E1386" s="1">
        <f>IFERROR(__xludf.DUMMYFUNCTION("""COMPUTED_VALUE"""),77.0)</f>
        <v>77</v>
      </c>
      <c r="F1386" s="1">
        <f>IFERROR(__xludf.DUMMYFUNCTION("""COMPUTED_VALUE"""),67.0)</f>
        <v>67</v>
      </c>
      <c r="G1386" s="1">
        <f>IFERROR(__xludf.DUMMYFUNCTION("""COMPUTED_VALUE"""),73.0)</f>
        <v>73</v>
      </c>
      <c r="H1386" s="1">
        <f>IFERROR(__xludf.DUMMYFUNCTION("""COMPUTED_VALUE"""),63.0)</f>
        <v>63</v>
      </c>
      <c r="I1386" s="1">
        <f>IFERROR(__xludf.DUMMYFUNCTION("""COMPUTED_VALUE"""),39.0)</f>
        <v>39</v>
      </c>
      <c r="J1386" s="1">
        <f>IFERROR(__xludf.DUMMYFUNCTION("""COMPUTED_VALUE"""),319.0)</f>
        <v>319</v>
      </c>
      <c r="K1386" s="1">
        <f>IFERROR(__xludf.DUMMYFUNCTION("""COMPUTED_VALUE"""),63.800000000000004)</f>
        <v>63.8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>
        <f>IFERROR(__xludf.DUMMYFUNCTION("""COMPUTED_VALUE"""),58.0)</f>
        <v>58</v>
      </c>
      <c r="E1387" s="1">
        <f>IFERROR(__xludf.DUMMYFUNCTION("""COMPUTED_VALUE"""),66.0)</f>
        <v>66</v>
      </c>
      <c r="F1387" s="1">
        <f>IFERROR(__xludf.DUMMYFUNCTION("""COMPUTED_VALUE"""),38.0)</f>
        <v>38</v>
      </c>
      <c r="G1387" s="1">
        <f>IFERROR(__xludf.DUMMYFUNCTION("""COMPUTED_VALUE"""),65.0)</f>
        <v>65</v>
      </c>
      <c r="H1387" s="1">
        <f>IFERROR(__xludf.DUMMYFUNCTION("""COMPUTED_VALUE"""),42.0)</f>
        <v>42</v>
      </c>
      <c r="I1387" s="1">
        <f>IFERROR(__xludf.DUMMYFUNCTION("""COMPUTED_VALUE"""),46.0)</f>
        <v>46</v>
      </c>
      <c r="J1387" s="1">
        <f>IFERROR(__xludf.DUMMYFUNCTION("""COMPUTED_VALUE"""),257.0)</f>
        <v>257</v>
      </c>
      <c r="K1387" s="1">
        <f>IFERROR(__xludf.DUMMYFUNCTION("""COMPUTED_VALUE"""),51.4)</f>
        <v>51.4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>
        <f>IFERROR(__xludf.DUMMYFUNCTION("""COMPUTED_VALUE"""),61.0)</f>
        <v>61</v>
      </c>
      <c r="E1388" s="1">
        <f>IFERROR(__xludf.DUMMYFUNCTION("""COMPUTED_VALUE"""),99.0)</f>
        <v>99</v>
      </c>
      <c r="F1388" s="1">
        <f>IFERROR(__xludf.DUMMYFUNCTION("""COMPUTED_VALUE"""),84.0)</f>
        <v>84</v>
      </c>
      <c r="G1388" s="1">
        <f>IFERROR(__xludf.DUMMYFUNCTION("""COMPUTED_VALUE"""),24.0)</f>
        <v>24</v>
      </c>
      <c r="H1388" s="1">
        <f>IFERROR(__xludf.DUMMYFUNCTION("""COMPUTED_VALUE"""),52.0)</f>
        <v>52</v>
      </c>
      <c r="I1388" s="1">
        <f>IFERROR(__xludf.DUMMYFUNCTION("""COMPUTED_VALUE"""),89.0)</f>
        <v>89</v>
      </c>
      <c r="J1388" s="1">
        <f>IFERROR(__xludf.DUMMYFUNCTION("""COMPUTED_VALUE"""),348.0)</f>
        <v>348</v>
      </c>
      <c r="K1388" s="1">
        <f>IFERROR(__xludf.DUMMYFUNCTION("""COMPUTED_VALUE"""),69.6)</f>
        <v>69.6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>
        <f>IFERROR(__xludf.DUMMYFUNCTION("""COMPUTED_VALUE"""),83.0)</f>
        <v>83</v>
      </c>
      <c r="E1389" s="1">
        <f>IFERROR(__xludf.DUMMYFUNCTION("""COMPUTED_VALUE"""),68.0)</f>
        <v>68</v>
      </c>
      <c r="F1389" s="1">
        <f>IFERROR(__xludf.DUMMYFUNCTION("""COMPUTED_VALUE"""),70.0)</f>
        <v>70</v>
      </c>
      <c r="G1389" s="1">
        <f>IFERROR(__xludf.DUMMYFUNCTION("""COMPUTED_VALUE"""),87.0)</f>
        <v>87</v>
      </c>
      <c r="H1389" s="1">
        <f>IFERROR(__xludf.DUMMYFUNCTION("""COMPUTED_VALUE"""),40.0)</f>
        <v>40</v>
      </c>
      <c r="I1389" s="1">
        <f>IFERROR(__xludf.DUMMYFUNCTION("""COMPUTED_VALUE"""),62.0)</f>
        <v>62</v>
      </c>
      <c r="J1389" s="1">
        <f>IFERROR(__xludf.DUMMYFUNCTION("""COMPUTED_VALUE"""),327.0)</f>
        <v>327</v>
      </c>
      <c r="K1389" s="1">
        <f>IFERROR(__xludf.DUMMYFUNCTION("""COMPUTED_VALUE"""),65.4)</f>
        <v>65.4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>
        <f>IFERROR(__xludf.DUMMYFUNCTION("""COMPUTED_VALUE"""),18.0)</f>
        <v>18</v>
      </c>
      <c r="E1390" s="1">
        <f>IFERROR(__xludf.DUMMYFUNCTION("""COMPUTED_VALUE"""),41.0)</f>
        <v>41</v>
      </c>
      <c r="F1390" s="1">
        <f>IFERROR(__xludf.DUMMYFUNCTION("""COMPUTED_VALUE"""),81.0)</f>
        <v>81</v>
      </c>
      <c r="G1390" s="1">
        <f>IFERROR(__xludf.DUMMYFUNCTION("""COMPUTED_VALUE"""),24.0)</f>
        <v>24</v>
      </c>
      <c r="H1390" s="1">
        <f>IFERROR(__xludf.DUMMYFUNCTION("""COMPUTED_VALUE"""),94.0)</f>
        <v>94</v>
      </c>
      <c r="I1390" s="1">
        <f>IFERROR(__xludf.DUMMYFUNCTION("""COMPUTED_VALUE"""),47.0)</f>
        <v>47</v>
      </c>
      <c r="J1390" s="1">
        <f>IFERROR(__xludf.DUMMYFUNCTION("""COMPUTED_VALUE"""),287.0)</f>
        <v>287</v>
      </c>
      <c r="K1390" s="1">
        <f>IFERROR(__xludf.DUMMYFUNCTION("""COMPUTED_VALUE"""),57.4)</f>
        <v>57.4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>
        <f>IFERROR(__xludf.DUMMYFUNCTION("""COMPUTED_VALUE"""),80.0)</f>
        <v>80</v>
      </c>
      <c r="E1391" s="1">
        <f>IFERROR(__xludf.DUMMYFUNCTION("""COMPUTED_VALUE"""),82.0)</f>
        <v>82</v>
      </c>
      <c r="F1391" s="1">
        <f>IFERROR(__xludf.DUMMYFUNCTION("""COMPUTED_VALUE"""),21.0)</f>
        <v>21</v>
      </c>
      <c r="G1391" s="1">
        <f>IFERROR(__xludf.DUMMYFUNCTION("""COMPUTED_VALUE"""),55.0)</f>
        <v>55</v>
      </c>
      <c r="H1391" s="1">
        <f>IFERROR(__xludf.DUMMYFUNCTION("""COMPUTED_VALUE"""),76.0)</f>
        <v>76</v>
      </c>
      <c r="I1391" s="1">
        <f>IFERROR(__xludf.DUMMYFUNCTION("""COMPUTED_VALUE"""),44.0)</f>
        <v>44</v>
      </c>
      <c r="J1391" s="1">
        <f>IFERROR(__xludf.DUMMYFUNCTION("""COMPUTED_VALUE"""),278.0)</f>
        <v>278</v>
      </c>
      <c r="K1391" s="1">
        <f>IFERROR(__xludf.DUMMYFUNCTION("""COMPUTED_VALUE"""),55.60000000000001)</f>
        <v>55.6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>
        <f>IFERROR(__xludf.DUMMYFUNCTION("""COMPUTED_VALUE"""),30.0)</f>
        <v>30</v>
      </c>
      <c r="E1392" s="1">
        <f>IFERROR(__xludf.DUMMYFUNCTION("""COMPUTED_VALUE"""),66.0)</f>
        <v>66</v>
      </c>
      <c r="F1392" s="1">
        <f>IFERROR(__xludf.DUMMYFUNCTION("""COMPUTED_VALUE"""),26.0)</f>
        <v>26</v>
      </c>
      <c r="G1392" s="1">
        <f>IFERROR(__xludf.DUMMYFUNCTION("""COMPUTED_VALUE"""),77.0)</f>
        <v>77</v>
      </c>
      <c r="H1392" s="1">
        <f>IFERROR(__xludf.DUMMYFUNCTION("""COMPUTED_VALUE"""),49.0)</f>
        <v>49</v>
      </c>
      <c r="I1392" s="1">
        <f>IFERROR(__xludf.DUMMYFUNCTION("""COMPUTED_VALUE"""),62.0)</f>
        <v>62</v>
      </c>
      <c r="J1392" s="1">
        <f>IFERROR(__xludf.DUMMYFUNCTION("""COMPUTED_VALUE"""),280.0)</f>
        <v>280</v>
      </c>
      <c r="K1392" s="1">
        <f>IFERROR(__xludf.DUMMYFUNCTION("""COMPUTED_VALUE"""),56.00000000000001)</f>
        <v>56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>
        <f>IFERROR(__xludf.DUMMYFUNCTION("""COMPUTED_VALUE"""),86.0)</f>
        <v>86</v>
      </c>
      <c r="E1393" s="1">
        <f>IFERROR(__xludf.DUMMYFUNCTION("""COMPUTED_VALUE"""),88.0)</f>
        <v>88</v>
      </c>
      <c r="F1393" s="1">
        <f>IFERROR(__xludf.DUMMYFUNCTION("""COMPUTED_VALUE"""),55.0)</f>
        <v>55</v>
      </c>
      <c r="G1393" s="1">
        <f>IFERROR(__xludf.DUMMYFUNCTION("""COMPUTED_VALUE"""),70.0)</f>
        <v>70</v>
      </c>
      <c r="H1393" s="1">
        <f>IFERROR(__xludf.DUMMYFUNCTION("""COMPUTED_VALUE"""),45.0)</f>
        <v>45</v>
      </c>
      <c r="I1393" s="1">
        <f>IFERROR(__xludf.DUMMYFUNCTION("""COMPUTED_VALUE"""),49.0)</f>
        <v>49</v>
      </c>
      <c r="J1393" s="1">
        <f>IFERROR(__xludf.DUMMYFUNCTION("""COMPUTED_VALUE"""),307.0)</f>
        <v>307</v>
      </c>
      <c r="K1393" s="1">
        <f>IFERROR(__xludf.DUMMYFUNCTION("""COMPUTED_VALUE"""),61.4)</f>
        <v>61.4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>
        <f>IFERROR(__xludf.DUMMYFUNCTION("""COMPUTED_VALUE"""),15.0)</f>
        <v>15</v>
      </c>
      <c r="E1394" s="1">
        <f>IFERROR(__xludf.DUMMYFUNCTION("""COMPUTED_VALUE"""),60.0)</f>
        <v>60</v>
      </c>
      <c r="F1394" s="1">
        <f>IFERROR(__xludf.DUMMYFUNCTION("""COMPUTED_VALUE"""),25.0)</f>
        <v>25</v>
      </c>
      <c r="G1394" s="1">
        <f>IFERROR(__xludf.DUMMYFUNCTION("""COMPUTED_VALUE"""),93.0)</f>
        <v>93</v>
      </c>
      <c r="H1394" s="1">
        <f>IFERROR(__xludf.DUMMYFUNCTION("""COMPUTED_VALUE"""),40.0)</f>
        <v>40</v>
      </c>
      <c r="I1394" s="1">
        <f>IFERROR(__xludf.DUMMYFUNCTION("""COMPUTED_VALUE"""),92.0)</f>
        <v>92</v>
      </c>
      <c r="J1394" s="1">
        <f>IFERROR(__xludf.DUMMYFUNCTION("""COMPUTED_VALUE"""),310.0)</f>
        <v>310</v>
      </c>
      <c r="K1394" s="1">
        <f>IFERROR(__xludf.DUMMYFUNCTION("""COMPUTED_VALUE"""),62.0)</f>
        <v>62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>
        <f>IFERROR(__xludf.DUMMYFUNCTION("""COMPUTED_VALUE"""),61.0)</f>
        <v>61</v>
      </c>
      <c r="E1395" s="1">
        <f>IFERROR(__xludf.DUMMYFUNCTION("""COMPUTED_VALUE"""),31.0)</f>
        <v>31</v>
      </c>
      <c r="F1395" s="1">
        <f>IFERROR(__xludf.DUMMYFUNCTION("""COMPUTED_VALUE"""),74.0)</f>
        <v>74</v>
      </c>
      <c r="G1395" s="1">
        <f>IFERROR(__xludf.DUMMYFUNCTION("""COMPUTED_VALUE"""),50.0)</f>
        <v>50</v>
      </c>
      <c r="H1395" s="1">
        <f>IFERROR(__xludf.DUMMYFUNCTION("""COMPUTED_VALUE"""),64.0)</f>
        <v>64</v>
      </c>
      <c r="I1395" s="1">
        <f>IFERROR(__xludf.DUMMYFUNCTION("""COMPUTED_VALUE"""),93.0)</f>
        <v>93</v>
      </c>
      <c r="J1395" s="1">
        <f>IFERROR(__xludf.DUMMYFUNCTION("""COMPUTED_VALUE"""),312.0)</f>
        <v>312</v>
      </c>
      <c r="K1395" s="1">
        <f>IFERROR(__xludf.DUMMYFUNCTION("""COMPUTED_VALUE"""),62.4)</f>
        <v>62.4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>
        <f>IFERROR(__xludf.DUMMYFUNCTION("""COMPUTED_VALUE"""),23.0)</f>
        <v>23</v>
      </c>
      <c r="E1396" s="1">
        <f>IFERROR(__xludf.DUMMYFUNCTION("""COMPUTED_VALUE"""),40.0)</f>
        <v>40</v>
      </c>
      <c r="F1396" s="1">
        <f>IFERROR(__xludf.DUMMYFUNCTION("""COMPUTED_VALUE"""),74.0)</f>
        <v>74</v>
      </c>
      <c r="G1396" s="1">
        <f>IFERROR(__xludf.DUMMYFUNCTION("""COMPUTED_VALUE"""),75.0)</f>
        <v>75</v>
      </c>
      <c r="H1396" s="1">
        <f>IFERROR(__xludf.DUMMYFUNCTION("""COMPUTED_VALUE"""),76.0)</f>
        <v>76</v>
      </c>
      <c r="I1396" s="1">
        <f>IFERROR(__xludf.DUMMYFUNCTION("""COMPUTED_VALUE"""),33.0)</f>
        <v>33</v>
      </c>
      <c r="J1396" s="1">
        <f>IFERROR(__xludf.DUMMYFUNCTION("""COMPUTED_VALUE"""),298.0)</f>
        <v>298</v>
      </c>
      <c r="K1396" s="1">
        <f>IFERROR(__xludf.DUMMYFUNCTION("""COMPUTED_VALUE"""),59.599999999999994)</f>
        <v>59.6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>
        <f>IFERROR(__xludf.DUMMYFUNCTION("""COMPUTED_VALUE"""),54.0)</f>
        <v>54</v>
      </c>
      <c r="E1397" s="1">
        <f>IFERROR(__xludf.DUMMYFUNCTION("""COMPUTED_VALUE"""),66.0)</f>
        <v>66</v>
      </c>
      <c r="F1397" s="1">
        <f>IFERROR(__xludf.DUMMYFUNCTION("""COMPUTED_VALUE"""),20.0)</f>
        <v>20</v>
      </c>
      <c r="G1397" s="1">
        <f>IFERROR(__xludf.DUMMYFUNCTION("""COMPUTED_VALUE"""),92.0)</f>
        <v>92</v>
      </c>
      <c r="H1397" s="1">
        <f>IFERROR(__xludf.DUMMYFUNCTION("""COMPUTED_VALUE"""),34.0)</f>
        <v>34</v>
      </c>
      <c r="I1397" s="1">
        <f>IFERROR(__xludf.DUMMYFUNCTION("""COMPUTED_VALUE"""),31.0)</f>
        <v>31</v>
      </c>
      <c r="J1397" s="1">
        <f>IFERROR(__xludf.DUMMYFUNCTION("""COMPUTED_VALUE"""),243.0)</f>
        <v>243</v>
      </c>
      <c r="K1397" s="1">
        <f>IFERROR(__xludf.DUMMYFUNCTION("""COMPUTED_VALUE"""),48.6)</f>
        <v>48.6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>
        <f>IFERROR(__xludf.DUMMYFUNCTION("""COMPUTED_VALUE"""),21.0)</f>
        <v>21</v>
      </c>
      <c r="E1398" s="1">
        <f>IFERROR(__xludf.DUMMYFUNCTION("""COMPUTED_VALUE"""),57.0)</f>
        <v>57</v>
      </c>
      <c r="F1398" s="1">
        <f>IFERROR(__xludf.DUMMYFUNCTION("""COMPUTED_VALUE"""),47.0)</f>
        <v>47</v>
      </c>
      <c r="G1398" s="1">
        <f>IFERROR(__xludf.DUMMYFUNCTION("""COMPUTED_VALUE"""),49.0)</f>
        <v>49</v>
      </c>
      <c r="H1398" s="1">
        <f>IFERROR(__xludf.DUMMYFUNCTION("""COMPUTED_VALUE"""),96.0)</f>
        <v>96</v>
      </c>
      <c r="I1398" s="1">
        <f>IFERROR(__xludf.DUMMYFUNCTION("""COMPUTED_VALUE"""),69.0)</f>
        <v>69</v>
      </c>
      <c r="J1398" s="1">
        <f>IFERROR(__xludf.DUMMYFUNCTION("""COMPUTED_VALUE"""),318.0)</f>
        <v>318</v>
      </c>
      <c r="K1398" s="1">
        <f>IFERROR(__xludf.DUMMYFUNCTION("""COMPUTED_VALUE"""),63.6)</f>
        <v>63.6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>
        <f>IFERROR(__xludf.DUMMYFUNCTION("""COMPUTED_VALUE"""),12.0)</f>
        <v>12</v>
      </c>
      <c r="E1399" s="1">
        <f>IFERROR(__xludf.DUMMYFUNCTION("""COMPUTED_VALUE"""),28.0)</f>
        <v>28</v>
      </c>
      <c r="F1399" s="1">
        <f>IFERROR(__xludf.DUMMYFUNCTION("""COMPUTED_VALUE"""),83.0)</f>
        <v>83</v>
      </c>
      <c r="G1399" s="1">
        <f>IFERROR(__xludf.DUMMYFUNCTION("""COMPUTED_VALUE"""),24.0)</f>
        <v>24</v>
      </c>
      <c r="H1399" s="1">
        <f>IFERROR(__xludf.DUMMYFUNCTION("""COMPUTED_VALUE"""),81.0)</f>
        <v>81</v>
      </c>
      <c r="I1399" s="1">
        <f>IFERROR(__xludf.DUMMYFUNCTION("""COMPUTED_VALUE"""),31.0)</f>
        <v>31</v>
      </c>
      <c r="J1399" s="1">
        <f>IFERROR(__xludf.DUMMYFUNCTION("""COMPUTED_VALUE"""),247.0)</f>
        <v>247</v>
      </c>
      <c r="K1399" s="1">
        <f>IFERROR(__xludf.DUMMYFUNCTION("""COMPUTED_VALUE"""),49.4)</f>
        <v>49.4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>
        <f>IFERROR(__xludf.DUMMYFUNCTION("""COMPUTED_VALUE"""),99.0)</f>
        <v>99</v>
      </c>
      <c r="E1400" s="1">
        <f>IFERROR(__xludf.DUMMYFUNCTION("""COMPUTED_VALUE"""),51.0)</f>
        <v>51</v>
      </c>
      <c r="F1400" s="1">
        <f>IFERROR(__xludf.DUMMYFUNCTION("""COMPUTED_VALUE"""),54.0)</f>
        <v>54</v>
      </c>
      <c r="G1400" s="1">
        <f>IFERROR(__xludf.DUMMYFUNCTION("""COMPUTED_VALUE"""),61.0)</f>
        <v>61</v>
      </c>
      <c r="H1400" s="1">
        <f>IFERROR(__xludf.DUMMYFUNCTION("""COMPUTED_VALUE"""),30.0)</f>
        <v>30</v>
      </c>
      <c r="I1400" s="1">
        <f>IFERROR(__xludf.DUMMYFUNCTION("""COMPUTED_VALUE"""),81.0)</f>
        <v>81</v>
      </c>
      <c r="J1400" s="1">
        <f>IFERROR(__xludf.DUMMYFUNCTION("""COMPUTED_VALUE"""),277.0)</f>
        <v>277</v>
      </c>
      <c r="K1400" s="1">
        <f>IFERROR(__xludf.DUMMYFUNCTION("""COMPUTED_VALUE"""),55.400000000000006)</f>
        <v>55.4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>
        <f>IFERROR(__xludf.DUMMYFUNCTION("""COMPUTED_VALUE"""),22.0)</f>
        <v>22</v>
      </c>
      <c r="E1401" s="1">
        <f>IFERROR(__xludf.DUMMYFUNCTION("""COMPUTED_VALUE"""),88.0)</f>
        <v>88</v>
      </c>
      <c r="F1401" s="1">
        <f>IFERROR(__xludf.DUMMYFUNCTION("""COMPUTED_VALUE"""),25.0)</f>
        <v>25</v>
      </c>
      <c r="G1401" s="1">
        <f>IFERROR(__xludf.DUMMYFUNCTION("""COMPUTED_VALUE"""),45.0)</f>
        <v>45</v>
      </c>
      <c r="H1401" s="1">
        <f>IFERROR(__xludf.DUMMYFUNCTION("""COMPUTED_VALUE"""),26.0)</f>
        <v>26</v>
      </c>
      <c r="I1401" s="1">
        <f>IFERROR(__xludf.DUMMYFUNCTION("""COMPUTED_VALUE"""),31.0)</f>
        <v>31</v>
      </c>
      <c r="J1401" s="1">
        <f>IFERROR(__xludf.DUMMYFUNCTION("""COMPUTED_VALUE"""),215.0)</f>
        <v>215</v>
      </c>
      <c r="K1401" s="1">
        <f>IFERROR(__xludf.DUMMYFUNCTION("""COMPUTED_VALUE"""),43.0)</f>
        <v>43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>
        <f>IFERROR(__xludf.DUMMYFUNCTION("""COMPUTED_VALUE"""),17.0)</f>
        <v>17</v>
      </c>
      <c r="E1402" s="1">
        <f>IFERROR(__xludf.DUMMYFUNCTION("""COMPUTED_VALUE"""),85.0)</f>
        <v>85</v>
      </c>
      <c r="F1402" s="1">
        <f>IFERROR(__xludf.DUMMYFUNCTION("""COMPUTED_VALUE"""),45.0)</f>
        <v>45</v>
      </c>
      <c r="G1402" s="1">
        <f>IFERROR(__xludf.DUMMYFUNCTION("""COMPUTED_VALUE"""),65.0)</f>
        <v>65</v>
      </c>
      <c r="H1402" s="1">
        <f>IFERROR(__xludf.DUMMYFUNCTION("""COMPUTED_VALUE"""),97.0)</f>
        <v>97</v>
      </c>
      <c r="I1402" s="1">
        <f>IFERROR(__xludf.DUMMYFUNCTION("""COMPUTED_VALUE"""),55.0)</f>
        <v>55</v>
      </c>
      <c r="J1402" s="1">
        <f>IFERROR(__xludf.DUMMYFUNCTION("""COMPUTED_VALUE"""),347.0)</f>
        <v>347</v>
      </c>
      <c r="K1402" s="1">
        <f>IFERROR(__xludf.DUMMYFUNCTION("""COMPUTED_VALUE"""),69.39999999999999)</f>
        <v>69.4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>
        <f>IFERROR(__xludf.DUMMYFUNCTION("""COMPUTED_VALUE"""),82.0)</f>
        <v>82</v>
      </c>
      <c r="E1403" s="1">
        <f>IFERROR(__xludf.DUMMYFUNCTION("""COMPUTED_VALUE"""),72.0)</f>
        <v>72</v>
      </c>
      <c r="F1403" s="1">
        <f>IFERROR(__xludf.DUMMYFUNCTION("""COMPUTED_VALUE"""),68.0)</f>
        <v>68</v>
      </c>
      <c r="G1403" s="1">
        <f>IFERROR(__xludf.DUMMYFUNCTION("""COMPUTED_VALUE"""),52.0)</f>
        <v>52</v>
      </c>
      <c r="H1403" s="1">
        <f>IFERROR(__xludf.DUMMYFUNCTION("""COMPUTED_VALUE"""),58.0)</f>
        <v>58</v>
      </c>
      <c r="I1403" s="1">
        <f>IFERROR(__xludf.DUMMYFUNCTION("""COMPUTED_VALUE"""),79.0)</f>
        <v>79</v>
      </c>
      <c r="J1403" s="1">
        <f>IFERROR(__xludf.DUMMYFUNCTION("""COMPUTED_VALUE"""),329.0)</f>
        <v>329</v>
      </c>
      <c r="K1403" s="1">
        <f>IFERROR(__xludf.DUMMYFUNCTION("""COMPUTED_VALUE"""),65.8)</f>
        <v>65.8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>
        <f>IFERROR(__xludf.DUMMYFUNCTION("""COMPUTED_VALUE"""),70.0)</f>
        <v>70</v>
      </c>
      <c r="E1404" s="1">
        <f>IFERROR(__xludf.DUMMYFUNCTION("""COMPUTED_VALUE"""),95.0)</f>
        <v>95</v>
      </c>
      <c r="F1404" s="1">
        <f>IFERROR(__xludf.DUMMYFUNCTION("""COMPUTED_VALUE"""),30.0)</f>
        <v>30</v>
      </c>
      <c r="G1404" s="1">
        <f>IFERROR(__xludf.DUMMYFUNCTION("""COMPUTED_VALUE"""),32.0)</f>
        <v>32</v>
      </c>
      <c r="H1404" s="1">
        <f>IFERROR(__xludf.DUMMYFUNCTION("""COMPUTED_VALUE"""),46.0)</f>
        <v>46</v>
      </c>
      <c r="I1404" s="1">
        <f>IFERROR(__xludf.DUMMYFUNCTION("""COMPUTED_VALUE"""),68.0)</f>
        <v>68</v>
      </c>
      <c r="J1404" s="1">
        <f>IFERROR(__xludf.DUMMYFUNCTION("""COMPUTED_VALUE"""),271.0)</f>
        <v>271</v>
      </c>
      <c r="K1404" s="1">
        <f>IFERROR(__xludf.DUMMYFUNCTION("""COMPUTED_VALUE"""),54.2)</f>
        <v>54.2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>
        <f>IFERROR(__xludf.DUMMYFUNCTION("""COMPUTED_VALUE"""),44.0)</f>
        <v>44</v>
      </c>
      <c r="E1405" s="1">
        <f>IFERROR(__xludf.DUMMYFUNCTION("""COMPUTED_VALUE"""),99.0)</f>
        <v>99</v>
      </c>
      <c r="F1405" s="1">
        <f>IFERROR(__xludf.DUMMYFUNCTION("""COMPUTED_VALUE"""),92.0)</f>
        <v>92</v>
      </c>
      <c r="G1405" s="1">
        <f>IFERROR(__xludf.DUMMYFUNCTION("""COMPUTED_VALUE"""),78.0)</f>
        <v>78</v>
      </c>
      <c r="H1405" s="1">
        <f>IFERROR(__xludf.DUMMYFUNCTION("""COMPUTED_VALUE"""),79.0)</f>
        <v>79</v>
      </c>
      <c r="I1405" s="1">
        <f>IFERROR(__xludf.DUMMYFUNCTION("""COMPUTED_VALUE"""),57.0)</f>
        <v>57</v>
      </c>
      <c r="J1405" s="1">
        <f>IFERROR(__xludf.DUMMYFUNCTION("""COMPUTED_VALUE"""),405.0)</f>
        <v>405</v>
      </c>
      <c r="K1405" s="1">
        <f>IFERROR(__xludf.DUMMYFUNCTION("""COMPUTED_VALUE"""),81.0)</f>
        <v>81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>
        <f>IFERROR(__xludf.DUMMYFUNCTION("""COMPUTED_VALUE"""),17.0)</f>
        <v>17</v>
      </c>
      <c r="E1406" s="1">
        <f>IFERROR(__xludf.DUMMYFUNCTION("""COMPUTED_VALUE"""),74.0)</f>
        <v>74</v>
      </c>
      <c r="F1406" s="1">
        <f>IFERROR(__xludf.DUMMYFUNCTION("""COMPUTED_VALUE"""),95.0)</f>
        <v>95</v>
      </c>
      <c r="G1406" s="1">
        <f>IFERROR(__xludf.DUMMYFUNCTION("""COMPUTED_VALUE"""),99.0)</f>
        <v>99</v>
      </c>
      <c r="H1406" s="1">
        <f>IFERROR(__xludf.DUMMYFUNCTION("""COMPUTED_VALUE"""),23.0)</f>
        <v>23</v>
      </c>
      <c r="I1406" s="1">
        <f>IFERROR(__xludf.DUMMYFUNCTION("""COMPUTED_VALUE"""),59.0)</f>
        <v>59</v>
      </c>
      <c r="J1406" s="1">
        <f>IFERROR(__xludf.DUMMYFUNCTION("""COMPUTED_VALUE"""),350.0)</f>
        <v>350</v>
      </c>
      <c r="K1406" s="1">
        <f>IFERROR(__xludf.DUMMYFUNCTION("""COMPUTED_VALUE"""),70.0)</f>
        <v>70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>
        <f>IFERROR(__xludf.DUMMYFUNCTION("""COMPUTED_VALUE"""),78.0)</f>
        <v>78</v>
      </c>
      <c r="E1407" s="1">
        <f>IFERROR(__xludf.DUMMYFUNCTION("""COMPUTED_VALUE"""),47.0)</f>
        <v>47</v>
      </c>
      <c r="F1407" s="1">
        <f>IFERROR(__xludf.DUMMYFUNCTION("""COMPUTED_VALUE"""),89.0)</f>
        <v>89</v>
      </c>
      <c r="G1407" s="1">
        <f>IFERROR(__xludf.DUMMYFUNCTION("""COMPUTED_VALUE"""),49.0)</f>
        <v>49</v>
      </c>
      <c r="H1407" s="1">
        <f>IFERROR(__xludf.DUMMYFUNCTION("""COMPUTED_VALUE"""),74.0)</f>
        <v>74</v>
      </c>
      <c r="I1407" s="1">
        <f>IFERROR(__xludf.DUMMYFUNCTION("""COMPUTED_VALUE"""),31.0)</f>
        <v>31</v>
      </c>
      <c r="J1407" s="1">
        <f>IFERROR(__xludf.DUMMYFUNCTION("""COMPUTED_VALUE"""),290.0)</f>
        <v>290</v>
      </c>
      <c r="K1407" s="1">
        <f>IFERROR(__xludf.DUMMYFUNCTION("""COMPUTED_VALUE"""),57.99999999999999)</f>
        <v>58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>
        <f>IFERROR(__xludf.DUMMYFUNCTION("""COMPUTED_VALUE"""),70.0)</f>
        <v>70</v>
      </c>
      <c r="E1408" s="1">
        <f>IFERROR(__xludf.DUMMYFUNCTION("""COMPUTED_VALUE"""),84.0)</f>
        <v>84</v>
      </c>
      <c r="F1408" s="1">
        <f>IFERROR(__xludf.DUMMYFUNCTION("""COMPUTED_VALUE"""),20.0)</f>
        <v>20</v>
      </c>
      <c r="G1408" s="1">
        <f>IFERROR(__xludf.DUMMYFUNCTION("""COMPUTED_VALUE"""),66.0)</f>
        <v>66</v>
      </c>
      <c r="H1408" s="1">
        <f>IFERROR(__xludf.DUMMYFUNCTION("""COMPUTED_VALUE"""),80.0)</f>
        <v>80</v>
      </c>
      <c r="I1408" s="1">
        <f>IFERROR(__xludf.DUMMYFUNCTION("""COMPUTED_VALUE"""),36.0)</f>
        <v>36</v>
      </c>
      <c r="J1408" s="1">
        <f>IFERROR(__xludf.DUMMYFUNCTION("""COMPUTED_VALUE"""),286.0)</f>
        <v>286</v>
      </c>
      <c r="K1408" s="1">
        <f>IFERROR(__xludf.DUMMYFUNCTION("""COMPUTED_VALUE"""),57.199999999999996)</f>
        <v>57.2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>
        <f>IFERROR(__xludf.DUMMYFUNCTION("""COMPUTED_VALUE"""),10.0)</f>
        <v>10</v>
      </c>
      <c r="E1409" s="1">
        <f>IFERROR(__xludf.DUMMYFUNCTION("""COMPUTED_VALUE"""),61.0)</f>
        <v>61</v>
      </c>
      <c r="F1409" s="1">
        <f>IFERROR(__xludf.DUMMYFUNCTION("""COMPUTED_VALUE"""),95.0)</f>
        <v>95</v>
      </c>
      <c r="G1409" s="1">
        <f>IFERROR(__xludf.DUMMYFUNCTION("""COMPUTED_VALUE"""),67.0)</f>
        <v>67</v>
      </c>
      <c r="H1409" s="1">
        <f>IFERROR(__xludf.DUMMYFUNCTION("""COMPUTED_VALUE"""),44.0)</f>
        <v>44</v>
      </c>
      <c r="I1409" s="1">
        <f>IFERROR(__xludf.DUMMYFUNCTION("""COMPUTED_VALUE"""),48.0)</f>
        <v>48</v>
      </c>
      <c r="J1409" s="1">
        <f>IFERROR(__xludf.DUMMYFUNCTION("""COMPUTED_VALUE"""),315.0)</f>
        <v>315</v>
      </c>
      <c r="K1409" s="1">
        <f>IFERROR(__xludf.DUMMYFUNCTION("""COMPUTED_VALUE"""),63.0)</f>
        <v>63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>
        <f>IFERROR(__xludf.DUMMYFUNCTION("""COMPUTED_VALUE"""),63.0)</f>
        <v>63</v>
      </c>
      <c r="E1410" s="1">
        <f>IFERROR(__xludf.DUMMYFUNCTION("""COMPUTED_VALUE"""),75.0)</f>
        <v>75</v>
      </c>
      <c r="F1410" s="1">
        <f>IFERROR(__xludf.DUMMYFUNCTION("""COMPUTED_VALUE"""),84.0)</f>
        <v>84</v>
      </c>
      <c r="G1410" s="1">
        <f>IFERROR(__xludf.DUMMYFUNCTION("""COMPUTED_VALUE"""),81.0)</f>
        <v>81</v>
      </c>
      <c r="H1410" s="1">
        <f>IFERROR(__xludf.DUMMYFUNCTION("""COMPUTED_VALUE"""),73.0)</f>
        <v>73</v>
      </c>
      <c r="I1410" s="1">
        <f>IFERROR(__xludf.DUMMYFUNCTION("""COMPUTED_VALUE"""),56.0)</f>
        <v>56</v>
      </c>
      <c r="J1410" s="1">
        <f>IFERROR(__xludf.DUMMYFUNCTION("""COMPUTED_VALUE"""),369.0)</f>
        <v>369</v>
      </c>
      <c r="K1410" s="1">
        <f>IFERROR(__xludf.DUMMYFUNCTION("""COMPUTED_VALUE"""),73.8)</f>
        <v>73.8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>
        <f>IFERROR(__xludf.DUMMYFUNCTION("""COMPUTED_VALUE"""),66.0)</f>
        <v>66</v>
      </c>
      <c r="E1411" s="1">
        <f>IFERROR(__xludf.DUMMYFUNCTION("""COMPUTED_VALUE"""),76.0)</f>
        <v>76</v>
      </c>
      <c r="F1411" s="1">
        <f>IFERROR(__xludf.DUMMYFUNCTION("""COMPUTED_VALUE"""),97.0)</f>
        <v>97</v>
      </c>
      <c r="G1411" s="1">
        <f>IFERROR(__xludf.DUMMYFUNCTION("""COMPUTED_VALUE"""),37.0)</f>
        <v>37</v>
      </c>
      <c r="H1411" s="1">
        <f>IFERROR(__xludf.DUMMYFUNCTION("""COMPUTED_VALUE"""),50.0)</f>
        <v>50</v>
      </c>
      <c r="I1411" s="1">
        <f>IFERROR(__xludf.DUMMYFUNCTION("""COMPUTED_VALUE"""),35.0)</f>
        <v>35</v>
      </c>
      <c r="J1411" s="1">
        <f>IFERROR(__xludf.DUMMYFUNCTION("""COMPUTED_VALUE"""),295.0)</f>
        <v>295</v>
      </c>
      <c r="K1411" s="1">
        <f>IFERROR(__xludf.DUMMYFUNCTION("""COMPUTED_VALUE"""),59.0)</f>
        <v>59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>
        <f>IFERROR(__xludf.DUMMYFUNCTION("""COMPUTED_VALUE"""),52.0)</f>
        <v>52</v>
      </c>
      <c r="E1412" s="1">
        <f>IFERROR(__xludf.DUMMYFUNCTION("""COMPUTED_VALUE"""),24.0)</f>
        <v>24</v>
      </c>
      <c r="F1412" s="1">
        <f>IFERROR(__xludf.DUMMYFUNCTION("""COMPUTED_VALUE"""),57.0)</f>
        <v>57</v>
      </c>
      <c r="G1412" s="1">
        <f>IFERROR(__xludf.DUMMYFUNCTION("""COMPUTED_VALUE"""),48.0)</f>
        <v>48</v>
      </c>
      <c r="H1412" s="1">
        <f>IFERROR(__xludf.DUMMYFUNCTION("""COMPUTED_VALUE"""),32.0)</f>
        <v>32</v>
      </c>
      <c r="I1412" s="1">
        <f>IFERROR(__xludf.DUMMYFUNCTION("""COMPUTED_VALUE"""),77.0)</f>
        <v>77</v>
      </c>
      <c r="J1412" s="1">
        <f>IFERROR(__xludf.DUMMYFUNCTION("""COMPUTED_VALUE"""),238.0)</f>
        <v>238</v>
      </c>
      <c r="K1412" s="1">
        <f>IFERROR(__xludf.DUMMYFUNCTION("""COMPUTED_VALUE"""),47.599999999999994)</f>
        <v>47.6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>
        <f>IFERROR(__xludf.DUMMYFUNCTION("""COMPUTED_VALUE"""),61.0)</f>
        <v>61</v>
      </c>
      <c r="E1413" s="1">
        <f>IFERROR(__xludf.DUMMYFUNCTION("""COMPUTED_VALUE"""),96.0)</f>
        <v>96</v>
      </c>
      <c r="F1413" s="1">
        <f>IFERROR(__xludf.DUMMYFUNCTION("""COMPUTED_VALUE"""),98.0)</f>
        <v>98</v>
      </c>
      <c r="G1413" s="1">
        <f>IFERROR(__xludf.DUMMYFUNCTION("""COMPUTED_VALUE"""),86.0)</f>
        <v>86</v>
      </c>
      <c r="H1413" s="1">
        <f>IFERROR(__xludf.DUMMYFUNCTION("""COMPUTED_VALUE"""),36.0)</f>
        <v>36</v>
      </c>
      <c r="I1413" s="1">
        <f>IFERROR(__xludf.DUMMYFUNCTION("""COMPUTED_VALUE"""),97.0)</f>
        <v>97</v>
      </c>
      <c r="J1413" s="1">
        <f>IFERROR(__xludf.DUMMYFUNCTION("""COMPUTED_VALUE"""),413.0)</f>
        <v>413</v>
      </c>
      <c r="K1413" s="1">
        <f>IFERROR(__xludf.DUMMYFUNCTION("""COMPUTED_VALUE"""),82.6)</f>
        <v>82.6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>
        <f>IFERROR(__xludf.DUMMYFUNCTION("""COMPUTED_VALUE"""),72.0)</f>
        <v>72</v>
      </c>
      <c r="E1414" s="1">
        <f>IFERROR(__xludf.DUMMYFUNCTION("""COMPUTED_VALUE"""),53.0)</f>
        <v>53</v>
      </c>
      <c r="F1414" s="1">
        <f>IFERROR(__xludf.DUMMYFUNCTION("""COMPUTED_VALUE"""),60.0)</f>
        <v>60</v>
      </c>
      <c r="G1414" s="1">
        <f>IFERROR(__xludf.DUMMYFUNCTION("""COMPUTED_VALUE"""),77.0)</f>
        <v>77</v>
      </c>
      <c r="H1414" s="1">
        <f>IFERROR(__xludf.DUMMYFUNCTION("""COMPUTED_VALUE"""),23.0)</f>
        <v>23</v>
      </c>
      <c r="I1414" s="1">
        <f>IFERROR(__xludf.DUMMYFUNCTION("""COMPUTED_VALUE"""),38.0)</f>
        <v>38</v>
      </c>
      <c r="J1414" s="1">
        <f>IFERROR(__xludf.DUMMYFUNCTION("""COMPUTED_VALUE"""),251.0)</f>
        <v>251</v>
      </c>
      <c r="K1414" s="1">
        <f>IFERROR(__xludf.DUMMYFUNCTION("""COMPUTED_VALUE"""),50.2)</f>
        <v>50.2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>
        <f>IFERROR(__xludf.DUMMYFUNCTION("""COMPUTED_VALUE"""),81.0)</f>
        <v>81</v>
      </c>
      <c r="E1415" s="1">
        <f>IFERROR(__xludf.DUMMYFUNCTION("""COMPUTED_VALUE"""),68.0)</f>
        <v>68</v>
      </c>
      <c r="F1415" s="1">
        <f>IFERROR(__xludf.DUMMYFUNCTION("""COMPUTED_VALUE"""),64.0)</f>
        <v>64</v>
      </c>
      <c r="G1415" s="1">
        <f>IFERROR(__xludf.DUMMYFUNCTION("""COMPUTED_VALUE"""),76.0)</f>
        <v>76</v>
      </c>
      <c r="H1415" s="1">
        <f>IFERROR(__xludf.DUMMYFUNCTION("""COMPUTED_VALUE"""),34.0)</f>
        <v>34</v>
      </c>
      <c r="I1415" s="1">
        <f>IFERROR(__xludf.DUMMYFUNCTION("""COMPUTED_VALUE"""),46.0)</f>
        <v>46</v>
      </c>
      <c r="J1415" s="1">
        <f>IFERROR(__xludf.DUMMYFUNCTION("""COMPUTED_VALUE"""),288.0)</f>
        <v>288</v>
      </c>
      <c r="K1415" s="1">
        <f>IFERROR(__xludf.DUMMYFUNCTION("""COMPUTED_VALUE"""),57.599999999999994)</f>
        <v>57.6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>
        <f>IFERROR(__xludf.DUMMYFUNCTION("""COMPUTED_VALUE"""),52.0)</f>
        <v>52</v>
      </c>
      <c r="E1416" s="1">
        <f>IFERROR(__xludf.DUMMYFUNCTION("""COMPUTED_VALUE"""),23.0)</f>
        <v>23</v>
      </c>
      <c r="F1416" s="1">
        <f>IFERROR(__xludf.DUMMYFUNCTION("""COMPUTED_VALUE"""),61.0)</f>
        <v>61</v>
      </c>
      <c r="G1416" s="1">
        <f>IFERROR(__xludf.DUMMYFUNCTION("""COMPUTED_VALUE"""),54.0)</f>
        <v>54</v>
      </c>
      <c r="H1416" s="1">
        <f>IFERROR(__xludf.DUMMYFUNCTION("""COMPUTED_VALUE"""),67.0)</f>
        <v>67</v>
      </c>
      <c r="I1416" s="1">
        <f>IFERROR(__xludf.DUMMYFUNCTION("""COMPUTED_VALUE"""),91.0)</f>
        <v>91</v>
      </c>
      <c r="J1416" s="1">
        <f>IFERROR(__xludf.DUMMYFUNCTION("""COMPUTED_VALUE"""),296.0)</f>
        <v>296</v>
      </c>
      <c r="K1416" s="1">
        <f>IFERROR(__xludf.DUMMYFUNCTION("""COMPUTED_VALUE"""),59.199999999999996)</f>
        <v>59.2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>
        <f>IFERROR(__xludf.DUMMYFUNCTION("""COMPUTED_VALUE"""),51.0)</f>
        <v>51</v>
      </c>
      <c r="E1417" s="1">
        <f>IFERROR(__xludf.DUMMYFUNCTION("""COMPUTED_VALUE"""),27.0)</f>
        <v>27</v>
      </c>
      <c r="F1417" s="1">
        <f>IFERROR(__xludf.DUMMYFUNCTION("""COMPUTED_VALUE"""),79.0)</f>
        <v>79</v>
      </c>
      <c r="G1417" s="1">
        <f>IFERROR(__xludf.DUMMYFUNCTION("""COMPUTED_VALUE"""),65.0)</f>
        <v>65</v>
      </c>
      <c r="H1417" s="1">
        <f>IFERROR(__xludf.DUMMYFUNCTION("""COMPUTED_VALUE"""),21.0)</f>
        <v>21</v>
      </c>
      <c r="I1417" s="1">
        <f>IFERROR(__xludf.DUMMYFUNCTION("""COMPUTED_VALUE"""),82.0)</f>
        <v>82</v>
      </c>
      <c r="J1417" s="1">
        <f>IFERROR(__xludf.DUMMYFUNCTION("""COMPUTED_VALUE"""),274.0)</f>
        <v>274</v>
      </c>
      <c r="K1417" s="1">
        <f>IFERROR(__xludf.DUMMYFUNCTION("""COMPUTED_VALUE"""),54.800000000000004)</f>
        <v>54.8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>
        <f>IFERROR(__xludf.DUMMYFUNCTION("""COMPUTED_VALUE"""),34.0)</f>
        <v>34</v>
      </c>
      <c r="E1418" s="1">
        <f>IFERROR(__xludf.DUMMYFUNCTION("""COMPUTED_VALUE"""),33.0)</f>
        <v>33</v>
      </c>
      <c r="F1418" s="1">
        <f>IFERROR(__xludf.DUMMYFUNCTION("""COMPUTED_VALUE"""),54.0)</f>
        <v>54</v>
      </c>
      <c r="G1418" s="1">
        <f>IFERROR(__xludf.DUMMYFUNCTION("""COMPUTED_VALUE"""),33.0)</f>
        <v>33</v>
      </c>
      <c r="H1418" s="1">
        <f>IFERROR(__xludf.DUMMYFUNCTION("""COMPUTED_VALUE"""),47.0)</f>
        <v>47</v>
      </c>
      <c r="I1418" s="1">
        <f>IFERROR(__xludf.DUMMYFUNCTION("""COMPUTED_VALUE"""),63.0)</f>
        <v>63</v>
      </c>
      <c r="J1418" s="1">
        <f>IFERROR(__xludf.DUMMYFUNCTION("""COMPUTED_VALUE"""),230.0)</f>
        <v>230</v>
      </c>
      <c r="K1418" s="1">
        <f>IFERROR(__xludf.DUMMYFUNCTION("""COMPUTED_VALUE"""),46.0)</f>
        <v>46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>
        <f>IFERROR(__xludf.DUMMYFUNCTION("""COMPUTED_VALUE"""),84.0)</f>
        <v>84</v>
      </c>
      <c r="E1419" s="1">
        <f>IFERROR(__xludf.DUMMYFUNCTION("""COMPUTED_VALUE"""),40.0)</f>
        <v>40</v>
      </c>
      <c r="F1419" s="1">
        <f>IFERROR(__xludf.DUMMYFUNCTION("""COMPUTED_VALUE"""),62.0)</f>
        <v>62</v>
      </c>
      <c r="G1419" s="1">
        <f>IFERROR(__xludf.DUMMYFUNCTION("""COMPUTED_VALUE"""),45.0)</f>
        <v>45</v>
      </c>
      <c r="H1419" s="1">
        <f>IFERROR(__xludf.DUMMYFUNCTION("""COMPUTED_VALUE"""),55.0)</f>
        <v>55</v>
      </c>
      <c r="I1419" s="1">
        <f>IFERROR(__xludf.DUMMYFUNCTION("""COMPUTED_VALUE"""),64.0)</f>
        <v>64</v>
      </c>
      <c r="J1419" s="1">
        <f>IFERROR(__xludf.DUMMYFUNCTION("""COMPUTED_VALUE"""),266.0)</f>
        <v>266</v>
      </c>
      <c r="K1419" s="1">
        <f>IFERROR(__xludf.DUMMYFUNCTION("""COMPUTED_VALUE"""),53.2)</f>
        <v>53.2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>
        <f>IFERROR(__xludf.DUMMYFUNCTION("""COMPUTED_VALUE"""),35.0)</f>
        <v>35</v>
      </c>
      <c r="E1420" s="1">
        <f>IFERROR(__xludf.DUMMYFUNCTION("""COMPUTED_VALUE"""),28.0)</f>
        <v>28</v>
      </c>
      <c r="F1420" s="1">
        <f>IFERROR(__xludf.DUMMYFUNCTION("""COMPUTED_VALUE"""),74.0)</f>
        <v>74</v>
      </c>
      <c r="G1420" s="1">
        <f>IFERROR(__xludf.DUMMYFUNCTION("""COMPUTED_VALUE"""),59.0)</f>
        <v>59</v>
      </c>
      <c r="H1420" s="1">
        <f>IFERROR(__xludf.DUMMYFUNCTION("""COMPUTED_VALUE"""),88.0)</f>
        <v>88</v>
      </c>
      <c r="I1420" s="1">
        <f>IFERROR(__xludf.DUMMYFUNCTION("""COMPUTED_VALUE"""),31.0)</f>
        <v>31</v>
      </c>
      <c r="J1420" s="1">
        <f>IFERROR(__xludf.DUMMYFUNCTION("""COMPUTED_VALUE"""),280.0)</f>
        <v>280</v>
      </c>
      <c r="K1420" s="1">
        <f>IFERROR(__xludf.DUMMYFUNCTION("""COMPUTED_VALUE"""),56.00000000000001)</f>
        <v>56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>
        <f>IFERROR(__xludf.DUMMYFUNCTION("""COMPUTED_VALUE"""),67.0)</f>
        <v>67</v>
      </c>
      <c r="E1421" s="1">
        <f>IFERROR(__xludf.DUMMYFUNCTION("""COMPUTED_VALUE"""),73.0)</f>
        <v>73</v>
      </c>
      <c r="F1421" s="1">
        <f>IFERROR(__xludf.DUMMYFUNCTION("""COMPUTED_VALUE"""),32.0)</f>
        <v>32</v>
      </c>
      <c r="G1421" s="1">
        <f>IFERROR(__xludf.DUMMYFUNCTION("""COMPUTED_VALUE"""),44.0)</f>
        <v>44</v>
      </c>
      <c r="H1421" s="1">
        <f>IFERROR(__xludf.DUMMYFUNCTION("""COMPUTED_VALUE"""),25.0)</f>
        <v>25</v>
      </c>
      <c r="I1421" s="1">
        <f>IFERROR(__xludf.DUMMYFUNCTION("""COMPUTED_VALUE"""),94.0)</f>
        <v>94</v>
      </c>
      <c r="J1421" s="1">
        <f>IFERROR(__xludf.DUMMYFUNCTION("""COMPUTED_VALUE"""),268.0)</f>
        <v>268</v>
      </c>
      <c r="K1421" s="1">
        <f>IFERROR(__xludf.DUMMYFUNCTION("""COMPUTED_VALUE"""),53.6)</f>
        <v>53.6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>
        <f>IFERROR(__xludf.DUMMYFUNCTION("""COMPUTED_VALUE"""),53.0)</f>
        <v>53</v>
      </c>
      <c r="E1422" s="1">
        <f>IFERROR(__xludf.DUMMYFUNCTION("""COMPUTED_VALUE"""),94.0)</f>
        <v>94</v>
      </c>
      <c r="F1422" s="1">
        <f>IFERROR(__xludf.DUMMYFUNCTION("""COMPUTED_VALUE"""),83.0)</f>
        <v>83</v>
      </c>
      <c r="G1422" s="1">
        <f>IFERROR(__xludf.DUMMYFUNCTION("""COMPUTED_VALUE"""),87.0)</f>
        <v>87</v>
      </c>
      <c r="H1422" s="1">
        <f>IFERROR(__xludf.DUMMYFUNCTION("""COMPUTED_VALUE"""),76.0)</f>
        <v>76</v>
      </c>
      <c r="I1422" s="1">
        <f>IFERROR(__xludf.DUMMYFUNCTION("""COMPUTED_VALUE"""),73.0)</f>
        <v>73</v>
      </c>
      <c r="J1422" s="1">
        <f>IFERROR(__xludf.DUMMYFUNCTION("""COMPUTED_VALUE"""),413.0)</f>
        <v>413</v>
      </c>
      <c r="K1422" s="1">
        <f>IFERROR(__xludf.DUMMYFUNCTION("""COMPUTED_VALUE"""),82.6)</f>
        <v>82.6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>
        <f>IFERROR(__xludf.DUMMYFUNCTION("""COMPUTED_VALUE"""),22.0)</f>
        <v>22</v>
      </c>
      <c r="E1423" s="1">
        <f>IFERROR(__xludf.DUMMYFUNCTION("""COMPUTED_VALUE"""),52.0)</f>
        <v>52</v>
      </c>
      <c r="F1423" s="1">
        <f>IFERROR(__xludf.DUMMYFUNCTION("""COMPUTED_VALUE"""),88.0)</f>
        <v>88</v>
      </c>
      <c r="G1423" s="1">
        <f>IFERROR(__xludf.DUMMYFUNCTION("""COMPUTED_VALUE"""),63.0)</f>
        <v>63</v>
      </c>
      <c r="H1423" s="1">
        <f>IFERROR(__xludf.DUMMYFUNCTION("""COMPUTED_VALUE"""),68.0)</f>
        <v>68</v>
      </c>
      <c r="I1423" s="1">
        <f>IFERROR(__xludf.DUMMYFUNCTION("""COMPUTED_VALUE"""),80.0)</f>
        <v>80</v>
      </c>
      <c r="J1423" s="1">
        <f>IFERROR(__xludf.DUMMYFUNCTION("""COMPUTED_VALUE"""),351.0)</f>
        <v>351</v>
      </c>
      <c r="K1423" s="1">
        <f>IFERROR(__xludf.DUMMYFUNCTION("""COMPUTED_VALUE"""),70.19999999999999)</f>
        <v>70.2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>
        <f>IFERROR(__xludf.DUMMYFUNCTION("""COMPUTED_VALUE"""),84.0)</f>
        <v>84</v>
      </c>
      <c r="E1424" s="1">
        <f>IFERROR(__xludf.DUMMYFUNCTION("""COMPUTED_VALUE"""),78.0)</f>
        <v>78</v>
      </c>
      <c r="F1424" s="1">
        <f>IFERROR(__xludf.DUMMYFUNCTION("""COMPUTED_VALUE"""),62.0)</f>
        <v>62</v>
      </c>
      <c r="G1424" s="1">
        <f>IFERROR(__xludf.DUMMYFUNCTION("""COMPUTED_VALUE"""),50.0)</f>
        <v>50</v>
      </c>
      <c r="H1424" s="1">
        <f>IFERROR(__xludf.DUMMYFUNCTION("""COMPUTED_VALUE"""),38.0)</f>
        <v>38</v>
      </c>
      <c r="I1424" s="1">
        <f>IFERROR(__xludf.DUMMYFUNCTION("""COMPUTED_VALUE"""),97.0)</f>
        <v>97</v>
      </c>
      <c r="J1424" s="1">
        <f>IFERROR(__xludf.DUMMYFUNCTION("""COMPUTED_VALUE"""),325.0)</f>
        <v>325</v>
      </c>
      <c r="K1424" s="1">
        <f>IFERROR(__xludf.DUMMYFUNCTION("""COMPUTED_VALUE"""),65.0)</f>
        <v>65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>
        <f>IFERROR(__xludf.DUMMYFUNCTION("""COMPUTED_VALUE"""),35.0)</f>
        <v>35</v>
      </c>
      <c r="E1425" s="1">
        <f>IFERROR(__xludf.DUMMYFUNCTION("""COMPUTED_VALUE"""),35.0)</f>
        <v>35</v>
      </c>
      <c r="F1425" s="1">
        <f>IFERROR(__xludf.DUMMYFUNCTION("""COMPUTED_VALUE"""),78.0)</f>
        <v>78</v>
      </c>
      <c r="G1425" s="1">
        <f>IFERROR(__xludf.DUMMYFUNCTION("""COMPUTED_VALUE"""),66.0)</f>
        <v>66</v>
      </c>
      <c r="H1425" s="1">
        <f>IFERROR(__xludf.DUMMYFUNCTION("""COMPUTED_VALUE"""),79.0)</f>
        <v>79</v>
      </c>
      <c r="I1425" s="1">
        <f>IFERROR(__xludf.DUMMYFUNCTION("""COMPUTED_VALUE"""),28.0)</f>
        <v>28</v>
      </c>
      <c r="J1425" s="1">
        <f>IFERROR(__xludf.DUMMYFUNCTION("""COMPUTED_VALUE"""),286.0)</f>
        <v>286</v>
      </c>
      <c r="K1425" s="1">
        <f>IFERROR(__xludf.DUMMYFUNCTION("""COMPUTED_VALUE"""),57.199999999999996)</f>
        <v>57.2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>
        <f>IFERROR(__xludf.DUMMYFUNCTION("""COMPUTED_VALUE"""),29.0)</f>
        <v>29</v>
      </c>
      <c r="E1426" s="1">
        <f>IFERROR(__xludf.DUMMYFUNCTION("""COMPUTED_VALUE"""),98.0)</f>
        <v>98</v>
      </c>
      <c r="F1426" s="1">
        <f>IFERROR(__xludf.DUMMYFUNCTION("""COMPUTED_VALUE"""),66.0)</f>
        <v>66</v>
      </c>
      <c r="G1426" s="1">
        <f>IFERROR(__xludf.DUMMYFUNCTION("""COMPUTED_VALUE"""),68.0)</f>
        <v>68</v>
      </c>
      <c r="H1426" s="1">
        <f>IFERROR(__xludf.DUMMYFUNCTION("""COMPUTED_VALUE"""),80.0)</f>
        <v>80</v>
      </c>
      <c r="I1426" s="1">
        <f>IFERROR(__xludf.DUMMYFUNCTION("""COMPUTED_VALUE"""),65.0)</f>
        <v>65</v>
      </c>
      <c r="J1426" s="1">
        <f>IFERROR(__xludf.DUMMYFUNCTION("""COMPUTED_VALUE"""),377.0)</f>
        <v>377</v>
      </c>
      <c r="K1426" s="1">
        <f>IFERROR(__xludf.DUMMYFUNCTION("""COMPUTED_VALUE"""),75.4)</f>
        <v>75.4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>
        <f>IFERROR(__xludf.DUMMYFUNCTION("""COMPUTED_VALUE"""),60.0)</f>
        <v>60</v>
      </c>
      <c r="E1427" s="1">
        <f>IFERROR(__xludf.DUMMYFUNCTION("""COMPUTED_VALUE"""),68.0)</f>
        <v>68</v>
      </c>
      <c r="F1427" s="1">
        <f>IFERROR(__xludf.DUMMYFUNCTION("""COMPUTED_VALUE"""),85.0)</f>
        <v>85</v>
      </c>
      <c r="G1427" s="1">
        <f>IFERROR(__xludf.DUMMYFUNCTION("""COMPUTED_VALUE"""),37.0)</f>
        <v>37</v>
      </c>
      <c r="H1427" s="1">
        <f>IFERROR(__xludf.DUMMYFUNCTION("""COMPUTED_VALUE"""),31.0)</f>
        <v>31</v>
      </c>
      <c r="I1427" s="1">
        <f>IFERROR(__xludf.DUMMYFUNCTION("""COMPUTED_VALUE"""),46.0)</f>
        <v>46</v>
      </c>
      <c r="J1427" s="1">
        <f>IFERROR(__xludf.DUMMYFUNCTION("""COMPUTED_VALUE"""),267.0)</f>
        <v>267</v>
      </c>
      <c r="K1427" s="1">
        <f>IFERROR(__xludf.DUMMYFUNCTION("""COMPUTED_VALUE"""),53.400000000000006)</f>
        <v>53.4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>
        <f>IFERROR(__xludf.DUMMYFUNCTION("""COMPUTED_VALUE"""),46.0)</f>
        <v>46</v>
      </c>
      <c r="E1428" s="1">
        <f>IFERROR(__xludf.DUMMYFUNCTION("""COMPUTED_VALUE"""),75.0)</f>
        <v>75</v>
      </c>
      <c r="F1428" s="1">
        <f>IFERROR(__xludf.DUMMYFUNCTION("""COMPUTED_VALUE"""),45.0)</f>
        <v>45</v>
      </c>
      <c r="G1428" s="1">
        <f>IFERROR(__xludf.DUMMYFUNCTION("""COMPUTED_VALUE"""),63.0)</f>
        <v>63</v>
      </c>
      <c r="H1428" s="1">
        <f>IFERROR(__xludf.DUMMYFUNCTION("""COMPUTED_VALUE"""),88.0)</f>
        <v>88</v>
      </c>
      <c r="I1428" s="1">
        <f>IFERROR(__xludf.DUMMYFUNCTION("""COMPUTED_VALUE"""),31.0)</f>
        <v>31</v>
      </c>
      <c r="J1428" s="1">
        <f>IFERROR(__xludf.DUMMYFUNCTION("""COMPUTED_VALUE"""),302.0)</f>
        <v>302</v>
      </c>
      <c r="K1428" s="1">
        <f>IFERROR(__xludf.DUMMYFUNCTION("""COMPUTED_VALUE"""),60.4)</f>
        <v>60.4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>
        <f>IFERROR(__xludf.DUMMYFUNCTION("""COMPUTED_VALUE"""),72.0)</f>
        <v>72</v>
      </c>
      <c r="E1429" s="1">
        <f>IFERROR(__xludf.DUMMYFUNCTION("""COMPUTED_VALUE"""),24.0)</f>
        <v>24</v>
      </c>
      <c r="F1429" s="1">
        <f>IFERROR(__xludf.DUMMYFUNCTION("""COMPUTED_VALUE"""),95.0)</f>
        <v>95</v>
      </c>
      <c r="G1429" s="1">
        <f>IFERROR(__xludf.DUMMYFUNCTION("""COMPUTED_VALUE"""),82.0)</f>
        <v>82</v>
      </c>
      <c r="H1429" s="1">
        <f>IFERROR(__xludf.DUMMYFUNCTION("""COMPUTED_VALUE"""),38.0)</f>
        <v>38</v>
      </c>
      <c r="I1429" s="1">
        <f>IFERROR(__xludf.DUMMYFUNCTION("""COMPUTED_VALUE"""),47.0)</f>
        <v>47</v>
      </c>
      <c r="J1429" s="1">
        <f>IFERROR(__xludf.DUMMYFUNCTION("""COMPUTED_VALUE"""),286.0)</f>
        <v>286</v>
      </c>
      <c r="K1429" s="1">
        <f>IFERROR(__xludf.DUMMYFUNCTION("""COMPUTED_VALUE"""),57.199999999999996)</f>
        <v>57.2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>
        <f>IFERROR(__xludf.DUMMYFUNCTION("""COMPUTED_VALUE"""),16.0)</f>
        <v>16</v>
      </c>
      <c r="E1430" s="1">
        <f>IFERROR(__xludf.DUMMYFUNCTION("""COMPUTED_VALUE"""),31.0)</f>
        <v>31</v>
      </c>
      <c r="F1430" s="1">
        <f>IFERROR(__xludf.DUMMYFUNCTION("""COMPUTED_VALUE"""),86.0)</f>
        <v>86</v>
      </c>
      <c r="G1430" s="1">
        <f>IFERROR(__xludf.DUMMYFUNCTION("""COMPUTED_VALUE"""),80.0)</f>
        <v>80</v>
      </c>
      <c r="H1430" s="1">
        <f>IFERROR(__xludf.DUMMYFUNCTION("""COMPUTED_VALUE"""),39.0)</f>
        <v>39</v>
      </c>
      <c r="I1430" s="1">
        <f>IFERROR(__xludf.DUMMYFUNCTION("""COMPUTED_VALUE"""),59.0)</f>
        <v>59</v>
      </c>
      <c r="J1430" s="1">
        <f>IFERROR(__xludf.DUMMYFUNCTION("""COMPUTED_VALUE"""),295.0)</f>
        <v>295</v>
      </c>
      <c r="K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>
        <f>IFERROR(__xludf.DUMMYFUNCTION("""COMPUTED_VALUE"""),48.0)</f>
        <v>48</v>
      </c>
      <c r="E1431" s="1">
        <f>IFERROR(__xludf.DUMMYFUNCTION("""COMPUTED_VALUE"""),35.0)</f>
        <v>35</v>
      </c>
      <c r="F1431" s="1">
        <f>IFERROR(__xludf.DUMMYFUNCTION("""COMPUTED_VALUE"""),24.0)</f>
        <v>24</v>
      </c>
      <c r="G1431" s="1">
        <f>IFERROR(__xludf.DUMMYFUNCTION("""COMPUTED_VALUE"""),30.0)</f>
        <v>30</v>
      </c>
      <c r="H1431" s="1">
        <f>IFERROR(__xludf.DUMMYFUNCTION("""COMPUTED_VALUE"""),92.0)</f>
        <v>92</v>
      </c>
      <c r="I1431" s="1">
        <f>IFERROR(__xludf.DUMMYFUNCTION("""COMPUTED_VALUE"""),95.0)</f>
        <v>95</v>
      </c>
      <c r="J1431" s="1">
        <f>IFERROR(__xludf.DUMMYFUNCTION("""COMPUTED_VALUE"""),276.0)</f>
        <v>276</v>
      </c>
      <c r="K1431" s="1">
        <f>IFERROR(__xludf.DUMMYFUNCTION("""COMPUTED_VALUE"""),55.2)</f>
        <v>55.2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>
        <f>IFERROR(__xludf.DUMMYFUNCTION("""COMPUTED_VALUE"""),87.0)</f>
        <v>87</v>
      </c>
      <c r="E1432" s="1">
        <f>IFERROR(__xludf.DUMMYFUNCTION("""COMPUTED_VALUE"""),68.0)</f>
        <v>68</v>
      </c>
      <c r="F1432" s="1">
        <f>IFERROR(__xludf.DUMMYFUNCTION("""COMPUTED_VALUE"""),38.0)</f>
        <v>38</v>
      </c>
      <c r="G1432" s="1">
        <f>IFERROR(__xludf.DUMMYFUNCTION("""COMPUTED_VALUE"""),70.0)</f>
        <v>70</v>
      </c>
      <c r="H1432" s="1">
        <f>IFERROR(__xludf.DUMMYFUNCTION("""COMPUTED_VALUE"""),76.0)</f>
        <v>76</v>
      </c>
      <c r="I1432" s="1">
        <f>IFERROR(__xludf.DUMMYFUNCTION("""COMPUTED_VALUE"""),62.0)</f>
        <v>62</v>
      </c>
      <c r="J1432" s="1">
        <f>IFERROR(__xludf.DUMMYFUNCTION("""COMPUTED_VALUE"""),314.0)</f>
        <v>314</v>
      </c>
      <c r="K1432" s="1">
        <f>IFERROR(__xludf.DUMMYFUNCTION("""COMPUTED_VALUE"""),62.8)</f>
        <v>62.8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>
        <f>IFERROR(__xludf.DUMMYFUNCTION("""COMPUTED_VALUE"""),59.0)</f>
        <v>59</v>
      </c>
      <c r="E1433" s="1">
        <f>IFERROR(__xludf.DUMMYFUNCTION("""COMPUTED_VALUE"""),38.0)</f>
        <v>38</v>
      </c>
      <c r="F1433" s="1">
        <f>IFERROR(__xludf.DUMMYFUNCTION("""COMPUTED_VALUE"""),30.0)</f>
        <v>30</v>
      </c>
      <c r="G1433" s="1">
        <f>IFERROR(__xludf.DUMMYFUNCTION("""COMPUTED_VALUE"""),92.0)</f>
        <v>92</v>
      </c>
      <c r="H1433" s="1">
        <f>IFERROR(__xludf.DUMMYFUNCTION("""COMPUTED_VALUE"""),31.0)</f>
        <v>31</v>
      </c>
      <c r="I1433" s="1">
        <f>IFERROR(__xludf.DUMMYFUNCTION("""COMPUTED_VALUE"""),84.0)</f>
        <v>84</v>
      </c>
      <c r="J1433" s="1">
        <f>IFERROR(__xludf.DUMMYFUNCTION("""COMPUTED_VALUE"""),275.0)</f>
        <v>275</v>
      </c>
      <c r="K1433" s="1">
        <f>IFERROR(__xludf.DUMMYFUNCTION("""COMPUTED_VALUE"""),55.00000000000001)</f>
        <v>55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>
        <f>IFERROR(__xludf.DUMMYFUNCTION("""COMPUTED_VALUE"""),57.0)</f>
        <v>57</v>
      </c>
      <c r="E1434" s="1">
        <f>IFERROR(__xludf.DUMMYFUNCTION("""COMPUTED_VALUE"""),69.0)</f>
        <v>69</v>
      </c>
      <c r="F1434" s="1">
        <f>IFERROR(__xludf.DUMMYFUNCTION("""COMPUTED_VALUE"""),97.0)</f>
        <v>97</v>
      </c>
      <c r="G1434" s="1">
        <f>IFERROR(__xludf.DUMMYFUNCTION("""COMPUTED_VALUE"""),68.0)</f>
        <v>68</v>
      </c>
      <c r="H1434" s="1">
        <f>IFERROR(__xludf.DUMMYFUNCTION("""COMPUTED_VALUE"""),68.0)</f>
        <v>68</v>
      </c>
      <c r="I1434" s="1">
        <f>IFERROR(__xludf.DUMMYFUNCTION("""COMPUTED_VALUE"""),53.0)</f>
        <v>53</v>
      </c>
      <c r="J1434" s="1">
        <f>IFERROR(__xludf.DUMMYFUNCTION("""COMPUTED_VALUE"""),355.0)</f>
        <v>355</v>
      </c>
      <c r="K1434" s="1">
        <f>IFERROR(__xludf.DUMMYFUNCTION("""COMPUTED_VALUE"""),71.0)</f>
        <v>71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>
        <f>IFERROR(__xludf.DUMMYFUNCTION("""COMPUTED_VALUE"""),45.0)</f>
        <v>45</v>
      </c>
      <c r="E1435" s="1">
        <f>IFERROR(__xludf.DUMMYFUNCTION("""COMPUTED_VALUE"""),77.0)</f>
        <v>77</v>
      </c>
      <c r="F1435" s="1">
        <f>IFERROR(__xludf.DUMMYFUNCTION("""COMPUTED_VALUE"""),22.0)</f>
        <v>22</v>
      </c>
      <c r="G1435" s="1">
        <f>IFERROR(__xludf.DUMMYFUNCTION("""COMPUTED_VALUE"""),96.0)</f>
        <v>96</v>
      </c>
      <c r="H1435" s="1">
        <f>IFERROR(__xludf.DUMMYFUNCTION("""COMPUTED_VALUE"""),95.0)</f>
        <v>95</v>
      </c>
      <c r="I1435" s="1">
        <f>IFERROR(__xludf.DUMMYFUNCTION("""COMPUTED_VALUE"""),39.0)</f>
        <v>39</v>
      </c>
      <c r="J1435" s="1">
        <f>IFERROR(__xludf.DUMMYFUNCTION("""COMPUTED_VALUE"""),329.0)</f>
        <v>329</v>
      </c>
      <c r="K1435" s="1">
        <f>IFERROR(__xludf.DUMMYFUNCTION("""COMPUTED_VALUE"""),65.8)</f>
        <v>65.8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>
        <f>IFERROR(__xludf.DUMMYFUNCTION("""COMPUTED_VALUE"""),16.0)</f>
        <v>16</v>
      </c>
      <c r="E1436" s="1">
        <f>IFERROR(__xludf.DUMMYFUNCTION("""COMPUTED_VALUE"""),96.0)</f>
        <v>96</v>
      </c>
      <c r="F1436" s="1">
        <f>IFERROR(__xludf.DUMMYFUNCTION("""COMPUTED_VALUE"""),35.0)</f>
        <v>35</v>
      </c>
      <c r="G1436" s="1">
        <f>IFERROR(__xludf.DUMMYFUNCTION("""COMPUTED_VALUE"""),52.0)</f>
        <v>52</v>
      </c>
      <c r="H1436" s="1">
        <f>IFERROR(__xludf.DUMMYFUNCTION("""COMPUTED_VALUE"""),79.0)</f>
        <v>79</v>
      </c>
      <c r="I1436" s="1">
        <f>IFERROR(__xludf.DUMMYFUNCTION("""COMPUTED_VALUE"""),22.0)</f>
        <v>22</v>
      </c>
      <c r="J1436" s="1">
        <f>IFERROR(__xludf.DUMMYFUNCTION("""COMPUTED_VALUE"""),284.0)</f>
        <v>284</v>
      </c>
      <c r="K1436" s="1">
        <f>IFERROR(__xludf.DUMMYFUNCTION("""COMPUTED_VALUE"""),56.8)</f>
        <v>56.8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>
        <f>IFERROR(__xludf.DUMMYFUNCTION("""COMPUTED_VALUE"""),62.0)</f>
        <v>62</v>
      </c>
      <c r="E1437" s="1">
        <f>IFERROR(__xludf.DUMMYFUNCTION("""COMPUTED_VALUE"""),83.0)</f>
        <v>83</v>
      </c>
      <c r="F1437" s="1">
        <f>IFERROR(__xludf.DUMMYFUNCTION("""COMPUTED_VALUE"""),89.0)</f>
        <v>89</v>
      </c>
      <c r="G1437" s="1">
        <f>IFERROR(__xludf.DUMMYFUNCTION("""COMPUTED_VALUE"""),85.0)</f>
        <v>85</v>
      </c>
      <c r="H1437" s="1">
        <f>IFERROR(__xludf.DUMMYFUNCTION("""COMPUTED_VALUE"""),81.0)</f>
        <v>81</v>
      </c>
      <c r="I1437" s="1">
        <f>IFERROR(__xludf.DUMMYFUNCTION("""COMPUTED_VALUE"""),48.0)</f>
        <v>48</v>
      </c>
      <c r="J1437" s="1">
        <f>IFERROR(__xludf.DUMMYFUNCTION("""COMPUTED_VALUE"""),386.0)</f>
        <v>386</v>
      </c>
      <c r="K1437" s="1">
        <f>IFERROR(__xludf.DUMMYFUNCTION("""COMPUTED_VALUE"""),77.2)</f>
        <v>77.2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>
        <f>IFERROR(__xludf.DUMMYFUNCTION("""COMPUTED_VALUE"""),14.0)</f>
        <v>14</v>
      </c>
      <c r="E1438" s="1">
        <f>IFERROR(__xludf.DUMMYFUNCTION("""COMPUTED_VALUE"""),51.0)</f>
        <v>51</v>
      </c>
      <c r="F1438" s="1">
        <f>IFERROR(__xludf.DUMMYFUNCTION("""COMPUTED_VALUE"""),21.0)</f>
        <v>21</v>
      </c>
      <c r="G1438" s="1">
        <f>IFERROR(__xludf.DUMMYFUNCTION("""COMPUTED_VALUE"""),52.0)</f>
        <v>52</v>
      </c>
      <c r="H1438" s="1">
        <f>IFERROR(__xludf.DUMMYFUNCTION("""COMPUTED_VALUE"""),88.0)</f>
        <v>88</v>
      </c>
      <c r="I1438" s="1">
        <f>IFERROR(__xludf.DUMMYFUNCTION("""COMPUTED_VALUE"""),62.0)</f>
        <v>62</v>
      </c>
      <c r="J1438" s="1">
        <f>IFERROR(__xludf.DUMMYFUNCTION("""COMPUTED_VALUE"""),274.0)</f>
        <v>274</v>
      </c>
      <c r="K1438" s="1">
        <f>IFERROR(__xludf.DUMMYFUNCTION("""COMPUTED_VALUE"""),54.800000000000004)</f>
        <v>54.8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>
        <f>IFERROR(__xludf.DUMMYFUNCTION("""COMPUTED_VALUE"""),40.0)</f>
        <v>40</v>
      </c>
      <c r="E1439" s="1">
        <f>IFERROR(__xludf.DUMMYFUNCTION("""COMPUTED_VALUE"""),31.0)</f>
        <v>31</v>
      </c>
      <c r="F1439" s="1">
        <f>IFERROR(__xludf.DUMMYFUNCTION("""COMPUTED_VALUE"""),20.0)</f>
        <v>20</v>
      </c>
      <c r="G1439" s="1">
        <f>IFERROR(__xludf.DUMMYFUNCTION("""COMPUTED_VALUE"""),76.0)</f>
        <v>76</v>
      </c>
      <c r="H1439" s="1">
        <f>IFERROR(__xludf.DUMMYFUNCTION("""COMPUTED_VALUE"""),94.0)</f>
        <v>94</v>
      </c>
      <c r="I1439" s="1">
        <f>IFERROR(__xludf.DUMMYFUNCTION("""COMPUTED_VALUE"""),63.0)</f>
        <v>63</v>
      </c>
      <c r="J1439" s="1">
        <f>IFERROR(__xludf.DUMMYFUNCTION("""COMPUTED_VALUE"""),284.0)</f>
        <v>284</v>
      </c>
      <c r="K1439" s="1">
        <f>IFERROR(__xludf.DUMMYFUNCTION("""COMPUTED_VALUE"""),56.8)</f>
        <v>56.8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>
        <f>IFERROR(__xludf.DUMMYFUNCTION("""COMPUTED_VALUE"""),19.0)</f>
        <v>19</v>
      </c>
      <c r="E1440" s="1">
        <f>IFERROR(__xludf.DUMMYFUNCTION("""COMPUTED_VALUE"""),87.0)</f>
        <v>87</v>
      </c>
      <c r="F1440" s="1">
        <f>IFERROR(__xludf.DUMMYFUNCTION("""COMPUTED_VALUE"""),37.0)</f>
        <v>37</v>
      </c>
      <c r="G1440" s="1">
        <f>IFERROR(__xludf.DUMMYFUNCTION("""COMPUTED_VALUE"""),34.0)</f>
        <v>34</v>
      </c>
      <c r="H1440" s="1">
        <f>IFERROR(__xludf.DUMMYFUNCTION("""COMPUTED_VALUE"""),61.0)</f>
        <v>61</v>
      </c>
      <c r="I1440" s="1">
        <f>IFERROR(__xludf.DUMMYFUNCTION("""COMPUTED_VALUE"""),55.0)</f>
        <v>55</v>
      </c>
      <c r="J1440" s="1">
        <f>IFERROR(__xludf.DUMMYFUNCTION("""COMPUTED_VALUE"""),274.0)</f>
        <v>274</v>
      </c>
      <c r="K1440" s="1">
        <f>IFERROR(__xludf.DUMMYFUNCTION("""COMPUTED_VALUE"""),54.800000000000004)</f>
        <v>54.8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>
        <f>IFERROR(__xludf.DUMMYFUNCTION("""COMPUTED_VALUE"""),95.0)</f>
        <v>95</v>
      </c>
      <c r="E1441" s="1">
        <f>IFERROR(__xludf.DUMMYFUNCTION("""COMPUTED_VALUE"""),20.0)</f>
        <v>20</v>
      </c>
      <c r="F1441" s="1">
        <f>IFERROR(__xludf.DUMMYFUNCTION("""COMPUTED_VALUE"""),26.0)</f>
        <v>26</v>
      </c>
      <c r="G1441" s="1">
        <f>IFERROR(__xludf.DUMMYFUNCTION("""COMPUTED_VALUE"""),61.0)</f>
        <v>61</v>
      </c>
      <c r="H1441" s="1">
        <f>IFERROR(__xludf.DUMMYFUNCTION("""COMPUTED_VALUE"""),51.0)</f>
        <v>51</v>
      </c>
      <c r="I1441" s="1">
        <f>IFERROR(__xludf.DUMMYFUNCTION("""COMPUTED_VALUE"""),44.0)</f>
        <v>44</v>
      </c>
      <c r="J1441" s="1">
        <f>IFERROR(__xludf.DUMMYFUNCTION("""COMPUTED_VALUE"""),202.0)</f>
        <v>202</v>
      </c>
      <c r="K1441" s="1">
        <f>IFERROR(__xludf.DUMMYFUNCTION("""COMPUTED_VALUE"""),40.400000000000006)</f>
        <v>40.4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>
        <f>IFERROR(__xludf.DUMMYFUNCTION("""COMPUTED_VALUE"""),61.0)</f>
        <v>61</v>
      </c>
      <c r="E1442" s="1">
        <f>IFERROR(__xludf.DUMMYFUNCTION("""COMPUTED_VALUE"""),94.0)</f>
        <v>94</v>
      </c>
      <c r="F1442" s="1">
        <f>IFERROR(__xludf.DUMMYFUNCTION("""COMPUTED_VALUE"""),55.0)</f>
        <v>55</v>
      </c>
      <c r="G1442" s="1">
        <f>IFERROR(__xludf.DUMMYFUNCTION("""COMPUTED_VALUE"""),87.0)</f>
        <v>87</v>
      </c>
      <c r="H1442" s="1">
        <f>IFERROR(__xludf.DUMMYFUNCTION("""COMPUTED_VALUE"""),90.0)</f>
        <v>90</v>
      </c>
      <c r="I1442" s="1">
        <f>IFERROR(__xludf.DUMMYFUNCTION("""COMPUTED_VALUE"""),92.0)</f>
        <v>92</v>
      </c>
      <c r="J1442" s="1">
        <f>IFERROR(__xludf.DUMMYFUNCTION("""COMPUTED_VALUE"""),418.0)</f>
        <v>418</v>
      </c>
      <c r="K1442" s="1">
        <f>IFERROR(__xludf.DUMMYFUNCTION("""COMPUTED_VALUE"""),83.6)</f>
        <v>83.6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>
        <f>IFERROR(__xludf.DUMMYFUNCTION("""COMPUTED_VALUE"""),55.0)</f>
        <v>55</v>
      </c>
      <c r="E1443" s="1">
        <f>IFERROR(__xludf.DUMMYFUNCTION("""COMPUTED_VALUE"""),26.0)</f>
        <v>26</v>
      </c>
      <c r="F1443" s="1">
        <f>IFERROR(__xludf.DUMMYFUNCTION("""COMPUTED_VALUE"""),90.0)</f>
        <v>90</v>
      </c>
      <c r="G1443" s="1">
        <f>IFERROR(__xludf.DUMMYFUNCTION("""COMPUTED_VALUE"""),26.0)</f>
        <v>26</v>
      </c>
      <c r="H1443" s="1">
        <f>IFERROR(__xludf.DUMMYFUNCTION("""COMPUTED_VALUE"""),90.0)</f>
        <v>90</v>
      </c>
      <c r="I1443" s="1">
        <f>IFERROR(__xludf.DUMMYFUNCTION("""COMPUTED_VALUE"""),63.0)</f>
        <v>63</v>
      </c>
      <c r="J1443" s="1">
        <f>IFERROR(__xludf.DUMMYFUNCTION("""COMPUTED_VALUE"""),295.0)</f>
        <v>295</v>
      </c>
      <c r="K1443" s="1">
        <f>IFERROR(__xludf.DUMMYFUNCTION("""COMPUTED_VALUE"""),59.0)</f>
        <v>59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>
        <f>IFERROR(__xludf.DUMMYFUNCTION("""COMPUTED_VALUE"""),60.0)</f>
        <v>60</v>
      </c>
      <c r="E1444" s="1">
        <f>IFERROR(__xludf.DUMMYFUNCTION("""COMPUTED_VALUE"""),57.0)</f>
        <v>57</v>
      </c>
      <c r="F1444" s="1">
        <f>IFERROR(__xludf.DUMMYFUNCTION("""COMPUTED_VALUE"""),96.0)</f>
        <v>96</v>
      </c>
      <c r="G1444" s="1">
        <f>IFERROR(__xludf.DUMMYFUNCTION("""COMPUTED_VALUE"""),80.0)</f>
        <v>80</v>
      </c>
      <c r="H1444" s="1">
        <f>IFERROR(__xludf.DUMMYFUNCTION("""COMPUTED_VALUE"""),49.0)</f>
        <v>49</v>
      </c>
      <c r="I1444" s="1">
        <f>IFERROR(__xludf.DUMMYFUNCTION("""COMPUTED_VALUE"""),36.0)</f>
        <v>36</v>
      </c>
      <c r="J1444" s="1">
        <f>IFERROR(__xludf.DUMMYFUNCTION("""COMPUTED_VALUE"""),318.0)</f>
        <v>318</v>
      </c>
      <c r="K1444" s="1">
        <f>IFERROR(__xludf.DUMMYFUNCTION("""COMPUTED_VALUE"""),63.6)</f>
        <v>63.6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>
        <f>IFERROR(__xludf.DUMMYFUNCTION("""COMPUTED_VALUE"""),54.0)</f>
        <v>54</v>
      </c>
      <c r="E1445" s="1">
        <f>IFERROR(__xludf.DUMMYFUNCTION("""COMPUTED_VALUE"""),90.0)</f>
        <v>90</v>
      </c>
      <c r="F1445" s="1">
        <f>IFERROR(__xludf.DUMMYFUNCTION("""COMPUTED_VALUE"""),26.0)</f>
        <v>26</v>
      </c>
      <c r="G1445" s="1">
        <f>IFERROR(__xludf.DUMMYFUNCTION("""COMPUTED_VALUE"""),40.0)</f>
        <v>40</v>
      </c>
      <c r="H1445" s="1">
        <f>IFERROR(__xludf.DUMMYFUNCTION("""COMPUTED_VALUE"""),22.0)</f>
        <v>22</v>
      </c>
      <c r="I1445" s="1">
        <f>IFERROR(__xludf.DUMMYFUNCTION("""COMPUTED_VALUE"""),95.0)</f>
        <v>95</v>
      </c>
      <c r="J1445" s="1">
        <f>IFERROR(__xludf.DUMMYFUNCTION("""COMPUTED_VALUE"""),273.0)</f>
        <v>273</v>
      </c>
      <c r="K1445" s="1">
        <f>IFERROR(__xludf.DUMMYFUNCTION("""COMPUTED_VALUE"""),54.6)</f>
        <v>54.6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>
        <f>IFERROR(__xludf.DUMMYFUNCTION("""COMPUTED_VALUE"""),91.0)</f>
        <v>91</v>
      </c>
      <c r="E1446" s="1">
        <f>IFERROR(__xludf.DUMMYFUNCTION("""COMPUTED_VALUE"""),59.0)</f>
        <v>59</v>
      </c>
      <c r="F1446" s="1">
        <f>IFERROR(__xludf.DUMMYFUNCTION("""COMPUTED_VALUE"""),36.0)</f>
        <v>36</v>
      </c>
      <c r="G1446" s="1">
        <f>IFERROR(__xludf.DUMMYFUNCTION("""COMPUTED_VALUE"""),93.0)</f>
        <v>93</v>
      </c>
      <c r="H1446" s="1">
        <f>IFERROR(__xludf.DUMMYFUNCTION("""COMPUTED_VALUE"""),64.0)</f>
        <v>64</v>
      </c>
      <c r="I1446" s="1">
        <f>IFERROR(__xludf.DUMMYFUNCTION("""COMPUTED_VALUE"""),73.0)</f>
        <v>73</v>
      </c>
      <c r="J1446" s="1">
        <f>IFERROR(__xludf.DUMMYFUNCTION("""COMPUTED_VALUE"""),325.0)</f>
        <v>325</v>
      </c>
      <c r="K1446" s="1">
        <f>IFERROR(__xludf.DUMMYFUNCTION("""COMPUTED_VALUE"""),65.0)</f>
        <v>65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>
        <f>IFERROR(__xludf.DUMMYFUNCTION("""COMPUTED_VALUE"""),41.0)</f>
        <v>41</v>
      </c>
      <c r="E1447" s="1">
        <f>IFERROR(__xludf.DUMMYFUNCTION("""COMPUTED_VALUE"""),35.0)</f>
        <v>35</v>
      </c>
      <c r="F1447" s="1">
        <f>IFERROR(__xludf.DUMMYFUNCTION("""COMPUTED_VALUE"""),68.0)</f>
        <v>68</v>
      </c>
      <c r="G1447" s="1">
        <f>IFERROR(__xludf.DUMMYFUNCTION("""COMPUTED_VALUE"""),61.0)</f>
        <v>61</v>
      </c>
      <c r="H1447" s="1">
        <f>IFERROR(__xludf.DUMMYFUNCTION("""COMPUTED_VALUE"""),79.0)</f>
        <v>79</v>
      </c>
      <c r="I1447" s="1">
        <f>IFERROR(__xludf.DUMMYFUNCTION("""COMPUTED_VALUE"""),22.0)</f>
        <v>22</v>
      </c>
      <c r="J1447" s="1">
        <f>IFERROR(__xludf.DUMMYFUNCTION("""COMPUTED_VALUE"""),265.0)</f>
        <v>265</v>
      </c>
      <c r="K1447" s="1">
        <f>IFERROR(__xludf.DUMMYFUNCTION("""COMPUTED_VALUE"""),53.0)</f>
        <v>53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>
        <f>IFERROR(__xludf.DUMMYFUNCTION("""COMPUTED_VALUE"""),74.0)</f>
        <v>74</v>
      </c>
      <c r="E1448" s="1">
        <f>IFERROR(__xludf.DUMMYFUNCTION("""COMPUTED_VALUE"""),28.0)</f>
        <v>28</v>
      </c>
      <c r="F1448" s="1">
        <f>IFERROR(__xludf.DUMMYFUNCTION("""COMPUTED_VALUE"""),25.0)</f>
        <v>25</v>
      </c>
      <c r="G1448" s="1">
        <f>IFERROR(__xludf.DUMMYFUNCTION("""COMPUTED_VALUE"""),81.0)</f>
        <v>81</v>
      </c>
      <c r="H1448" s="1">
        <f>IFERROR(__xludf.DUMMYFUNCTION("""COMPUTED_VALUE"""),54.0)</f>
        <v>54</v>
      </c>
      <c r="I1448" s="1">
        <f>IFERROR(__xludf.DUMMYFUNCTION("""COMPUTED_VALUE"""),87.0)</f>
        <v>87</v>
      </c>
      <c r="J1448" s="1">
        <f>IFERROR(__xludf.DUMMYFUNCTION("""COMPUTED_VALUE"""),275.0)</f>
        <v>275</v>
      </c>
      <c r="K1448" s="1">
        <f>IFERROR(__xludf.DUMMYFUNCTION("""COMPUTED_VALUE"""),55.00000000000001)</f>
        <v>55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>
        <f>IFERROR(__xludf.DUMMYFUNCTION("""COMPUTED_VALUE"""),30.0)</f>
        <v>30</v>
      </c>
      <c r="E1449" s="1">
        <f>IFERROR(__xludf.DUMMYFUNCTION("""COMPUTED_VALUE"""),92.0)</f>
        <v>92</v>
      </c>
      <c r="F1449" s="1">
        <f>IFERROR(__xludf.DUMMYFUNCTION("""COMPUTED_VALUE"""),99.0)</f>
        <v>99</v>
      </c>
      <c r="G1449" s="1">
        <f>IFERROR(__xludf.DUMMYFUNCTION("""COMPUTED_VALUE"""),83.0)</f>
        <v>83</v>
      </c>
      <c r="H1449" s="1">
        <f>IFERROR(__xludf.DUMMYFUNCTION("""COMPUTED_VALUE"""),66.0)</f>
        <v>66</v>
      </c>
      <c r="I1449" s="1">
        <f>IFERROR(__xludf.DUMMYFUNCTION("""COMPUTED_VALUE"""),83.0)</f>
        <v>83</v>
      </c>
      <c r="J1449" s="1">
        <f>IFERROR(__xludf.DUMMYFUNCTION("""COMPUTED_VALUE"""),423.0)</f>
        <v>423</v>
      </c>
      <c r="K1449" s="1">
        <f>IFERROR(__xludf.DUMMYFUNCTION("""COMPUTED_VALUE"""),84.6)</f>
        <v>84.6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>
        <f>IFERROR(__xludf.DUMMYFUNCTION("""COMPUTED_VALUE"""),97.0)</f>
        <v>97</v>
      </c>
      <c r="E1450" s="1">
        <f>IFERROR(__xludf.DUMMYFUNCTION("""COMPUTED_VALUE"""),35.0)</f>
        <v>35</v>
      </c>
      <c r="F1450" s="1">
        <f>IFERROR(__xludf.DUMMYFUNCTION("""COMPUTED_VALUE"""),78.0)</f>
        <v>78</v>
      </c>
      <c r="G1450" s="1">
        <f>IFERROR(__xludf.DUMMYFUNCTION("""COMPUTED_VALUE"""),99.0)</f>
        <v>99</v>
      </c>
      <c r="H1450" s="1">
        <f>IFERROR(__xludf.DUMMYFUNCTION("""COMPUTED_VALUE"""),38.0)</f>
        <v>38</v>
      </c>
      <c r="I1450" s="1">
        <f>IFERROR(__xludf.DUMMYFUNCTION("""COMPUTED_VALUE"""),26.0)</f>
        <v>26</v>
      </c>
      <c r="J1450" s="1">
        <f>IFERROR(__xludf.DUMMYFUNCTION("""COMPUTED_VALUE"""),276.0)</f>
        <v>276</v>
      </c>
      <c r="K1450" s="1">
        <f>IFERROR(__xludf.DUMMYFUNCTION("""COMPUTED_VALUE"""),55.2)</f>
        <v>55.2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>
        <f>IFERROR(__xludf.DUMMYFUNCTION("""COMPUTED_VALUE"""),80.0)</f>
        <v>80</v>
      </c>
      <c r="E1451" s="1">
        <f>IFERROR(__xludf.DUMMYFUNCTION("""COMPUTED_VALUE"""),48.0)</f>
        <v>48</v>
      </c>
      <c r="F1451" s="1">
        <f>IFERROR(__xludf.DUMMYFUNCTION("""COMPUTED_VALUE"""),28.0)</f>
        <v>28</v>
      </c>
      <c r="G1451" s="1">
        <f>IFERROR(__xludf.DUMMYFUNCTION("""COMPUTED_VALUE"""),77.0)</f>
        <v>77</v>
      </c>
      <c r="H1451" s="1">
        <f>IFERROR(__xludf.DUMMYFUNCTION("""COMPUTED_VALUE"""),60.0)</f>
        <v>60</v>
      </c>
      <c r="I1451" s="1">
        <f>IFERROR(__xludf.DUMMYFUNCTION("""COMPUTED_VALUE"""),83.0)</f>
        <v>83</v>
      </c>
      <c r="J1451" s="1">
        <f>IFERROR(__xludf.DUMMYFUNCTION("""COMPUTED_VALUE"""),296.0)</f>
        <v>296</v>
      </c>
      <c r="K1451" s="1">
        <f>IFERROR(__xludf.DUMMYFUNCTION("""COMPUTED_VALUE"""),59.199999999999996)</f>
        <v>59.2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>
        <f>IFERROR(__xludf.DUMMYFUNCTION("""COMPUTED_VALUE"""),28.0)</f>
        <v>28</v>
      </c>
      <c r="E1452" s="1">
        <f>IFERROR(__xludf.DUMMYFUNCTION("""COMPUTED_VALUE"""),21.0)</f>
        <v>21</v>
      </c>
      <c r="F1452" s="1">
        <f>IFERROR(__xludf.DUMMYFUNCTION("""COMPUTED_VALUE"""),54.0)</f>
        <v>54</v>
      </c>
      <c r="G1452" s="1">
        <f>IFERROR(__xludf.DUMMYFUNCTION("""COMPUTED_VALUE"""),61.0)</f>
        <v>61</v>
      </c>
      <c r="H1452" s="1">
        <f>IFERROR(__xludf.DUMMYFUNCTION("""COMPUTED_VALUE"""),34.0)</f>
        <v>34</v>
      </c>
      <c r="I1452" s="1">
        <f>IFERROR(__xludf.DUMMYFUNCTION("""COMPUTED_VALUE"""),68.0)</f>
        <v>68</v>
      </c>
      <c r="J1452" s="1">
        <f>IFERROR(__xludf.DUMMYFUNCTION("""COMPUTED_VALUE"""),238.0)</f>
        <v>238</v>
      </c>
      <c r="K1452" s="1">
        <f>IFERROR(__xludf.DUMMYFUNCTION("""COMPUTED_VALUE"""),47.599999999999994)</f>
        <v>47.6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>
        <f>IFERROR(__xludf.DUMMYFUNCTION("""COMPUTED_VALUE"""),68.0)</f>
        <v>68</v>
      </c>
      <c r="E1453" s="1">
        <f>IFERROR(__xludf.DUMMYFUNCTION("""COMPUTED_VALUE"""),29.0)</f>
        <v>29</v>
      </c>
      <c r="F1453" s="1">
        <f>IFERROR(__xludf.DUMMYFUNCTION("""COMPUTED_VALUE"""),36.0)</f>
        <v>36</v>
      </c>
      <c r="G1453" s="1">
        <f>IFERROR(__xludf.DUMMYFUNCTION("""COMPUTED_VALUE"""),30.0)</f>
        <v>30</v>
      </c>
      <c r="H1453" s="1">
        <f>IFERROR(__xludf.DUMMYFUNCTION("""COMPUTED_VALUE"""),34.0)</f>
        <v>34</v>
      </c>
      <c r="I1453" s="1">
        <f>IFERROR(__xludf.DUMMYFUNCTION("""COMPUTED_VALUE"""),91.0)</f>
        <v>91</v>
      </c>
      <c r="J1453" s="1">
        <f>IFERROR(__xludf.DUMMYFUNCTION("""COMPUTED_VALUE"""),220.0)</f>
        <v>220</v>
      </c>
      <c r="K1453" s="1">
        <f>IFERROR(__xludf.DUMMYFUNCTION("""COMPUTED_VALUE"""),44.0)</f>
        <v>44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>
        <f>IFERROR(__xludf.DUMMYFUNCTION("""COMPUTED_VALUE"""),40.0)</f>
        <v>40</v>
      </c>
      <c r="E1454" s="1">
        <f>IFERROR(__xludf.DUMMYFUNCTION("""COMPUTED_VALUE"""),96.0)</f>
        <v>96</v>
      </c>
      <c r="F1454" s="1">
        <f>IFERROR(__xludf.DUMMYFUNCTION("""COMPUTED_VALUE"""),80.0)</f>
        <v>80</v>
      </c>
      <c r="G1454" s="1">
        <f>IFERROR(__xludf.DUMMYFUNCTION("""COMPUTED_VALUE"""),20.0)</f>
        <v>20</v>
      </c>
      <c r="H1454" s="1">
        <f>IFERROR(__xludf.DUMMYFUNCTION("""COMPUTED_VALUE"""),91.0)</f>
        <v>91</v>
      </c>
      <c r="I1454" s="1">
        <f>IFERROR(__xludf.DUMMYFUNCTION("""COMPUTED_VALUE"""),50.0)</f>
        <v>50</v>
      </c>
      <c r="J1454" s="1">
        <f>IFERROR(__xludf.DUMMYFUNCTION("""COMPUTED_VALUE"""),337.0)</f>
        <v>337</v>
      </c>
      <c r="K1454" s="1">
        <f>IFERROR(__xludf.DUMMYFUNCTION("""COMPUTED_VALUE"""),67.4)</f>
        <v>67.4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>
        <f>IFERROR(__xludf.DUMMYFUNCTION("""COMPUTED_VALUE"""),94.0)</f>
        <v>94</v>
      </c>
      <c r="E1455" s="1">
        <f>IFERROR(__xludf.DUMMYFUNCTION("""COMPUTED_VALUE"""),67.0)</f>
        <v>67</v>
      </c>
      <c r="F1455" s="1">
        <f>IFERROR(__xludf.DUMMYFUNCTION("""COMPUTED_VALUE"""),87.0)</f>
        <v>87</v>
      </c>
      <c r="G1455" s="1">
        <f>IFERROR(__xludf.DUMMYFUNCTION("""COMPUTED_VALUE"""),85.0)</f>
        <v>85</v>
      </c>
      <c r="H1455" s="1">
        <f>IFERROR(__xludf.DUMMYFUNCTION("""COMPUTED_VALUE"""),71.0)</f>
        <v>71</v>
      </c>
      <c r="I1455" s="1">
        <f>IFERROR(__xludf.DUMMYFUNCTION("""COMPUTED_VALUE"""),40.0)</f>
        <v>40</v>
      </c>
      <c r="J1455" s="1">
        <f>IFERROR(__xludf.DUMMYFUNCTION("""COMPUTED_VALUE"""),350.0)</f>
        <v>350</v>
      </c>
      <c r="K1455" s="1">
        <f>IFERROR(__xludf.DUMMYFUNCTION("""COMPUTED_VALUE"""),70.0)</f>
        <v>70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>
        <f>IFERROR(__xludf.DUMMYFUNCTION("""COMPUTED_VALUE"""),69.0)</f>
        <v>69</v>
      </c>
      <c r="E1456" s="1">
        <f>IFERROR(__xludf.DUMMYFUNCTION("""COMPUTED_VALUE"""),51.0)</f>
        <v>51</v>
      </c>
      <c r="F1456" s="1">
        <f>IFERROR(__xludf.DUMMYFUNCTION("""COMPUTED_VALUE"""),76.0)</f>
        <v>76</v>
      </c>
      <c r="G1456" s="1">
        <f>IFERROR(__xludf.DUMMYFUNCTION("""COMPUTED_VALUE"""),35.0)</f>
        <v>35</v>
      </c>
      <c r="H1456" s="1">
        <f>IFERROR(__xludf.DUMMYFUNCTION("""COMPUTED_VALUE"""),37.0)</f>
        <v>37</v>
      </c>
      <c r="I1456" s="1">
        <f>IFERROR(__xludf.DUMMYFUNCTION("""COMPUTED_VALUE"""),45.0)</f>
        <v>45</v>
      </c>
      <c r="J1456" s="1">
        <f>IFERROR(__xludf.DUMMYFUNCTION("""COMPUTED_VALUE"""),244.0)</f>
        <v>244</v>
      </c>
      <c r="K1456" s="1">
        <f>IFERROR(__xludf.DUMMYFUNCTION("""COMPUTED_VALUE"""),48.8)</f>
        <v>48.8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>
        <f>IFERROR(__xludf.DUMMYFUNCTION("""COMPUTED_VALUE"""),32.0)</f>
        <v>32</v>
      </c>
      <c r="E1457" s="1">
        <f>IFERROR(__xludf.DUMMYFUNCTION("""COMPUTED_VALUE"""),75.0)</f>
        <v>75</v>
      </c>
      <c r="F1457" s="1">
        <f>IFERROR(__xludf.DUMMYFUNCTION("""COMPUTED_VALUE"""),93.0)</f>
        <v>93</v>
      </c>
      <c r="G1457" s="1">
        <f>IFERROR(__xludf.DUMMYFUNCTION("""COMPUTED_VALUE"""),24.0)</f>
        <v>24</v>
      </c>
      <c r="H1457" s="1">
        <f>IFERROR(__xludf.DUMMYFUNCTION("""COMPUTED_VALUE"""),76.0)</f>
        <v>76</v>
      </c>
      <c r="I1457" s="1">
        <f>IFERROR(__xludf.DUMMYFUNCTION("""COMPUTED_VALUE"""),72.0)</f>
        <v>72</v>
      </c>
      <c r="J1457" s="1">
        <f>IFERROR(__xludf.DUMMYFUNCTION("""COMPUTED_VALUE"""),340.0)</f>
        <v>340</v>
      </c>
      <c r="K1457" s="1">
        <f>IFERROR(__xludf.DUMMYFUNCTION("""COMPUTED_VALUE"""),68.0)</f>
        <v>68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>
        <f>IFERROR(__xludf.DUMMYFUNCTION("""COMPUTED_VALUE"""),76.0)</f>
        <v>76</v>
      </c>
      <c r="E1458" s="1">
        <f>IFERROR(__xludf.DUMMYFUNCTION("""COMPUTED_VALUE"""),60.0)</f>
        <v>60</v>
      </c>
      <c r="F1458" s="1">
        <f>IFERROR(__xludf.DUMMYFUNCTION("""COMPUTED_VALUE"""),25.0)</f>
        <v>25</v>
      </c>
      <c r="G1458" s="1">
        <f>IFERROR(__xludf.DUMMYFUNCTION("""COMPUTED_VALUE"""),22.0)</f>
        <v>22</v>
      </c>
      <c r="H1458" s="1">
        <f>IFERROR(__xludf.DUMMYFUNCTION("""COMPUTED_VALUE"""),51.0)</f>
        <v>51</v>
      </c>
      <c r="I1458" s="1">
        <f>IFERROR(__xludf.DUMMYFUNCTION("""COMPUTED_VALUE"""),37.0)</f>
        <v>37</v>
      </c>
      <c r="J1458" s="1">
        <f>IFERROR(__xludf.DUMMYFUNCTION("""COMPUTED_VALUE"""),195.0)</f>
        <v>195</v>
      </c>
      <c r="K1458" s="1">
        <f>IFERROR(__xludf.DUMMYFUNCTION("""COMPUTED_VALUE"""),39.0)</f>
        <v>39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>
        <f>IFERROR(__xludf.DUMMYFUNCTION("""COMPUTED_VALUE"""),52.0)</f>
        <v>52</v>
      </c>
      <c r="E1459" s="1">
        <f>IFERROR(__xludf.DUMMYFUNCTION("""COMPUTED_VALUE"""),70.0)</f>
        <v>70</v>
      </c>
      <c r="F1459" s="1">
        <f>IFERROR(__xludf.DUMMYFUNCTION("""COMPUTED_VALUE"""),84.0)</f>
        <v>84</v>
      </c>
      <c r="G1459" s="1">
        <f>IFERROR(__xludf.DUMMYFUNCTION("""COMPUTED_VALUE"""),90.0)</f>
        <v>90</v>
      </c>
      <c r="H1459" s="1">
        <f>IFERROR(__xludf.DUMMYFUNCTION("""COMPUTED_VALUE"""),35.0)</f>
        <v>35</v>
      </c>
      <c r="I1459" s="1">
        <f>IFERROR(__xludf.DUMMYFUNCTION("""COMPUTED_VALUE"""),80.0)</f>
        <v>80</v>
      </c>
      <c r="J1459" s="1">
        <f>IFERROR(__xludf.DUMMYFUNCTION("""COMPUTED_VALUE"""),359.0)</f>
        <v>359</v>
      </c>
      <c r="K1459" s="1">
        <f>IFERROR(__xludf.DUMMYFUNCTION("""COMPUTED_VALUE"""),71.8)</f>
        <v>71.8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>
        <f>IFERROR(__xludf.DUMMYFUNCTION("""COMPUTED_VALUE"""),87.0)</f>
        <v>87</v>
      </c>
      <c r="E1460" s="1">
        <f>IFERROR(__xludf.DUMMYFUNCTION("""COMPUTED_VALUE"""),74.0)</f>
        <v>74</v>
      </c>
      <c r="F1460" s="1">
        <f>IFERROR(__xludf.DUMMYFUNCTION("""COMPUTED_VALUE"""),76.0)</f>
        <v>76</v>
      </c>
      <c r="G1460" s="1">
        <f>IFERROR(__xludf.DUMMYFUNCTION("""COMPUTED_VALUE"""),52.0)</f>
        <v>52</v>
      </c>
      <c r="H1460" s="1">
        <f>IFERROR(__xludf.DUMMYFUNCTION("""COMPUTED_VALUE"""),25.0)</f>
        <v>25</v>
      </c>
      <c r="I1460" s="1">
        <f>IFERROR(__xludf.DUMMYFUNCTION("""COMPUTED_VALUE"""),92.0)</f>
        <v>92</v>
      </c>
      <c r="J1460" s="1">
        <f>IFERROR(__xludf.DUMMYFUNCTION("""COMPUTED_VALUE"""),319.0)</f>
        <v>319</v>
      </c>
      <c r="K1460" s="1">
        <f>IFERROR(__xludf.DUMMYFUNCTION("""COMPUTED_VALUE"""),63.800000000000004)</f>
        <v>63.8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>
        <f>IFERROR(__xludf.DUMMYFUNCTION("""COMPUTED_VALUE"""),99.0)</f>
        <v>99</v>
      </c>
      <c r="E1461" s="1">
        <f>IFERROR(__xludf.DUMMYFUNCTION("""COMPUTED_VALUE"""),63.0)</f>
        <v>63</v>
      </c>
      <c r="F1461" s="1">
        <f>IFERROR(__xludf.DUMMYFUNCTION("""COMPUTED_VALUE"""),57.0)</f>
        <v>57</v>
      </c>
      <c r="G1461" s="1">
        <f>IFERROR(__xludf.DUMMYFUNCTION("""COMPUTED_VALUE"""),61.0)</f>
        <v>61</v>
      </c>
      <c r="H1461" s="1">
        <f>IFERROR(__xludf.DUMMYFUNCTION("""COMPUTED_VALUE"""),93.0)</f>
        <v>93</v>
      </c>
      <c r="I1461" s="1">
        <f>IFERROR(__xludf.DUMMYFUNCTION("""COMPUTED_VALUE"""),53.0)</f>
        <v>53</v>
      </c>
      <c r="J1461" s="1">
        <f>IFERROR(__xludf.DUMMYFUNCTION("""COMPUTED_VALUE"""),327.0)</f>
        <v>327</v>
      </c>
      <c r="K1461" s="1">
        <f>IFERROR(__xludf.DUMMYFUNCTION("""COMPUTED_VALUE"""),65.4)</f>
        <v>65.4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>
        <f>IFERROR(__xludf.DUMMYFUNCTION("""COMPUTED_VALUE"""),22.0)</f>
        <v>22</v>
      </c>
      <c r="E1462" s="1">
        <f>IFERROR(__xludf.DUMMYFUNCTION("""COMPUTED_VALUE"""),50.0)</f>
        <v>50</v>
      </c>
      <c r="F1462" s="1">
        <f>IFERROR(__xludf.DUMMYFUNCTION("""COMPUTED_VALUE"""),39.0)</f>
        <v>39</v>
      </c>
      <c r="G1462" s="1">
        <f>IFERROR(__xludf.DUMMYFUNCTION("""COMPUTED_VALUE"""),65.0)</f>
        <v>65</v>
      </c>
      <c r="H1462" s="1">
        <f>IFERROR(__xludf.DUMMYFUNCTION("""COMPUTED_VALUE"""),36.0)</f>
        <v>36</v>
      </c>
      <c r="I1462" s="1">
        <f>IFERROR(__xludf.DUMMYFUNCTION("""COMPUTED_VALUE"""),86.0)</f>
        <v>86</v>
      </c>
      <c r="J1462" s="1">
        <f>IFERROR(__xludf.DUMMYFUNCTION("""COMPUTED_VALUE"""),276.0)</f>
        <v>276</v>
      </c>
      <c r="K1462" s="1">
        <f>IFERROR(__xludf.DUMMYFUNCTION("""COMPUTED_VALUE"""),55.2)</f>
        <v>55.2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>
        <f>IFERROR(__xludf.DUMMYFUNCTION("""COMPUTED_VALUE"""),55.0)</f>
        <v>55</v>
      </c>
      <c r="E1463" s="1">
        <f>IFERROR(__xludf.DUMMYFUNCTION("""COMPUTED_VALUE"""),24.0)</f>
        <v>24</v>
      </c>
      <c r="F1463" s="1">
        <f>IFERROR(__xludf.DUMMYFUNCTION("""COMPUTED_VALUE"""),62.0)</f>
        <v>62</v>
      </c>
      <c r="G1463" s="1">
        <f>IFERROR(__xludf.DUMMYFUNCTION("""COMPUTED_VALUE"""),25.0)</f>
        <v>25</v>
      </c>
      <c r="H1463" s="1">
        <f>IFERROR(__xludf.DUMMYFUNCTION("""COMPUTED_VALUE"""),79.0)</f>
        <v>79</v>
      </c>
      <c r="I1463" s="1">
        <f>IFERROR(__xludf.DUMMYFUNCTION("""COMPUTED_VALUE"""),74.0)</f>
        <v>74</v>
      </c>
      <c r="J1463" s="1">
        <f>IFERROR(__xludf.DUMMYFUNCTION("""COMPUTED_VALUE"""),264.0)</f>
        <v>264</v>
      </c>
      <c r="K1463" s="1">
        <f>IFERROR(__xludf.DUMMYFUNCTION("""COMPUTED_VALUE"""),52.800000000000004)</f>
        <v>52.8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>
        <f>IFERROR(__xludf.DUMMYFUNCTION("""COMPUTED_VALUE"""),72.0)</f>
        <v>72</v>
      </c>
      <c r="E1464" s="1">
        <f>IFERROR(__xludf.DUMMYFUNCTION("""COMPUTED_VALUE"""),21.0)</f>
        <v>21</v>
      </c>
      <c r="F1464" s="1">
        <f>IFERROR(__xludf.DUMMYFUNCTION("""COMPUTED_VALUE"""),45.0)</f>
        <v>45</v>
      </c>
      <c r="G1464" s="1">
        <f>IFERROR(__xludf.DUMMYFUNCTION("""COMPUTED_VALUE"""),80.0)</f>
        <v>80</v>
      </c>
      <c r="H1464" s="1">
        <f>IFERROR(__xludf.DUMMYFUNCTION("""COMPUTED_VALUE"""),64.0)</f>
        <v>64</v>
      </c>
      <c r="I1464" s="1">
        <f>IFERROR(__xludf.DUMMYFUNCTION("""COMPUTED_VALUE"""),89.0)</f>
        <v>89</v>
      </c>
      <c r="J1464" s="1">
        <f>IFERROR(__xludf.DUMMYFUNCTION("""COMPUTED_VALUE"""),299.0)</f>
        <v>299</v>
      </c>
      <c r="K1464" s="1">
        <f>IFERROR(__xludf.DUMMYFUNCTION("""COMPUTED_VALUE"""),59.8)</f>
        <v>59.8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>
        <f>IFERROR(__xludf.DUMMYFUNCTION("""COMPUTED_VALUE"""),81.0)</f>
        <v>81</v>
      </c>
      <c r="E1465" s="1">
        <f>IFERROR(__xludf.DUMMYFUNCTION("""COMPUTED_VALUE"""),32.0)</f>
        <v>32</v>
      </c>
      <c r="F1465" s="1">
        <f>IFERROR(__xludf.DUMMYFUNCTION("""COMPUTED_VALUE"""),84.0)</f>
        <v>84</v>
      </c>
      <c r="G1465" s="1">
        <f>IFERROR(__xludf.DUMMYFUNCTION("""COMPUTED_VALUE"""),27.0)</f>
        <v>27</v>
      </c>
      <c r="H1465" s="1">
        <f>IFERROR(__xludf.DUMMYFUNCTION("""COMPUTED_VALUE"""),44.0)</f>
        <v>44</v>
      </c>
      <c r="I1465" s="1">
        <f>IFERROR(__xludf.DUMMYFUNCTION("""COMPUTED_VALUE"""),99.0)</f>
        <v>99</v>
      </c>
      <c r="J1465" s="1">
        <f>IFERROR(__xludf.DUMMYFUNCTION("""COMPUTED_VALUE"""),286.0)</f>
        <v>286</v>
      </c>
      <c r="K1465" s="1">
        <f>IFERROR(__xludf.DUMMYFUNCTION("""COMPUTED_VALUE"""),57.199999999999996)</f>
        <v>57.2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>
        <f>IFERROR(__xludf.DUMMYFUNCTION("""COMPUTED_VALUE"""),48.0)</f>
        <v>48</v>
      </c>
      <c r="E1466" s="1">
        <f>IFERROR(__xludf.DUMMYFUNCTION("""COMPUTED_VALUE"""),46.0)</f>
        <v>46</v>
      </c>
      <c r="F1466" s="1">
        <f>IFERROR(__xludf.DUMMYFUNCTION("""COMPUTED_VALUE"""),30.0)</f>
        <v>30</v>
      </c>
      <c r="G1466" s="1">
        <f>IFERROR(__xludf.DUMMYFUNCTION("""COMPUTED_VALUE"""),96.0)</f>
        <v>96</v>
      </c>
      <c r="H1466" s="1">
        <f>IFERROR(__xludf.DUMMYFUNCTION("""COMPUTED_VALUE"""),55.0)</f>
        <v>55</v>
      </c>
      <c r="I1466" s="1">
        <f>IFERROR(__xludf.DUMMYFUNCTION("""COMPUTED_VALUE"""),84.0)</f>
        <v>84</v>
      </c>
      <c r="J1466" s="1">
        <f>IFERROR(__xludf.DUMMYFUNCTION("""COMPUTED_VALUE"""),311.0)</f>
        <v>311</v>
      </c>
      <c r="K1466" s="1">
        <f>IFERROR(__xludf.DUMMYFUNCTION("""COMPUTED_VALUE"""),62.2)</f>
        <v>62.2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>
        <f>IFERROR(__xludf.DUMMYFUNCTION("""COMPUTED_VALUE"""),52.0)</f>
        <v>52</v>
      </c>
      <c r="E1467" s="1">
        <f>IFERROR(__xludf.DUMMYFUNCTION("""COMPUTED_VALUE"""),97.0)</f>
        <v>97</v>
      </c>
      <c r="F1467" s="1">
        <f>IFERROR(__xludf.DUMMYFUNCTION("""COMPUTED_VALUE"""),61.0)</f>
        <v>61</v>
      </c>
      <c r="G1467" s="1">
        <f>IFERROR(__xludf.DUMMYFUNCTION("""COMPUTED_VALUE"""),68.0)</f>
        <v>68</v>
      </c>
      <c r="H1467" s="1">
        <f>IFERROR(__xludf.DUMMYFUNCTION("""COMPUTED_VALUE"""),93.0)</f>
        <v>93</v>
      </c>
      <c r="I1467" s="1">
        <f>IFERROR(__xludf.DUMMYFUNCTION("""COMPUTED_VALUE"""),97.0)</f>
        <v>97</v>
      </c>
      <c r="J1467" s="1">
        <f>IFERROR(__xludf.DUMMYFUNCTION("""COMPUTED_VALUE"""),416.0)</f>
        <v>416</v>
      </c>
      <c r="K1467" s="1">
        <f>IFERROR(__xludf.DUMMYFUNCTION("""COMPUTED_VALUE"""),83.2)</f>
        <v>83.2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>
        <f>IFERROR(__xludf.DUMMYFUNCTION("""COMPUTED_VALUE"""),75.0)</f>
        <v>75</v>
      </c>
      <c r="E1468" s="1">
        <f>IFERROR(__xludf.DUMMYFUNCTION("""COMPUTED_VALUE"""),76.0)</f>
        <v>76</v>
      </c>
      <c r="F1468" s="1">
        <f>IFERROR(__xludf.DUMMYFUNCTION("""COMPUTED_VALUE"""),73.0)</f>
        <v>73</v>
      </c>
      <c r="G1468" s="1">
        <f>IFERROR(__xludf.DUMMYFUNCTION("""COMPUTED_VALUE"""),57.0)</f>
        <v>57</v>
      </c>
      <c r="H1468" s="1">
        <f>IFERROR(__xludf.DUMMYFUNCTION("""COMPUTED_VALUE"""),53.0)</f>
        <v>53</v>
      </c>
      <c r="I1468" s="1">
        <f>IFERROR(__xludf.DUMMYFUNCTION("""COMPUTED_VALUE"""),46.0)</f>
        <v>46</v>
      </c>
      <c r="J1468" s="1">
        <f>IFERROR(__xludf.DUMMYFUNCTION("""COMPUTED_VALUE"""),305.0)</f>
        <v>305</v>
      </c>
      <c r="K1468" s="1">
        <f>IFERROR(__xludf.DUMMYFUNCTION("""COMPUTED_VALUE"""),61.0)</f>
        <v>61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>
        <f>IFERROR(__xludf.DUMMYFUNCTION("""COMPUTED_VALUE"""),85.0)</f>
        <v>85</v>
      </c>
      <c r="E1469" s="1">
        <f>IFERROR(__xludf.DUMMYFUNCTION("""COMPUTED_VALUE"""),29.0)</f>
        <v>29</v>
      </c>
      <c r="F1469" s="1">
        <f>IFERROR(__xludf.DUMMYFUNCTION("""COMPUTED_VALUE"""),57.0)</f>
        <v>57</v>
      </c>
      <c r="G1469" s="1">
        <f>IFERROR(__xludf.DUMMYFUNCTION("""COMPUTED_VALUE"""),38.0)</f>
        <v>38</v>
      </c>
      <c r="H1469" s="1">
        <f>IFERROR(__xludf.DUMMYFUNCTION("""COMPUTED_VALUE"""),53.0)</f>
        <v>53</v>
      </c>
      <c r="I1469" s="1">
        <f>IFERROR(__xludf.DUMMYFUNCTION("""COMPUTED_VALUE"""),75.0)</f>
        <v>75</v>
      </c>
      <c r="J1469" s="1">
        <f>IFERROR(__xludf.DUMMYFUNCTION("""COMPUTED_VALUE"""),252.0)</f>
        <v>252</v>
      </c>
      <c r="K1469" s="1">
        <f>IFERROR(__xludf.DUMMYFUNCTION("""COMPUTED_VALUE"""),50.4)</f>
        <v>50.4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>
        <f>IFERROR(__xludf.DUMMYFUNCTION("""COMPUTED_VALUE"""),68.0)</f>
        <v>68</v>
      </c>
      <c r="E1470" s="1">
        <f>IFERROR(__xludf.DUMMYFUNCTION("""COMPUTED_VALUE"""),35.0)</f>
        <v>35</v>
      </c>
      <c r="F1470" s="1">
        <f>IFERROR(__xludf.DUMMYFUNCTION("""COMPUTED_VALUE"""),56.0)</f>
        <v>56</v>
      </c>
      <c r="G1470" s="1">
        <f>IFERROR(__xludf.DUMMYFUNCTION("""COMPUTED_VALUE"""),38.0)</f>
        <v>38</v>
      </c>
      <c r="H1470" s="1">
        <f>IFERROR(__xludf.DUMMYFUNCTION("""COMPUTED_VALUE"""),66.0)</f>
        <v>66</v>
      </c>
      <c r="I1470" s="1">
        <f>IFERROR(__xludf.DUMMYFUNCTION("""COMPUTED_VALUE"""),30.0)</f>
        <v>30</v>
      </c>
      <c r="J1470" s="1">
        <f>IFERROR(__xludf.DUMMYFUNCTION("""COMPUTED_VALUE"""),225.0)</f>
        <v>225</v>
      </c>
      <c r="K1470" s="1">
        <f>IFERROR(__xludf.DUMMYFUNCTION("""COMPUTED_VALUE"""),45.0)</f>
        <v>45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>
        <f>IFERROR(__xludf.DUMMYFUNCTION("""COMPUTED_VALUE"""),73.0)</f>
        <v>73</v>
      </c>
      <c r="E1471" s="1">
        <f>IFERROR(__xludf.DUMMYFUNCTION("""COMPUTED_VALUE"""),45.0)</f>
        <v>45</v>
      </c>
      <c r="F1471" s="1">
        <f>IFERROR(__xludf.DUMMYFUNCTION("""COMPUTED_VALUE"""),45.0)</f>
        <v>45</v>
      </c>
      <c r="G1471" s="1">
        <f>IFERROR(__xludf.DUMMYFUNCTION("""COMPUTED_VALUE"""),34.0)</f>
        <v>34</v>
      </c>
      <c r="H1471" s="1">
        <f>IFERROR(__xludf.DUMMYFUNCTION("""COMPUTED_VALUE"""),21.0)</f>
        <v>21</v>
      </c>
      <c r="I1471" s="1">
        <f>IFERROR(__xludf.DUMMYFUNCTION("""COMPUTED_VALUE"""),66.0)</f>
        <v>66</v>
      </c>
      <c r="J1471" s="1">
        <f>IFERROR(__xludf.DUMMYFUNCTION("""COMPUTED_VALUE"""),211.0)</f>
        <v>211</v>
      </c>
      <c r="K1471" s="1">
        <f>IFERROR(__xludf.DUMMYFUNCTION("""COMPUTED_VALUE"""),42.199999999999996)</f>
        <v>42.2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>
        <f>IFERROR(__xludf.DUMMYFUNCTION("""COMPUTED_VALUE"""),23.0)</f>
        <v>23</v>
      </c>
      <c r="E1472" s="1">
        <f>IFERROR(__xludf.DUMMYFUNCTION("""COMPUTED_VALUE"""),56.0)</f>
        <v>56</v>
      </c>
      <c r="F1472" s="1">
        <f>IFERROR(__xludf.DUMMYFUNCTION("""COMPUTED_VALUE"""),22.0)</f>
        <v>22</v>
      </c>
      <c r="G1472" s="1">
        <f>IFERROR(__xludf.DUMMYFUNCTION("""COMPUTED_VALUE"""),83.0)</f>
        <v>83</v>
      </c>
      <c r="H1472" s="1">
        <f>IFERROR(__xludf.DUMMYFUNCTION("""COMPUTED_VALUE"""),73.0)</f>
        <v>73</v>
      </c>
      <c r="I1472" s="1">
        <f>IFERROR(__xludf.DUMMYFUNCTION("""COMPUTED_VALUE"""),95.0)</f>
        <v>95</v>
      </c>
      <c r="J1472" s="1">
        <f>IFERROR(__xludf.DUMMYFUNCTION("""COMPUTED_VALUE"""),329.0)</f>
        <v>329</v>
      </c>
      <c r="K1472" s="1">
        <f>IFERROR(__xludf.DUMMYFUNCTION("""COMPUTED_VALUE"""),65.8)</f>
        <v>65.8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>
        <f>IFERROR(__xludf.DUMMYFUNCTION("""COMPUTED_VALUE"""),46.0)</f>
        <v>46</v>
      </c>
      <c r="E1473" s="1">
        <f>IFERROR(__xludf.DUMMYFUNCTION("""COMPUTED_VALUE"""),98.0)</f>
        <v>98</v>
      </c>
      <c r="F1473" s="1">
        <f>IFERROR(__xludf.DUMMYFUNCTION("""COMPUTED_VALUE"""),45.0)</f>
        <v>45</v>
      </c>
      <c r="G1473" s="1">
        <f>IFERROR(__xludf.DUMMYFUNCTION("""COMPUTED_VALUE"""),26.0)</f>
        <v>26</v>
      </c>
      <c r="H1473" s="1">
        <f>IFERROR(__xludf.DUMMYFUNCTION("""COMPUTED_VALUE"""),81.0)</f>
        <v>81</v>
      </c>
      <c r="I1473" s="1">
        <f>IFERROR(__xludf.DUMMYFUNCTION("""COMPUTED_VALUE"""),22.0)</f>
        <v>22</v>
      </c>
      <c r="J1473" s="1">
        <f>IFERROR(__xludf.DUMMYFUNCTION("""COMPUTED_VALUE"""),272.0)</f>
        <v>272</v>
      </c>
      <c r="K1473" s="1">
        <f>IFERROR(__xludf.DUMMYFUNCTION("""COMPUTED_VALUE"""),54.400000000000006)</f>
        <v>54.4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>
        <f>IFERROR(__xludf.DUMMYFUNCTION("""COMPUTED_VALUE"""),48.0)</f>
        <v>48</v>
      </c>
      <c r="E1474" s="1">
        <f>IFERROR(__xludf.DUMMYFUNCTION("""COMPUTED_VALUE"""),51.0)</f>
        <v>51</v>
      </c>
      <c r="F1474" s="1">
        <f>IFERROR(__xludf.DUMMYFUNCTION("""COMPUTED_VALUE"""),96.0)</f>
        <v>96</v>
      </c>
      <c r="G1474" s="1">
        <f>IFERROR(__xludf.DUMMYFUNCTION("""COMPUTED_VALUE"""),38.0)</f>
        <v>38</v>
      </c>
      <c r="H1474" s="1">
        <f>IFERROR(__xludf.DUMMYFUNCTION("""COMPUTED_VALUE"""),28.0)</f>
        <v>28</v>
      </c>
      <c r="I1474" s="1">
        <f>IFERROR(__xludf.DUMMYFUNCTION("""COMPUTED_VALUE"""),28.0)</f>
        <v>28</v>
      </c>
      <c r="J1474" s="1">
        <f>IFERROR(__xludf.DUMMYFUNCTION("""COMPUTED_VALUE"""),241.0)</f>
        <v>241</v>
      </c>
      <c r="K1474" s="1">
        <f>IFERROR(__xludf.DUMMYFUNCTION("""COMPUTED_VALUE"""),48.199999999999996)</f>
        <v>48.2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>
        <f>IFERROR(__xludf.DUMMYFUNCTION("""COMPUTED_VALUE"""),95.0)</f>
        <v>95</v>
      </c>
      <c r="E1475" s="1">
        <f>IFERROR(__xludf.DUMMYFUNCTION("""COMPUTED_VALUE"""),65.0)</f>
        <v>65</v>
      </c>
      <c r="F1475" s="1">
        <f>IFERROR(__xludf.DUMMYFUNCTION("""COMPUTED_VALUE"""),53.0)</f>
        <v>53</v>
      </c>
      <c r="G1475" s="1">
        <f>IFERROR(__xludf.DUMMYFUNCTION("""COMPUTED_VALUE"""),31.0)</f>
        <v>31</v>
      </c>
      <c r="H1475" s="1">
        <f>IFERROR(__xludf.DUMMYFUNCTION("""COMPUTED_VALUE"""),90.0)</f>
        <v>90</v>
      </c>
      <c r="I1475" s="1">
        <f>IFERROR(__xludf.DUMMYFUNCTION("""COMPUTED_VALUE"""),44.0)</f>
        <v>44</v>
      </c>
      <c r="J1475" s="1">
        <f>IFERROR(__xludf.DUMMYFUNCTION("""COMPUTED_VALUE"""),283.0)</f>
        <v>283</v>
      </c>
      <c r="K1475" s="1">
        <f>IFERROR(__xludf.DUMMYFUNCTION("""COMPUTED_VALUE"""),56.599999999999994)</f>
        <v>56.6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>
        <f>IFERROR(__xludf.DUMMYFUNCTION("""COMPUTED_VALUE"""),60.0)</f>
        <v>60</v>
      </c>
      <c r="E1476" s="1">
        <f>IFERROR(__xludf.DUMMYFUNCTION("""COMPUTED_VALUE"""),54.0)</f>
        <v>54</v>
      </c>
      <c r="F1476" s="1">
        <f>IFERROR(__xludf.DUMMYFUNCTION("""COMPUTED_VALUE"""),59.0)</f>
        <v>59</v>
      </c>
      <c r="G1476" s="1">
        <f>IFERROR(__xludf.DUMMYFUNCTION("""COMPUTED_VALUE"""),30.0)</f>
        <v>30</v>
      </c>
      <c r="H1476" s="1">
        <f>IFERROR(__xludf.DUMMYFUNCTION("""COMPUTED_VALUE"""),78.0)</f>
        <v>78</v>
      </c>
      <c r="I1476" s="1">
        <f>IFERROR(__xludf.DUMMYFUNCTION("""COMPUTED_VALUE"""),32.0)</f>
        <v>32</v>
      </c>
      <c r="J1476" s="1">
        <f>IFERROR(__xludf.DUMMYFUNCTION("""COMPUTED_VALUE"""),253.0)</f>
        <v>253</v>
      </c>
      <c r="K1476" s="1">
        <f>IFERROR(__xludf.DUMMYFUNCTION("""COMPUTED_VALUE"""),50.6)</f>
        <v>50.6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>
        <f>IFERROR(__xludf.DUMMYFUNCTION("""COMPUTED_VALUE"""),38.0)</f>
        <v>38</v>
      </c>
      <c r="E1477" s="1">
        <f>IFERROR(__xludf.DUMMYFUNCTION("""COMPUTED_VALUE"""),33.0)</f>
        <v>33</v>
      </c>
      <c r="F1477" s="1">
        <f>IFERROR(__xludf.DUMMYFUNCTION("""COMPUTED_VALUE"""),63.0)</f>
        <v>63</v>
      </c>
      <c r="G1477" s="1">
        <f>IFERROR(__xludf.DUMMYFUNCTION("""COMPUTED_VALUE"""),73.0)</f>
        <v>73</v>
      </c>
      <c r="H1477" s="1">
        <f>IFERROR(__xludf.DUMMYFUNCTION("""COMPUTED_VALUE"""),64.0)</f>
        <v>64</v>
      </c>
      <c r="I1477" s="1">
        <f>IFERROR(__xludf.DUMMYFUNCTION("""COMPUTED_VALUE"""),51.0)</f>
        <v>51</v>
      </c>
      <c r="J1477" s="1">
        <f>IFERROR(__xludf.DUMMYFUNCTION("""COMPUTED_VALUE"""),284.0)</f>
        <v>284</v>
      </c>
      <c r="K1477" s="1">
        <f>IFERROR(__xludf.DUMMYFUNCTION("""COMPUTED_VALUE"""),56.8)</f>
        <v>56.8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>
        <f>IFERROR(__xludf.DUMMYFUNCTION("""COMPUTED_VALUE"""),20.0)</f>
        <v>20</v>
      </c>
      <c r="E1478" s="1">
        <f>IFERROR(__xludf.DUMMYFUNCTION("""COMPUTED_VALUE"""),20.0)</f>
        <v>20</v>
      </c>
      <c r="F1478" s="1">
        <f>IFERROR(__xludf.DUMMYFUNCTION("""COMPUTED_VALUE"""),86.0)</f>
        <v>86</v>
      </c>
      <c r="G1478" s="1">
        <f>IFERROR(__xludf.DUMMYFUNCTION("""COMPUTED_VALUE"""),48.0)</f>
        <v>48</v>
      </c>
      <c r="H1478" s="1">
        <f>IFERROR(__xludf.DUMMYFUNCTION("""COMPUTED_VALUE"""),98.0)</f>
        <v>98</v>
      </c>
      <c r="I1478" s="1">
        <f>IFERROR(__xludf.DUMMYFUNCTION("""COMPUTED_VALUE"""),48.0)</f>
        <v>48</v>
      </c>
      <c r="J1478" s="1">
        <f>IFERROR(__xludf.DUMMYFUNCTION("""COMPUTED_VALUE"""),300.0)</f>
        <v>300</v>
      </c>
      <c r="K1478" s="1">
        <f>IFERROR(__xludf.DUMMYFUNCTION("""COMPUTED_VALUE"""),60.0)</f>
        <v>60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>
        <f>IFERROR(__xludf.DUMMYFUNCTION("""COMPUTED_VALUE"""),82.0)</f>
        <v>82</v>
      </c>
      <c r="E1479" s="1">
        <f>IFERROR(__xludf.DUMMYFUNCTION("""COMPUTED_VALUE"""),96.0)</f>
        <v>96</v>
      </c>
      <c r="F1479" s="1">
        <f>IFERROR(__xludf.DUMMYFUNCTION("""COMPUTED_VALUE"""),63.0)</f>
        <v>63</v>
      </c>
      <c r="G1479" s="1">
        <f>IFERROR(__xludf.DUMMYFUNCTION("""COMPUTED_VALUE"""),45.0)</f>
        <v>45</v>
      </c>
      <c r="H1479" s="1">
        <f>IFERROR(__xludf.DUMMYFUNCTION("""COMPUTED_VALUE"""),80.0)</f>
        <v>80</v>
      </c>
      <c r="I1479" s="1">
        <f>IFERROR(__xludf.DUMMYFUNCTION("""COMPUTED_VALUE"""),74.0)</f>
        <v>74</v>
      </c>
      <c r="J1479" s="1">
        <f>IFERROR(__xludf.DUMMYFUNCTION("""COMPUTED_VALUE"""),358.0)</f>
        <v>358</v>
      </c>
      <c r="K1479" s="1">
        <f>IFERROR(__xludf.DUMMYFUNCTION("""COMPUTED_VALUE"""),71.6)</f>
        <v>71.6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>
        <f>IFERROR(__xludf.DUMMYFUNCTION("""COMPUTED_VALUE"""),79.0)</f>
        <v>79</v>
      </c>
      <c r="E1480" s="1">
        <f>IFERROR(__xludf.DUMMYFUNCTION("""COMPUTED_VALUE"""),60.0)</f>
        <v>60</v>
      </c>
      <c r="F1480" s="1">
        <f>IFERROR(__xludf.DUMMYFUNCTION("""COMPUTED_VALUE"""),30.0)</f>
        <v>30</v>
      </c>
      <c r="G1480" s="1">
        <f>IFERROR(__xludf.DUMMYFUNCTION("""COMPUTED_VALUE"""),64.0)</f>
        <v>64</v>
      </c>
      <c r="H1480" s="1">
        <f>IFERROR(__xludf.DUMMYFUNCTION("""COMPUTED_VALUE"""),25.0)</f>
        <v>25</v>
      </c>
      <c r="I1480" s="1">
        <f>IFERROR(__xludf.DUMMYFUNCTION("""COMPUTED_VALUE"""),23.0)</f>
        <v>23</v>
      </c>
      <c r="J1480" s="1">
        <f>IFERROR(__xludf.DUMMYFUNCTION("""COMPUTED_VALUE"""),202.0)</f>
        <v>202</v>
      </c>
      <c r="K1480" s="1">
        <f>IFERROR(__xludf.DUMMYFUNCTION("""COMPUTED_VALUE"""),40.400000000000006)</f>
        <v>40.4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>
        <f>IFERROR(__xludf.DUMMYFUNCTION("""COMPUTED_VALUE"""),54.0)</f>
        <v>54</v>
      </c>
      <c r="E1481" s="1">
        <f>IFERROR(__xludf.DUMMYFUNCTION("""COMPUTED_VALUE"""),90.0)</f>
        <v>90</v>
      </c>
      <c r="F1481" s="1">
        <f>IFERROR(__xludf.DUMMYFUNCTION("""COMPUTED_VALUE"""),35.0)</f>
        <v>35</v>
      </c>
      <c r="G1481" s="1">
        <f>IFERROR(__xludf.DUMMYFUNCTION("""COMPUTED_VALUE"""),75.0)</f>
        <v>75</v>
      </c>
      <c r="H1481" s="1">
        <f>IFERROR(__xludf.DUMMYFUNCTION("""COMPUTED_VALUE"""),21.0)</f>
        <v>21</v>
      </c>
      <c r="I1481" s="1">
        <f>IFERROR(__xludf.DUMMYFUNCTION("""COMPUTED_VALUE"""),71.0)</f>
        <v>71</v>
      </c>
      <c r="J1481" s="1">
        <f>IFERROR(__xludf.DUMMYFUNCTION("""COMPUTED_VALUE"""),292.0)</f>
        <v>292</v>
      </c>
      <c r="K1481" s="1">
        <f>IFERROR(__xludf.DUMMYFUNCTION("""COMPUTED_VALUE"""),58.4)</f>
        <v>58.4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>
        <f>IFERROR(__xludf.DUMMYFUNCTION("""COMPUTED_VALUE"""),37.0)</f>
        <v>37</v>
      </c>
      <c r="E1482" s="1">
        <f>IFERROR(__xludf.DUMMYFUNCTION("""COMPUTED_VALUE"""),58.0)</f>
        <v>58</v>
      </c>
      <c r="F1482" s="1">
        <f>IFERROR(__xludf.DUMMYFUNCTION("""COMPUTED_VALUE"""),93.0)</f>
        <v>93</v>
      </c>
      <c r="G1482" s="1">
        <f>IFERROR(__xludf.DUMMYFUNCTION("""COMPUTED_VALUE"""),34.0)</f>
        <v>34</v>
      </c>
      <c r="H1482" s="1">
        <f>IFERROR(__xludf.DUMMYFUNCTION("""COMPUTED_VALUE"""),27.0)</f>
        <v>27</v>
      </c>
      <c r="I1482" s="1">
        <f>IFERROR(__xludf.DUMMYFUNCTION("""COMPUTED_VALUE"""),81.0)</f>
        <v>81</v>
      </c>
      <c r="J1482" s="1">
        <f>IFERROR(__xludf.DUMMYFUNCTION("""COMPUTED_VALUE"""),293.0)</f>
        <v>293</v>
      </c>
      <c r="K1482" s="1">
        <f>IFERROR(__xludf.DUMMYFUNCTION("""COMPUTED_VALUE"""),58.599999999999994)</f>
        <v>58.6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>
        <f>IFERROR(__xludf.DUMMYFUNCTION("""COMPUTED_VALUE"""),88.0)</f>
        <v>88</v>
      </c>
      <c r="E1483" s="1">
        <f>IFERROR(__xludf.DUMMYFUNCTION("""COMPUTED_VALUE"""),44.0)</f>
        <v>44</v>
      </c>
      <c r="F1483" s="1">
        <f>IFERROR(__xludf.DUMMYFUNCTION("""COMPUTED_VALUE"""),71.0)</f>
        <v>71</v>
      </c>
      <c r="G1483" s="1">
        <f>IFERROR(__xludf.DUMMYFUNCTION("""COMPUTED_VALUE"""),68.0)</f>
        <v>68</v>
      </c>
      <c r="H1483" s="1">
        <f>IFERROR(__xludf.DUMMYFUNCTION("""COMPUTED_VALUE"""),89.0)</f>
        <v>89</v>
      </c>
      <c r="I1483" s="1">
        <f>IFERROR(__xludf.DUMMYFUNCTION("""COMPUTED_VALUE"""),66.0)</f>
        <v>66</v>
      </c>
      <c r="J1483" s="1">
        <f>IFERROR(__xludf.DUMMYFUNCTION("""COMPUTED_VALUE"""),338.0)</f>
        <v>338</v>
      </c>
      <c r="K1483" s="1">
        <f>IFERROR(__xludf.DUMMYFUNCTION("""COMPUTED_VALUE"""),67.60000000000001)</f>
        <v>67.6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>
        <f>IFERROR(__xludf.DUMMYFUNCTION("""COMPUTED_VALUE"""),43.0)</f>
        <v>43</v>
      </c>
      <c r="E1484" s="1">
        <f>IFERROR(__xludf.DUMMYFUNCTION("""COMPUTED_VALUE"""),78.0)</f>
        <v>78</v>
      </c>
      <c r="F1484" s="1">
        <f>IFERROR(__xludf.DUMMYFUNCTION("""COMPUTED_VALUE"""),86.0)</f>
        <v>86</v>
      </c>
      <c r="G1484" s="1">
        <f>IFERROR(__xludf.DUMMYFUNCTION("""COMPUTED_VALUE"""),51.0)</f>
        <v>51</v>
      </c>
      <c r="H1484" s="1">
        <f>IFERROR(__xludf.DUMMYFUNCTION("""COMPUTED_VALUE"""),32.0)</f>
        <v>32</v>
      </c>
      <c r="I1484" s="1">
        <f>IFERROR(__xludf.DUMMYFUNCTION("""COMPUTED_VALUE"""),79.0)</f>
        <v>79</v>
      </c>
      <c r="J1484" s="1">
        <f>IFERROR(__xludf.DUMMYFUNCTION("""COMPUTED_VALUE"""),326.0)</f>
        <v>326</v>
      </c>
      <c r="K1484" s="1">
        <f>IFERROR(__xludf.DUMMYFUNCTION("""COMPUTED_VALUE"""),65.2)</f>
        <v>65.2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>
        <f>IFERROR(__xludf.DUMMYFUNCTION("""COMPUTED_VALUE"""),56.0)</f>
        <v>56</v>
      </c>
      <c r="E1485" s="1">
        <f>IFERROR(__xludf.DUMMYFUNCTION("""COMPUTED_VALUE"""),97.0)</f>
        <v>97</v>
      </c>
      <c r="F1485" s="1">
        <f>IFERROR(__xludf.DUMMYFUNCTION("""COMPUTED_VALUE"""),52.0)</f>
        <v>52</v>
      </c>
      <c r="G1485" s="1">
        <f>IFERROR(__xludf.DUMMYFUNCTION("""COMPUTED_VALUE"""),98.0)</f>
        <v>98</v>
      </c>
      <c r="H1485" s="1">
        <f>IFERROR(__xludf.DUMMYFUNCTION("""COMPUTED_VALUE"""),61.0)</f>
        <v>61</v>
      </c>
      <c r="I1485" s="1">
        <f>IFERROR(__xludf.DUMMYFUNCTION("""COMPUTED_VALUE"""),92.0)</f>
        <v>92</v>
      </c>
      <c r="J1485" s="1">
        <f>IFERROR(__xludf.DUMMYFUNCTION("""COMPUTED_VALUE"""),400.0)</f>
        <v>400</v>
      </c>
      <c r="K1485" s="1">
        <f>IFERROR(__xludf.DUMMYFUNCTION("""COMPUTED_VALUE"""),80.0)</f>
        <v>80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>
        <f>IFERROR(__xludf.DUMMYFUNCTION("""COMPUTED_VALUE"""),89.0)</f>
        <v>89</v>
      </c>
      <c r="E1486" s="1">
        <f>IFERROR(__xludf.DUMMYFUNCTION("""COMPUTED_VALUE"""),35.0)</f>
        <v>35</v>
      </c>
      <c r="F1486" s="1">
        <f>IFERROR(__xludf.DUMMYFUNCTION("""COMPUTED_VALUE"""),36.0)</f>
        <v>36</v>
      </c>
      <c r="G1486" s="1">
        <f>IFERROR(__xludf.DUMMYFUNCTION("""COMPUTED_VALUE"""),99.0)</f>
        <v>99</v>
      </c>
      <c r="H1486" s="1">
        <f>IFERROR(__xludf.DUMMYFUNCTION("""COMPUTED_VALUE"""),95.0)</f>
        <v>95</v>
      </c>
      <c r="I1486" s="1">
        <f>IFERROR(__xludf.DUMMYFUNCTION("""COMPUTED_VALUE"""),27.0)</f>
        <v>27</v>
      </c>
      <c r="J1486" s="1">
        <f>IFERROR(__xludf.DUMMYFUNCTION("""COMPUTED_VALUE"""),292.0)</f>
        <v>292</v>
      </c>
      <c r="K1486" s="1">
        <f>IFERROR(__xludf.DUMMYFUNCTION("""COMPUTED_VALUE"""),58.4)</f>
        <v>58.4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>
        <f>IFERROR(__xludf.DUMMYFUNCTION("""COMPUTED_VALUE"""),59.0)</f>
        <v>59</v>
      </c>
      <c r="E1487" s="1">
        <f>IFERROR(__xludf.DUMMYFUNCTION("""COMPUTED_VALUE"""),34.0)</f>
        <v>34</v>
      </c>
      <c r="F1487" s="1">
        <f>IFERROR(__xludf.DUMMYFUNCTION("""COMPUTED_VALUE"""),59.0)</f>
        <v>59</v>
      </c>
      <c r="G1487" s="1">
        <f>IFERROR(__xludf.DUMMYFUNCTION("""COMPUTED_VALUE"""),76.0)</f>
        <v>76</v>
      </c>
      <c r="H1487" s="1">
        <f>IFERROR(__xludf.DUMMYFUNCTION("""COMPUTED_VALUE"""),55.0)</f>
        <v>55</v>
      </c>
      <c r="I1487" s="1">
        <f>IFERROR(__xludf.DUMMYFUNCTION("""COMPUTED_VALUE"""),93.0)</f>
        <v>93</v>
      </c>
      <c r="J1487" s="1">
        <f>IFERROR(__xludf.DUMMYFUNCTION("""COMPUTED_VALUE"""),317.0)</f>
        <v>317</v>
      </c>
      <c r="K1487" s="1">
        <f>IFERROR(__xludf.DUMMYFUNCTION("""COMPUTED_VALUE"""),63.4)</f>
        <v>63.4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>
        <f>IFERROR(__xludf.DUMMYFUNCTION("""COMPUTED_VALUE"""),92.0)</f>
        <v>92</v>
      </c>
      <c r="E1488" s="1">
        <f>IFERROR(__xludf.DUMMYFUNCTION("""COMPUTED_VALUE"""),84.0)</f>
        <v>84</v>
      </c>
      <c r="F1488" s="1">
        <f>IFERROR(__xludf.DUMMYFUNCTION("""COMPUTED_VALUE"""),78.0)</f>
        <v>78</v>
      </c>
      <c r="G1488" s="1">
        <f>IFERROR(__xludf.DUMMYFUNCTION("""COMPUTED_VALUE"""),54.0)</f>
        <v>54</v>
      </c>
      <c r="H1488" s="1">
        <f>IFERROR(__xludf.DUMMYFUNCTION("""COMPUTED_VALUE"""),54.0)</f>
        <v>54</v>
      </c>
      <c r="I1488" s="1">
        <f>IFERROR(__xludf.DUMMYFUNCTION("""COMPUTED_VALUE"""),38.0)</f>
        <v>38</v>
      </c>
      <c r="J1488" s="1">
        <f>IFERROR(__xludf.DUMMYFUNCTION("""COMPUTED_VALUE"""),308.0)</f>
        <v>308</v>
      </c>
      <c r="K1488" s="1">
        <f>IFERROR(__xludf.DUMMYFUNCTION("""COMPUTED_VALUE"""),61.6)</f>
        <v>61.6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>
        <f>IFERROR(__xludf.DUMMYFUNCTION("""COMPUTED_VALUE"""),88.0)</f>
        <v>88</v>
      </c>
      <c r="E1489" s="1">
        <f>IFERROR(__xludf.DUMMYFUNCTION("""COMPUTED_VALUE"""),57.0)</f>
        <v>57</v>
      </c>
      <c r="F1489" s="1">
        <f>IFERROR(__xludf.DUMMYFUNCTION("""COMPUTED_VALUE"""),67.0)</f>
        <v>67</v>
      </c>
      <c r="G1489" s="1">
        <f>IFERROR(__xludf.DUMMYFUNCTION("""COMPUTED_VALUE"""),56.0)</f>
        <v>56</v>
      </c>
      <c r="H1489" s="1">
        <f>IFERROR(__xludf.DUMMYFUNCTION("""COMPUTED_VALUE"""),23.0)</f>
        <v>23</v>
      </c>
      <c r="I1489" s="1">
        <f>IFERROR(__xludf.DUMMYFUNCTION("""COMPUTED_VALUE"""),90.0)</f>
        <v>90</v>
      </c>
      <c r="J1489" s="1">
        <f>IFERROR(__xludf.DUMMYFUNCTION("""COMPUTED_VALUE"""),293.0)</f>
        <v>293</v>
      </c>
      <c r="K1489" s="1">
        <f>IFERROR(__xludf.DUMMYFUNCTION("""COMPUTED_VALUE"""),58.599999999999994)</f>
        <v>58.6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>
        <f>IFERROR(__xludf.DUMMYFUNCTION("""COMPUTED_VALUE"""),70.0)</f>
        <v>70</v>
      </c>
      <c r="E1490" s="1">
        <f>IFERROR(__xludf.DUMMYFUNCTION("""COMPUTED_VALUE"""),22.0)</f>
        <v>22</v>
      </c>
      <c r="F1490" s="1">
        <f>IFERROR(__xludf.DUMMYFUNCTION("""COMPUTED_VALUE"""),97.0)</f>
        <v>97</v>
      </c>
      <c r="G1490" s="1">
        <f>IFERROR(__xludf.DUMMYFUNCTION("""COMPUTED_VALUE"""),26.0)</f>
        <v>26</v>
      </c>
      <c r="H1490" s="1">
        <f>IFERROR(__xludf.DUMMYFUNCTION("""COMPUTED_VALUE"""),22.0)</f>
        <v>22</v>
      </c>
      <c r="I1490" s="1">
        <f>IFERROR(__xludf.DUMMYFUNCTION("""COMPUTED_VALUE"""),36.0)</f>
        <v>36</v>
      </c>
      <c r="J1490" s="1">
        <f>IFERROR(__xludf.DUMMYFUNCTION("""COMPUTED_VALUE"""),203.0)</f>
        <v>203</v>
      </c>
      <c r="K1490" s="1">
        <f>IFERROR(__xludf.DUMMYFUNCTION("""COMPUTED_VALUE"""),40.6)</f>
        <v>40.6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>
        <f>IFERROR(__xludf.DUMMYFUNCTION("""COMPUTED_VALUE"""),87.0)</f>
        <v>87</v>
      </c>
      <c r="E1491" s="1">
        <f>IFERROR(__xludf.DUMMYFUNCTION("""COMPUTED_VALUE"""),87.0)</f>
        <v>87</v>
      </c>
      <c r="F1491" s="1">
        <f>IFERROR(__xludf.DUMMYFUNCTION("""COMPUTED_VALUE"""),21.0)</f>
        <v>21</v>
      </c>
      <c r="G1491" s="1">
        <f>IFERROR(__xludf.DUMMYFUNCTION("""COMPUTED_VALUE"""),56.0)</f>
        <v>56</v>
      </c>
      <c r="H1491" s="1">
        <f>IFERROR(__xludf.DUMMYFUNCTION("""COMPUTED_VALUE"""),56.0)</f>
        <v>56</v>
      </c>
      <c r="I1491" s="1">
        <f>IFERROR(__xludf.DUMMYFUNCTION("""COMPUTED_VALUE"""),64.0)</f>
        <v>64</v>
      </c>
      <c r="J1491" s="1">
        <f>IFERROR(__xludf.DUMMYFUNCTION("""COMPUTED_VALUE"""),284.0)</f>
        <v>284</v>
      </c>
      <c r="K1491" s="1">
        <f>IFERROR(__xludf.DUMMYFUNCTION("""COMPUTED_VALUE"""),56.8)</f>
        <v>56.8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>
        <f>IFERROR(__xludf.DUMMYFUNCTION("""COMPUTED_VALUE"""),40.0)</f>
        <v>40</v>
      </c>
      <c r="E1492" s="1">
        <f>IFERROR(__xludf.DUMMYFUNCTION("""COMPUTED_VALUE"""),48.0)</f>
        <v>48</v>
      </c>
      <c r="F1492" s="1">
        <f>IFERROR(__xludf.DUMMYFUNCTION("""COMPUTED_VALUE"""),72.0)</f>
        <v>72</v>
      </c>
      <c r="G1492" s="1">
        <f>IFERROR(__xludf.DUMMYFUNCTION("""COMPUTED_VALUE"""),93.0)</f>
        <v>93</v>
      </c>
      <c r="H1492" s="1">
        <f>IFERROR(__xludf.DUMMYFUNCTION("""COMPUTED_VALUE"""),67.0)</f>
        <v>67</v>
      </c>
      <c r="I1492" s="1">
        <f>IFERROR(__xludf.DUMMYFUNCTION("""COMPUTED_VALUE"""),78.0)</f>
        <v>78</v>
      </c>
      <c r="J1492" s="1">
        <f>IFERROR(__xludf.DUMMYFUNCTION("""COMPUTED_VALUE"""),358.0)</f>
        <v>358</v>
      </c>
      <c r="K1492" s="1">
        <f>IFERROR(__xludf.DUMMYFUNCTION("""COMPUTED_VALUE"""),71.6)</f>
        <v>71.6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>
        <f>IFERROR(__xludf.DUMMYFUNCTION("""COMPUTED_VALUE"""),26.0)</f>
        <v>26</v>
      </c>
      <c r="E1493" s="1">
        <f>IFERROR(__xludf.DUMMYFUNCTION("""COMPUTED_VALUE"""),28.0)</f>
        <v>28</v>
      </c>
      <c r="F1493" s="1">
        <f>IFERROR(__xludf.DUMMYFUNCTION("""COMPUTED_VALUE"""),53.0)</f>
        <v>53</v>
      </c>
      <c r="G1493" s="1">
        <f>IFERROR(__xludf.DUMMYFUNCTION("""COMPUTED_VALUE"""),35.0)</f>
        <v>35</v>
      </c>
      <c r="H1493" s="1">
        <f>IFERROR(__xludf.DUMMYFUNCTION("""COMPUTED_VALUE"""),97.0)</f>
        <v>97</v>
      </c>
      <c r="I1493" s="1">
        <f>IFERROR(__xludf.DUMMYFUNCTION("""COMPUTED_VALUE"""),80.0)</f>
        <v>80</v>
      </c>
      <c r="J1493" s="1">
        <f>IFERROR(__xludf.DUMMYFUNCTION("""COMPUTED_VALUE"""),293.0)</f>
        <v>293</v>
      </c>
      <c r="K1493" s="1">
        <f>IFERROR(__xludf.DUMMYFUNCTION("""COMPUTED_VALUE"""),58.599999999999994)</f>
        <v>58.6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>
        <f>IFERROR(__xludf.DUMMYFUNCTION("""COMPUTED_VALUE"""),44.0)</f>
        <v>44</v>
      </c>
      <c r="E1494" s="1">
        <f>IFERROR(__xludf.DUMMYFUNCTION("""COMPUTED_VALUE"""),59.0)</f>
        <v>59</v>
      </c>
      <c r="F1494" s="1">
        <f>IFERROR(__xludf.DUMMYFUNCTION("""COMPUTED_VALUE"""),76.0)</f>
        <v>76</v>
      </c>
      <c r="G1494" s="1">
        <f>IFERROR(__xludf.DUMMYFUNCTION("""COMPUTED_VALUE"""),29.0)</f>
        <v>29</v>
      </c>
      <c r="H1494" s="1">
        <f>IFERROR(__xludf.DUMMYFUNCTION("""COMPUTED_VALUE"""),36.0)</f>
        <v>36</v>
      </c>
      <c r="I1494" s="1">
        <f>IFERROR(__xludf.DUMMYFUNCTION("""COMPUTED_VALUE"""),53.0)</f>
        <v>53</v>
      </c>
      <c r="J1494" s="1">
        <f>IFERROR(__xludf.DUMMYFUNCTION("""COMPUTED_VALUE"""),253.0)</f>
        <v>253</v>
      </c>
      <c r="K1494" s="1">
        <f>IFERROR(__xludf.DUMMYFUNCTION("""COMPUTED_VALUE"""),50.6)</f>
        <v>50.6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>
        <f>IFERROR(__xludf.DUMMYFUNCTION("""COMPUTED_VALUE"""),43.0)</f>
        <v>43</v>
      </c>
      <c r="E1495" s="1">
        <f>IFERROR(__xludf.DUMMYFUNCTION("""COMPUTED_VALUE"""),92.0)</f>
        <v>92</v>
      </c>
      <c r="F1495" s="1">
        <f>IFERROR(__xludf.DUMMYFUNCTION("""COMPUTED_VALUE"""),98.0)</f>
        <v>98</v>
      </c>
      <c r="G1495" s="1">
        <f>IFERROR(__xludf.DUMMYFUNCTION("""COMPUTED_VALUE"""),24.0)</f>
        <v>24</v>
      </c>
      <c r="H1495" s="1">
        <f>IFERROR(__xludf.DUMMYFUNCTION("""COMPUTED_VALUE"""),50.0)</f>
        <v>50</v>
      </c>
      <c r="I1495" s="1">
        <f>IFERROR(__xludf.DUMMYFUNCTION("""COMPUTED_VALUE"""),47.0)</f>
        <v>47</v>
      </c>
      <c r="J1495" s="1">
        <f>IFERROR(__xludf.DUMMYFUNCTION("""COMPUTED_VALUE"""),311.0)</f>
        <v>311</v>
      </c>
      <c r="K1495" s="1">
        <f>IFERROR(__xludf.DUMMYFUNCTION("""COMPUTED_VALUE"""),62.2)</f>
        <v>62.2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>
        <f>IFERROR(__xludf.DUMMYFUNCTION("""COMPUTED_VALUE"""),28.0)</f>
        <v>28</v>
      </c>
      <c r="E1496" s="1">
        <f>IFERROR(__xludf.DUMMYFUNCTION("""COMPUTED_VALUE"""),96.0)</f>
        <v>96</v>
      </c>
      <c r="F1496" s="1">
        <f>IFERROR(__xludf.DUMMYFUNCTION("""COMPUTED_VALUE"""),68.0)</f>
        <v>68</v>
      </c>
      <c r="G1496" s="1">
        <f>IFERROR(__xludf.DUMMYFUNCTION("""COMPUTED_VALUE"""),72.0)</f>
        <v>72</v>
      </c>
      <c r="H1496" s="1">
        <f>IFERROR(__xludf.DUMMYFUNCTION("""COMPUTED_VALUE"""),77.0)</f>
        <v>77</v>
      </c>
      <c r="I1496" s="1">
        <f>IFERROR(__xludf.DUMMYFUNCTION("""COMPUTED_VALUE"""),20.0)</f>
        <v>20</v>
      </c>
      <c r="J1496" s="1">
        <f>IFERROR(__xludf.DUMMYFUNCTION("""COMPUTED_VALUE"""),333.0)</f>
        <v>333</v>
      </c>
      <c r="K1496" s="1">
        <f>IFERROR(__xludf.DUMMYFUNCTION("""COMPUTED_VALUE"""),66.60000000000001)</f>
        <v>66.6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>
        <f>IFERROR(__xludf.DUMMYFUNCTION("""COMPUTED_VALUE"""),72.0)</f>
        <v>72</v>
      </c>
      <c r="E1497" s="1">
        <f>IFERROR(__xludf.DUMMYFUNCTION("""COMPUTED_VALUE"""),69.0)</f>
        <v>69</v>
      </c>
      <c r="F1497" s="1">
        <f>IFERROR(__xludf.DUMMYFUNCTION("""COMPUTED_VALUE"""),24.0)</f>
        <v>24</v>
      </c>
      <c r="G1497" s="1">
        <f>IFERROR(__xludf.DUMMYFUNCTION("""COMPUTED_VALUE"""),45.0)</f>
        <v>45</v>
      </c>
      <c r="H1497" s="1">
        <f>IFERROR(__xludf.DUMMYFUNCTION("""COMPUTED_VALUE"""),81.0)</f>
        <v>81</v>
      </c>
      <c r="I1497" s="1">
        <f>IFERROR(__xludf.DUMMYFUNCTION("""COMPUTED_VALUE"""),83.0)</f>
        <v>83</v>
      </c>
      <c r="J1497" s="1">
        <f>IFERROR(__xludf.DUMMYFUNCTION("""COMPUTED_VALUE"""),302.0)</f>
        <v>302</v>
      </c>
      <c r="K1497" s="1">
        <f>IFERROR(__xludf.DUMMYFUNCTION("""COMPUTED_VALUE"""),60.4)</f>
        <v>60.4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>
        <f>IFERROR(__xludf.DUMMYFUNCTION("""COMPUTED_VALUE"""),68.0)</f>
        <v>68</v>
      </c>
      <c r="E1498" s="1">
        <f>IFERROR(__xludf.DUMMYFUNCTION("""COMPUTED_VALUE"""),74.0)</f>
        <v>74</v>
      </c>
      <c r="F1498" s="1">
        <f>IFERROR(__xludf.DUMMYFUNCTION("""COMPUTED_VALUE"""),37.0)</f>
        <v>37</v>
      </c>
      <c r="G1498" s="1">
        <f>IFERROR(__xludf.DUMMYFUNCTION("""COMPUTED_VALUE"""),34.0)</f>
        <v>34</v>
      </c>
      <c r="H1498" s="1">
        <f>IFERROR(__xludf.DUMMYFUNCTION("""COMPUTED_VALUE"""),76.0)</f>
        <v>76</v>
      </c>
      <c r="I1498" s="1">
        <f>IFERROR(__xludf.DUMMYFUNCTION("""COMPUTED_VALUE"""),32.0)</f>
        <v>32</v>
      </c>
      <c r="J1498" s="1">
        <f>IFERROR(__xludf.DUMMYFUNCTION("""COMPUTED_VALUE"""),253.0)</f>
        <v>253</v>
      </c>
      <c r="K1498" s="1">
        <f>IFERROR(__xludf.DUMMYFUNCTION("""COMPUTED_VALUE"""),50.6)</f>
        <v>50.6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>
        <f>IFERROR(__xludf.DUMMYFUNCTION("""COMPUTED_VALUE"""),30.0)</f>
        <v>30</v>
      </c>
      <c r="E1499" s="1">
        <f>IFERROR(__xludf.DUMMYFUNCTION("""COMPUTED_VALUE"""),75.0)</f>
        <v>75</v>
      </c>
      <c r="F1499" s="1">
        <f>IFERROR(__xludf.DUMMYFUNCTION("""COMPUTED_VALUE"""),39.0)</f>
        <v>39</v>
      </c>
      <c r="G1499" s="1">
        <f>IFERROR(__xludf.DUMMYFUNCTION("""COMPUTED_VALUE"""),84.0)</f>
        <v>84</v>
      </c>
      <c r="H1499" s="1">
        <f>IFERROR(__xludf.DUMMYFUNCTION("""COMPUTED_VALUE"""),56.0)</f>
        <v>56</v>
      </c>
      <c r="I1499" s="1">
        <f>IFERROR(__xludf.DUMMYFUNCTION("""COMPUTED_VALUE"""),29.0)</f>
        <v>29</v>
      </c>
      <c r="J1499" s="1">
        <f>IFERROR(__xludf.DUMMYFUNCTION("""COMPUTED_VALUE"""),283.0)</f>
        <v>283</v>
      </c>
      <c r="K1499" s="1">
        <f>IFERROR(__xludf.DUMMYFUNCTION("""COMPUTED_VALUE"""),56.599999999999994)</f>
        <v>56.6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>
        <f>IFERROR(__xludf.DUMMYFUNCTION("""COMPUTED_VALUE"""),82.0)</f>
        <v>82</v>
      </c>
      <c r="E1500" s="1">
        <f>IFERROR(__xludf.DUMMYFUNCTION("""COMPUTED_VALUE"""),32.0)</f>
        <v>32</v>
      </c>
      <c r="F1500" s="1">
        <f>IFERROR(__xludf.DUMMYFUNCTION("""COMPUTED_VALUE"""),84.0)</f>
        <v>84</v>
      </c>
      <c r="G1500" s="1">
        <f>IFERROR(__xludf.DUMMYFUNCTION("""COMPUTED_VALUE"""),54.0)</f>
        <v>54</v>
      </c>
      <c r="H1500" s="1">
        <f>IFERROR(__xludf.DUMMYFUNCTION("""COMPUTED_VALUE"""),60.0)</f>
        <v>60</v>
      </c>
      <c r="I1500" s="1">
        <f>IFERROR(__xludf.DUMMYFUNCTION("""COMPUTED_VALUE"""),94.0)</f>
        <v>94</v>
      </c>
      <c r="J1500" s="1">
        <f>IFERROR(__xludf.DUMMYFUNCTION("""COMPUTED_VALUE"""),324.0)</f>
        <v>324</v>
      </c>
      <c r="K1500" s="1">
        <f>IFERROR(__xludf.DUMMYFUNCTION("""COMPUTED_VALUE"""),64.8)</f>
        <v>64.8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>
        <f>IFERROR(__xludf.DUMMYFUNCTION("""COMPUTED_VALUE"""),33.0)</f>
        <v>33</v>
      </c>
      <c r="E1501" s="1">
        <f>IFERROR(__xludf.DUMMYFUNCTION("""COMPUTED_VALUE"""),29.0)</f>
        <v>29</v>
      </c>
      <c r="F1501" s="1">
        <f>IFERROR(__xludf.DUMMYFUNCTION("""COMPUTED_VALUE"""),70.0)</f>
        <v>70</v>
      </c>
      <c r="G1501" s="1">
        <f>IFERROR(__xludf.DUMMYFUNCTION("""COMPUTED_VALUE"""),93.0)</f>
        <v>93</v>
      </c>
      <c r="H1501" s="1">
        <f>IFERROR(__xludf.DUMMYFUNCTION("""COMPUTED_VALUE"""),28.0)</f>
        <v>28</v>
      </c>
      <c r="I1501" s="1">
        <f>IFERROR(__xludf.DUMMYFUNCTION("""COMPUTED_VALUE"""),94.0)</f>
        <v>94</v>
      </c>
      <c r="J1501" s="1">
        <f>IFERROR(__xludf.DUMMYFUNCTION("""COMPUTED_VALUE"""),314.0)</f>
        <v>314</v>
      </c>
      <c r="K1501" s="1">
        <f>IFERROR(__xludf.DUMMYFUNCTION("""COMPUTED_VALUE"""),62.8)</f>
        <v>62.8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>
        <f>IFERROR(__xludf.DUMMYFUNCTION("""COMPUTED_VALUE"""),34.0)</f>
        <v>34</v>
      </c>
      <c r="E1502" s="1">
        <f>IFERROR(__xludf.DUMMYFUNCTION("""COMPUTED_VALUE"""),81.0)</f>
        <v>81</v>
      </c>
      <c r="F1502" s="1">
        <f>IFERROR(__xludf.DUMMYFUNCTION("""COMPUTED_VALUE"""),93.0)</f>
        <v>93</v>
      </c>
      <c r="G1502" s="1">
        <f>IFERROR(__xludf.DUMMYFUNCTION("""COMPUTED_VALUE"""),32.0)</f>
        <v>32</v>
      </c>
      <c r="H1502" s="1">
        <f>IFERROR(__xludf.DUMMYFUNCTION("""COMPUTED_VALUE"""),82.0)</f>
        <v>82</v>
      </c>
      <c r="I1502" s="1">
        <f>IFERROR(__xludf.DUMMYFUNCTION("""COMPUTED_VALUE"""),90.0)</f>
        <v>90</v>
      </c>
      <c r="J1502" s="1">
        <f>IFERROR(__xludf.DUMMYFUNCTION("""COMPUTED_VALUE"""),378.0)</f>
        <v>378</v>
      </c>
      <c r="K1502" s="1">
        <f>IFERROR(__xludf.DUMMYFUNCTION("""COMPUTED_VALUE"""),75.6)</f>
        <v>75.6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>
        <f>IFERROR(__xludf.DUMMYFUNCTION("""COMPUTED_VALUE"""),71.0)</f>
        <v>71</v>
      </c>
      <c r="E1503" s="1">
        <f>IFERROR(__xludf.DUMMYFUNCTION("""COMPUTED_VALUE"""),23.0)</f>
        <v>23</v>
      </c>
      <c r="F1503" s="1">
        <f>IFERROR(__xludf.DUMMYFUNCTION("""COMPUTED_VALUE"""),33.0)</f>
        <v>33</v>
      </c>
      <c r="G1503" s="1">
        <f>IFERROR(__xludf.DUMMYFUNCTION("""COMPUTED_VALUE"""),34.0)</f>
        <v>34</v>
      </c>
      <c r="H1503" s="1">
        <f>IFERROR(__xludf.DUMMYFUNCTION("""COMPUTED_VALUE"""),26.0)</f>
        <v>26</v>
      </c>
      <c r="I1503" s="1">
        <f>IFERROR(__xludf.DUMMYFUNCTION("""COMPUTED_VALUE"""),72.0)</f>
        <v>72</v>
      </c>
      <c r="J1503" s="1">
        <f>IFERROR(__xludf.DUMMYFUNCTION("""COMPUTED_VALUE"""),188.0)</f>
        <v>188</v>
      </c>
      <c r="K1503" s="1">
        <f>IFERROR(__xludf.DUMMYFUNCTION("""COMPUTED_VALUE"""),37.6)</f>
        <v>37.6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>
        <f>IFERROR(__xludf.DUMMYFUNCTION("""COMPUTED_VALUE"""),31.0)</f>
        <v>31</v>
      </c>
      <c r="E1504" s="1">
        <f>IFERROR(__xludf.DUMMYFUNCTION("""COMPUTED_VALUE"""),92.0)</f>
        <v>92</v>
      </c>
      <c r="F1504" s="1">
        <f>IFERROR(__xludf.DUMMYFUNCTION("""COMPUTED_VALUE"""),60.0)</f>
        <v>60</v>
      </c>
      <c r="G1504" s="1">
        <f>IFERROR(__xludf.DUMMYFUNCTION("""COMPUTED_VALUE"""),59.0)</f>
        <v>59</v>
      </c>
      <c r="H1504" s="1">
        <f>IFERROR(__xludf.DUMMYFUNCTION("""COMPUTED_VALUE"""),38.0)</f>
        <v>38</v>
      </c>
      <c r="I1504" s="1">
        <f>IFERROR(__xludf.DUMMYFUNCTION("""COMPUTED_VALUE"""),24.0)</f>
        <v>24</v>
      </c>
      <c r="J1504" s="1">
        <f>IFERROR(__xludf.DUMMYFUNCTION("""COMPUTED_VALUE"""),273.0)</f>
        <v>273</v>
      </c>
      <c r="K1504" s="1">
        <f>IFERROR(__xludf.DUMMYFUNCTION("""COMPUTED_VALUE"""),54.6)</f>
        <v>54.6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>
        <f>IFERROR(__xludf.DUMMYFUNCTION("""COMPUTED_VALUE"""),71.0)</f>
        <v>71</v>
      </c>
      <c r="E1505" s="1">
        <f>IFERROR(__xludf.DUMMYFUNCTION("""COMPUTED_VALUE"""),65.0)</f>
        <v>65</v>
      </c>
      <c r="F1505" s="1">
        <f>IFERROR(__xludf.DUMMYFUNCTION("""COMPUTED_VALUE"""),64.0)</f>
        <v>64</v>
      </c>
      <c r="G1505" s="1">
        <f>IFERROR(__xludf.DUMMYFUNCTION("""COMPUTED_VALUE"""),35.0)</f>
        <v>35</v>
      </c>
      <c r="H1505" s="1">
        <f>IFERROR(__xludf.DUMMYFUNCTION("""COMPUTED_VALUE"""),20.0)</f>
        <v>20</v>
      </c>
      <c r="I1505" s="1">
        <f>IFERROR(__xludf.DUMMYFUNCTION("""COMPUTED_VALUE"""),64.0)</f>
        <v>64</v>
      </c>
      <c r="J1505" s="1">
        <f>IFERROR(__xludf.DUMMYFUNCTION("""COMPUTED_VALUE"""),248.0)</f>
        <v>248</v>
      </c>
      <c r="K1505" s="1">
        <f>IFERROR(__xludf.DUMMYFUNCTION("""COMPUTED_VALUE"""),49.6)</f>
        <v>49.6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>
        <f>IFERROR(__xludf.DUMMYFUNCTION("""COMPUTED_VALUE"""),33.0)</f>
        <v>33</v>
      </c>
      <c r="E1506" s="1">
        <f>IFERROR(__xludf.DUMMYFUNCTION("""COMPUTED_VALUE"""),69.0)</f>
        <v>69</v>
      </c>
      <c r="F1506" s="1">
        <f>IFERROR(__xludf.DUMMYFUNCTION("""COMPUTED_VALUE"""),52.0)</f>
        <v>52</v>
      </c>
      <c r="G1506" s="1">
        <f>IFERROR(__xludf.DUMMYFUNCTION("""COMPUTED_VALUE"""),51.0)</f>
        <v>51</v>
      </c>
      <c r="H1506" s="1">
        <f>IFERROR(__xludf.DUMMYFUNCTION("""COMPUTED_VALUE"""),69.0)</f>
        <v>69</v>
      </c>
      <c r="I1506" s="1">
        <f>IFERROR(__xludf.DUMMYFUNCTION("""COMPUTED_VALUE"""),20.0)</f>
        <v>20</v>
      </c>
      <c r="J1506" s="1">
        <f>IFERROR(__xludf.DUMMYFUNCTION("""COMPUTED_VALUE"""),261.0)</f>
        <v>261</v>
      </c>
      <c r="K1506" s="1">
        <f>IFERROR(__xludf.DUMMYFUNCTION("""COMPUTED_VALUE"""),52.2)</f>
        <v>52.2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>
        <f>IFERROR(__xludf.DUMMYFUNCTION("""COMPUTED_VALUE"""),68.0)</f>
        <v>68</v>
      </c>
      <c r="E1507" s="1">
        <f>IFERROR(__xludf.DUMMYFUNCTION("""COMPUTED_VALUE"""),79.0)</f>
        <v>79</v>
      </c>
      <c r="F1507" s="1">
        <f>IFERROR(__xludf.DUMMYFUNCTION("""COMPUTED_VALUE"""),68.0)</f>
        <v>68</v>
      </c>
      <c r="G1507" s="1">
        <f>IFERROR(__xludf.DUMMYFUNCTION("""COMPUTED_VALUE"""),49.0)</f>
        <v>49</v>
      </c>
      <c r="H1507" s="1">
        <f>IFERROR(__xludf.DUMMYFUNCTION("""COMPUTED_VALUE"""),56.0)</f>
        <v>56</v>
      </c>
      <c r="I1507" s="1">
        <f>IFERROR(__xludf.DUMMYFUNCTION("""COMPUTED_VALUE"""),74.0)</f>
        <v>74</v>
      </c>
      <c r="J1507" s="1">
        <f>IFERROR(__xludf.DUMMYFUNCTION("""COMPUTED_VALUE"""),326.0)</f>
        <v>326</v>
      </c>
      <c r="K1507" s="1">
        <f>IFERROR(__xludf.DUMMYFUNCTION("""COMPUTED_VALUE"""),65.2)</f>
        <v>65.2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>
        <f>IFERROR(__xludf.DUMMYFUNCTION("""COMPUTED_VALUE"""),91.0)</f>
        <v>91</v>
      </c>
      <c r="E1508" s="1">
        <f>IFERROR(__xludf.DUMMYFUNCTION("""COMPUTED_VALUE"""),67.0)</f>
        <v>67</v>
      </c>
      <c r="F1508" s="1">
        <f>IFERROR(__xludf.DUMMYFUNCTION("""COMPUTED_VALUE"""),97.0)</f>
        <v>97</v>
      </c>
      <c r="G1508" s="1">
        <f>IFERROR(__xludf.DUMMYFUNCTION("""COMPUTED_VALUE"""),64.0)</f>
        <v>64</v>
      </c>
      <c r="H1508" s="1">
        <f>IFERROR(__xludf.DUMMYFUNCTION("""COMPUTED_VALUE"""),25.0)</f>
        <v>25</v>
      </c>
      <c r="I1508" s="1">
        <f>IFERROR(__xludf.DUMMYFUNCTION("""COMPUTED_VALUE"""),21.0)</f>
        <v>21</v>
      </c>
      <c r="J1508" s="1">
        <f>IFERROR(__xludf.DUMMYFUNCTION("""COMPUTED_VALUE"""),274.0)</f>
        <v>274</v>
      </c>
      <c r="K1508" s="1">
        <f>IFERROR(__xludf.DUMMYFUNCTION("""COMPUTED_VALUE"""),54.800000000000004)</f>
        <v>54.8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>
        <f>IFERROR(__xludf.DUMMYFUNCTION("""COMPUTED_VALUE"""),87.0)</f>
        <v>87</v>
      </c>
      <c r="E1509" s="1">
        <f>IFERROR(__xludf.DUMMYFUNCTION("""COMPUTED_VALUE"""),61.0)</f>
        <v>61</v>
      </c>
      <c r="F1509" s="1">
        <f>IFERROR(__xludf.DUMMYFUNCTION("""COMPUTED_VALUE"""),46.0)</f>
        <v>46</v>
      </c>
      <c r="G1509" s="1">
        <f>IFERROR(__xludf.DUMMYFUNCTION("""COMPUTED_VALUE"""),95.0)</f>
        <v>95</v>
      </c>
      <c r="H1509" s="1">
        <f>IFERROR(__xludf.DUMMYFUNCTION("""COMPUTED_VALUE"""),76.0)</f>
        <v>76</v>
      </c>
      <c r="I1509" s="1">
        <f>IFERROR(__xludf.DUMMYFUNCTION("""COMPUTED_VALUE"""),28.0)</f>
        <v>28</v>
      </c>
      <c r="J1509" s="1">
        <f>IFERROR(__xludf.DUMMYFUNCTION("""COMPUTED_VALUE"""),306.0)</f>
        <v>306</v>
      </c>
      <c r="K1509" s="1">
        <f>IFERROR(__xludf.DUMMYFUNCTION("""COMPUTED_VALUE"""),61.199999999999996)</f>
        <v>61.2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>
        <f>IFERROR(__xludf.DUMMYFUNCTION("""COMPUTED_VALUE"""),76.0)</f>
        <v>76</v>
      </c>
      <c r="E1510" s="1">
        <f>IFERROR(__xludf.DUMMYFUNCTION("""COMPUTED_VALUE"""),40.0)</f>
        <v>40</v>
      </c>
      <c r="F1510" s="1">
        <f>IFERROR(__xludf.DUMMYFUNCTION("""COMPUTED_VALUE"""),47.0)</f>
        <v>47</v>
      </c>
      <c r="G1510" s="1">
        <f>IFERROR(__xludf.DUMMYFUNCTION("""COMPUTED_VALUE"""),83.0)</f>
        <v>83</v>
      </c>
      <c r="H1510" s="1">
        <f>IFERROR(__xludf.DUMMYFUNCTION("""COMPUTED_VALUE"""),85.0)</f>
        <v>85</v>
      </c>
      <c r="I1510" s="1">
        <f>IFERROR(__xludf.DUMMYFUNCTION("""COMPUTED_VALUE"""),37.0)</f>
        <v>37</v>
      </c>
      <c r="J1510" s="1">
        <f>IFERROR(__xludf.DUMMYFUNCTION("""COMPUTED_VALUE"""),292.0)</f>
        <v>292</v>
      </c>
      <c r="K1510" s="1">
        <f>IFERROR(__xludf.DUMMYFUNCTION("""COMPUTED_VALUE"""),58.4)</f>
        <v>58.4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>
        <f>IFERROR(__xludf.DUMMYFUNCTION("""COMPUTED_VALUE"""),95.0)</f>
        <v>95</v>
      </c>
      <c r="E1511" s="1">
        <f>IFERROR(__xludf.DUMMYFUNCTION("""COMPUTED_VALUE"""),82.0)</f>
        <v>82</v>
      </c>
      <c r="F1511" s="1">
        <f>IFERROR(__xludf.DUMMYFUNCTION("""COMPUTED_VALUE"""),31.0)</f>
        <v>31</v>
      </c>
      <c r="G1511" s="1">
        <f>IFERROR(__xludf.DUMMYFUNCTION("""COMPUTED_VALUE"""),92.0)</f>
        <v>92</v>
      </c>
      <c r="H1511" s="1">
        <f>IFERROR(__xludf.DUMMYFUNCTION("""COMPUTED_VALUE"""),22.0)</f>
        <v>22</v>
      </c>
      <c r="I1511" s="1">
        <f>IFERROR(__xludf.DUMMYFUNCTION("""COMPUTED_VALUE"""),47.0)</f>
        <v>47</v>
      </c>
      <c r="J1511" s="1">
        <f>IFERROR(__xludf.DUMMYFUNCTION("""COMPUTED_VALUE"""),274.0)</f>
        <v>274</v>
      </c>
      <c r="K1511" s="1">
        <f>IFERROR(__xludf.DUMMYFUNCTION("""COMPUTED_VALUE"""),54.800000000000004)</f>
        <v>54.8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>
        <f>IFERROR(__xludf.DUMMYFUNCTION("""COMPUTED_VALUE"""),47.0)</f>
        <v>47</v>
      </c>
      <c r="E1512" s="1">
        <f>IFERROR(__xludf.DUMMYFUNCTION("""COMPUTED_VALUE"""),90.0)</f>
        <v>90</v>
      </c>
      <c r="F1512" s="1">
        <f>IFERROR(__xludf.DUMMYFUNCTION("""COMPUTED_VALUE"""),89.0)</f>
        <v>89</v>
      </c>
      <c r="G1512" s="1">
        <f>IFERROR(__xludf.DUMMYFUNCTION("""COMPUTED_VALUE"""),75.0)</f>
        <v>75</v>
      </c>
      <c r="H1512" s="1">
        <f>IFERROR(__xludf.DUMMYFUNCTION("""COMPUTED_VALUE"""),75.0)</f>
        <v>75</v>
      </c>
      <c r="I1512" s="1">
        <f>IFERROR(__xludf.DUMMYFUNCTION("""COMPUTED_VALUE"""),23.0)</f>
        <v>23</v>
      </c>
      <c r="J1512" s="1">
        <f>IFERROR(__xludf.DUMMYFUNCTION("""COMPUTED_VALUE"""),352.0)</f>
        <v>352</v>
      </c>
      <c r="K1512" s="1">
        <f>IFERROR(__xludf.DUMMYFUNCTION("""COMPUTED_VALUE"""),70.39999999999999)</f>
        <v>70.4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>
        <f>IFERROR(__xludf.DUMMYFUNCTION("""COMPUTED_VALUE"""),85.0)</f>
        <v>85</v>
      </c>
      <c r="E1513" s="1">
        <f>IFERROR(__xludf.DUMMYFUNCTION("""COMPUTED_VALUE"""),61.0)</f>
        <v>61</v>
      </c>
      <c r="F1513" s="1">
        <f>IFERROR(__xludf.DUMMYFUNCTION("""COMPUTED_VALUE"""),90.0)</f>
        <v>90</v>
      </c>
      <c r="G1513" s="1">
        <f>IFERROR(__xludf.DUMMYFUNCTION("""COMPUTED_VALUE"""),54.0)</f>
        <v>54</v>
      </c>
      <c r="H1513" s="1">
        <f>IFERROR(__xludf.DUMMYFUNCTION("""COMPUTED_VALUE"""),84.0)</f>
        <v>84</v>
      </c>
      <c r="I1513" s="1">
        <f>IFERROR(__xludf.DUMMYFUNCTION("""COMPUTED_VALUE"""),41.0)</f>
        <v>41</v>
      </c>
      <c r="J1513" s="1">
        <f>IFERROR(__xludf.DUMMYFUNCTION("""COMPUTED_VALUE"""),330.0)</f>
        <v>330</v>
      </c>
      <c r="K1513" s="1">
        <f>IFERROR(__xludf.DUMMYFUNCTION("""COMPUTED_VALUE"""),66.0)</f>
        <v>66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>
        <f>IFERROR(__xludf.DUMMYFUNCTION("""COMPUTED_VALUE"""),17.0)</f>
        <v>17</v>
      </c>
      <c r="E1514" s="1">
        <f>IFERROR(__xludf.DUMMYFUNCTION("""COMPUTED_VALUE"""),44.0)</f>
        <v>44</v>
      </c>
      <c r="F1514" s="1">
        <f>IFERROR(__xludf.DUMMYFUNCTION("""COMPUTED_VALUE"""),46.0)</f>
        <v>46</v>
      </c>
      <c r="G1514" s="1">
        <f>IFERROR(__xludf.DUMMYFUNCTION("""COMPUTED_VALUE"""),27.0)</f>
        <v>27</v>
      </c>
      <c r="H1514" s="1">
        <f>IFERROR(__xludf.DUMMYFUNCTION("""COMPUTED_VALUE"""),92.0)</f>
        <v>92</v>
      </c>
      <c r="I1514" s="1">
        <f>IFERROR(__xludf.DUMMYFUNCTION("""COMPUTED_VALUE"""),80.0)</f>
        <v>80</v>
      </c>
      <c r="J1514" s="1">
        <f>IFERROR(__xludf.DUMMYFUNCTION("""COMPUTED_VALUE"""),289.0)</f>
        <v>289</v>
      </c>
      <c r="K1514" s="1">
        <f>IFERROR(__xludf.DUMMYFUNCTION("""COMPUTED_VALUE"""),57.8)</f>
        <v>57.8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>
        <f>IFERROR(__xludf.DUMMYFUNCTION("""COMPUTED_VALUE"""),83.0)</f>
        <v>83</v>
      </c>
      <c r="E1515" s="1">
        <f>IFERROR(__xludf.DUMMYFUNCTION("""COMPUTED_VALUE"""),52.0)</f>
        <v>52</v>
      </c>
      <c r="F1515" s="1">
        <f>IFERROR(__xludf.DUMMYFUNCTION("""COMPUTED_VALUE"""),90.0)</f>
        <v>90</v>
      </c>
      <c r="G1515" s="1">
        <f>IFERROR(__xludf.DUMMYFUNCTION("""COMPUTED_VALUE"""),52.0)</f>
        <v>52</v>
      </c>
      <c r="H1515" s="1">
        <f>IFERROR(__xludf.DUMMYFUNCTION("""COMPUTED_VALUE"""),76.0)</f>
        <v>76</v>
      </c>
      <c r="I1515" s="1">
        <f>IFERROR(__xludf.DUMMYFUNCTION("""COMPUTED_VALUE"""),72.0)</f>
        <v>72</v>
      </c>
      <c r="J1515" s="1">
        <f>IFERROR(__xludf.DUMMYFUNCTION("""COMPUTED_VALUE"""),342.0)</f>
        <v>342</v>
      </c>
      <c r="K1515" s="1">
        <f>IFERROR(__xludf.DUMMYFUNCTION("""COMPUTED_VALUE"""),68.4)</f>
        <v>68.4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>
        <f>IFERROR(__xludf.DUMMYFUNCTION("""COMPUTED_VALUE"""),96.0)</f>
        <v>96</v>
      </c>
      <c r="E1516" s="1">
        <f>IFERROR(__xludf.DUMMYFUNCTION("""COMPUTED_VALUE"""),47.0)</f>
        <v>47</v>
      </c>
      <c r="F1516" s="1">
        <f>IFERROR(__xludf.DUMMYFUNCTION("""COMPUTED_VALUE"""),42.0)</f>
        <v>42</v>
      </c>
      <c r="G1516" s="1">
        <f>IFERROR(__xludf.DUMMYFUNCTION("""COMPUTED_VALUE"""),22.0)</f>
        <v>22</v>
      </c>
      <c r="H1516" s="1">
        <f>IFERROR(__xludf.DUMMYFUNCTION("""COMPUTED_VALUE"""),61.0)</f>
        <v>61</v>
      </c>
      <c r="I1516" s="1">
        <f>IFERROR(__xludf.DUMMYFUNCTION("""COMPUTED_VALUE"""),40.0)</f>
        <v>40</v>
      </c>
      <c r="J1516" s="1">
        <f>IFERROR(__xludf.DUMMYFUNCTION("""COMPUTED_VALUE"""),212.0)</f>
        <v>212</v>
      </c>
      <c r="K1516" s="1">
        <f>IFERROR(__xludf.DUMMYFUNCTION("""COMPUTED_VALUE"""),42.4)</f>
        <v>42.4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>
        <f>IFERROR(__xludf.DUMMYFUNCTION("""COMPUTED_VALUE"""),26.0)</f>
        <v>26</v>
      </c>
      <c r="E1517" s="1">
        <f>IFERROR(__xludf.DUMMYFUNCTION("""COMPUTED_VALUE"""),66.0)</f>
        <v>66</v>
      </c>
      <c r="F1517" s="1">
        <f>IFERROR(__xludf.DUMMYFUNCTION("""COMPUTED_VALUE"""),90.0)</f>
        <v>90</v>
      </c>
      <c r="G1517" s="1">
        <f>IFERROR(__xludf.DUMMYFUNCTION("""COMPUTED_VALUE"""),89.0)</f>
        <v>89</v>
      </c>
      <c r="H1517" s="1">
        <f>IFERROR(__xludf.DUMMYFUNCTION("""COMPUTED_VALUE"""),48.0)</f>
        <v>48</v>
      </c>
      <c r="I1517" s="1">
        <f>IFERROR(__xludf.DUMMYFUNCTION("""COMPUTED_VALUE"""),46.0)</f>
        <v>46</v>
      </c>
      <c r="J1517" s="1">
        <f>IFERROR(__xludf.DUMMYFUNCTION("""COMPUTED_VALUE"""),339.0)</f>
        <v>339</v>
      </c>
      <c r="K1517" s="1">
        <f>IFERROR(__xludf.DUMMYFUNCTION("""COMPUTED_VALUE"""),67.80000000000001)</f>
        <v>67.8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>
        <f>IFERROR(__xludf.DUMMYFUNCTION("""COMPUTED_VALUE"""),98.0)</f>
        <v>98</v>
      </c>
      <c r="E1518" s="1">
        <f>IFERROR(__xludf.DUMMYFUNCTION("""COMPUTED_VALUE"""),23.0)</f>
        <v>23</v>
      </c>
      <c r="F1518" s="1">
        <f>IFERROR(__xludf.DUMMYFUNCTION("""COMPUTED_VALUE"""),57.0)</f>
        <v>57</v>
      </c>
      <c r="G1518" s="1">
        <f>IFERROR(__xludf.DUMMYFUNCTION("""COMPUTED_VALUE"""),41.0)</f>
        <v>41</v>
      </c>
      <c r="H1518" s="1">
        <f>IFERROR(__xludf.DUMMYFUNCTION("""COMPUTED_VALUE"""),32.0)</f>
        <v>32</v>
      </c>
      <c r="I1518" s="1">
        <f>IFERROR(__xludf.DUMMYFUNCTION("""COMPUTED_VALUE"""),26.0)</f>
        <v>26</v>
      </c>
      <c r="J1518" s="1">
        <f>IFERROR(__xludf.DUMMYFUNCTION("""COMPUTED_VALUE"""),179.0)</f>
        <v>179</v>
      </c>
      <c r="K1518" s="1">
        <f>IFERROR(__xludf.DUMMYFUNCTION("""COMPUTED_VALUE"""),35.8)</f>
        <v>35.8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>
        <f>IFERROR(__xludf.DUMMYFUNCTION("""COMPUTED_VALUE"""),83.0)</f>
        <v>83</v>
      </c>
      <c r="E1519" s="1">
        <f>IFERROR(__xludf.DUMMYFUNCTION("""COMPUTED_VALUE"""),31.0)</f>
        <v>31</v>
      </c>
      <c r="F1519" s="1">
        <f>IFERROR(__xludf.DUMMYFUNCTION("""COMPUTED_VALUE"""),42.0)</f>
        <v>42</v>
      </c>
      <c r="G1519" s="1">
        <f>IFERROR(__xludf.DUMMYFUNCTION("""COMPUTED_VALUE"""),26.0)</f>
        <v>26</v>
      </c>
      <c r="H1519" s="1">
        <f>IFERROR(__xludf.DUMMYFUNCTION("""COMPUTED_VALUE"""),56.0)</f>
        <v>56</v>
      </c>
      <c r="I1519" s="1">
        <f>IFERROR(__xludf.DUMMYFUNCTION("""COMPUTED_VALUE"""),23.0)</f>
        <v>23</v>
      </c>
      <c r="J1519" s="1">
        <f>IFERROR(__xludf.DUMMYFUNCTION("""COMPUTED_VALUE"""),178.0)</f>
        <v>178</v>
      </c>
      <c r="K1519" s="1">
        <f>IFERROR(__xludf.DUMMYFUNCTION("""COMPUTED_VALUE"""),35.6)</f>
        <v>35.6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>
        <f>IFERROR(__xludf.DUMMYFUNCTION("""COMPUTED_VALUE"""),66.0)</f>
        <v>66</v>
      </c>
      <c r="E1520" s="1">
        <f>IFERROR(__xludf.DUMMYFUNCTION("""COMPUTED_VALUE"""),57.0)</f>
        <v>57</v>
      </c>
      <c r="F1520" s="1">
        <f>IFERROR(__xludf.DUMMYFUNCTION("""COMPUTED_VALUE"""),75.0)</f>
        <v>75</v>
      </c>
      <c r="G1520" s="1">
        <f>IFERROR(__xludf.DUMMYFUNCTION("""COMPUTED_VALUE"""),89.0)</f>
        <v>89</v>
      </c>
      <c r="H1520" s="1">
        <f>IFERROR(__xludf.DUMMYFUNCTION("""COMPUTED_VALUE"""),39.0)</f>
        <v>39</v>
      </c>
      <c r="I1520" s="1">
        <f>IFERROR(__xludf.DUMMYFUNCTION("""COMPUTED_VALUE"""),24.0)</f>
        <v>24</v>
      </c>
      <c r="J1520" s="1">
        <f>IFERROR(__xludf.DUMMYFUNCTION("""COMPUTED_VALUE"""),284.0)</f>
        <v>284</v>
      </c>
      <c r="K1520" s="1">
        <f>IFERROR(__xludf.DUMMYFUNCTION("""COMPUTED_VALUE"""),56.8)</f>
        <v>56.8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>
        <f>IFERROR(__xludf.DUMMYFUNCTION("""COMPUTED_VALUE"""),60.0)</f>
        <v>60</v>
      </c>
      <c r="E1521" s="1">
        <f>IFERROR(__xludf.DUMMYFUNCTION("""COMPUTED_VALUE"""),27.0)</f>
        <v>27</v>
      </c>
      <c r="F1521" s="1">
        <f>IFERROR(__xludf.DUMMYFUNCTION("""COMPUTED_VALUE"""),98.0)</f>
        <v>98</v>
      </c>
      <c r="G1521" s="1">
        <f>IFERROR(__xludf.DUMMYFUNCTION("""COMPUTED_VALUE"""),34.0)</f>
        <v>34</v>
      </c>
      <c r="H1521" s="1">
        <f>IFERROR(__xludf.DUMMYFUNCTION("""COMPUTED_VALUE"""),58.0)</f>
        <v>58</v>
      </c>
      <c r="I1521" s="1">
        <f>IFERROR(__xludf.DUMMYFUNCTION("""COMPUTED_VALUE"""),20.0)</f>
        <v>20</v>
      </c>
      <c r="J1521" s="1">
        <f>IFERROR(__xludf.DUMMYFUNCTION("""COMPUTED_VALUE"""),237.0)</f>
        <v>237</v>
      </c>
      <c r="K1521" s="1">
        <f>IFERROR(__xludf.DUMMYFUNCTION("""COMPUTED_VALUE"""),47.4)</f>
        <v>47.4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>
        <f>IFERROR(__xludf.DUMMYFUNCTION("""COMPUTED_VALUE"""),22.0)</f>
        <v>22</v>
      </c>
      <c r="E1522" s="1">
        <f>IFERROR(__xludf.DUMMYFUNCTION("""COMPUTED_VALUE"""),24.0)</f>
        <v>24</v>
      </c>
      <c r="F1522" s="1">
        <f>IFERROR(__xludf.DUMMYFUNCTION("""COMPUTED_VALUE"""),36.0)</f>
        <v>36</v>
      </c>
      <c r="G1522" s="1">
        <f>IFERROR(__xludf.DUMMYFUNCTION("""COMPUTED_VALUE"""),90.0)</f>
        <v>90</v>
      </c>
      <c r="H1522" s="1">
        <f>IFERROR(__xludf.DUMMYFUNCTION("""COMPUTED_VALUE"""),71.0)</f>
        <v>71</v>
      </c>
      <c r="I1522" s="1">
        <f>IFERROR(__xludf.DUMMYFUNCTION("""COMPUTED_VALUE"""),63.0)</f>
        <v>63</v>
      </c>
      <c r="J1522" s="1">
        <f>IFERROR(__xludf.DUMMYFUNCTION("""COMPUTED_VALUE"""),284.0)</f>
        <v>284</v>
      </c>
      <c r="K1522" s="1">
        <f>IFERROR(__xludf.DUMMYFUNCTION("""COMPUTED_VALUE"""),56.8)</f>
        <v>56.8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>
        <f>IFERROR(__xludf.DUMMYFUNCTION("""COMPUTED_VALUE"""),15.0)</f>
        <v>15</v>
      </c>
      <c r="E1523" s="1">
        <f>IFERROR(__xludf.DUMMYFUNCTION("""COMPUTED_VALUE"""),94.0)</f>
        <v>94</v>
      </c>
      <c r="F1523" s="1">
        <f>IFERROR(__xludf.DUMMYFUNCTION("""COMPUTED_VALUE"""),25.0)</f>
        <v>25</v>
      </c>
      <c r="G1523" s="1">
        <f>IFERROR(__xludf.DUMMYFUNCTION("""COMPUTED_VALUE"""),42.0)</f>
        <v>42</v>
      </c>
      <c r="H1523" s="1">
        <f>IFERROR(__xludf.DUMMYFUNCTION("""COMPUTED_VALUE"""),26.0)</f>
        <v>26</v>
      </c>
      <c r="I1523" s="1">
        <f>IFERROR(__xludf.DUMMYFUNCTION("""COMPUTED_VALUE"""),89.0)</f>
        <v>89</v>
      </c>
      <c r="J1523" s="1">
        <f>IFERROR(__xludf.DUMMYFUNCTION("""COMPUTED_VALUE"""),276.0)</f>
        <v>276</v>
      </c>
      <c r="K1523" s="1">
        <f>IFERROR(__xludf.DUMMYFUNCTION("""COMPUTED_VALUE"""),55.2)</f>
        <v>55.2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>
        <f>IFERROR(__xludf.DUMMYFUNCTION("""COMPUTED_VALUE"""),87.0)</f>
        <v>87</v>
      </c>
      <c r="E1524" s="1">
        <f>IFERROR(__xludf.DUMMYFUNCTION("""COMPUTED_VALUE"""),37.0)</f>
        <v>37</v>
      </c>
      <c r="F1524" s="1">
        <f>IFERROR(__xludf.DUMMYFUNCTION("""COMPUTED_VALUE"""),95.0)</f>
        <v>95</v>
      </c>
      <c r="G1524" s="1">
        <f>IFERROR(__xludf.DUMMYFUNCTION("""COMPUTED_VALUE"""),49.0)</f>
        <v>49</v>
      </c>
      <c r="H1524" s="1">
        <f>IFERROR(__xludf.DUMMYFUNCTION("""COMPUTED_VALUE"""),76.0)</f>
        <v>76</v>
      </c>
      <c r="I1524" s="1">
        <f>IFERROR(__xludf.DUMMYFUNCTION("""COMPUTED_VALUE"""),22.0)</f>
        <v>22</v>
      </c>
      <c r="J1524" s="1">
        <f>IFERROR(__xludf.DUMMYFUNCTION("""COMPUTED_VALUE"""),279.0)</f>
        <v>279</v>
      </c>
      <c r="K1524" s="1">
        <f>IFERROR(__xludf.DUMMYFUNCTION("""COMPUTED_VALUE"""),55.800000000000004)</f>
        <v>55.8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>
        <f>IFERROR(__xludf.DUMMYFUNCTION("""COMPUTED_VALUE"""),53.0)</f>
        <v>53</v>
      </c>
      <c r="E1525" s="1">
        <f>IFERROR(__xludf.DUMMYFUNCTION("""COMPUTED_VALUE"""),85.0)</f>
        <v>85</v>
      </c>
      <c r="F1525" s="1">
        <f>IFERROR(__xludf.DUMMYFUNCTION("""COMPUTED_VALUE"""),89.0)</f>
        <v>89</v>
      </c>
      <c r="G1525" s="1">
        <f>IFERROR(__xludf.DUMMYFUNCTION("""COMPUTED_VALUE"""),58.0)</f>
        <v>58</v>
      </c>
      <c r="H1525" s="1">
        <f>IFERROR(__xludf.DUMMYFUNCTION("""COMPUTED_VALUE"""),62.0)</f>
        <v>62</v>
      </c>
      <c r="I1525" s="1">
        <f>IFERROR(__xludf.DUMMYFUNCTION("""COMPUTED_VALUE"""),69.0)</f>
        <v>69</v>
      </c>
      <c r="J1525" s="1">
        <f>IFERROR(__xludf.DUMMYFUNCTION("""COMPUTED_VALUE"""),363.0)</f>
        <v>363</v>
      </c>
      <c r="K1525" s="1">
        <f>IFERROR(__xludf.DUMMYFUNCTION("""COMPUTED_VALUE"""),72.6)</f>
        <v>72.6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>
        <f>IFERROR(__xludf.DUMMYFUNCTION("""COMPUTED_VALUE"""),29.0)</f>
        <v>29</v>
      </c>
      <c r="E1526" s="1">
        <f>IFERROR(__xludf.DUMMYFUNCTION("""COMPUTED_VALUE"""),90.0)</f>
        <v>90</v>
      </c>
      <c r="F1526" s="1">
        <f>IFERROR(__xludf.DUMMYFUNCTION("""COMPUTED_VALUE"""),31.0)</f>
        <v>31</v>
      </c>
      <c r="G1526" s="1">
        <f>IFERROR(__xludf.DUMMYFUNCTION("""COMPUTED_VALUE"""),69.0)</f>
        <v>69</v>
      </c>
      <c r="H1526" s="1">
        <f>IFERROR(__xludf.DUMMYFUNCTION("""COMPUTED_VALUE"""),60.0)</f>
        <v>60</v>
      </c>
      <c r="I1526" s="1">
        <f>IFERROR(__xludf.DUMMYFUNCTION("""COMPUTED_VALUE"""),25.0)</f>
        <v>25</v>
      </c>
      <c r="J1526" s="1">
        <f>IFERROR(__xludf.DUMMYFUNCTION("""COMPUTED_VALUE"""),275.0)</f>
        <v>275</v>
      </c>
      <c r="K1526" s="1">
        <f>IFERROR(__xludf.DUMMYFUNCTION("""COMPUTED_VALUE"""),55.00000000000001)</f>
        <v>55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>
        <f>IFERROR(__xludf.DUMMYFUNCTION("""COMPUTED_VALUE"""),20.0)</f>
        <v>20</v>
      </c>
      <c r="E1527" s="1">
        <f>IFERROR(__xludf.DUMMYFUNCTION("""COMPUTED_VALUE"""),92.0)</f>
        <v>92</v>
      </c>
      <c r="F1527" s="1">
        <f>IFERROR(__xludf.DUMMYFUNCTION("""COMPUTED_VALUE"""),38.0)</f>
        <v>38</v>
      </c>
      <c r="G1527" s="1">
        <f>IFERROR(__xludf.DUMMYFUNCTION("""COMPUTED_VALUE"""),59.0)</f>
        <v>59</v>
      </c>
      <c r="H1527" s="1">
        <f>IFERROR(__xludf.DUMMYFUNCTION("""COMPUTED_VALUE"""),96.0)</f>
        <v>96</v>
      </c>
      <c r="I1527" s="1">
        <f>IFERROR(__xludf.DUMMYFUNCTION("""COMPUTED_VALUE"""),41.0)</f>
        <v>41</v>
      </c>
      <c r="J1527" s="1">
        <f>IFERROR(__xludf.DUMMYFUNCTION("""COMPUTED_VALUE"""),326.0)</f>
        <v>326</v>
      </c>
      <c r="K1527" s="1">
        <f>IFERROR(__xludf.DUMMYFUNCTION("""COMPUTED_VALUE"""),65.2)</f>
        <v>65.2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>
        <f>IFERROR(__xludf.DUMMYFUNCTION("""COMPUTED_VALUE"""),47.0)</f>
        <v>47</v>
      </c>
      <c r="E1528" s="1">
        <f>IFERROR(__xludf.DUMMYFUNCTION("""COMPUTED_VALUE"""),42.0)</f>
        <v>42</v>
      </c>
      <c r="F1528" s="1">
        <f>IFERROR(__xludf.DUMMYFUNCTION("""COMPUTED_VALUE"""),42.0)</f>
        <v>42</v>
      </c>
      <c r="G1528" s="1">
        <f>IFERROR(__xludf.DUMMYFUNCTION("""COMPUTED_VALUE"""),50.0)</f>
        <v>50</v>
      </c>
      <c r="H1528" s="1">
        <f>IFERROR(__xludf.DUMMYFUNCTION("""COMPUTED_VALUE"""),99.0)</f>
        <v>99</v>
      </c>
      <c r="I1528" s="1">
        <f>IFERROR(__xludf.DUMMYFUNCTION("""COMPUTED_VALUE"""),64.0)</f>
        <v>64</v>
      </c>
      <c r="J1528" s="1">
        <f>IFERROR(__xludf.DUMMYFUNCTION("""COMPUTED_VALUE"""),297.0)</f>
        <v>297</v>
      </c>
      <c r="K1528" s="1">
        <f>IFERROR(__xludf.DUMMYFUNCTION("""COMPUTED_VALUE"""),59.4)</f>
        <v>59.4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>
        <f>IFERROR(__xludf.DUMMYFUNCTION("""COMPUTED_VALUE"""),37.0)</f>
        <v>37</v>
      </c>
      <c r="E1529" s="1">
        <f>IFERROR(__xludf.DUMMYFUNCTION("""COMPUTED_VALUE"""),89.0)</f>
        <v>89</v>
      </c>
      <c r="F1529" s="1">
        <f>IFERROR(__xludf.DUMMYFUNCTION("""COMPUTED_VALUE"""),72.0)</f>
        <v>72</v>
      </c>
      <c r="G1529" s="1">
        <f>IFERROR(__xludf.DUMMYFUNCTION("""COMPUTED_VALUE"""),88.0)</f>
        <v>88</v>
      </c>
      <c r="H1529" s="1">
        <f>IFERROR(__xludf.DUMMYFUNCTION("""COMPUTED_VALUE"""),64.0)</f>
        <v>64</v>
      </c>
      <c r="I1529" s="1">
        <f>IFERROR(__xludf.DUMMYFUNCTION("""COMPUTED_VALUE"""),50.0)</f>
        <v>50</v>
      </c>
      <c r="J1529" s="1">
        <f>IFERROR(__xludf.DUMMYFUNCTION("""COMPUTED_VALUE"""),363.0)</f>
        <v>363</v>
      </c>
      <c r="K1529" s="1">
        <f>IFERROR(__xludf.DUMMYFUNCTION("""COMPUTED_VALUE"""),72.6)</f>
        <v>72.6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>
        <f>IFERROR(__xludf.DUMMYFUNCTION("""COMPUTED_VALUE"""),47.0)</f>
        <v>47</v>
      </c>
      <c r="E1530" s="1">
        <f>IFERROR(__xludf.DUMMYFUNCTION("""COMPUTED_VALUE"""),76.0)</f>
        <v>76</v>
      </c>
      <c r="F1530" s="1">
        <f>IFERROR(__xludf.DUMMYFUNCTION("""COMPUTED_VALUE"""),42.0)</f>
        <v>42</v>
      </c>
      <c r="G1530" s="1">
        <f>IFERROR(__xludf.DUMMYFUNCTION("""COMPUTED_VALUE"""),52.0)</f>
        <v>52</v>
      </c>
      <c r="H1530" s="1">
        <f>IFERROR(__xludf.DUMMYFUNCTION("""COMPUTED_VALUE"""),30.0)</f>
        <v>30</v>
      </c>
      <c r="I1530" s="1">
        <f>IFERROR(__xludf.DUMMYFUNCTION("""COMPUTED_VALUE"""),27.0)</f>
        <v>27</v>
      </c>
      <c r="J1530" s="1">
        <f>IFERROR(__xludf.DUMMYFUNCTION("""COMPUTED_VALUE"""),227.0)</f>
        <v>227</v>
      </c>
      <c r="K1530" s="1">
        <f>IFERROR(__xludf.DUMMYFUNCTION("""COMPUTED_VALUE"""),45.4)</f>
        <v>45.4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>
        <f>IFERROR(__xludf.DUMMYFUNCTION("""COMPUTED_VALUE"""),86.0)</f>
        <v>86</v>
      </c>
      <c r="E1531" s="1">
        <f>IFERROR(__xludf.DUMMYFUNCTION("""COMPUTED_VALUE"""),64.0)</f>
        <v>64</v>
      </c>
      <c r="F1531" s="1">
        <f>IFERROR(__xludf.DUMMYFUNCTION("""COMPUTED_VALUE"""),57.0)</f>
        <v>57</v>
      </c>
      <c r="G1531" s="1">
        <f>IFERROR(__xludf.DUMMYFUNCTION("""COMPUTED_VALUE"""),25.0)</f>
        <v>25</v>
      </c>
      <c r="H1531" s="1">
        <f>IFERROR(__xludf.DUMMYFUNCTION("""COMPUTED_VALUE"""),78.0)</f>
        <v>78</v>
      </c>
      <c r="I1531" s="1">
        <f>IFERROR(__xludf.DUMMYFUNCTION("""COMPUTED_VALUE"""),44.0)</f>
        <v>44</v>
      </c>
      <c r="J1531" s="1">
        <f>IFERROR(__xludf.DUMMYFUNCTION("""COMPUTED_VALUE"""),268.0)</f>
        <v>268</v>
      </c>
      <c r="K1531" s="1">
        <f>IFERROR(__xludf.DUMMYFUNCTION("""COMPUTED_VALUE"""),53.6)</f>
        <v>53.6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>
        <f>IFERROR(__xludf.DUMMYFUNCTION("""COMPUTED_VALUE"""),96.0)</f>
        <v>96</v>
      </c>
      <c r="E1532" s="1">
        <f>IFERROR(__xludf.DUMMYFUNCTION("""COMPUTED_VALUE"""),40.0)</f>
        <v>40</v>
      </c>
      <c r="F1532" s="1">
        <f>IFERROR(__xludf.DUMMYFUNCTION("""COMPUTED_VALUE"""),20.0)</f>
        <v>20</v>
      </c>
      <c r="G1532" s="1">
        <f>IFERROR(__xludf.DUMMYFUNCTION("""COMPUTED_VALUE"""),87.0)</f>
        <v>87</v>
      </c>
      <c r="H1532" s="1">
        <f>IFERROR(__xludf.DUMMYFUNCTION("""COMPUTED_VALUE"""),87.0)</f>
        <v>87</v>
      </c>
      <c r="I1532" s="1">
        <f>IFERROR(__xludf.DUMMYFUNCTION("""COMPUTED_VALUE"""),78.0)</f>
        <v>78</v>
      </c>
      <c r="J1532" s="1">
        <f>IFERROR(__xludf.DUMMYFUNCTION("""COMPUTED_VALUE"""),312.0)</f>
        <v>312</v>
      </c>
      <c r="K1532" s="1">
        <f>IFERROR(__xludf.DUMMYFUNCTION("""COMPUTED_VALUE"""),62.4)</f>
        <v>62.4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>
        <f>IFERROR(__xludf.DUMMYFUNCTION("""COMPUTED_VALUE"""),38.0)</f>
        <v>38</v>
      </c>
      <c r="E1533" s="1">
        <f>IFERROR(__xludf.DUMMYFUNCTION("""COMPUTED_VALUE"""),96.0)</f>
        <v>96</v>
      </c>
      <c r="F1533" s="1">
        <f>IFERROR(__xludf.DUMMYFUNCTION("""COMPUTED_VALUE"""),73.0)</f>
        <v>73</v>
      </c>
      <c r="G1533" s="1">
        <f>IFERROR(__xludf.DUMMYFUNCTION("""COMPUTED_VALUE"""),54.0)</f>
        <v>54</v>
      </c>
      <c r="H1533" s="1">
        <f>IFERROR(__xludf.DUMMYFUNCTION("""COMPUTED_VALUE"""),21.0)</f>
        <v>21</v>
      </c>
      <c r="I1533" s="1">
        <f>IFERROR(__xludf.DUMMYFUNCTION("""COMPUTED_VALUE"""),90.0)</f>
        <v>90</v>
      </c>
      <c r="J1533" s="1">
        <f>IFERROR(__xludf.DUMMYFUNCTION("""COMPUTED_VALUE"""),334.0)</f>
        <v>334</v>
      </c>
      <c r="K1533" s="1">
        <f>IFERROR(__xludf.DUMMYFUNCTION("""COMPUTED_VALUE"""),66.8)</f>
        <v>66.8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>
        <f>IFERROR(__xludf.DUMMYFUNCTION("""COMPUTED_VALUE"""),17.0)</f>
        <v>17</v>
      </c>
      <c r="E1534" s="1">
        <f>IFERROR(__xludf.DUMMYFUNCTION("""COMPUTED_VALUE"""),87.0)</f>
        <v>87</v>
      </c>
      <c r="F1534" s="1">
        <f>IFERROR(__xludf.DUMMYFUNCTION("""COMPUTED_VALUE"""),87.0)</f>
        <v>87</v>
      </c>
      <c r="G1534" s="1">
        <f>IFERROR(__xludf.DUMMYFUNCTION("""COMPUTED_VALUE"""),26.0)</f>
        <v>26</v>
      </c>
      <c r="H1534" s="1">
        <f>IFERROR(__xludf.DUMMYFUNCTION("""COMPUTED_VALUE"""),37.0)</f>
        <v>37</v>
      </c>
      <c r="I1534" s="1">
        <f>IFERROR(__xludf.DUMMYFUNCTION("""COMPUTED_VALUE"""),82.0)</f>
        <v>82</v>
      </c>
      <c r="J1534" s="1">
        <f>IFERROR(__xludf.DUMMYFUNCTION("""COMPUTED_VALUE"""),319.0)</f>
        <v>319</v>
      </c>
      <c r="K1534" s="1">
        <f>IFERROR(__xludf.DUMMYFUNCTION("""COMPUTED_VALUE"""),63.800000000000004)</f>
        <v>63.8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>
        <f>IFERROR(__xludf.DUMMYFUNCTION("""COMPUTED_VALUE"""),36.0)</f>
        <v>36</v>
      </c>
      <c r="E1535" s="1">
        <f>IFERROR(__xludf.DUMMYFUNCTION("""COMPUTED_VALUE"""),36.0)</f>
        <v>36</v>
      </c>
      <c r="F1535" s="1">
        <f>IFERROR(__xludf.DUMMYFUNCTION("""COMPUTED_VALUE"""),58.0)</f>
        <v>58</v>
      </c>
      <c r="G1535" s="1">
        <f>IFERROR(__xludf.DUMMYFUNCTION("""COMPUTED_VALUE"""),59.0)</f>
        <v>59</v>
      </c>
      <c r="H1535" s="1">
        <f>IFERROR(__xludf.DUMMYFUNCTION("""COMPUTED_VALUE"""),66.0)</f>
        <v>66</v>
      </c>
      <c r="I1535" s="1">
        <f>IFERROR(__xludf.DUMMYFUNCTION("""COMPUTED_VALUE"""),83.0)</f>
        <v>83</v>
      </c>
      <c r="J1535" s="1">
        <f>IFERROR(__xludf.DUMMYFUNCTION("""COMPUTED_VALUE"""),302.0)</f>
        <v>302</v>
      </c>
      <c r="K1535" s="1">
        <f>IFERROR(__xludf.DUMMYFUNCTION("""COMPUTED_VALUE"""),60.4)</f>
        <v>60.4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>
        <f>IFERROR(__xludf.DUMMYFUNCTION("""COMPUTED_VALUE"""),96.0)</f>
        <v>96</v>
      </c>
      <c r="E1536" s="1">
        <f>IFERROR(__xludf.DUMMYFUNCTION("""COMPUTED_VALUE"""),21.0)</f>
        <v>21</v>
      </c>
      <c r="F1536" s="1">
        <f>IFERROR(__xludf.DUMMYFUNCTION("""COMPUTED_VALUE"""),87.0)</f>
        <v>87</v>
      </c>
      <c r="G1536" s="1">
        <f>IFERROR(__xludf.DUMMYFUNCTION("""COMPUTED_VALUE"""),58.0)</f>
        <v>58</v>
      </c>
      <c r="H1536" s="1">
        <f>IFERROR(__xludf.DUMMYFUNCTION("""COMPUTED_VALUE"""),49.0)</f>
        <v>49</v>
      </c>
      <c r="I1536" s="1">
        <f>IFERROR(__xludf.DUMMYFUNCTION("""COMPUTED_VALUE"""),42.0)</f>
        <v>42</v>
      </c>
      <c r="J1536" s="1">
        <f>IFERROR(__xludf.DUMMYFUNCTION("""COMPUTED_VALUE"""),257.0)</f>
        <v>257</v>
      </c>
      <c r="K1536" s="1">
        <f>IFERROR(__xludf.DUMMYFUNCTION("""COMPUTED_VALUE"""),51.4)</f>
        <v>51.4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>
        <f>IFERROR(__xludf.DUMMYFUNCTION("""COMPUTED_VALUE"""),41.0)</f>
        <v>41</v>
      </c>
      <c r="E1537" s="1">
        <f>IFERROR(__xludf.DUMMYFUNCTION("""COMPUTED_VALUE"""),48.0)</f>
        <v>48</v>
      </c>
      <c r="F1537" s="1">
        <f>IFERROR(__xludf.DUMMYFUNCTION("""COMPUTED_VALUE"""),23.0)</f>
        <v>23</v>
      </c>
      <c r="G1537" s="1">
        <f>IFERROR(__xludf.DUMMYFUNCTION("""COMPUTED_VALUE"""),91.0)</f>
        <v>91</v>
      </c>
      <c r="H1537" s="1">
        <f>IFERROR(__xludf.DUMMYFUNCTION("""COMPUTED_VALUE"""),46.0)</f>
        <v>46</v>
      </c>
      <c r="I1537" s="1">
        <f>IFERROR(__xludf.DUMMYFUNCTION("""COMPUTED_VALUE"""),48.0)</f>
        <v>48</v>
      </c>
      <c r="J1537" s="1">
        <f>IFERROR(__xludf.DUMMYFUNCTION("""COMPUTED_VALUE"""),256.0)</f>
        <v>256</v>
      </c>
      <c r="K1537" s="1">
        <f>IFERROR(__xludf.DUMMYFUNCTION("""COMPUTED_VALUE"""),51.2)</f>
        <v>51.2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>
        <f>IFERROR(__xludf.DUMMYFUNCTION("""COMPUTED_VALUE"""),16.0)</f>
        <v>16</v>
      </c>
      <c r="E1538" s="1">
        <f>IFERROR(__xludf.DUMMYFUNCTION("""COMPUTED_VALUE"""),29.0)</f>
        <v>29</v>
      </c>
      <c r="F1538" s="1">
        <f>IFERROR(__xludf.DUMMYFUNCTION("""COMPUTED_VALUE"""),24.0)</f>
        <v>24</v>
      </c>
      <c r="G1538" s="1">
        <f>IFERROR(__xludf.DUMMYFUNCTION("""COMPUTED_VALUE"""),95.0)</f>
        <v>95</v>
      </c>
      <c r="H1538" s="1">
        <f>IFERROR(__xludf.DUMMYFUNCTION("""COMPUTED_VALUE"""),38.0)</f>
        <v>38</v>
      </c>
      <c r="I1538" s="1">
        <f>IFERROR(__xludf.DUMMYFUNCTION("""COMPUTED_VALUE"""),54.0)</f>
        <v>54</v>
      </c>
      <c r="J1538" s="1">
        <f>IFERROR(__xludf.DUMMYFUNCTION("""COMPUTED_VALUE"""),240.0)</f>
        <v>240</v>
      </c>
      <c r="K1538" s="1">
        <f>IFERROR(__xludf.DUMMYFUNCTION("""COMPUTED_VALUE"""),48.0)</f>
        <v>48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>
        <f>IFERROR(__xludf.DUMMYFUNCTION("""COMPUTED_VALUE"""),26.0)</f>
        <v>26</v>
      </c>
      <c r="E1539" s="1">
        <f>IFERROR(__xludf.DUMMYFUNCTION("""COMPUTED_VALUE"""),90.0)</f>
        <v>90</v>
      </c>
      <c r="F1539" s="1">
        <f>IFERROR(__xludf.DUMMYFUNCTION("""COMPUTED_VALUE"""),61.0)</f>
        <v>61</v>
      </c>
      <c r="G1539" s="1">
        <f>IFERROR(__xludf.DUMMYFUNCTION("""COMPUTED_VALUE"""),64.0)</f>
        <v>64</v>
      </c>
      <c r="H1539" s="1">
        <f>IFERROR(__xludf.DUMMYFUNCTION("""COMPUTED_VALUE"""),60.0)</f>
        <v>60</v>
      </c>
      <c r="I1539" s="1">
        <f>IFERROR(__xludf.DUMMYFUNCTION("""COMPUTED_VALUE"""),45.0)</f>
        <v>45</v>
      </c>
      <c r="J1539" s="1">
        <f>IFERROR(__xludf.DUMMYFUNCTION("""COMPUTED_VALUE"""),320.0)</f>
        <v>320</v>
      </c>
      <c r="K1539" s="1">
        <f>IFERROR(__xludf.DUMMYFUNCTION("""COMPUTED_VALUE"""),64.0)</f>
        <v>64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>
        <f>IFERROR(__xludf.DUMMYFUNCTION("""COMPUTED_VALUE"""),21.0)</f>
        <v>21</v>
      </c>
      <c r="E1540" s="1">
        <f>IFERROR(__xludf.DUMMYFUNCTION("""COMPUTED_VALUE"""),84.0)</f>
        <v>84</v>
      </c>
      <c r="F1540" s="1">
        <f>IFERROR(__xludf.DUMMYFUNCTION("""COMPUTED_VALUE"""),80.0)</f>
        <v>80</v>
      </c>
      <c r="G1540" s="1">
        <f>IFERROR(__xludf.DUMMYFUNCTION("""COMPUTED_VALUE"""),42.0)</f>
        <v>42</v>
      </c>
      <c r="H1540" s="1">
        <f>IFERROR(__xludf.DUMMYFUNCTION("""COMPUTED_VALUE"""),55.0)</f>
        <v>55</v>
      </c>
      <c r="I1540" s="1">
        <f>IFERROR(__xludf.DUMMYFUNCTION("""COMPUTED_VALUE"""),61.0)</f>
        <v>61</v>
      </c>
      <c r="J1540" s="1">
        <f>IFERROR(__xludf.DUMMYFUNCTION("""COMPUTED_VALUE"""),322.0)</f>
        <v>322</v>
      </c>
      <c r="K1540" s="1">
        <f>IFERROR(__xludf.DUMMYFUNCTION("""COMPUTED_VALUE"""),64.4)</f>
        <v>64.4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>
        <f>IFERROR(__xludf.DUMMYFUNCTION("""COMPUTED_VALUE"""),52.0)</f>
        <v>52</v>
      </c>
      <c r="E1541" s="1">
        <f>IFERROR(__xludf.DUMMYFUNCTION("""COMPUTED_VALUE"""),70.0)</f>
        <v>70</v>
      </c>
      <c r="F1541" s="1">
        <f>IFERROR(__xludf.DUMMYFUNCTION("""COMPUTED_VALUE"""),64.0)</f>
        <v>64</v>
      </c>
      <c r="G1541" s="1">
        <f>IFERROR(__xludf.DUMMYFUNCTION("""COMPUTED_VALUE"""),51.0)</f>
        <v>51</v>
      </c>
      <c r="H1541" s="1">
        <f>IFERROR(__xludf.DUMMYFUNCTION("""COMPUTED_VALUE"""),98.0)</f>
        <v>98</v>
      </c>
      <c r="I1541" s="1">
        <f>IFERROR(__xludf.DUMMYFUNCTION("""COMPUTED_VALUE"""),67.0)</f>
        <v>67</v>
      </c>
      <c r="J1541" s="1">
        <f>IFERROR(__xludf.DUMMYFUNCTION("""COMPUTED_VALUE"""),350.0)</f>
        <v>350</v>
      </c>
      <c r="K1541" s="1">
        <f>IFERROR(__xludf.DUMMYFUNCTION("""COMPUTED_VALUE"""),70.0)</f>
        <v>70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>
        <f>IFERROR(__xludf.DUMMYFUNCTION("""COMPUTED_VALUE"""),70.0)</f>
        <v>70</v>
      </c>
      <c r="E1542" s="1">
        <f>IFERROR(__xludf.DUMMYFUNCTION("""COMPUTED_VALUE"""),68.0)</f>
        <v>68</v>
      </c>
      <c r="F1542" s="1">
        <f>IFERROR(__xludf.DUMMYFUNCTION("""COMPUTED_VALUE"""),59.0)</f>
        <v>59</v>
      </c>
      <c r="G1542" s="1">
        <f>IFERROR(__xludf.DUMMYFUNCTION("""COMPUTED_VALUE"""),85.0)</f>
        <v>85</v>
      </c>
      <c r="H1542" s="1">
        <f>IFERROR(__xludf.DUMMYFUNCTION("""COMPUTED_VALUE"""),82.0)</f>
        <v>82</v>
      </c>
      <c r="I1542" s="1">
        <f>IFERROR(__xludf.DUMMYFUNCTION("""COMPUTED_VALUE"""),66.0)</f>
        <v>66</v>
      </c>
      <c r="J1542" s="1">
        <f>IFERROR(__xludf.DUMMYFUNCTION("""COMPUTED_VALUE"""),360.0)</f>
        <v>360</v>
      </c>
      <c r="K1542" s="1">
        <f>IFERROR(__xludf.DUMMYFUNCTION("""COMPUTED_VALUE"""),72.0)</f>
        <v>72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>
        <f>IFERROR(__xludf.DUMMYFUNCTION("""COMPUTED_VALUE"""),21.0)</f>
        <v>21</v>
      </c>
      <c r="E1543" s="1">
        <f>IFERROR(__xludf.DUMMYFUNCTION("""COMPUTED_VALUE"""),74.0)</f>
        <v>74</v>
      </c>
      <c r="F1543" s="1">
        <f>IFERROR(__xludf.DUMMYFUNCTION("""COMPUTED_VALUE"""),95.0)</f>
        <v>95</v>
      </c>
      <c r="G1543" s="1">
        <f>IFERROR(__xludf.DUMMYFUNCTION("""COMPUTED_VALUE"""),66.0)</f>
        <v>66</v>
      </c>
      <c r="H1543" s="1">
        <f>IFERROR(__xludf.DUMMYFUNCTION("""COMPUTED_VALUE"""),65.0)</f>
        <v>65</v>
      </c>
      <c r="I1543" s="1">
        <f>IFERROR(__xludf.DUMMYFUNCTION("""COMPUTED_VALUE"""),68.0)</f>
        <v>68</v>
      </c>
      <c r="J1543" s="1">
        <f>IFERROR(__xludf.DUMMYFUNCTION("""COMPUTED_VALUE"""),368.0)</f>
        <v>368</v>
      </c>
      <c r="K1543" s="1">
        <f>IFERROR(__xludf.DUMMYFUNCTION("""COMPUTED_VALUE"""),73.6)</f>
        <v>73.6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>
        <f>IFERROR(__xludf.DUMMYFUNCTION("""COMPUTED_VALUE"""),45.0)</f>
        <v>45</v>
      </c>
      <c r="E1544" s="1">
        <f>IFERROR(__xludf.DUMMYFUNCTION("""COMPUTED_VALUE"""),65.0)</f>
        <v>65</v>
      </c>
      <c r="F1544" s="1">
        <f>IFERROR(__xludf.DUMMYFUNCTION("""COMPUTED_VALUE"""),87.0)</f>
        <v>87</v>
      </c>
      <c r="G1544" s="1">
        <f>IFERROR(__xludf.DUMMYFUNCTION("""COMPUTED_VALUE"""),54.0)</f>
        <v>54</v>
      </c>
      <c r="H1544" s="1">
        <f>IFERROR(__xludf.DUMMYFUNCTION("""COMPUTED_VALUE"""),40.0)</f>
        <v>40</v>
      </c>
      <c r="I1544" s="1">
        <f>IFERROR(__xludf.DUMMYFUNCTION("""COMPUTED_VALUE"""),89.0)</f>
        <v>89</v>
      </c>
      <c r="J1544" s="1">
        <f>IFERROR(__xludf.DUMMYFUNCTION("""COMPUTED_VALUE"""),335.0)</f>
        <v>335</v>
      </c>
      <c r="K1544" s="1">
        <f>IFERROR(__xludf.DUMMYFUNCTION("""COMPUTED_VALUE"""),67.0)</f>
        <v>67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>
        <f>IFERROR(__xludf.DUMMYFUNCTION("""COMPUTED_VALUE"""),31.0)</f>
        <v>31</v>
      </c>
      <c r="E1545" s="1">
        <f>IFERROR(__xludf.DUMMYFUNCTION("""COMPUTED_VALUE"""),66.0)</f>
        <v>66</v>
      </c>
      <c r="F1545" s="1">
        <f>IFERROR(__xludf.DUMMYFUNCTION("""COMPUTED_VALUE"""),84.0)</f>
        <v>84</v>
      </c>
      <c r="G1545" s="1">
        <f>IFERROR(__xludf.DUMMYFUNCTION("""COMPUTED_VALUE"""),37.0)</f>
        <v>37</v>
      </c>
      <c r="H1545" s="1">
        <f>IFERROR(__xludf.DUMMYFUNCTION("""COMPUTED_VALUE"""),64.0)</f>
        <v>64</v>
      </c>
      <c r="I1545" s="1">
        <f>IFERROR(__xludf.DUMMYFUNCTION("""COMPUTED_VALUE"""),27.0)</f>
        <v>27</v>
      </c>
      <c r="J1545" s="1">
        <f>IFERROR(__xludf.DUMMYFUNCTION("""COMPUTED_VALUE"""),278.0)</f>
        <v>278</v>
      </c>
      <c r="K1545" s="1">
        <f>IFERROR(__xludf.DUMMYFUNCTION("""COMPUTED_VALUE"""),55.60000000000001)</f>
        <v>55.6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>
        <f>IFERROR(__xludf.DUMMYFUNCTION("""COMPUTED_VALUE"""),98.0)</f>
        <v>98</v>
      </c>
      <c r="E1546" s="1">
        <f>IFERROR(__xludf.DUMMYFUNCTION("""COMPUTED_VALUE"""),98.0)</f>
        <v>98</v>
      </c>
      <c r="F1546" s="1">
        <f>IFERROR(__xludf.DUMMYFUNCTION("""COMPUTED_VALUE"""),84.0)</f>
        <v>84</v>
      </c>
      <c r="G1546" s="1">
        <f>IFERROR(__xludf.DUMMYFUNCTION("""COMPUTED_VALUE"""),40.0)</f>
        <v>40</v>
      </c>
      <c r="H1546" s="1">
        <f>IFERROR(__xludf.DUMMYFUNCTION("""COMPUTED_VALUE"""),57.0)</f>
        <v>57</v>
      </c>
      <c r="I1546" s="1">
        <f>IFERROR(__xludf.DUMMYFUNCTION("""COMPUTED_VALUE"""),74.0)</f>
        <v>74</v>
      </c>
      <c r="J1546" s="1">
        <f>IFERROR(__xludf.DUMMYFUNCTION("""COMPUTED_VALUE"""),353.0)</f>
        <v>353</v>
      </c>
      <c r="K1546" s="1">
        <f>IFERROR(__xludf.DUMMYFUNCTION("""COMPUTED_VALUE"""),70.6)</f>
        <v>70.6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>
        <f>IFERROR(__xludf.DUMMYFUNCTION("""COMPUTED_VALUE"""),60.0)</f>
        <v>60</v>
      </c>
      <c r="E1547" s="1">
        <f>IFERROR(__xludf.DUMMYFUNCTION("""COMPUTED_VALUE"""),81.0)</f>
        <v>81</v>
      </c>
      <c r="F1547" s="1">
        <f>IFERROR(__xludf.DUMMYFUNCTION("""COMPUTED_VALUE"""),35.0)</f>
        <v>35</v>
      </c>
      <c r="G1547" s="1">
        <f>IFERROR(__xludf.DUMMYFUNCTION("""COMPUTED_VALUE"""),27.0)</f>
        <v>27</v>
      </c>
      <c r="H1547" s="1">
        <f>IFERROR(__xludf.DUMMYFUNCTION("""COMPUTED_VALUE"""),44.0)</f>
        <v>44</v>
      </c>
      <c r="I1547" s="1">
        <f>IFERROR(__xludf.DUMMYFUNCTION("""COMPUTED_VALUE"""),84.0)</f>
        <v>84</v>
      </c>
      <c r="J1547" s="1">
        <f>IFERROR(__xludf.DUMMYFUNCTION("""COMPUTED_VALUE"""),271.0)</f>
        <v>271</v>
      </c>
      <c r="K1547" s="1">
        <f>IFERROR(__xludf.DUMMYFUNCTION("""COMPUTED_VALUE"""),54.2)</f>
        <v>54.2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>
        <f>IFERROR(__xludf.DUMMYFUNCTION("""COMPUTED_VALUE"""),68.0)</f>
        <v>68</v>
      </c>
      <c r="E1548" s="1">
        <f>IFERROR(__xludf.DUMMYFUNCTION("""COMPUTED_VALUE"""),88.0)</f>
        <v>88</v>
      </c>
      <c r="F1548" s="1">
        <f>IFERROR(__xludf.DUMMYFUNCTION("""COMPUTED_VALUE"""),35.0)</f>
        <v>35</v>
      </c>
      <c r="G1548" s="1">
        <f>IFERROR(__xludf.DUMMYFUNCTION("""COMPUTED_VALUE"""),90.0)</f>
        <v>90</v>
      </c>
      <c r="H1548" s="1">
        <f>IFERROR(__xludf.DUMMYFUNCTION("""COMPUTED_VALUE"""),71.0)</f>
        <v>71</v>
      </c>
      <c r="I1548" s="1">
        <f>IFERROR(__xludf.DUMMYFUNCTION("""COMPUTED_VALUE"""),54.0)</f>
        <v>54</v>
      </c>
      <c r="J1548" s="1">
        <f>IFERROR(__xludf.DUMMYFUNCTION("""COMPUTED_VALUE"""),338.0)</f>
        <v>338</v>
      </c>
      <c r="K1548" s="1">
        <f>IFERROR(__xludf.DUMMYFUNCTION("""COMPUTED_VALUE"""),67.60000000000001)</f>
        <v>67.6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>
        <f>IFERROR(__xludf.DUMMYFUNCTION("""COMPUTED_VALUE"""),91.0)</f>
        <v>91</v>
      </c>
      <c r="E1549" s="1">
        <f>IFERROR(__xludf.DUMMYFUNCTION("""COMPUTED_VALUE"""),84.0)</f>
        <v>84</v>
      </c>
      <c r="F1549" s="1">
        <f>IFERROR(__xludf.DUMMYFUNCTION("""COMPUTED_VALUE"""),21.0)</f>
        <v>21</v>
      </c>
      <c r="G1549" s="1">
        <f>IFERROR(__xludf.DUMMYFUNCTION("""COMPUTED_VALUE"""),61.0)</f>
        <v>61</v>
      </c>
      <c r="H1549" s="1">
        <f>IFERROR(__xludf.DUMMYFUNCTION("""COMPUTED_VALUE"""),98.0)</f>
        <v>98</v>
      </c>
      <c r="I1549" s="1">
        <f>IFERROR(__xludf.DUMMYFUNCTION("""COMPUTED_VALUE"""),73.0)</f>
        <v>73</v>
      </c>
      <c r="J1549" s="1">
        <f>IFERROR(__xludf.DUMMYFUNCTION("""COMPUTED_VALUE"""),337.0)</f>
        <v>337</v>
      </c>
      <c r="K1549" s="1">
        <f>IFERROR(__xludf.DUMMYFUNCTION("""COMPUTED_VALUE"""),67.4)</f>
        <v>67.4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>
        <f>IFERROR(__xludf.DUMMYFUNCTION("""COMPUTED_VALUE"""),98.0)</f>
        <v>98</v>
      </c>
      <c r="E1550" s="1">
        <f>IFERROR(__xludf.DUMMYFUNCTION("""COMPUTED_VALUE"""),46.0)</f>
        <v>46</v>
      </c>
      <c r="F1550" s="1">
        <f>IFERROR(__xludf.DUMMYFUNCTION("""COMPUTED_VALUE"""),31.0)</f>
        <v>31</v>
      </c>
      <c r="G1550" s="1">
        <f>IFERROR(__xludf.DUMMYFUNCTION("""COMPUTED_VALUE"""),79.0)</f>
        <v>79</v>
      </c>
      <c r="H1550" s="1">
        <f>IFERROR(__xludf.DUMMYFUNCTION("""COMPUTED_VALUE"""),84.0)</f>
        <v>84</v>
      </c>
      <c r="I1550" s="1">
        <f>IFERROR(__xludf.DUMMYFUNCTION("""COMPUTED_VALUE"""),71.0)</f>
        <v>71</v>
      </c>
      <c r="J1550" s="1">
        <f>IFERROR(__xludf.DUMMYFUNCTION("""COMPUTED_VALUE"""),311.0)</f>
        <v>311</v>
      </c>
      <c r="K1550" s="1">
        <f>IFERROR(__xludf.DUMMYFUNCTION("""COMPUTED_VALUE"""),62.2)</f>
        <v>62.2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>
        <f>IFERROR(__xludf.DUMMYFUNCTION("""COMPUTED_VALUE"""),38.0)</f>
        <v>38</v>
      </c>
      <c r="E1551" s="1">
        <f>IFERROR(__xludf.DUMMYFUNCTION("""COMPUTED_VALUE"""),76.0)</f>
        <v>76</v>
      </c>
      <c r="F1551" s="1">
        <f>IFERROR(__xludf.DUMMYFUNCTION("""COMPUTED_VALUE"""),36.0)</f>
        <v>36</v>
      </c>
      <c r="G1551" s="1">
        <f>IFERROR(__xludf.DUMMYFUNCTION("""COMPUTED_VALUE"""),96.0)</f>
        <v>96</v>
      </c>
      <c r="H1551" s="1">
        <f>IFERROR(__xludf.DUMMYFUNCTION("""COMPUTED_VALUE"""),85.0)</f>
        <v>85</v>
      </c>
      <c r="I1551" s="1">
        <f>IFERROR(__xludf.DUMMYFUNCTION("""COMPUTED_VALUE"""),70.0)</f>
        <v>70</v>
      </c>
      <c r="J1551" s="1">
        <f>IFERROR(__xludf.DUMMYFUNCTION("""COMPUTED_VALUE"""),363.0)</f>
        <v>363</v>
      </c>
      <c r="K1551" s="1">
        <f>IFERROR(__xludf.DUMMYFUNCTION("""COMPUTED_VALUE"""),72.6)</f>
        <v>72.6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>
        <f>IFERROR(__xludf.DUMMYFUNCTION("""COMPUTED_VALUE"""),26.0)</f>
        <v>26</v>
      </c>
      <c r="E1552" s="1">
        <f>IFERROR(__xludf.DUMMYFUNCTION("""COMPUTED_VALUE"""),68.0)</f>
        <v>68</v>
      </c>
      <c r="F1552" s="1">
        <f>IFERROR(__xludf.DUMMYFUNCTION("""COMPUTED_VALUE"""),53.0)</f>
        <v>53</v>
      </c>
      <c r="G1552" s="1">
        <f>IFERROR(__xludf.DUMMYFUNCTION("""COMPUTED_VALUE"""),61.0)</f>
        <v>61</v>
      </c>
      <c r="H1552" s="1">
        <f>IFERROR(__xludf.DUMMYFUNCTION("""COMPUTED_VALUE"""),25.0)</f>
        <v>25</v>
      </c>
      <c r="I1552" s="1">
        <f>IFERROR(__xludf.DUMMYFUNCTION("""COMPUTED_VALUE"""),87.0)</f>
        <v>87</v>
      </c>
      <c r="J1552" s="1">
        <f>IFERROR(__xludf.DUMMYFUNCTION("""COMPUTED_VALUE"""),294.0)</f>
        <v>294</v>
      </c>
      <c r="K1552" s="1">
        <f>IFERROR(__xludf.DUMMYFUNCTION("""COMPUTED_VALUE"""),58.8)</f>
        <v>58.8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>
        <f>IFERROR(__xludf.DUMMYFUNCTION("""COMPUTED_VALUE"""),39.0)</f>
        <v>39</v>
      </c>
      <c r="E1553" s="1">
        <f>IFERROR(__xludf.DUMMYFUNCTION("""COMPUTED_VALUE"""),90.0)</f>
        <v>90</v>
      </c>
      <c r="F1553" s="1">
        <f>IFERROR(__xludf.DUMMYFUNCTION("""COMPUTED_VALUE"""),66.0)</f>
        <v>66</v>
      </c>
      <c r="G1553" s="1">
        <f>IFERROR(__xludf.DUMMYFUNCTION("""COMPUTED_VALUE"""),22.0)</f>
        <v>22</v>
      </c>
      <c r="H1553" s="1">
        <f>IFERROR(__xludf.DUMMYFUNCTION("""COMPUTED_VALUE"""),61.0)</f>
        <v>61</v>
      </c>
      <c r="I1553" s="1">
        <f>IFERROR(__xludf.DUMMYFUNCTION("""COMPUTED_VALUE"""),37.0)</f>
        <v>37</v>
      </c>
      <c r="J1553" s="1">
        <f>IFERROR(__xludf.DUMMYFUNCTION("""COMPUTED_VALUE"""),276.0)</f>
        <v>276</v>
      </c>
      <c r="K1553" s="1">
        <f>IFERROR(__xludf.DUMMYFUNCTION("""COMPUTED_VALUE"""),55.2)</f>
        <v>55.2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>
        <f>IFERROR(__xludf.DUMMYFUNCTION("""COMPUTED_VALUE"""),96.0)</f>
        <v>96</v>
      </c>
      <c r="E1554" s="1">
        <f>IFERROR(__xludf.DUMMYFUNCTION("""COMPUTED_VALUE"""),88.0)</f>
        <v>88</v>
      </c>
      <c r="F1554" s="1">
        <f>IFERROR(__xludf.DUMMYFUNCTION("""COMPUTED_VALUE"""),65.0)</f>
        <v>65</v>
      </c>
      <c r="G1554" s="1">
        <f>IFERROR(__xludf.DUMMYFUNCTION("""COMPUTED_VALUE"""),69.0)</f>
        <v>69</v>
      </c>
      <c r="H1554" s="1">
        <f>IFERROR(__xludf.DUMMYFUNCTION("""COMPUTED_VALUE"""),64.0)</f>
        <v>64</v>
      </c>
      <c r="I1554" s="1">
        <f>IFERROR(__xludf.DUMMYFUNCTION("""COMPUTED_VALUE"""),80.0)</f>
        <v>80</v>
      </c>
      <c r="J1554" s="1">
        <f>IFERROR(__xludf.DUMMYFUNCTION("""COMPUTED_VALUE"""),366.0)</f>
        <v>366</v>
      </c>
      <c r="K1554" s="1">
        <f>IFERROR(__xludf.DUMMYFUNCTION("""COMPUTED_VALUE"""),73.2)</f>
        <v>73.2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>
        <f>IFERROR(__xludf.DUMMYFUNCTION("""COMPUTED_VALUE"""),21.0)</f>
        <v>21</v>
      </c>
      <c r="E1555" s="1">
        <f>IFERROR(__xludf.DUMMYFUNCTION("""COMPUTED_VALUE"""),32.0)</f>
        <v>32</v>
      </c>
      <c r="F1555" s="1">
        <f>IFERROR(__xludf.DUMMYFUNCTION("""COMPUTED_VALUE"""),49.0)</f>
        <v>49</v>
      </c>
      <c r="G1555" s="1">
        <f>IFERROR(__xludf.DUMMYFUNCTION("""COMPUTED_VALUE"""),50.0)</f>
        <v>50</v>
      </c>
      <c r="H1555" s="1">
        <f>IFERROR(__xludf.DUMMYFUNCTION("""COMPUTED_VALUE"""),42.0)</f>
        <v>42</v>
      </c>
      <c r="I1555" s="1">
        <f>IFERROR(__xludf.DUMMYFUNCTION("""COMPUTED_VALUE"""),62.0)</f>
        <v>62</v>
      </c>
      <c r="J1555" s="1">
        <f>IFERROR(__xludf.DUMMYFUNCTION("""COMPUTED_VALUE"""),235.0)</f>
        <v>235</v>
      </c>
      <c r="K1555" s="1">
        <f>IFERROR(__xludf.DUMMYFUNCTION("""COMPUTED_VALUE"""),47.0)</f>
        <v>47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>
        <f>IFERROR(__xludf.DUMMYFUNCTION("""COMPUTED_VALUE"""),11.0)</f>
        <v>11</v>
      </c>
      <c r="E1556" s="1">
        <f>IFERROR(__xludf.DUMMYFUNCTION("""COMPUTED_VALUE"""),83.0)</f>
        <v>83</v>
      </c>
      <c r="F1556" s="1">
        <f>IFERROR(__xludf.DUMMYFUNCTION("""COMPUTED_VALUE"""),24.0)</f>
        <v>24</v>
      </c>
      <c r="G1556" s="1">
        <f>IFERROR(__xludf.DUMMYFUNCTION("""COMPUTED_VALUE"""),69.0)</f>
        <v>69</v>
      </c>
      <c r="H1556" s="1">
        <f>IFERROR(__xludf.DUMMYFUNCTION("""COMPUTED_VALUE"""),60.0)</f>
        <v>60</v>
      </c>
      <c r="I1556" s="1">
        <f>IFERROR(__xludf.DUMMYFUNCTION("""COMPUTED_VALUE"""),28.0)</f>
        <v>28</v>
      </c>
      <c r="J1556" s="1">
        <f>IFERROR(__xludf.DUMMYFUNCTION("""COMPUTED_VALUE"""),264.0)</f>
        <v>264</v>
      </c>
      <c r="K1556" s="1">
        <f>IFERROR(__xludf.DUMMYFUNCTION("""COMPUTED_VALUE"""),52.800000000000004)</f>
        <v>52.8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>
        <f>IFERROR(__xludf.DUMMYFUNCTION("""COMPUTED_VALUE"""),71.0)</f>
        <v>71</v>
      </c>
      <c r="E1557" s="1">
        <f>IFERROR(__xludf.DUMMYFUNCTION("""COMPUTED_VALUE"""),24.0)</f>
        <v>24</v>
      </c>
      <c r="F1557" s="1">
        <f>IFERROR(__xludf.DUMMYFUNCTION("""COMPUTED_VALUE"""),23.0)</f>
        <v>23</v>
      </c>
      <c r="G1557" s="1">
        <f>IFERROR(__xludf.DUMMYFUNCTION("""COMPUTED_VALUE"""),27.0)</f>
        <v>27</v>
      </c>
      <c r="H1557" s="1">
        <f>IFERROR(__xludf.DUMMYFUNCTION("""COMPUTED_VALUE"""),56.0)</f>
        <v>56</v>
      </c>
      <c r="I1557" s="1">
        <f>IFERROR(__xludf.DUMMYFUNCTION("""COMPUTED_VALUE"""),72.0)</f>
        <v>72</v>
      </c>
      <c r="J1557" s="1">
        <f>IFERROR(__xludf.DUMMYFUNCTION("""COMPUTED_VALUE"""),202.0)</f>
        <v>202</v>
      </c>
      <c r="K1557" s="1">
        <f>IFERROR(__xludf.DUMMYFUNCTION("""COMPUTED_VALUE"""),40.400000000000006)</f>
        <v>40.4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>
        <f>IFERROR(__xludf.DUMMYFUNCTION("""COMPUTED_VALUE"""),27.0)</f>
        <v>27</v>
      </c>
      <c r="E1558" s="1">
        <f>IFERROR(__xludf.DUMMYFUNCTION("""COMPUTED_VALUE"""),20.0)</f>
        <v>20</v>
      </c>
      <c r="F1558" s="1">
        <f>IFERROR(__xludf.DUMMYFUNCTION("""COMPUTED_VALUE"""),20.0)</f>
        <v>20</v>
      </c>
      <c r="G1558" s="1">
        <f>IFERROR(__xludf.DUMMYFUNCTION("""COMPUTED_VALUE"""),94.0)</f>
        <v>94</v>
      </c>
      <c r="H1558" s="1">
        <f>IFERROR(__xludf.DUMMYFUNCTION("""COMPUTED_VALUE"""),31.0)</f>
        <v>31</v>
      </c>
      <c r="I1558" s="1">
        <f>IFERROR(__xludf.DUMMYFUNCTION("""COMPUTED_VALUE"""),89.0)</f>
        <v>89</v>
      </c>
      <c r="J1558" s="1">
        <f>IFERROR(__xludf.DUMMYFUNCTION("""COMPUTED_VALUE"""),254.0)</f>
        <v>254</v>
      </c>
      <c r="K1558" s="1">
        <f>IFERROR(__xludf.DUMMYFUNCTION("""COMPUTED_VALUE"""),50.8)</f>
        <v>50.8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>
        <f>IFERROR(__xludf.DUMMYFUNCTION("""COMPUTED_VALUE"""),80.0)</f>
        <v>80</v>
      </c>
      <c r="E1559" s="1">
        <f>IFERROR(__xludf.DUMMYFUNCTION("""COMPUTED_VALUE"""),77.0)</f>
        <v>77</v>
      </c>
      <c r="F1559" s="1">
        <f>IFERROR(__xludf.DUMMYFUNCTION("""COMPUTED_VALUE"""),59.0)</f>
        <v>59</v>
      </c>
      <c r="G1559" s="1">
        <f>IFERROR(__xludf.DUMMYFUNCTION("""COMPUTED_VALUE"""),40.0)</f>
        <v>40</v>
      </c>
      <c r="H1559" s="1">
        <f>IFERROR(__xludf.DUMMYFUNCTION("""COMPUTED_VALUE"""),39.0)</f>
        <v>39</v>
      </c>
      <c r="I1559" s="1">
        <f>IFERROR(__xludf.DUMMYFUNCTION("""COMPUTED_VALUE"""),44.0)</f>
        <v>44</v>
      </c>
      <c r="J1559" s="1">
        <f>IFERROR(__xludf.DUMMYFUNCTION("""COMPUTED_VALUE"""),259.0)</f>
        <v>259</v>
      </c>
      <c r="K1559" s="1">
        <f>IFERROR(__xludf.DUMMYFUNCTION("""COMPUTED_VALUE"""),51.800000000000004)</f>
        <v>51.8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>
        <f>IFERROR(__xludf.DUMMYFUNCTION("""COMPUTED_VALUE"""),68.0)</f>
        <v>68</v>
      </c>
      <c r="E1560" s="1">
        <f>IFERROR(__xludf.DUMMYFUNCTION("""COMPUTED_VALUE"""),60.0)</f>
        <v>60</v>
      </c>
      <c r="F1560" s="1">
        <f>IFERROR(__xludf.DUMMYFUNCTION("""COMPUTED_VALUE"""),28.0)</f>
        <v>28</v>
      </c>
      <c r="G1560" s="1">
        <f>IFERROR(__xludf.DUMMYFUNCTION("""COMPUTED_VALUE"""),28.0)</f>
        <v>28</v>
      </c>
      <c r="H1560" s="1">
        <f>IFERROR(__xludf.DUMMYFUNCTION("""COMPUTED_VALUE"""),52.0)</f>
        <v>52</v>
      </c>
      <c r="I1560" s="1">
        <f>IFERROR(__xludf.DUMMYFUNCTION("""COMPUTED_VALUE"""),25.0)</f>
        <v>25</v>
      </c>
      <c r="J1560" s="1">
        <f>IFERROR(__xludf.DUMMYFUNCTION("""COMPUTED_VALUE"""),193.0)</f>
        <v>193</v>
      </c>
      <c r="K1560" s="1">
        <f>IFERROR(__xludf.DUMMYFUNCTION("""COMPUTED_VALUE"""),38.6)</f>
        <v>38.6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>
        <f>IFERROR(__xludf.DUMMYFUNCTION("""COMPUTED_VALUE"""),98.0)</f>
        <v>98</v>
      </c>
      <c r="E1561" s="1">
        <f>IFERROR(__xludf.DUMMYFUNCTION("""COMPUTED_VALUE"""),82.0)</f>
        <v>82</v>
      </c>
      <c r="F1561" s="1">
        <f>IFERROR(__xludf.DUMMYFUNCTION("""COMPUTED_VALUE"""),80.0)</f>
        <v>80</v>
      </c>
      <c r="G1561" s="1">
        <f>IFERROR(__xludf.DUMMYFUNCTION("""COMPUTED_VALUE"""),54.0)</f>
        <v>54</v>
      </c>
      <c r="H1561" s="1">
        <f>IFERROR(__xludf.DUMMYFUNCTION("""COMPUTED_VALUE"""),78.0)</f>
        <v>78</v>
      </c>
      <c r="I1561" s="1">
        <f>IFERROR(__xludf.DUMMYFUNCTION("""COMPUTED_VALUE"""),84.0)</f>
        <v>84</v>
      </c>
      <c r="J1561" s="1">
        <f>IFERROR(__xludf.DUMMYFUNCTION("""COMPUTED_VALUE"""),378.0)</f>
        <v>378</v>
      </c>
      <c r="K1561" s="1">
        <f>IFERROR(__xludf.DUMMYFUNCTION("""COMPUTED_VALUE"""),75.6)</f>
        <v>75.6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>
        <f>IFERROR(__xludf.DUMMYFUNCTION("""COMPUTED_VALUE"""),35.0)</f>
        <v>35</v>
      </c>
      <c r="E1562" s="1">
        <f>IFERROR(__xludf.DUMMYFUNCTION("""COMPUTED_VALUE"""),57.0)</f>
        <v>57</v>
      </c>
      <c r="F1562" s="1">
        <f>IFERROR(__xludf.DUMMYFUNCTION("""COMPUTED_VALUE"""),24.0)</f>
        <v>24</v>
      </c>
      <c r="G1562" s="1">
        <f>IFERROR(__xludf.DUMMYFUNCTION("""COMPUTED_VALUE"""),65.0)</f>
        <v>65</v>
      </c>
      <c r="H1562" s="1">
        <f>IFERROR(__xludf.DUMMYFUNCTION("""COMPUTED_VALUE"""),24.0)</f>
        <v>24</v>
      </c>
      <c r="I1562" s="1">
        <f>IFERROR(__xludf.DUMMYFUNCTION("""COMPUTED_VALUE"""),47.0)</f>
        <v>47</v>
      </c>
      <c r="J1562" s="1">
        <f>IFERROR(__xludf.DUMMYFUNCTION("""COMPUTED_VALUE"""),217.0)</f>
        <v>217</v>
      </c>
      <c r="K1562" s="1">
        <f>IFERROR(__xludf.DUMMYFUNCTION("""COMPUTED_VALUE"""),43.4)</f>
        <v>43.4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>
        <f>IFERROR(__xludf.DUMMYFUNCTION("""COMPUTED_VALUE"""),59.0)</f>
        <v>59</v>
      </c>
      <c r="E1563" s="1">
        <f>IFERROR(__xludf.DUMMYFUNCTION("""COMPUTED_VALUE"""),70.0)</f>
        <v>70</v>
      </c>
      <c r="F1563" s="1">
        <f>IFERROR(__xludf.DUMMYFUNCTION("""COMPUTED_VALUE"""),99.0)</f>
        <v>99</v>
      </c>
      <c r="G1563" s="1">
        <f>IFERROR(__xludf.DUMMYFUNCTION("""COMPUTED_VALUE"""),30.0)</f>
        <v>30</v>
      </c>
      <c r="H1563" s="1">
        <f>IFERROR(__xludf.DUMMYFUNCTION("""COMPUTED_VALUE"""),63.0)</f>
        <v>63</v>
      </c>
      <c r="I1563" s="1">
        <f>IFERROR(__xludf.DUMMYFUNCTION("""COMPUTED_VALUE"""),57.0)</f>
        <v>57</v>
      </c>
      <c r="J1563" s="1">
        <f>IFERROR(__xludf.DUMMYFUNCTION("""COMPUTED_VALUE"""),319.0)</f>
        <v>319</v>
      </c>
      <c r="K1563" s="1">
        <f>IFERROR(__xludf.DUMMYFUNCTION("""COMPUTED_VALUE"""),63.800000000000004)</f>
        <v>63.8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>
        <f>IFERROR(__xludf.DUMMYFUNCTION("""COMPUTED_VALUE"""),93.0)</f>
        <v>93</v>
      </c>
      <c r="E1564" s="1">
        <f>IFERROR(__xludf.DUMMYFUNCTION("""COMPUTED_VALUE"""),62.0)</f>
        <v>62</v>
      </c>
      <c r="F1564" s="1">
        <f>IFERROR(__xludf.DUMMYFUNCTION("""COMPUTED_VALUE"""),78.0)</f>
        <v>78</v>
      </c>
      <c r="G1564" s="1">
        <f>IFERROR(__xludf.DUMMYFUNCTION("""COMPUTED_VALUE"""),96.0)</f>
        <v>96</v>
      </c>
      <c r="H1564" s="1">
        <f>IFERROR(__xludf.DUMMYFUNCTION("""COMPUTED_VALUE"""),85.0)</f>
        <v>85</v>
      </c>
      <c r="I1564" s="1">
        <f>IFERROR(__xludf.DUMMYFUNCTION("""COMPUTED_VALUE"""),63.0)</f>
        <v>63</v>
      </c>
      <c r="J1564" s="1">
        <f>IFERROR(__xludf.DUMMYFUNCTION("""COMPUTED_VALUE"""),384.0)</f>
        <v>384</v>
      </c>
      <c r="K1564" s="1">
        <f>IFERROR(__xludf.DUMMYFUNCTION("""COMPUTED_VALUE"""),76.8)</f>
        <v>76.8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>
        <f>IFERROR(__xludf.DUMMYFUNCTION("""COMPUTED_VALUE"""),22.0)</f>
        <v>22</v>
      </c>
      <c r="E1565" s="1">
        <f>IFERROR(__xludf.DUMMYFUNCTION("""COMPUTED_VALUE"""),70.0)</f>
        <v>70</v>
      </c>
      <c r="F1565" s="1">
        <f>IFERROR(__xludf.DUMMYFUNCTION("""COMPUTED_VALUE"""),85.0)</f>
        <v>85</v>
      </c>
      <c r="G1565" s="1">
        <f>IFERROR(__xludf.DUMMYFUNCTION("""COMPUTED_VALUE"""),40.0)</f>
        <v>40</v>
      </c>
      <c r="H1565" s="1">
        <f>IFERROR(__xludf.DUMMYFUNCTION("""COMPUTED_VALUE"""),56.0)</f>
        <v>56</v>
      </c>
      <c r="I1565" s="1">
        <f>IFERROR(__xludf.DUMMYFUNCTION("""COMPUTED_VALUE"""),34.0)</f>
        <v>34</v>
      </c>
      <c r="J1565" s="1">
        <f>IFERROR(__xludf.DUMMYFUNCTION("""COMPUTED_VALUE"""),285.0)</f>
        <v>285</v>
      </c>
      <c r="K1565" s="1">
        <f>IFERROR(__xludf.DUMMYFUNCTION("""COMPUTED_VALUE"""),56.99999999999999)</f>
        <v>57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>
        <f>IFERROR(__xludf.DUMMYFUNCTION("""COMPUTED_VALUE"""),96.0)</f>
        <v>96</v>
      </c>
      <c r="E1566" s="1">
        <f>IFERROR(__xludf.DUMMYFUNCTION("""COMPUTED_VALUE"""),70.0)</f>
        <v>70</v>
      </c>
      <c r="F1566" s="1">
        <f>IFERROR(__xludf.DUMMYFUNCTION("""COMPUTED_VALUE"""),52.0)</f>
        <v>52</v>
      </c>
      <c r="G1566" s="1">
        <f>IFERROR(__xludf.DUMMYFUNCTION("""COMPUTED_VALUE"""),54.0)</f>
        <v>54</v>
      </c>
      <c r="H1566" s="1">
        <f>IFERROR(__xludf.DUMMYFUNCTION("""COMPUTED_VALUE"""),50.0)</f>
        <v>50</v>
      </c>
      <c r="I1566" s="1">
        <f>IFERROR(__xludf.DUMMYFUNCTION("""COMPUTED_VALUE"""),68.0)</f>
        <v>68</v>
      </c>
      <c r="J1566" s="1">
        <f>IFERROR(__xludf.DUMMYFUNCTION("""COMPUTED_VALUE"""),294.0)</f>
        <v>294</v>
      </c>
      <c r="K1566" s="1">
        <f>IFERROR(__xludf.DUMMYFUNCTION("""COMPUTED_VALUE"""),58.8)</f>
        <v>58.8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>
        <f>IFERROR(__xludf.DUMMYFUNCTION("""COMPUTED_VALUE"""),94.0)</f>
        <v>94</v>
      </c>
      <c r="E1567" s="1">
        <f>IFERROR(__xludf.DUMMYFUNCTION("""COMPUTED_VALUE"""),71.0)</f>
        <v>71</v>
      </c>
      <c r="F1567" s="1">
        <f>IFERROR(__xludf.DUMMYFUNCTION("""COMPUTED_VALUE"""),67.0)</f>
        <v>67</v>
      </c>
      <c r="G1567" s="1">
        <f>IFERROR(__xludf.DUMMYFUNCTION("""COMPUTED_VALUE"""),65.0)</f>
        <v>65</v>
      </c>
      <c r="H1567" s="1">
        <f>IFERROR(__xludf.DUMMYFUNCTION("""COMPUTED_VALUE"""),54.0)</f>
        <v>54</v>
      </c>
      <c r="I1567" s="1">
        <f>IFERROR(__xludf.DUMMYFUNCTION("""COMPUTED_VALUE"""),25.0)</f>
        <v>25</v>
      </c>
      <c r="J1567" s="1">
        <f>IFERROR(__xludf.DUMMYFUNCTION("""COMPUTED_VALUE"""),282.0)</f>
        <v>282</v>
      </c>
      <c r="K1567" s="1">
        <f>IFERROR(__xludf.DUMMYFUNCTION("""COMPUTED_VALUE"""),56.39999999999999)</f>
        <v>56.4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>
        <f>IFERROR(__xludf.DUMMYFUNCTION("""COMPUTED_VALUE"""),44.0)</f>
        <v>44</v>
      </c>
      <c r="E1568" s="1">
        <f>IFERROR(__xludf.DUMMYFUNCTION("""COMPUTED_VALUE"""),87.0)</f>
        <v>87</v>
      </c>
      <c r="F1568" s="1">
        <f>IFERROR(__xludf.DUMMYFUNCTION("""COMPUTED_VALUE"""),99.0)</f>
        <v>99</v>
      </c>
      <c r="G1568" s="1">
        <f>IFERROR(__xludf.DUMMYFUNCTION("""COMPUTED_VALUE"""),62.0)</f>
        <v>62</v>
      </c>
      <c r="H1568" s="1">
        <f>IFERROR(__xludf.DUMMYFUNCTION("""COMPUTED_VALUE"""),36.0)</f>
        <v>36</v>
      </c>
      <c r="I1568" s="1">
        <f>IFERROR(__xludf.DUMMYFUNCTION("""COMPUTED_VALUE"""),93.0)</f>
        <v>93</v>
      </c>
      <c r="J1568" s="1">
        <f>IFERROR(__xludf.DUMMYFUNCTION("""COMPUTED_VALUE"""),377.0)</f>
        <v>377</v>
      </c>
      <c r="K1568" s="1">
        <f>IFERROR(__xludf.DUMMYFUNCTION("""COMPUTED_VALUE"""),75.4)</f>
        <v>75.4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>
        <f>IFERROR(__xludf.DUMMYFUNCTION("""COMPUTED_VALUE"""),65.0)</f>
        <v>65</v>
      </c>
      <c r="E1569" s="1">
        <f>IFERROR(__xludf.DUMMYFUNCTION("""COMPUTED_VALUE"""),57.0)</f>
        <v>57</v>
      </c>
      <c r="F1569" s="1">
        <f>IFERROR(__xludf.DUMMYFUNCTION("""COMPUTED_VALUE"""),70.0)</f>
        <v>70</v>
      </c>
      <c r="G1569" s="1">
        <f>IFERROR(__xludf.DUMMYFUNCTION("""COMPUTED_VALUE"""),76.0)</f>
        <v>76</v>
      </c>
      <c r="H1569" s="1">
        <f>IFERROR(__xludf.DUMMYFUNCTION("""COMPUTED_VALUE"""),69.0)</f>
        <v>69</v>
      </c>
      <c r="I1569" s="1">
        <f>IFERROR(__xludf.DUMMYFUNCTION("""COMPUTED_VALUE"""),51.0)</f>
        <v>51</v>
      </c>
      <c r="J1569" s="1">
        <f>IFERROR(__xludf.DUMMYFUNCTION("""COMPUTED_VALUE"""),323.0)</f>
        <v>323</v>
      </c>
      <c r="K1569" s="1">
        <f>IFERROR(__xludf.DUMMYFUNCTION("""COMPUTED_VALUE"""),64.60000000000001)</f>
        <v>64.6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>
        <f>IFERROR(__xludf.DUMMYFUNCTION("""COMPUTED_VALUE"""),34.0)</f>
        <v>34</v>
      </c>
      <c r="E1570" s="1">
        <f>IFERROR(__xludf.DUMMYFUNCTION("""COMPUTED_VALUE"""),81.0)</f>
        <v>81</v>
      </c>
      <c r="F1570" s="1">
        <f>IFERROR(__xludf.DUMMYFUNCTION("""COMPUTED_VALUE"""),56.0)</f>
        <v>56</v>
      </c>
      <c r="G1570" s="1">
        <f>IFERROR(__xludf.DUMMYFUNCTION("""COMPUTED_VALUE"""),66.0)</f>
        <v>66</v>
      </c>
      <c r="H1570" s="1">
        <f>IFERROR(__xludf.DUMMYFUNCTION("""COMPUTED_VALUE"""),52.0)</f>
        <v>52</v>
      </c>
      <c r="I1570" s="1">
        <f>IFERROR(__xludf.DUMMYFUNCTION("""COMPUTED_VALUE"""),78.0)</f>
        <v>78</v>
      </c>
      <c r="J1570" s="1">
        <f>IFERROR(__xludf.DUMMYFUNCTION("""COMPUTED_VALUE"""),333.0)</f>
        <v>333</v>
      </c>
      <c r="K1570" s="1">
        <f>IFERROR(__xludf.DUMMYFUNCTION("""COMPUTED_VALUE"""),66.60000000000001)</f>
        <v>66.6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>
        <f>IFERROR(__xludf.DUMMYFUNCTION("""COMPUTED_VALUE"""),72.0)</f>
        <v>72</v>
      </c>
      <c r="E1571" s="1">
        <f>IFERROR(__xludf.DUMMYFUNCTION("""COMPUTED_VALUE"""),30.0)</f>
        <v>30</v>
      </c>
      <c r="F1571" s="1">
        <f>IFERROR(__xludf.DUMMYFUNCTION("""COMPUTED_VALUE"""),36.0)</f>
        <v>36</v>
      </c>
      <c r="G1571" s="1">
        <f>IFERROR(__xludf.DUMMYFUNCTION("""COMPUTED_VALUE"""),35.0)</f>
        <v>35</v>
      </c>
      <c r="H1571" s="1">
        <f>IFERROR(__xludf.DUMMYFUNCTION("""COMPUTED_VALUE"""),75.0)</f>
        <v>75</v>
      </c>
      <c r="I1571" s="1">
        <f>IFERROR(__xludf.DUMMYFUNCTION("""COMPUTED_VALUE"""),34.0)</f>
        <v>34</v>
      </c>
      <c r="J1571" s="1">
        <f>IFERROR(__xludf.DUMMYFUNCTION("""COMPUTED_VALUE"""),210.0)</f>
        <v>210</v>
      </c>
      <c r="K1571" s="1">
        <f>IFERROR(__xludf.DUMMYFUNCTION("""COMPUTED_VALUE"""),42.0)</f>
        <v>42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>
        <f>IFERROR(__xludf.DUMMYFUNCTION("""COMPUTED_VALUE"""),40.0)</f>
        <v>40</v>
      </c>
      <c r="E1572" s="1">
        <f>IFERROR(__xludf.DUMMYFUNCTION("""COMPUTED_VALUE"""),50.0)</f>
        <v>50</v>
      </c>
      <c r="F1572" s="1">
        <f>IFERROR(__xludf.DUMMYFUNCTION("""COMPUTED_VALUE"""),58.0)</f>
        <v>58</v>
      </c>
      <c r="G1572" s="1">
        <f>IFERROR(__xludf.DUMMYFUNCTION("""COMPUTED_VALUE"""),22.0)</f>
        <v>22</v>
      </c>
      <c r="H1572" s="1">
        <f>IFERROR(__xludf.DUMMYFUNCTION("""COMPUTED_VALUE"""),40.0)</f>
        <v>40</v>
      </c>
      <c r="I1572" s="1">
        <f>IFERROR(__xludf.DUMMYFUNCTION("""COMPUTED_VALUE"""),22.0)</f>
        <v>22</v>
      </c>
      <c r="J1572" s="1">
        <f>IFERROR(__xludf.DUMMYFUNCTION("""COMPUTED_VALUE"""),192.0)</f>
        <v>192</v>
      </c>
      <c r="K1572" s="1">
        <f>IFERROR(__xludf.DUMMYFUNCTION("""COMPUTED_VALUE"""),38.4)</f>
        <v>38.4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>
        <f>IFERROR(__xludf.DUMMYFUNCTION("""COMPUTED_VALUE"""),54.0)</f>
        <v>54</v>
      </c>
      <c r="E1573" s="1">
        <f>IFERROR(__xludf.DUMMYFUNCTION("""COMPUTED_VALUE"""),24.0)</f>
        <v>24</v>
      </c>
      <c r="F1573" s="1">
        <f>IFERROR(__xludf.DUMMYFUNCTION("""COMPUTED_VALUE"""),90.0)</f>
        <v>90</v>
      </c>
      <c r="G1573" s="1">
        <f>IFERROR(__xludf.DUMMYFUNCTION("""COMPUTED_VALUE"""),92.0)</f>
        <v>92</v>
      </c>
      <c r="H1573" s="1">
        <f>IFERROR(__xludf.DUMMYFUNCTION("""COMPUTED_VALUE"""),69.0)</f>
        <v>69</v>
      </c>
      <c r="I1573" s="1">
        <f>IFERROR(__xludf.DUMMYFUNCTION("""COMPUTED_VALUE"""),68.0)</f>
        <v>68</v>
      </c>
      <c r="J1573" s="1">
        <f>IFERROR(__xludf.DUMMYFUNCTION("""COMPUTED_VALUE"""),343.0)</f>
        <v>343</v>
      </c>
      <c r="K1573" s="1">
        <f>IFERROR(__xludf.DUMMYFUNCTION("""COMPUTED_VALUE"""),68.60000000000001)</f>
        <v>68.6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>
        <f>IFERROR(__xludf.DUMMYFUNCTION("""COMPUTED_VALUE"""),84.0)</f>
        <v>84</v>
      </c>
      <c r="E1574" s="1">
        <f>IFERROR(__xludf.DUMMYFUNCTION("""COMPUTED_VALUE"""),79.0)</f>
        <v>79</v>
      </c>
      <c r="F1574" s="1">
        <f>IFERROR(__xludf.DUMMYFUNCTION("""COMPUTED_VALUE"""),64.0)</f>
        <v>64</v>
      </c>
      <c r="G1574" s="1">
        <f>IFERROR(__xludf.DUMMYFUNCTION("""COMPUTED_VALUE"""),49.0)</f>
        <v>49</v>
      </c>
      <c r="H1574" s="1">
        <f>IFERROR(__xludf.DUMMYFUNCTION("""COMPUTED_VALUE"""),53.0)</f>
        <v>53</v>
      </c>
      <c r="I1574" s="1">
        <f>IFERROR(__xludf.DUMMYFUNCTION("""COMPUTED_VALUE"""),59.0)</f>
        <v>59</v>
      </c>
      <c r="J1574" s="1">
        <f>IFERROR(__xludf.DUMMYFUNCTION("""COMPUTED_VALUE"""),304.0)</f>
        <v>304</v>
      </c>
      <c r="K1574" s="1">
        <f>IFERROR(__xludf.DUMMYFUNCTION("""COMPUTED_VALUE"""),60.8)</f>
        <v>60.8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>
        <f>IFERROR(__xludf.DUMMYFUNCTION("""COMPUTED_VALUE"""),11.0)</f>
        <v>11</v>
      </c>
      <c r="E1575" s="1">
        <f>IFERROR(__xludf.DUMMYFUNCTION("""COMPUTED_VALUE"""),69.0)</f>
        <v>69</v>
      </c>
      <c r="F1575" s="1">
        <f>IFERROR(__xludf.DUMMYFUNCTION("""COMPUTED_VALUE"""),49.0)</f>
        <v>49</v>
      </c>
      <c r="G1575" s="1">
        <f>IFERROR(__xludf.DUMMYFUNCTION("""COMPUTED_VALUE"""),61.0)</f>
        <v>61</v>
      </c>
      <c r="H1575" s="1">
        <f>IFERROR(__xludf.DUMMYFUNCTION("""COMPUTED_VALUE"""),80.0)</f>
        <v>80</v>
      </c>
      <c r="I1575" s="1">
        <f>IFERROR(__xludf.DUMMYFUNCTION("""COMPUTED_VALUE"""),95.0)</f>
        <v>95</v>
      </c>
      <c r="J1575" s="1">
        <f>IFERROR(__xludf.DUMMYFUNCTION("""COMPUTED_VALUE"""),354.0)</f>
        <v>354</v>
      </c>
      <c r="K1575" s="1">
        <f>IFERROR(__xludf.DUMMYFUNCTION("""COMPUTED_VALUE"""),70.8)</f>
        <v>70.8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>
        <f>IFERROR(__xludf.DUMMYFUNCTION("""COMPUTED_VALUE"""),71.0)</f>
        <v>71</v>
      </c>
      <c r="E1576" s="1">
        <f>IFERROR(__xludf.DUMMYFUNCTION("""COMPUTED_VALUE"""),54.0)</f>
        <v>54</v>
      </c>
      <c r="F1576" s="1">
        <f>IFERROR(__xludf.DUMMYFUNCTION("""COMPUTED_VALUE"""),98.0)</f>
        <v>98</v>
      </c>
      <c r="G1576" s="1">
        <f>IFERROR(__xludf.DUMMYFUNCTION("""COMPUTED_VALUE"""),75.0)</f>
        <v>75</v>
      </c>
      <c r="H1576" s="1">
        <f>IFERROR(__xludf.DUMMYFUNCTION("""COMPUTED_VALUE"""),72.0)</f>
        <v>72</v>
      </c>
      <c r="I1576" s="1">
        <f>IFERROR(__xludf.DUMMYFUNCTION("""COMPUTED_VALUE"""),92.0)</f>
        <v>92</v>
      </c>
      <c r="J1576" s="1">
        <f>IFERROR(__xludf.DUMMYFUNCTION("""COMPUTED_VALUE"""),391.0)</f>
        <v>391</v>
      </c>
      <c r="K1576" s="1">
        <f>IFERROR(__xludf.DUMMYFUNCTION("""COMPUTED_VALUE"""),78.2)</f>
        <v>78.2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>
        <f>IFERROR(__xludf.DUMMYFUNCTION("""COMPUTED_VALUE"""),60.0)</f>
        <v>60</v>
      </c>
      <c r="E1577" s="1">
        <f>IFERROR(__xludf.DUMMYFUNCTION("""COMPUTED_VALUE"""),31.0)</f>
        <v>31</v>
      </c>
      <c r="F1577" s="1">
        <f>IFERROR(__xludf.DUMMYFUNCTION("""COMPUTED_VALUE"""),70.0)</f>
        <v>70</v>
      </c>
      <c r="G1577" s="1">
        <f>IFERROR(__xludf.DUMMYFUNCTION("""COMPUTED_VALUE"""),29.0)</f>
        <v>29</v>
      </c>
      <c r="H1577" s="1">
        <f>IFERROR(__xludf.DUMMYFUNCTION("""COMPUTED_VALUE"""),74.0)</f>
        <v>74</v>
      </c>
      <c r="I1577" s="1">
        <f>IFERROR(__xludf.DUMMYFUNCTION("""COMPUTED_VALUE"""),85.0)</f>
        <v>85</v>
      </c>
      <c r="J1577" s="1">
        <f>IFERROR(__xludf.DUMMYFUNCTION("""COMPUTED_VALUE"""),289.0)</f>
        <v>289</v>
      </c>
      <c r="K1577" s="1">
        <f>IFERROR(__xludf.DUMMYFUNCTION("""COMPUTED_VALUE"""),57.8)</f>
        <v>57.8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>
        <f>IFERROR(__xludf.DUMMYFUNCTION("""COMPUTED_VALUE"""),82.0)</f>
        <v>82</v>
      </c>
      <c r="E1578" s="1">
        <f>IFERROR(__xludf.DUMMYFUNCTION("""COMPUTED_VALUE"""),61.0)</f>
        <v>61</v>
      </c>
      <c r="F1578" s="1">
        <f>IFERROR(__xludf.DUMMYFUNCTION("""COMPUTED_VALUE"""),63.0)</f>
        <v>63</v>
      </c>
      <c r="G1578" s="1">
        <f>IFERROR(__xludf.DUMMYFUNCTION("""COMPUTED_VALUE"""),79.0)</f>
        <v>79</v>
      </c>
      <c r="H1578" s="1">
        <f>IFERROR(__xludf.DUMMYFUNCTION("""COMPUTED_VALUE"""),42.0)</f>
        <v>42</v>
      </c>
      <c r="I1578" s="1">
        <f>IFERROR(__xludf.DUMMYFUNCTION("""COMPUTED_VALUE"""),94.0)</f>
        <v>94</v>
      </c>
      <c r="J1578" s="1">
        <f>IFERROR(__xludf.DUMMYFUNCTION("""COMPUTED_VALUE"""),339.0)</f>
        <v>339</v>
      </c>
      <c r="K1578" s="1">
        <f>IFERROR(__xludf.DUMMYFUNCTION("""COMPUTED_VALUE"""),67.80000000000001)</f>
        <v>67.8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>
        <f>IFERROR(__xludf.DUMMYFUNCTION("""COMPUTED_VALUE"""),87.0)</f>
        <v>87</v>
      </c>
      <c r="E1579" s="1">
        <f>IFERROR(__xludf.DUMMYFUNCTION("""COMPUTED_VALUE"""),38.0)</f>
        <v>38</v>
      </c>
      <c r="F1579" s="1">
        <f>IFERROR(__xludf.DUMMYFUNCTION("""COMPUTED_VALUE"""),89.0)</f>
        <v>89</v>
      </c>
      <c r="G1579" s="1">
        <f>IFERROR(__xludf.DUMMYFUNCTION("""COMPUTED_VALUE"""),50.0)</f>
        <v>50</v>
      </c>
      <c r="H1579" s="1">
        <f>IFERROR(__xludf.DUMMYFUNCTION("""COMPUTED_VALUE"""),94.0)</f>
        <v>94</v>
      </c>
      <c r="I1579" s="1">
        <f>IFERROR(__xludf.DUMMYFUNCTION("""COMPUTED_VALUE"""),25.0)</f>
        <v>25</v>
      </c>
      <c r="J1579" s="1">
        <f>IFERROR(__xludf.DUMMYFUNCTION("""COMPUTED_VALUE"""),296.0)</f>
        <v>296</v>
      </c>
      <c r="K1579" s="1">
        <f>IFERROR(__xludf.DUMMYFUNCTION("""COMPUTED_VALUE"""),59.199999999999996)</f>
        <v>59.2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>
        <f>IFERROR(__xludf.DUMMYFUNCTION("""COMPUTED_VALUE"""),11.0)</f>
        <v>11</v>
      </c>
      <c r="E1580" s="1">
        <f>IFERROR(__xludf.DUMMYFUNCTION("""COMPUTED_VALUE"""),72.0)</f>
        <v>72</v>
      </c>
      <c r="F1580" s="1">
        <f>IFERROR(__xludf.DUMMYFUNCTION("""COMPUTED_VALUE"""),82.0)</f>
        <v>82</v>
      </c>
      <c r="G1580" s="1">
        <f>IFERROR(__xludf.DUMMYFUNCTION("""COMPUTED_VALUE"""),27.0)</f>
        <v>27</v>
      </c>
      <c r="H1580" s="1">
        <f>IFERROR(__xludf.DUMMYFUNCTION("""COMPUTED_VALUE"""),28.0)</f>
        <v>28</v>
      </c>
      <c r="I1580" s="1">
        <f>IFERROR(__xludf.DUMMYFUNCTION("""COMPUTED_VALUE"""),22.0)</f>
        <v>22</v>
      </c>
      <c r="J1580" s="1">
        <f>IFERROR(__xludf.DUMMYFUNCTION("""COMPUTED_VALUE"""),231.0)</f>
        <v>231</v>
      </c>
      <c r="K1580" s="1">
        <f>IFERROR(__xludf.DUMMYFUNCTION("""COMPUTED_VALUE"""),46.2)</f>
        <v>46.2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>
        <f>IFERROR(__xludf.DUMMYFUNCTION("""COMPUTED_VALUE"""),67.0)</f>
        <v>67</v>
      </c>
      <c r="E1581" s="1">
        <f>IFERROR(__xludf.DUMMYFUNCTION("""COMPUTED_VALUE"""),71.0)</f>
        <v>71</v>
      </c>
      <c r="F1581" s="1">
        <f>IFERROR(__xludf.DUMMYFUNCTION("""COMPUTED_VALUE"""),73.0)</f>
        <v>73</v>
      </c>
      <c r="G1581" s="1">
        <f>IFERROR(__xludf.DUMMYFUNCTION("""COMPUTED_VALUE"""),20.0)</f>
        <v>20</v>
      </c>
      <c r="H1581" s="1">
        <f>IFERROR(__xludf.DUMMYFUNCTION("""COMPUTED_VALUE"""),75.0)</f>
        <v>75</v>
      </c>
      <c r="I1581" s="1">
        <f>IFERROR(__xludf.DUMMYFUNCTION("""COMPUTED_VALUE"""),83.0)</f>
        <v>83</v>
      </c>
      <c r="J1581" s="1">
        <f>IFERROR(__xludf.DUMMYFUNCTION("""COMPUTED_VALUE"""),322.0)</f>
        <v>322</v>
      </c>
      <c r="K1581" s="1">
        <f>IFERROR(__xludf.DUMMYFUNCTION("""COMPUTED_VALUE"""),64.4)</f>
        <v>64.4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>
        <f>IFERROR(__xludf.DUMMYFUNCTION("""COMPUTED_VALUE"""),51.0)</f>
        <v>51</v>
      </c>
      <c r="E1582" s="1">
        <f>IFERROR(__xludf.DUMMYFUNCTION("""COMPUTED_VALUE"""),81.0)</f>
        <v>81</v>
      </c>
      <c r="F1582" s="1">
        <f>IFERROR(__xludf.DUMMYFUNCTION("""COMPUTED_VALUE"""),90.0)</f>
        <v>90</v>
      </c>
      <c r="G1582" s="1">
        <f>IFERROR(__xludf.DUMMYFUNCTION("""COMPUTED_VALUE"""),89.0)</f>
        <v>89</v>
      </c>
      <c r="H1582" s="1">
        <f>IFERROR(__xludf.DUMMYFUNCTION("""COMPUTED_VALUE"""),92.0)</f>
        <v>92</v>
      </c>
      <c r="I1582" s="1">
        <f>IFERROR(__xludf.DUMMYFUNCTION("""COMPUTED_VALUE"""),88.0)</f>
        <v>88</v>
      </c>
      <c r="J1582" s="1">
        <f>IFERROR(__xludf.DUMMYFUNCTION("""COMPUTED_VALUE"""),440.0)</f>
        <v>440</v>
      </c>
      <c r="K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>
        <f>IFERROR(__xludf.DUMMYFUNCTION("""COMPUTED_VALUE"""),80.0)</f>
        <v>80</v>
      </c>
      <c r="E1583" s="1">
        <f>IFERROR(__xludf.DUMMYFUNCTION("""COMPUTED_VALUE"""),96.0)</f>
        <v>96</v>
      </c>
      <c r="F1583" s="1">
        <f>IFERROR(__xludf.DUMMYFUNCTION("""COMPUTED_VALUE"""),42.0)</f>
        <v>42</v>
      </c>
      <c r="G1583" s="1">
        <f>IFERROR(__xludf.DUMMYFUNCTION("""COMPUTED_VALUE"""),74.0)</f>
        <v>74</v>
      </c>
      <c r="H1583" s="1">
        <f>IFERROR(__xludf.DUMMYFUNCTION("""COMPUTED_VALUE"""),76.0)</f>
        <v>76</v>
      </c>
      <c r="I1583" s="1">
        <f>IFERROR(__xludf.DUMMYFUNCTION("""COMPUTED_VALUE"""),22.0)</f>
        <v>22</v>
      </c>
      <c r="J1583" s="1">
        <f>IFERROR(__xludf.DUMMYFUNCTION("""COMPUTED_VALUE"""),310.0)</f>
        <v>310</v>
      </c>
      <c r="K1583" s="1">
        <f>IFERROR(__xludf.DUMMYFUNCTION("""COMPUTED_VALUE"""),62.0)</f>
        <v>62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>
        <f>IFERROR(__xludf.DUMMYFUNCTION("""COMPUTED_VALUE"""),69.0)</f>
        <v>69</v>
      </c>
      <c r="E1584" s="1">
        <f>IFERROR(__xludf.DUMMYFUNCTION("""COMPUTED_VALUE"""),22.0)</f>
        <v>22</v>
      </c>
      <c r="F1584" s="1">
        <f>IFERROR(__xludf.DUMMYFUNCTION("""COMPUTED_VALUE"""),84.0)</f>
        <v>84</v>
      </c>
      <c r="G1584" s="1">
        <f>IFERROR(__xludf.DUMMYFUNCTION("""COMPUTED_VALUE"""),94.0)</f>
        <v>94</v>
      </c>
      <c r="H1584" s="1">
        <f>IFERROR(__xludf.DUMMYFUNCTION("""COMPUTED_VALUE"""),49.0)</f>
        <v>49</v>
      </c>
      <c r="I1584" s="1">
        <f>IFERROR(__xludf.DUMMYFUNCTION("""COMPUTED_VALUE"""),97.0)</f>
        <v>97</v>
      </c>
      <c r="J1584" s="1">
        <f>IFERROR(__xludf.DUMMYFUNCTION("""COMPUTED_VALUE"""),346.0)</f>
        <v>346</v>
      </c>
      <c r="K1584" s="1">
        <f>IFERROR(__xludf.DUMMYFUNCTION("""COMPUTED_VALUE"""),69.19999999999999)</f>
        <v>69.2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>
        <f>IFERROR(__xludf.DUMMYFUNCTION("""COMPUTED_VALUE"""),16.0)</f>
        <v>16</v>
      </c>
      <c r="E1585" s="1">
        <f>IFERROR(__xludf.DUMMYFUNCTION("""COMPUTED_VALUE"""),53.0)</f>
        <v>53</v>
      </c>
      <c r="F1585" s="1">
        <f>IFERROR(__xludf.DUMMYFUNCTION("""COMPUTED_VALUE"""),58.0)</f>
        <v>58</v>
      </c>
      <c r="G1585" s="1">
        <f>IFERROR(__xludf.DUMMYFUNCTION("""COMPUTED_VALUE"""),84.0)</f>
        <v>84</v>
      </c>
      <c r="H1585" s="1">
        <f>IFERROR(__xludf.DUMMYFUNCTION("""COMPUTED_VALUE"""),73.0)</f>
        <v>73</v>
      </c>
      <c r="I1585" s="1">
        <f>IFERROR(__xludf.DUMMYFUNCTION("""COMPUTED_VALUE"""),33.0)</f>
        <v>33</v>
      </c>
      <c r="J1585" s="1">
        <f>IFERROR(__xludf.DUMMYFUNCTION("""COMPUTED_VALUE"""),301.0)</f>
        <v>301</v>
      </c>
      <c r="K1585" s="1">
        <f>IFERROR(__xludf.DUMMYFUNCTION("""COMPUTED_VALUE"""),60.199999999999996)</f>
        <v>60.2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>
        <f>IFERROR(__xludf.DUMMYFUNCTION("""COMPUTED_VALUE"""),94.0)</f>
        <v>94</v>
      </c>
      <c r="E1586" s="1">
        <f>IFERROR(__xludf.DUMMYFUNCTION("""COMPUTED_VALUE"""),48.0)</f>
        <v>48</v>
      </c>
      <c r="F1586" s="1">
        <f>IFERROR(__xludf.DUMMYFUNCTION("""COMPUTED_VALUE"""),87.0)</f>
        <v>87</v>
      </c>
      <c r="G1586" s="1">
        <f>IFERROR(__xludf.DUMMYFUNCTION("""COMPUTED_VALUE"""),57.0)</f>
        <v>57</v>
      </c>
      <c r="H1586" s="1">
        <f>IFERROR(__xludf.DUMMYFUNCTION("""COMPUTED_VALUE"""),26.0)</f>
        <v>26</v>
      </c>
      <c r="I1586" s="1">
        <f>IFERROR(__xludf.DUMMYFUNCTION("""COMPUTED_VALUE"""),60.0)</f>
        <v>60</v>
      </c>
      <c r="J1586" s="1">
        <f>IFERROR(__xludf.DUMMYFUNCTION("""COMPUTED_VALUE"""),278.0)</f>
        <v>278</v>
      </c>
      <c r="K1586" s="1">
        <f>IFERROR(__xludf.DUMMYFUNCTION("""COMPUTED_VALUE"""),55.60000000000001)</f>
        <v>55.6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>
        <f>IFERROR(__xludf.DUMMYFUNCTION("""COMPUTED_VALUE"""),85.0)</f>
        <v>85</v>
      </c>
      <c r="E1587" s="1">
        <f>IFERROR(__xludf.DUMMYFUNCTION("""COMPUTED_VALUE"""),74.0)</f>
        <v>74</v>
      </c>
      <c r="F1587" s="1">
        <f>IFERROR(__xludf.DUMMYFUNCTION("""COMPUTED_VALUE"""),30.0)</f>
        <v>30</v>
      </c>
      <c r="G1587" s="1">
        <f>IFERROR(__xludf.DUMMYFUNCTION("""COMPUTED_VALUE"""),76.0)</f>
        <v>76</v>
      </c>
      <c r="H1587" s="1">
        <f>IFERROR(__xludf.DUMMYFUNCTION("""COMPUTED_VALUE"""),78.0)</f>
        <v>78</v>
      </c>
      <c r="I1587" s="1">
        <f>IFERROR(__xludf.DUMMYFUNCTION("""COMPUTED_VALUE"""),92.0)</f>
        <v>92</v>
      </c>
      <c r="J1587" s="1">
        <f>IFERROR(__xludf.DUMMYFUNCTION("""COMPUTED_VALUE"""),350.0)</f>
        <v>350</v>
      </c>
      <c r="K1587" s="1">
        <f>IFERROR(__xludf.DUMMYFUNCTION("""COMPUTED_VALUE"""),70.0)</f>
        <v>70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>
        <f>IFERROR(__xludf.DUMMYFUNCTION("""COMPUTED_VALUE"""),79.0)</f>
        <v>79</v>
      </c>
      <c r="E1588" s="1">
        <f>IFERROR(__xludf.DUMMYFUNCTION("""COMPUTED_VALUE"""),64.0)</f>
        <v>64</v>
      </c>
      <c r="F1588" s="1">
        <f>IFERROR(__xludf.DUMMYFUNCTION("""COMPUTED_VALUE"""),26.0)</f>
        <v>26</v>
      </c>
      <c r="G1588" s="1">
        <f>IFERROR(__xludf.DUMMYFUNCTION("""COMPUTED_VALUE"""),28.0)</f>
        <v>28</v>
      </c>
      <c r="H1588" s="1">
        <f>IFERROR(__xludf.DUMMYFUNCTION("""COMPUTED_VALUE"""),89.0)</f>
        <v>89</v>
      </c>
      <c r="I1588" s="1">
        <f>IFERROR(__xludf.DUMMYFUNCTION("""COMPUTED_VALUE"""),66.0)</f>
        <v>66</v>
      </c>
      <c r="J1588" s="1">
        <f>IFERROR(__xludf.DUMMYFUNCTION("""COMPUTED_VALUE"""),273.0)</f>
        <v>273</v>
      </c>
      <c r="K1588" s="1">
        <f>IFERROR(__xludf.DUMMYFUNCTION("""COMPUTED_VALUE"""),54.6)</f>
        <v>54.6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>
        <f>IFERROR(__xludf.DUMMYFUNCTION("""COMPUTED_VALUE"""),80.0)</f>
        <v>80</v>
      </c>
      <c r="E1589" s="1">
        <f>IFERROR(__xludf.DUMMYFUNCTION("""COMPUTED_VALUE"""),33.0)</f>
        <v>33</v>
      </c>
      <c r="F1589" s="1">
        <f>IFERROR(__xludf.DUMMYFUNCTION("""COMPUTED_VALUE"""),93.0)</f>
        <v>93</v>
      </c>
      <c r="G1589" s="1">
        <f>IFERROR(__xludf.DUMMYFUNCTION("""COMPUTED_VALUE"""),37.0)</f>
        <v>37</v>
      </c>
      <c r="H1589" s="1">
        <f>IFERROR(__xludf.DUMMYFUNCTION("""COMPUTED_VALUE"""),85.0)</f>
        <v>85</v>
      </c>
      <c r="I1589" s="1">
        <f>IFERROR(__xludf.DUMMYFUNCTION("""COMPUTED_VALUE"""),38.0)</f>
        <v>38</v>
      </c>
      <c r="J1589" s="1">
        <f>IFERROR(__xludf.DUMMYFUNCTION("""COMPUTED_VALUE"""),286.0)</f>
        <v>286</v>
      </c>
      <c r="K1589" s="1">
        <f>IFERROR(__xludf.DUMMYFUNCTION("""COMPUTED_VALUE"""),57.199999999999996)</f>
        <v>57.2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>
        <f>IFERROR(__xludf.DUMMYFUNCTION("""COMPUTED_VALUE"""),85.0)</f>
        <v>85</v>
      </c>
      <c r="E1590" s="1">
        <f>IFERROR(__xludf.DUMMYFUNCTION("""COMPUTED_VALUE"""),33.0)</f>
        <v>33</v>
      </c>
      <c r="F1590" s="1">
        <f>IFERROR(__xludf.DUMMYFUNCTION("""COMPUTED_VALUE"""),62.0)</f>
        <v>62</v>
      </c>
      <c r="G1590" s="1">
        <f>IFERROR(__xludf.DUMMYFUNCTION("""COMPUTED_VALUE"""),37.0)</f>
        <v>37</v>
      </c>
      <c r="H1590" s="1">
        <f>IFERROR(__xludf.DUMMYFUNCTION("""COMPUTED_VALUE"""),38.0)</f>
        <v>38</v>
      </c>
      <c r="I1590" s="1">
        <f>IFERROR(__xludf.DUMMYFUNCTION("""COMPUTED_VALUE"""),56.0)</f>
        <v>56</v>
      </c>
      <c r="J1590" s="1">
        <f>IFERROR(__xludf.DUMMYFUNCTION("""COMPUTED_VALUE"""),226.0)</f>
        <v>226</v>
      </c>
      <c r="K1590" s="1">
        <f>IFERROR(__xludf.DUMMYFUNCTION("""COMPUTED_VALUE"""),45.2)</f>
        <v>45.2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>
        <f>IFERROR(__xludf.DUMMYFUNCTION("""COMPUTED_VALUE"""),52.0)</f>
        <v>52</v>
      </c>
      <c r="E1591" s="1">
        <f>IFERROR(__xludf.DUMMYFUNCTION("""COMPUTED_VALUE"""),20.0)</f>
        <v>20</v>
      </c>
      <c r="F1591" s="1">
        <f>IFERROR(__xludf.DUMMYFUNCTION("""COMPUTED_VALUE"""),28.0)</f>
        <v>28</v>
      </c>
      <c r="G1591" s="1">
        <f>IFERROR(__xludf.DUMMYFUNCTION("""COMPUTED_VALUE"""),24.0)</f>
        <v>24</v>
      </c>
      <c r="H1591" s="1">
        <f>IFERROR(__xludf.DUMMYFUNCTION("""COMPUTED_VALUE"""),33.0)</f>
        <v>33</v>
      </c>
      <c r="I1591" s="1">
        <f>IFERROR(__xludf.DUMMYFUNCTION("""COMPUTED_VALUE"""),73.0)</f>
        <v>73</v>
      </c>
      <c r="J1591" s="1">
        <f>IFERROR(__xludf.DUMMYFUNCTION("""COMPUTED_VALUE"""),178.0)</f>
        <v>178</v>
      </c>
      <c r="K1591" s="1">
        <f>IFERROR(__xludf.DUMMYFUNCTION("""COMPUTED_VALUE"""),35.6)</f>
        <v>35.6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>
        <f>IFERROR(__xludf.DUMMYFUNCTION("""COMPUTED_VALUE"""),87.0)</f>
        <v>87</v>
      </c>
      <c r="E1592" s="1">
        <f>IFERROR(__xludf.DUMMYFUNCTION("""COMPUTED_VALUE"""),69.0)</f>
        <v>69</v>
      </c>
      <c r="F1592" s="1">
        <f>IFERROR(__xludf.DUMMYFUNCTION("""COMPUTED_VALUE"""),78.0)</f>
        <v>78</v>
      </c>
      <c r="G1592" s="1">
        <f>IFERROR(__xludf.DUMMYFUNCTION("""COMPUTED_VALUE"""),25.0)</f>
        <v>25</v>
      </c>
      <c r="H1592" s="1">
        <f>IFERROR(__xludf.DUMMYFUNCTION("""COMPUTED_VALUE"""),44.0)</f>
        <v>44</v>
      </c>
      <c r="I1592" s="1">
        <f>IFERROR(__xludf.DUMMYFUNCTION("""COMPUTED_VALUE"""),79.0)</f>
        <v>79</v>
      </c>
      <c r="J1592" s="1">
        <f>IFERROR(__xludf.DUMMYFUNCTION("""COMPUTED_VALUE"""),295.0)</f>
        <v>295</v>
      </c>
      <c r="K1592" s="1">
        <f>IFERROR(__xludf.DUMMYFUNCTION("""COMPUTED_VALUE"""),59.0)</f>
        <v>59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>
        <f>IFERROR(__xludf.DUMMYFUNCTION("""COMPUTED_VALUE"""),68.0)</f>
        <v>68</v>
      </c>
      <c r="E1593" s="1">
        <f>IFERROR(__xludf.DUMMYFUNCTION("""COMPUTED_VALUE"""),73.0)</f>
        <v>73</v>
      </c>
      <c r="F1593" s="1">
        <f>IFERROR(__xludf.DUMMYFUNCTION("""COMPUTED_VALUE"""),72.0)</f>
        <v>72</v>
      </c>
      <c r="G1593" s="1">
        <f>IFERROR(__xludf.DUMMYFUNCTION("""COMPUTED_VALUE"""),52.0)</f>
        <v>52</v>
      </c>
      <c r="H1593" s="1">
        <f>IFERROR(__xludf.DUMMYFUNCTION("""COMPUTED_VALUE"""),73.0)</f>
        <v>73</v>
      </c>
      <c r="I1593" s="1">
        <f>IFERROR(__xludf.DUMMYFUNCTION("""COMPUTED_VALUE"""),73.0)</f>
        <v>73</v>
      </c>
      <c r="J1593" s="1">
        <f>IFERROR(__xludf.DUMMYFUNCTION("""COMPUTED_VALUE"""),343.0)</f>
        <v>343</v>
      </c>
      <c r="K1593" s="1">
        <f>IFERROR(__xludf.DUMMYFUNCTION("""COMPUTED_VALUE"""),68.60000000000001)</f>
        <v>68.6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>
        <f>IFERROR(__xludf.DUMMYFUNCTION("""COMPUTED_VALUE"""),72.0)</f>
        <v>72</v>
      </c>
      <c r="E1594" s="1">
        <f>IFERROR(__xludf.DUMMYFUNCTION("""COMPUTED_VALUE"""),85.0)</f>
        <v>85</v>
      </c>
      <c r="F1594" s="1">
        <f>IFERROR(__xludf.DUMMYFUNCTION("""COMPUTED_VALUE"""),75.0)</f>
        <v>75</v>
      </c>
      <c r="G1594" s="1">
        <f>IFERROR(__xludf.DUMMYFUNCTION("""COMPUTED_VALUE"""),87.0)</f>
        <v>87</v>
      </c>
      <c r="H1594" s="1">
        <f>IFERROR(__xludf.DUMMYFUNCTION("""COMPUTED_VALUE"""),78.0)</f>
        <v>78</v>
      </c>
      <c r="I1594" s="1">
        <f>IFERROR(__xludf.DUMMYFUNCTION("""COMPUTED_VALUE"""),43.0)</f>
        <v>43</v>
      </c>
      <c r="J1594" s="1">
        <f>IFERROR(__xludf.DUMMYFUNCTION("""COMPUTED_VALUE"""),368.0)</f>
        <v>368</v>
      </c>
      <c r="K1594" s="1">
        <f>IFERROR(__xludf.DUMMYFUNCTION("""COMPUTED_VALUE"""),73.6)</f>
        <v>73.6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>
        <f>IFERROR(__xludf.DUMMYFUNCTION("""COMPUTED_VALUE"""),51.0)</f>
        <v>51</v>
      </c>
      <c r="E1595" s="1">
        <f>IFERROR(__xludf.DUMMYFUNCTION("""COMPUTED_VALUE"""),28.0)</f>
        <v>28</v>
      </c>
      <c r="F1595" s="1">
        <f>IFERROR(__xludf.DUMMYFUNCTION("""COMPUTED_VALUE"""),22.0)</f>
        <v>22</v>
      </c>
      <c r="G1595" s="1">
        <f>IFERROR(__xludf.DUMMYFUNCTION("""COMPUTED_VALUE"""),40.0)</f>
        <v>40</v>
      </c>
      <c r="H1595" s="1">
        <f>IFERROR(__xludf.DUMMYFUNCTION("""COMPUTED_VALUE"""),51.0)</f>
        <v>51</v>
      </c>
      <c r="I1595" s="1">
        <f>IFERROR(__xludf.DUMMYFUNCTION("""COMPUTED_VALUE"""),91.0)</f>
        <v>91</v>
      </c>
      <c r="J1595" s="1">
        <f>IFERROR(__xludf.DUMMYFUNCTION("""COMPUTED_VALUE"""),232.0)</f>
        <v>232</v>
      </c>
      <c r="K1595" s="1">
        <f>IFERROR(__xludf.DUMMYFUNCTION("""COMPUTED_VALUE"""),46.400000000000006)</f>
        <v>46.4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>
        <f>IFERROR(__xludf.DUMMYFUNCTION("""COMPUTED_VALUE"""),11.0)</f>
        <v>11</v>
      </c>
      <c r="E1596" s="1">
        <f>IFERROR(__xludf.DUMMYFUNCTION("""COMPUTED_VALUE"""),27.0)</f>
        <v>27</v>
      </c>
      <c r="F1596" s="1">
        <f>IFERROR(__xludf.DUMMYFUNCTION("""COMPUTED_VALUE"""),76.0)</f>
        <v>76</v>
      </c>
      <c r="G1596" s="1">
        <f>IFERROR(__xludf.DUMMYFUNCTION("""COMPUTED_VALUE"""),80.0)</f>
        <v>80</v>
      </c>
      <c r="H1596" s="1">
        <f>IFERROR(__xludf.DUMMYFUNCTION("""COMPUTED_VALUE"""),74.0)</f>
        <v>74</v>
      </c>
      <c r="I1596" s="1">
        <f>IFERROR(__xludf.DUMMYFUNCTION("""COMPUTED_VALUE"""),97.0)</f>
        <v>97</v>
      </c>
      <c r="J1596" s="1">
        <f>IFERROR(__xludf.DUMMYFUNCTION("""COMPUTED_VALUE"""),354.0)</f>
        <v>354</v>
      </c>
      <c r="K1596" s="1">
        <f>IFERROR(__xludf.DUMMYFUNCTION("""COMPUTED_VALUE"""),70.8)</f>
        <v>70.8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>
        <f>IFERROR(__xludf.DUMMYFUNCTION("""COMPUTED_VALUE"""),99.0)</f>
        <v>99</v>
      </c>
      <c r="E1597" s="1">
        <f>IFERROR(__xludf.DUMMYFUNCTION("""COMPUTED_VALUE"""),84.0)</f>
        <v>84</v>
      </c>
      <c r="F1597" s="1">
        <f>IFERROR(__xludf.DUMMYFUNCTION("""COMPUTED_VALUE"""),45.0)</f>
        <v>45</v>
      </c>
      <c r="G1597" s="1">
        <f>IFERROR(__xludf.DUMMYFUNCTION("""COMPUTED_VALUE"""),51.0)</f>
        <v>51</v>
      </c>
      <c r="H1597" s="1">
        <f>IFERROR(__xludf.DUMMYFUNCTION("""COMPUTED_VALUE"""),86.0)</f>
        <v>86</v>
      </c>
      <c r="I1597" s="1">
        <f>IFERROR(__xludf.DUMMYFUNCTION("""COMPUTED_VALUE"""),68.0)</f>
        <v>68</v>
      </c>
      <c r="J1597" s="1">
        <f>IFERROR(__xludf.DUMMYFUNCTION("""COMPUTED_VALUE"""),334.0)</f>
        <v>334</v>
      </c>
      <c r="K1597" s="1">
        <f>IFERROR(__xludf.DUMMYFUNCTION("""COMPUTED_VALUE"""),66.8)</f>
        <v>66.8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>
        <f>IFERROR(__xludf.DUMMYFUNCTION("""COMPUTED_VALUE"""),90.0)</f>
        <v>90</v>
      </c>
      <c r="E1598" s="1">
        <f>IFERROR(__xludf.DUMMYFUNCTION("""COMPUTED_VALUE"""),46.0)</f>
        <v>46</v>
      </c>
      <c r="F1598" s="1">
        <f>IFERROR(__xludf.DUMMYFUNCTION("""COMPUTED_VALUE"""),65.0)</f>
        <v>65</v>
      </c>
      <c r="G1598" s="1">
        <f>IFERROR(__xludf.DUMMYFUNCTION("""COMPUTED_VALUE"""),28.0)</f>
        <v>28</v>
      </c>
      <c r="H1598" s="1">
        <f>IFERROR(__xludf.DUMMYFUNCTION("""COMPUTED_VALUE"""),80.0)</f>
        <v>80</v>
      </c>
      <c r="I1598" s="1">
        <f>IFERROR(__xludf.DUMMYFUNCTION("""COMPUTED_VALUE"""),75.0)</f>
        <v>75</v>
      </c>
      <c r="J1598" s="1">
        <f>IFERROR(__xludf.DUMMYFUNCTION("""COMPUTED_VALUE"""),294.0)</f>
        <v>294</v>
      </c>
      <c r="K1598" s="1">
        <f>IFERROR(__xludf.DUMMYFUNCTION("""COMPUTED_VALUE"""),58.8)</f>
        <v>58.8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>
        <f>IFERROR(__xludf.DUMMYFUNCTION("""COMPUTED_VALUE"""),87.0)</f>
        <v>87</v>
      </c>
      <c r="E1599" s="1">
        <f>IFERROR(__xludf.DUMMYFUNCTION("""COMPUTED_VALUE"""),52.0)</f>
        <v>52</v>
      </c>
      <c r="F1599" s="1">
        <f>IFERROR(__xludf.DUMMYFUNCTION("""COMPUTED_VALUE"""),53.0)</f>
        <v>53</v>
      </c>
      <c r="G1599" s="1">
        <f>IFERROR(__xludf.DUMMYFUNCTION("""COMPUTED_VALUE"""),73.0)</f>
        <v>73</v>
      </c>
      <c r="H1599" s="1">
        <f>IFERROR(__xludf.DUMMYFUNCTION("""COMPUTED_VALUE"""),43.0)</f>
        <v>43</v>
      </c>
      <c r="I1599" s="1">
        <f>IFERROR(__xludf.DUMMYFUNCTION("""COMPUTED_VALUE"""),29.0)</f>
        <v>29</v>
      </c>
      <c r="J1599" s="1">
        <f>IFERROR(__xludf.DUMMYFUNCTION("""COMPUTED_VALUE"""),250.0)</f>
        <v>250</v>
      </c>
      <c r="K1599" s="1">
        <f>IFERROR(__xludf.DUMMYFUNCTION("""COMPUTED_VALUE"""),50.0)</f>
        <v>50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>
        <f>IFERROR(__xludf.DUMMYFUNCTION("""COMPUTED_VALUE"""),95.0)</f>
        <v>95</v>
      </c>
      <c r="E1600" s="1">
        <f>IFERROR(__xludf.DUMMYFUNCTION("""COMPUTED_VALUE"""),36.0)</f>
        <v>36</v>
      </c>
      <c r="F1600" s="1">
        <f>IFERROR(__xludf.DUMMYFUNCTION("""COMPUTED_VALUE"""),44.0)</f>
        <v>44</v>
      </c>
      <c r="G1600" s="1">
        <f>IFERROR(__xludf.DUMMYFUNCTION("""COMPUTED_VALUE"""),56.0)</f>
        <v>56</v>
      </c>
      <c r="H1600" s="1">
        <f>IFERROR(__xludf.DUMMYFUNCTION("""COMPUTED_VALUE"""),96.0)</f>
        <v>96</v>
      </c>
      <c r="I1600" s="1">
        <f>IFERROR(__xludf.DUMMYFUNCTION("""COMPUTED_VALUE"""),49.0)</f>
        <v>49</v>
      </c>
      <c r="J1600" s="1">
        <f>IFERROR(__xludf.DUMMYFUNCTION("""COMPUTED_VALUE"""),281.0)</f>
        <v>281</v>
      </c>
      <c r="K1600" s="1">
        <f>IFERROR(__xludf.DUMMYFUNCTION("""COMPUTED_VALUE"""),56.2)</f>
        <v>56.2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>
        <f>IFERROR(__xludf.DUMMYFUNCTION("""COMPUTED_VALUE"""),11.0)</f>
        <v>11</v>
      </c>
      <c r="E1601" s="1">
        <f>IFERROR(__xludf.DUMMYFUNCTION("""COMPUTED_VALUE"""),30.0)</f>
        <v>30</v>
      </c>
      <c r="F1601" s="1">
        <f>IFERROR(__xludf.DUMMYFUNCTION("""COMPUTED_VALUE"""),85.0)</f>
        <v>85</v>
      </c>
      <c r="G1601" s="1">
        <f>IFERROR(__xludf.DUMMYFUNCTION("""COMPUTED_VALUE"""),35.0)</f>
        <v>35</v>
      </c>
      <c r="H1601" s="1">
        <f>IFERROR(__xludf.DUMMYFUNCTION("""COMPUTED_VALUE"""),91.0)</f>
        <v>91</v>
      </c>
      <c r="I1601" s="1">
        <f>IFERROR(__xludf.DUMMYFUNCTION("""COMPUTED_VALUE"""),53.0)</f>
        <v>53</v>
      </c>
      <c r="J1601" s="1">
        <f>IFERROR(__xludf.DUMMYFUNCTION("""COMPUTED_VALUE"""),294.0)</f>
        <v>294</v>
      </c>
      <c r="K1601" s="1">
        <f>IFERROR(__xludf.DUMMYFUNCTION("""COMPUTED_VALUE"""),58.8)</f>
        <v>58.8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>
        <f>IFERROR(__xludf.DUMMYFUNCTION("""COMPUTED_VALUE"""),99.0)</f>
        <v>99</v>
      </c>
      <c r="E1602" s="1">
        <f>IFERROR(__xludf.DUMMYFUNCTION("""COMPUTED_VALUE"""),44.0)</f>
        <v>44</v>
      </c>
      <c r="F1602" s="1">
        <f>IFERROR(__xludf.DUMMYFUNCTION("""COMPUTED_VALUE"""),24.0)</f>
        <v>24</v>
      </c>
      <c r="G1602" s="1">
        <f>IFERROR(__xludf.DUMMYFUNCTION("""COMPUTED_VALUE"""),90.0)</f>
        <v>90</v>
      </c>
      <c r="H1602" s="1">
        <f>IFERROR(__xludf.DUMMYFUNCTION("""COMPUTED_VALUE"""),34.0)</f>
        <v>34</v>
      </c>
      <c r="I1602" s="1">
        <f>IFERROR(__xludf.DUMMYFUNCTION("""COMPUTED_VALUE"""),49.0)</f>
        <v>49</v>
      </c>
      <c r="J1602" s="1">
        <f>IFERROR(__xludf.DUMMYFUNCTION("""COMPUTED_VALUE"""),241.0)</f>
        <v>241</v>
      </c>
      <c r="K1602" s="1">
        <f>IFERROR(__xludf.DUMMYFUNCTION("""COMPUTED_VALUE"""),48.199999999999996)</f>
        <v>48.2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>
        <f>IFERROR(__xludf.DUMMYFUNCTION("""COMPUTED_VALUE"""),12.0)</f>
        <v>12</v>
      </c>
      <c r="E1603" s="1">
        <f>IFERROR(__xludf.DUMMYFUNCTION("""COMPUTED_VALUE"""),51.0)</f>
        <v>51</v>
      </c>
      <c r="F1603" s="1">
        <f>IFERROR(__xludf.DUMMYFUNCTION("""COMPUTED_VALUE"""),39.0)</f>
        <v>39</v>
      </c>
      <c r="G1603" s="1">
        <f>IFERROR(__xludf.DUMMYFUNCTION("""COMPUTED_VALUE"""),76.0)</f>
        <v>76</v>
      </c>
      <c r="H1603" s="1">
        <f>IFERROR(__xludf.DUMMYFUNCTION("""COMPUTED_VALUE"""),45.0)</f>
        <v>45</v>
      </c>
      <c r="I1603" s="1">
        <f>IFERROR(__xludf.DUMMYFUNCTION("""COMPUTED_VALUE"""),78.0)</f>
        <v>78</v>
      </c>
      <c r="J1603" s="1">
        <f>IFERROR(__xludf.DUMMYFUNCTION("""COMPUTED_VALUE"""),289.0)</f>
        <v>289</v>
      </c>
      <c r="K1603" s="1">
        <f>IFERROR(__xludf.DUMMYFUNCTION("""COMPUTED_VALUE"""),57.8)</f>
        <v>57.8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>
        <f>IFERROR(__xludf.DUMMYFUNCTION("""COMPUTED_VALUE"""),64.0)</f>
        <v>64</v>
      </c>
      <c r="E1604" s="1">
        <f>IFERROR(__xludf.DUMMYFUNCTION("""COMPUTED_VALUE"""),68.0)</f>
        <v>68</v>
      </c>
      <c r="F1604" s="1">
        <f>IFERROR(__xludf.DUMMYFUNCTION("""COMPUTED_VALUE"""),38.0)</f>
        <v>38</v>
      </c>
      <c r="G1604" s="1">
        <f>IFERROR(__xludf.DUMMYFUNCTION("""COMPUTED_VALUE"""),90.0)</f>
        <v>90</v>
      </c>
      <c r="H1604" s="1">
        <f>IFERROR(__xludf.DUMMYFUNCTION("""COMPUTED_VALUE"""),99.0)</f>
        <v>99</v>
      </c>
      <c r="I1604" s="1">
        <f>IFERROR(__xludf.DUMMYFUNCTION("""COMPUTED_VALUE"""),43.0)</f>
        <v>43</v>
      </c>
      <c r="J1604" s="1">
        <f>IFERROR(__xludf.DUMMYFUNCTION("""COMPUTED_VALUE"""),338.0)</f>
        <v>338</v>
      </c>
      <c r="K1604" s="1">
        <f>IFERROR(__xludf.DUMMYFUNCTION("""COMPUTED_VALUE"""),67.60000000000001)</f>
        <v>67.6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>
        <f>IFERROR(__xludf.DUMMYFUNCTION("""COMPUTED_VALUE"""),35.0)</f>
        <v>35</v>
      </c>
      <c r="E1605" s="1">
        <f>IFERROR(__xludf.DUMMYFUNCTION("""COMPUTED_VALUE"""),32.0)</f>
        <v>32</v>
      </c>
      <c r="F1605" s="1">
        <f>IFERROR(__xludf.DUMMYFUNCTION("""COMPUTED_VALUE"""),70.0)</f>
        <v>70</v>
      </c>
      <c r="G1605" s="1">
        <f>IFERROR(__xludf.DUMMYFUNCTION("""COMPUTED_VALUE"""),46.0)</f>
        <v>46</v>
      </c>
      <c r="H1605" s="1">
        <f>IFERROR(__xludf.DUMMYFUNCTION("""COMPUTED_VALUE"""),96.0)</f>
        <v>96</v>
      </c>
      <c r="I1605" s="1">
        <f>IFERROR(__xludf.DUMMYFUNCTION("""COMPUTED_VALUE"""),81.0)</f>
        <v>81</v>
      </c>
      <c r="J1605" s="1">
        <f>IFERROR(__xludf.DUMMYFUNCTION("""COMPUTED_VALUE"""),325.0)</f>
        <v>325</v>
      </c>
      <c r="K1605" s="1">
        <f>IFERROR(__xludf.DUMMYFUNCTION("""COMPUTED_VALUE"""),65.0)</f>
        <v>65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>
        <f>IFERROR(__xludf.DUMMYFUNCTION("""COMPUTED_VALUE"""),58.0)</f>
        <v>58</v>
      </c>
      <c r="E1606" s="1">
        <f>IFERROR(__xludf.DUMMYFUNCTION("""COMPUTED_VALUE"""),25.0)</f>
        <v>25</v>
      </c>
      <c r="F1606" s="1">
        <f>IFERROR(__xludf.DUMMYFUNCTION("""COMPUTED_VALUE"""),50.0)</f>
        <v>50</v>
      </c>
      <c r="G1606" s="1">
        <f>IFERROR(__xludf.DUMMYFUNCTION("""COMPUTED_VALUE"""),87.0)</f>
        <v>87</v>
      </c>
      <c r="H1606" s="1">
        <f>IFERROR(__xludf.DUMMYFUNCTION("""COMPUTED_VALUE"""),78.0)</f>
        <v>78</v>
      </c>
      <c r="I1606" s="1">
        <f>IFERROR(__xludf.DUMMYFUNCTION("""COMPUTED_VALUE"""),23.0)</f>
        <v>23</v>
      </c>
      <c r="J1606" s="1">
        <f>IFERROR(__xludf.DUMMYFUNCTION("""COMPUTED_VALUE"""),263.0)</f>
        <v>263</v>
      </c>
      <c r="K1606" s="1">
        <f>IFERROR(__xludf.DUMMYFUNCTION("""COMPUTED_VALUE"""),52.6)</f>
        <v>52.6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>
        <f>IFERROR(__xludf.DUMMYFUNCTION("""COMPUTED_VALUE"""),21.0)</f>
        <v>21</v>
      </c>
      <c r="E1607" s="1">
        <f>IFERROR(__xludf.DUMMYFUNCTION("""COMPUTED_VALUE"""),77.0)</f>
        <v>77</v>
      </c>
      <c r="F1607" s="1">
        <f>IFERROR(__xludf.DUMMYFUNCTION("""COMPUTED_VALUE"""),83.0)</f>
        <v>83</v>
      </c>
      <c r="G1607" s="1">
        <f>IFERROR(__xludf.DUMMYFUNCTION("""COMPUTED_VALUE"""),20.0)</f>
        <v>20</v>
      </c>
      <c r="H1607" s="1">
        <f>IFERROR(__xludf.DUMMYFUNCTION("""COMPUTED_VALUE"""),91.0)</f>
        <v>91</v>
      </c>
      <c r="I1607" s="1">
        <f>IFERROR(__xludf.DUMMYFUNCTION("""COMPUTED_VALUE"""),41.0)</f>
        <v>41</v>
      </c>
      <c r="J1607" s="1">
        <f>IFERROR(__xludf.DUMMYFUNCTION("""COMPUTED_VALUE"""),312.0)</f>
        <v>312</v>
      </c>
      <c r="K1607" s="1">
        <f>IFERROR(__xludf.DUMMYFUNCTION("""COMPUTED_VALUE"""),62.4)</f>
        <v>62.4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>
        <f>IFERROR(__xludf.DUMMYFUNCTION("""COMPUTED_VALUE"""),36.0)</f>
        <v>36</v>
      </c>
      <c r="E1608" s="1">
        <f>IFERROR(__xludf.DUMMYFUNCTION("""COMPUTED_VALUE"""),26.0)</f>
        <v>26</v>
      </c>
      <c r="F1608" s="1">
        <f>IFERROR(__xludf.DUMMYFUNCTION("""COMPUTED_VALUE"""),70.0)</f>
        <v>70</v>
      </c>
      <c r="G1608" s="1">
        <f>IFERROR(__xludf.DUMMYFUNCTION("""COMPUTED_VALUE"""),57.0)</f>
        <v>57</v>
      </c>
      <c r="H1608" s="1">
        <f>IFERROR(__xludf.DUMMYFUNCTION("""COMPUTED_VALUE"""),57.0)</f>
        <v>57</v>
      </c>
      <c r="I1608" s="1">
        <f>IFERROR(__xludf.DUMMYFUNCTION("""COMPUTED_VALUE"""),22.0)</f>
        <v>22</v>
      </c>
      <c r="J1608" s="1">
        <f>IFERROR(__xludf.DUMMYFUNCTION("""COMPUTED_VALUE"""),232.0)</f>
        <v>232</v>
      </c>
      <c r="K1608" s="1">
        <f>IFERROR(__xludf.DUMMYFUNCTION("""COMPUTED_VALUE"""),46.400000000000006)</f>
        <v>46.4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>
        <f>IFERROR(__xludf.DUMMYFUNCTION("""COMPUTED_VALUE"""),92.0)</f>
        <v>92</v>
      </c>
      <c r="E1609" s="1">
        <f>IFERROR(__xludf.DUMMYFUNCTION("""COMPUTED_VALUE"""),69.0)</f>
        <v>69</v>
      </c>
      <c r="F1609" s="1">
        <f>IFERROR(__xludf.DUMMYFUNCTION("""COMPUTED_VALUE"""),51.0)</f>
        <v>51</v>
      </c>
      <c r="G1609" s="1">
        <f>IFERROR(__xludf.DUMMYFUNCTION("""COMPUTED_VALUE"""),36.0)</f>
        <v>36</v>
      </c>
      <c r="H1609" s="1">
        <f>IFERROR(__xludf.DUMMYFUNCTION("""COMPUTED_VALUE"""),73.0)</f>
        <v>73</v>
      </c>
      <c r="I1609" s="1">
        <f>IFERROR(__xludf.DUMMYFUNCTION("""COMPUTED_VALUE"""),30.0)</f>
        <v>30</v>
      </c>
      <c r="J1609" s="1">
        <f>IFERROR(__xludf.DUMMYFUNCTION("""COMPUTED_VALUE"""),259.0)</f>
        <v>259</v>
      </c>
      <c r="K1609" s="1">
        <f>IFERROR(__xludf.DUMMYFUNCTION("""COMPUTED_VALUE"""),51.800000000000004)</f>
        <v>51.8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>
        <f>IFERROR(__xludf.DUMMYFUNCTION("""COMPUTED_VALUE"""),26.0)</f>
        <v>26</v>
      </c>
      <c r="E1610" s="1">
        <f>IFERROR(__xludf.DUMMYFUNCTION("""COMPUTED_VALUE"""),31.0)</f>
        <v>31</v>
      </c>
      <c r="F1610" s="1">
        <f>IFERROR(__xludf.DUMMYFUNCTION("""COMPUTED_VALUE"""),40.0)</f>
        <v>40</v>
      </c>
      <c r="G1610" s="1">
        <f>IFERROR(__xludf.DUMMYFUNCTION("""COMPUTED_VALUE"""),70.0)</f>
        <v>70</v>
      </c>
      <c r="H1610" s="1">
        <f>IFERROR(__xludf.DUMMYFUNCTION("""COMPUTED_VALUE"""),40.0)</f>
        <v>40</v>
      </c>
      <c r="I1610" s="1">
        <f>IFERROR(__xludf.DUMMYFUNCTION("""COMPUTED_VALUE"""),95.0)</f>
        <v>95</v>
      </c>
      <c r="J1610" s="1">
        <f>IFERROR(__xludf.DUMMYFUNCTION("""COMPUTED_VALUE"""),276.0)</f>
        <v>276</v>
      </c>
      <c r="K1610" s="1">
        <f>IFERROR(__xludf.DUMMYFUNCTION("""COMPUTED_VALUE"""),55.2)</f>
        <v>55.2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>
        <f>IFERROR(__xludf.DUMMYFUNCTION("""COMPUTED_VALUE"""),93.0)</f>
        <v>93</v>
      </c>
      <c r="E1611" s="1">
        <f>IFERROR(__xludf.DUMMYFUNCTION("""COMPUTED_VALUE"""),79.0)</f>
        <v>79</v>
      </c>
      <c r="F1611" s="1">
        <f>IFERROR(__xludf.DUMMYFUNCTION("""COMPUTED_VALUE"""),57.0)</f>
        <v>57</v>
      </c>
      <c r="G1611" s="1">
        <f>IFERROR(__xludf.DUMMYFUNCTION("""COMPUTED_VALUE"""),35.0)</f>
        <v>35</v>
      </c>
      <c r="H1611" s="1">
        <f>IFERROR(__xludf.DUMMYFUNCTION("""COMPUTED_VALUE"""),90.0)</f>
        <v>90</v>
      </c>
      <c r="I1611" s="1">
        <f>IFERROR(__xludf.DUMMYFUNCTION("""COMPUTED_VALUE"""),23.0)</f>
        <v>23</v>
      </c>
      <c r="J1611" s="1">
        <f>IFERROR(__xludf.DUMMYFUNCTION("""COMPUTED_VALUE"""),284.0)</f>
        <v>284</v>
      </c>
      <c r="K1611" s="1">
        <f>IFERROR(__xludf.DUMMYFUNCTION("""COMPUTED_VALUE"""),56.8)</f>
        <v>56.8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>
        <f>IFERROR(__xludf.DUMMYFUNCTION("""COMPUTED_VALUE"""),23.0)</f>
        <v>23</v>
      </c>
      <c r="E1612" s="1">
        <f>IFERROR(__xludf.DUMMYFUNCTION("""COMPUTED_VALUE"""),51.0)</f>
        <v>51</v>
      </c>
      <c r="F1612" s="1">
        <f>IFERROR(__xludf.DUMMYFUNCTION("""COMPUTED_VALUE"""),40.0)</f>
        <v>40</v>
      </c>
      <c r="G1612" s="1">
        <f>IFERROR(__xludf.DUMMYFUNCTION("""COMPUTED_VALUE"""),32.0)</f>
        <v>32</v>
      </c>
      <c r="H1612" s="1">
        <f>IFERROR(__xludf.DUMMYFUNCTION("""COMPUTED_VALUE"""),28.0)</f>
        <v>28</v>
      </c>
      <c r="I1612" s="1">
        <f>IFERROR(__xludf.DUMMYFUNCTION("""COMPUTED_VALUE"""),87.0)</f>
        <v>87</v>
      </c>
      <c r="J1612" s="1">
        <f>IFERROR(__xludf.DUMMYFUNCTION("""COMPUTED_VALUE"""),238.0)</f>
        <v>238</v>
      </c>
      <c r="K1612" s="1">
        <f>IFERROR(__xludf.DUMMYFUNCTION("""COMPUTED_VALUE"""),47.599999999999994)</f>
        <v>47.6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>
        <f>IFERROR(__xludf.DUMMYFUNCTION("""COMPUTED_VALUE"""),27.0)</f>
        <v>27</v>
      </c>
      <c r="E1613" s="1">
        <f>IFERROR(__xludf.DUMMYFUNCTION("""COMPUTED_VALUE"""),38.0)</f>
        <v>38</v>
      </c>
      <c r="F1613" s="1">
        <f>IFERROR(__xludf.DUMMYFUNCTION("""COMPUTED_VALUE"""),99.0)</f>
        <v>99</v>
      </c>
      <c r="G1613" s="1">
        <f>IFERROR(__xludf.DUMMYFUNCTION("""COMPUTED_VALUE"""),69.0)</f>
        <v>69</v>
      </c>
      <c r="H1613" s="1">
        <f>IFERROR(__xludf.DUMMYFUNCTION("""COMPUTED_VALUE"""),64.0)</f>
        <v>64</v>
      </c>
      <c r="I1613" s="1">
        <f>IFERROR(__xludf.DUMMYFUNCTION("""COMPUTED_VALUE"""),49.0)</f>
        <v>49</v>
      </c>
      <c r="J1613" s="1">
        <f>IFERROR(__xludf.DUMMYFUNCTION("""COMPUTED_VALUE"""),319.0)</f>
        <v>319</v>
      </c>
      <c r="K1613" s="1">
        <f>IFERROR(__xludf.DUMMYFUNCTION("""COMPUTED_VALUE"""),63.800000000000004)</f>
        <v>63.8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>
        <f>IFERROR(__xludf.DUMMYFUNCTION("""COMPUTED_VALUE"""),42.0)</f>
        <v>42</v>
      </c>
      <c r="E1614" s="1">
        <f>IFERROR(__xludf.DUMMYFUNCTION("""COMPUTED_VALUE"""),99.0)</f>
        <v>99</v>
      </c>
      <c r="F1614" s="1">
        <f>IFERROR(__xludf.DUMMYFUNCTION("""COMPUTED_VALUE"""),42.0)</f>
        <v>42</v>
      </c>
      <c r="G1614" s="1">
        <f>IFERROR(__xludf.DUMMYFUNCTION("""COMPUTED_VALUE"""),23.0)</f>
        <v>23</v>
      </c>
      <c r="H1614" s="1">
        <f>IFERROR(__xludf.DUMMYFUNCTION("""COMPUTED_VALUE"""),99.0)</f>
        <v>99</v>
      </c>
      <c r="I1614" s="1">
        <f>IFERROR(__xludf.DUMMYFUNCTION("""COMPUTED_VALUE"""),83.0)</f>
        <v>83</v>
      </c>
      <c r="J1614" s="1">
        <f>IFERROR(__xludf.DUMMYFUNCTION("""COMPUTED_VALUE"""),346.0)</f>
        <v>346</v>
      </c>
      <c r="K1614" s="1">
        <f>IFERROR(__xludf.DUMMYFUNCTION("""COMPUTED_VALUE"""),69.19999999999999)</f>
        <v>69.2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>
        <f>IFERROR(__xludf.DUMMYFUNCTION("""COMPUTED_VALUE"""),58.0)</f>
        <v>58</v>
      </c>
      <c r="E1615" s="1">
        <f>IFERROR(__xludf.DUMMYFUNCTION("""COMPUTED_VALUE"""),60.0)</f>
        <v>60</v>
      </c>
      <c r="F1615" s="1">
        <f>IFERROR(__xludf.DUMMYFUNCTION("""COMPUTED_VALUE"""),84.0)</f>
        <v>84</v>
      </c>
      <c r="G1615" s="1">
        <f>IFERROR(__xludf.DUMMYFUNCTION("""COMPUTED_VALUE"""),84.0)</f>
        <v>84</v>
      </c>
      <c r="H1615" s="1">
        <f>IFERROR(__xludf.DUMMYFUNCTION("""COMPUTED_VALUE"""),93.0)</f>
        <v>93</v>
      </c>
      <c r="I1615" s="1">
        <f>IFERROR(__xludf.DUMMYFUNCTION("""COMPUTED_VALUE"""),95.0)</f>
        <v>95</v>
      </c>
      <c r="J1615" s="1">
        <f>IFERROR(__xludf.DUMMYFUNCTION("""COMPUTED_VALUE"""),416.0)</f>
        <v>416</v>
      </c>
      <c r="K1615" s="1">
        <f>IFERROR(__xludf.DUMMYFUNCTION("""COMPUTED_VALUE"""),83.2)</f>
        <v>83.2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>
        <f>IFERROR(__xludf.DUMMYFUNCTION("""COMPUTED_VALUE"""),50.0)</f>
        <v>50</v>
      </c>
      <c r="E1616" s="1">
        <f>IFERROR(__xludf.DUMMYFUNCTION("""COMPUTED_VALUE"""),41.0)</f>
        <v>41</v>
      </c>
      <c r="F1616" s="1">
        <f>IFERROR(__xludf.DUMMYFUNCTION("""COMPUTED_VALUE"""),49.0)</f>
        <v>49</v>
      </c>
      <c r="G1616" s="1">
        <f>IFERROR(__xludf.DUMMYFUNCTION("""COMPUTED_VALUE"""),78.0)</f>
        <v>78</v>
      </c>
      <c r="H1616" s="1">
        <f>IFERROR(__xludf.DUMMYFUNCTION("""COMPUTED_VALUE"""),44.0)</f>
        <v>44</v>
      </c>
      <c r="I1616" s="1">
        <f>IFERROR(__xludf.DUMMYFUNCTION("""COMPUTED_VALUE"""),36.0)</f>
        <v>36</v>
      </c>
      <c r="J1616" s="1">
        <f>IFERROR(__xludf.DUMMYFUNCTION("""COMPUTED_VALUE"""),248.0)</f>
        <v>248</v>
      </c>
      <c r="K1616" s="1">
        <f>IFERROR(__xludf.DUMMYFUNCTION("""COMPUTED_VALUE"""),49.6)</f>
        <v>49.6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>
        <f>IFERROR(__xludf.DUMMYFUNCTION("""COMPUTED_VALUE"""),85.0)</f>
        <v>85</v>
      </c>
      <c r="E1617" s="1">
        <f>IFERROR(__xludf.DUMMYFUNCTION("""COMPUTED_VALUE"""),37.0)</f>
        <v>37</v>
      </c>
      <c r="F1617" s="1">
        <f>IFERROR(__xludf.DUMMYFUNCTION("""COMPUTED_VALUE"""),37.0)</f>
        <v>37</v>
      </c>
      <c r="G1617" s="1">
        <f>IFERROR(__xludf.DUMMYFUNCTION("""COMPUTED_VALUE"""),71.0)</f>
        <v>71</v>
      </c>
      <c r="H1617" s="1">
        <f>IFERROR(__xludf.DUMMYFUNCTION("""COMPUTED_VALUE"""),52.0)</f>
        <v>52</v>
      </c>
      <c r="I1617" s="1">
        <f>IFERROR(__xludf.DUMMYFUNCTION("""COMPUTED_VALUE"""),89.0)</f>
        <v>89</v>
      </c>
      <c r="J1617" s="1">
        <f>IFERROR(__xludf.DUMMYFUNCTION("""COMPUTED_VALUE"""),286.0)</f>
        <v>286</v>
      </c>
      <c r="K1617" s="1">
        <f>IFERROR(__xludf.DUMMYFUNCTION("""COMPUTED_VALUE"""),57.199999999999996)</f>
        <v>57.2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>
        <f>IFERROR(__xludf.DUMMYFUNCTION("""COMPUTED_VALUE"""),35.0)</f>
        <v>35</v>
      </c>
      <c r="E1618" s="1">
        <f>IFERROR(__xludf.DUMMYFUNCTION("""COMPUTED_VALUE"""),58.0)</f>
        <v>58</v>
      </c>
      <c r="F1618" s="1">
        <f>IFERROR(__xludf.DUMMYFUNCTION("""COMPUTED_VALUE"""),92.0)</f>
        <v>92</v>
      </c>
      <c r="G1618" s="1">
        <f>IFERROR(__xludf.DUMMYFUNCTION("""COMPUTED_VALUE"""),73.0)</f>
        <v>73</v>
      </c>
      <c r="H1618" s="1">
        <f>IFERROR(__xludf.DUMMYFUNCTION("""COMPUTED_VALUE"""),34.0)</f>
        <v>34</v>
      </c>
      <c r="I1618" s="1">
        <f>IFERROR(__xludf.DUMMYFUNCTION("""COMPUTED_VALUE"""),64.0)</f>
        <v>64</v>
      </c>
      <c r="J1618" s="1">
        <f>IFERROR(__xludf.DUMMYFUNCTION("""COMPUTED_VALUE"""),321.0)</f>
        <v>321</v>
      </c>
      <c r="K1618" s="1">
        <f>IFERROR(__xludf.DUMMYFUNCTION("""COMPUTED_VALUE"""),64.2)</f>
        <v>64.2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>
        <f>IFERROR(__xludf.DUMMYFUNCTION("""COMPUTED_VALUE"""),20.0)</f>
        <v>20</v>
      </c>
      <c r="E1619" s="1">
        <f>IFERROR(__xludf.DUMMYFUNCTION("""COMPUTED_VALUE"""),78.0)</f>
        <v>78</v>
      </c>
      <c r="F1619" s="1">
        <f>IFERROR(__xludf.DUMMYFUNCTION("""COMPUTED_VALUE"""),32.0)</f>
        <v>32</v>
      </c>
      <c r="G1619" s="1">
        <f>IFERROR(__xludf.DUMMYFUNCTION("""COMPUTED_VALUE"""),85.0)</f>
        <v>85</v>
      </c>
      <c r="H1619" s="1">
        <f>IFERROR(__xludf.DUMMYFUNCTION("""COMPUTED_VALUE"""),54.0)</f>
        <v>54</v>
      </c>
      <c r="I1619" s="1">
        <f>IFERROR(__xludf.DUMMYFUNCTION("""COMPUTED_VALUE"""),74.0)</f>
        <v>74</v>
      </c>
      <c r="J1619" s="1">
        <f>IFERROR(__xludf.DUMMYFUNCTION("""COMPUTED_VALUE"""),323.0)</f>
        <v>323</v>
      </c>
      <c r="K1619" s="1">
        <f>IFERROR(__xludf.DUMMYFUNCTION("""COMPUTED_VALUE"""),64.60000000000001)</f>
        <v>64.6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>
        <f>IFERROR(__xludf.DUMMYFUNCTION("""COMPUTED_VALUE"""),19.0)</f>
        <v>19</v>
      </c>
      <c r="E1620" s="1">
        <f>IFERROR(__xludf.DUMMYFUNCTION("""COMPUTED_VALUE"""),76.0)</f>
        <v>76</v>
      </c>
      <c r="F1620" s="1">
        <f>IFERROR(__xludf.DUMMYFUNCTION("""COMPUTED_VALUE"""),88.0)</f>
        <v>88</v>
      </c>
      <c r="G1620" s="1">
        <f>IFERROR(__xludf.DUMMYFUNCTION("""COMPUTED_VALUE"""),88.0)</f>
        <v>88</v>
      </c>
      <c r="H1620" s="1">
        <f>IFERROR(__xludf.DUMMYFUNCTION("""COMPUTED_VALUE"""),77.0)</f>
        <v>77</v>
      </c>
      <c r="I1620" s="1">
        <f>IFERROR(__xludf.DUMMYFUNCTION("""COMPUTED_VALUE"""),24.0)</f>
        <v>24</v>
      </c>
      <c r="J1620" s="1">
        <f>IFERROR(__xludf.DUMMYFUNCTION("""COMPUTED_VALUE"""),353.0)</f>
        <v>353</v>
      </c>
      <c r="K1620" s="1">
        <f>IFERROR(__xludf.DUMMYFUNCTION("""COMPUTED_VALUE"""),70.6)</f>
        <v>70.6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>
        <f>IFERROR(__xludf.DUMMYFUNCTION("""COMPUTED_VALUE"""),13.0)</f>
        <v>13</v>
      </c>
      <c r="E1621" s="1">
        <f>IFERROR(__xludf.DUMMYFUNCTION("""COMPUTED_VALUE"""),37.0)</f>
        <v>37</v>
      </c>
      <c r="F1621" s="1">
        <f>IFERROR(__xludf.DUMMYFUNCTION("""COMPUTED_VALUE"""),35.0)</f>
        <v>35</v>
      </c>
      <c r="G1621" s="1">
        <f>IFERROR(__xludf.DUMMYFUNCTION("""COMPUTED_VALUE"""),31.0)</f>
        <v>31</v>
      </c>
      <c r="H1621" s="1">
        <f>IFERROR(__xludf.DUMMYFUNCTION("""COMPUTED_VALUE"""),53.0)</f>
        <v>53</v>
      </c>
      <c r="I1621" s="1">
        <f>IFERROR(__xludf.DUMMYFUNCTION("""COMPUTED_VALUE"""),80.0)</f>
        <v>80</v>
      </c>
      <c r="J1621" s="1">
        <f>IFERROR(__xludf.DUMMYFUNCTION("""COMPUTED_VALUE"""),236.0)</f>
        <v>236</v>
      </c>
      <c r="K1621" s="1">
        <f>IFERROR(__xludf.DUMMYFUNCTION("""COMPUTED_VALUE"""),47.199999999999996)</f>
        <v>47.2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>
        <f>IFERROR(__xludf.DUMMYFUNCTION("""COMPUTED_VALUE"""),20.0)</f>
        <v>20</v>
      </c>
      <c r="E1622" s="1">
        <f>IFERROR(__xludf.DUMMYFUNCTION("""COMPUTED_VALUE"""),23.0)</f>
        <v>23</v>
      </c>
      <c r="F1622" s="1">
        <f>IFERROR(__xludf.DUMMYFUNCTION("""COMPUTED_VALUE"""),94.0)</f>
        <v>94</v>
      </c>
      <c r="G1622" s="1">
        <f>IFERROR(__xludf.DUMMYFUNCTION("""COMPUTED_VALUE"""),76.0)</f>
        <v>76</v>
      </c>
      <c r="H1622" s="1">
        <f>IFERROR(__xludf.DUMMYFUNCTION("""COMPUTED_VALUE"""),45.0)</f>
        <v>45</v>
      </c>
      <c r="I1622" s="1">
        <f>IFERROR(__xludf.DUMMYFUNCTION("""COMPUTED_VALUE"""),33.0)</f>
        <v>33</v>
      </c>
      <c r="J1622" s="1">
        <f>IFERROR(__xludf.DUMMYFUNCTION("""COMPUTED_VALUE"""),271.0)</f>
        <v>271</v>
      </c>
      <c r="K1622" s="1">
        <f>IFERROR(__xludf.DUMMYFUNCTION("""COMPUTED_VALUE"""),54.2)</f>
        <v>54.2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>
        <f>IFERROR(__xludf.DUMMYFUNCTION("""COMPUTED_VALUE"""),81.0)</f>
        <v>81</v>
      </c>
      <c r="E1623" s="1">
        <f>IFERROR(__xludf.DUMMYFUNCTION("""COMPUTED_VALUE"""),40.0)</f>
        <v>40</v>
      </c>
      <c r="F1623" s="1">
        <f>IFERROR(__xludf.DUMMYFUNCTION("""COMPUTED_VALUE"""),84.0)</f>
        <v>84</v>
      </c>
      <c r="G1623" s="1">
        <f>IFERROR(__xludf.DUMMYFUNCTION("""COMPUTED_VALUE"""),50.0)</f>
        <v>50</v>
      </c>
      <c r="H1623" s="1">
        <f>IFERROR(__xludf.DUMMYFUNCTION("""COMPUTED_VALUE"""),71.0)</f>
        <v>71</v>
      </c>
      <c r="I1623" s="1">
        <f>IFERROR(__xludf.DUMMYFUNCTION("""COMPUTED_VALUE"""),49.0)</f>
        <v>49</v>
      </c>
      <c r="J1623" s="1">
        <f>IFERROR(__xludf.DUMMYFUNCTION("""COMPUTED_VALUE"""),294.0)</f>
        <v>294</v>
      </c>
      <c r="K1623" s="1">
        <f>IFERROR(__xludf.DUMMYFUNCTION("""COMPUTED_VALUE"""),58.8)</f>
        <v>58.8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>
        <f>IFERROR(__xludf.DUMMYFUNCTION("""COMPUTED_VALUE"""),100.0)</f>
        <v>100</v>
      </c>
      <c r="E1624" s="1">
        <f>IFERROR(__xludf.DUMMYFUNCTION("""COMPUTED_VALUE"""),34.0)</f>
        <v>34</v>
      </c>
      <c r="F1624" s="1">
        <f>IFERROR(__xludf.DUMMYFUNCTION("""COMPUTED_VALUE"""),93.0)</f>
        <v>93</v>
      </c>
      <c r="G1624" s="1">
        <f>IFERROR(__xludf.DUMMYFUNCTION("""COMPUTED_VALUE"""),57.0)</f>
        <v>57</v>
      </c>
      <c r="H1624" s="1">
        <f>IFERROR(__xludf.DUMMYFUNCTION("""COMPUTED_VALUE"""),76.0)</f>
        <v>76</v>
      </c>
      <c r="I1624" s="1">
        <f>IFERROR(__xludf.DUMMYFUNCTION("""COMPUTED_VALUE"""),79.0)</f>
        <v>79</v>
      </c>
      <c r="J1624" s="1">
        <f>IFERROR(__xludf.DUMMYFUNCTION("""COMPUTED_VALUE"""),339.0)</f>
        <v>339</v>
      </c>
      <c r="K1624" s="1">
        <f>IFERROR(__xludf.DUMMYFUNCTION("""COMPUTED_VALUE"""),67.80000000000001)</f>
        <v>67.8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>
        <f>IFERROR(__xludf.DUMMYFUNCTION("""COMPUTED_VALUE"""),93.0)</f>
        <v>93</v>
      </c>
      <c r="E1625" s="1">
        <f>IFERROR(__xludf.DUMMYFUNCTION("""COMPUTED_VALUE"""),73.0)</f>
        <v>73</v>
      </c>
      <c r="F1625" s="1">
        <f>IFERROR(__xludf.DUMMYFUNCTION("""COMPUTED_VALUE"""),98.0)</f>
        <v>98</v>
      </c>
      <c r="G1625" s="1">
        <f>IFERROR(__xludf.DUMMYFUNCTION("""COMPUTED_VALUE"""),58.0)</f>
        <v>58</v>
      </c>
      <c r="H1625" s="1">
        <f>IFERROR(__xludf.DUMMYFUNCTION("""COMPUTED_VALUE"""),43.0)</f>
        <v>43</v>
      </c>
      <c r="I1625" s="1">
        <f>IFERROR(__xludf.DUMMYFUNCTION("""COMPUTED_VALUE"""),78.0)</f>
        <v>78</v>
      </c>
      <c r="J1625" s="1">
        <f>IFERROR(__xludf.DUMMYFUNCTION("""COMPUTED_VALUE"""),350.0)</f>
        <v>350</v>
      </c>
      <c r="K1625" s="1">
        <f>IFERROR(__xludf.DUMMYFUNCTION("""COMPUTED_VALUE"""),70.0)</f>
        <v>70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>
        <f>IFERROR(__xludf.DUMMYFUNCTION("""COMPUTED_VALUE"""),39.0)</f>
        <v>39</v>
      </c>
      <c r="E1626" s="1">
        <f>IFERROR(__xludf.DUMMYFUNCTION("""COMPUTED_VALUE"""),51.0)</f>
        <v>51</v>
      </c>
      <c r="F1626" s="1">
        <f>IFERROR(__xludf.DUMMYFUNCTION("""COMPUTED_VALUE"""),30.0)</f>
        <v>30</v>
      </c>
      <c r="G1626" s="1">
        <f>IFERROR(__xludf.DUMMYFUNCTION("""COMPUTED_VALUE"""),73.0)</f>
        <v>73</v>
      </c>
      <c r="H1626" s="1">
        <f>IFERROR(__xludf.DUMMYFUNCTION("""COMPUTED_VALUE"""),64.0)</f>
        <v>64</v>
      </c>
      <c r="I1626" s="1">
        <f>IFERROR(__xludf.DUMMYFUNCTION("""COMPUTED_VALUE"""),69.0)</f>
        <v>69</v>
      </c>
      <c r="J1626" s="1">
        <f>IFERROR(__xludf.DUMMYFUNCTION("""COMPUTED_VALUE"""),287.0)</f>
        <v>287</v>
      </c>
      <c r="K1626" s="1">
        <f>IFERROR(__xludf.DUMMYFUNCTION("""COMPUTED_VALUE"""),57.4)</f>
        <v>57.4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>
        <f>IFERROR(__xludf.DUMMYFUNCTION("""COMPUTED_VALUE"""),65.0)</f>
        <v>65</v>
      </c>
      <c r="E1627" s="1">
        <f>IFERROR(__xludf.DUMMYFUNCTION("""COMPUTED_VALUE"""),87.0)</f>
        <v>87</v>
      </c>
      <c r="F1627" s="1">
        <f>IFERROR(__xludf.DUMMYFUNCTION("""COMPUTED_VALUE"""),32.0)</f>
        <v>32</v>
      </c>
      <c r="G1627" s="1">
        <f>IFERROR(__xludf.DUMMYFUNCTION("""COMPUTED_VALUE"""),69.0)</f>
        <v>69</v>
      </c>
      <c r="H1627" s="1">
        <f>IFERROR(__xludf.DUMMYFUNCTION("""COMPUTED_VALUE"""),74.0)</f>
        <v>74</v>
      </c>
      <c r="I1627" s="1">
        <f>IFERROR(__xludf.DUMMYFUNCTION("""COMPUTED_VALUE"""),60.0)</f>
        <v>60</v>
      </c>
      <c r="J1627" s="1">
        <f>IFERROR(__xludf.DUMMYFUNCTION("""COMPUTED_VALUE"""),322.0)</f>
        <v>322</v>
      </c>
      <c r="K1627" s="1">
        <f>IFERROR(__xludf.DUMMYFUNCTION("""COMPUTED_VALUE"""),64.4)</f>
        <v>64.4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>
        <f>IFERROR(__xludf.DUMMYFUNCTION("""COMPUTED_VALUE"""),93.0)</f>
        <v>93</v>
      </c>
      <c r="E1628" s="1">
        <f>IFERROR(__xludf.DUMMYFUNCTION("""COMPUTED_VALUE"""),48.0)</f>
        <v>48</v>
      </c>
      <c r="F1628" s="1">
        <f>IFERROR(__xludf.DUMMYFUNCTION("""COMPUTED_VALUE"""),36.0)</f>
        <v>36</v>
      </c>
      <c r="G1628" s="1">
        <f>IFERROR(__xludf.DUMMYFUNCTION("""COMPUTED_VALUE"""),64.0)</f>
        <v>64</v>
      </c>
      <c r="H1628" s="1">
        <f>IFERROR(__xludf.DUMMYFUNCTION("""COMPUTED_VALUE"""),29.0)</f>
        <v>29</v>
      </c>
      <c r="I1628" s="1">
        <f>IFERROR(__xludf.DUMMYFUNCTION("""COMPUTED_VALUE"""),95.0)</f>
        <v>95</v>
      </c>
      <c r="J1628" s="1">
        <f>IFERROR(__xludf.DUMMYFUNCTION("""COMPUTED_VALUE"""),272.0)</f>
        <v>272</v>
      </c>
      <c r="K1628" s="1">
        <f>IFERROR(__xludf.DUMMYFUNCTION("""COMPUTED_VALUE"""),54.400000000000006)</f>
        <v>54.4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>
        <f>IFERROR(__xludf.DUMMYFUNCTION("""COMPUTED_VALUE"""),61.0)</f>
        <v>61</v>
      </c>
      <c r="E1629" s="1">
        <f>IFERROR(__xludf.DUMMYFUNCTION("""COMPUTED_VALUE"""),68.0)</f>
        <v>68</v>
      </c>
      <c r="F1629" s="1">
        <f>IFERROR(__xludf.DUMMYFUNCTION("""COMPUTED_VALUE"""),72.0)</f>
        <v>72</v>
      </c>
      <c r="G1629" s="1">
        <f>IFERROR(__xludf.DUMMYFUNCTION("""COMPUTED_VALUE"""),20.0)</f>
        <v>20</v>
      </c>
      <c r="H1629" s="1">
        <f>IFERROR(__xludf.DUMMYFUNCTION("""COMPUTED_VALUE"""),91.0)</f>
        <v>91</v>
      </c>
      <c r="I1629" s="1">
        <f>IFERROR(__xludf.DUMMYFUNCTION("""COMPUTED_VALUE"""),42.0)</f>
        <v>42</v>
      </c>
      <c r="J1629" s="1">
        <f>IFERROR(__xludf.DUMMYFUNCTION("""COMPUTED_VALUE"""),293.0)</f>
        <v>293</v>
      </c>
      <c r="K1629" s="1">
        <f>IFERROR(__xludf.DUMMYFUNCTION("""COMPUTED_VALUE"""),58.599999999999994)</f>
        <v>58.6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>
        <f>IFERROR(__xludf.DUMMYFUNCTION("""COMPUTED_VALUE"""),36.0)</f>
        <v>36</v>
      </c>
      <c r="E1630" s="1">
        <f>IFERROR(__xludf.DUMMYFUNCTION("""COMPUTED_VALUE"""),98.0)</f>
        <v>98</v>
      </c>
      <c r="F1630" s="1">
        <f>IFERROR(__xludf.DUMMYFUNCTION("""COMPUTED_VALUE"""),48.0)</f>
        <v>48</v>
      </c>
      <c r="G1630" s="1">
        <f>IFERROR(__xludf.DUMMYFUNCTION("""COMPUTED_VALUE"""),91.0)</f>
        <v>91</v>
      </c>
      <c r="H1630" s="1">
        <f>IFERROR(__xludf.DUMMYFUNCTION("""COMPUTED_VALUE"""),32.0)</f>
        <v>32</v>
      </c>
      <c r="I1630" s="1">
        <f>IFERROR(__xludf.DUMMYFUNCTION("""COMPUTED_VALUE"""),74.0)</f>
        <v>74</v>
      </c>
      <c r="J1630" s="1">
        <f>IFERROR(__xludf.DUMMYFUNCTION("""COMPUTED_VALUE"""),343.0)</f>
        <v>343</v>
      </c>
      <c r="K1630" s="1">
        <f>IFERROR(__xludf.DUMMYFUNCTION("""COMPUTED_VALUE"""),68.60000000000001)</f>
        <v>68.6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>
        <f>IFERROR(__xludf.DUMMYFUNCTION("""COMPUTED_VALUE"""),64.0)</f>
        <v>64</v>
      </c>
      <c r="E1631" s="1">
        <f>IFERROR(__xludf.DUMMYFUNCTION("""COMPUTED_VALUE"""),21.0)</f>
        <v>21</v>
      </c>
      <c r="F1631" s="1">
        <f>IFERROR(__xludf.DUMMYFUNCTION("""COMPUTED_VALUE"""),24.0)</f>
        <v>24</v>
      </c>
      <c r="G1631" s="1">
        <f>IFERROR(__xludf.DUMMYFUNCTION("""COMPUTED_VALUE"""),72.0)</f>
        <v>72</v>
      </c>
      <c r="H1631" s="1">
        <f>IFERROR(__xludf.DUMMYFUNCTION("""COMPUTED_VALUE"""),76.0)</f>
        <v>76</v>
      </c>
      <c r="I1631" s="1">
        <f>IFERROR(__xludf.DUMMYFUNCTION("""COMPUTED_VALUE"""),45.0)</f>
        <v>45</v>
      </c>
      <c r="J1631" s="1">
        <f>IFERROR(__xludf.DUMMYFUNCTION("""COMPUTED_VALUE"""),238.0)</f>
        <v>238</v>
      </c>
      <c r="K1631" s="1">
        <f>IFERROR(__xludf.DUMMYFUNCTION("""COMPUTED_VALUE"""),47.599999999999994)</f>
        <v>47.6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>
        <f>IFERROR(__xludf.DUMMYFUNCTION("""COMPUTED_VALUE"""),61.0)</f>
        <v>61</v>
      </c>
      <c r="E1632" s="1">
        <f>IFERROR(__xludf.DUMMYFUNCTION("""COMPUTED_VALUE"""),68.0)</f>
        <v>68</v>
      </c>
      <c r="F1632" s="1">
        <f>IFERROR(__xludf.DUMMYFUNCTION("""COMPUTED_VALUE"""),87.0)</f>
        <v>87</v>
      </c>
      <c r="G1632" s="1">
        <f>IFERROR(__xludf.DUMMYFUNCTION("""COMPUTED_VALUE"""),94.0)</f>
        <v>94</v>
      </c>
      <c r="H1632" s="1">
        <f>IFERROR(__xludf.DUMMYFUNCTION("""COMPUTED_VALUE"""),66.0)</f>
        <v>66</v>
      </c>
      <c r="I1632" s="1">
        <f>IFERROR(__xludf.DUMMYFUNCTION("""COMPUTED_VALUE"""),80.0)</f>
        <v>80</v>
      </c>
      <c r="J1632" s="1">
        <f>IFERROR(__xludf.DUMMYFUNCTION("""COMPUTED_VALUE"""),395.0)</f>
        <v>395</v>
      </c>
      <c r="K1632" s="1">
        <f>IFERROR(__xludf.DUMMYFUNCTION("""COMPUTED_VALUE"""),79.0)</f>
        <v>79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>
        <f>IFERROR(__xludf.DUMMYFUNCTION("""COMPUTED_VALUE"""),30.0)</f>
        <v>30</v>
      </c>
      <c r="E1633" s="1">
        <f>IFERROR(__xludf.DUMMYFUNCTION("""COMPUTED_VALUE"""),33.0)</f>
        <v>33</v>
      </c>
      <c r="F1633" s="1">
        <f>IFERROR(__xludf.DUMMYFUNCTION("""COMPUTED_VALUE"""),97.0)</f>
        <v>97</v>
      </c>
      <c r="G1633" s="1">
        <f>IFERROR(__xludf.DUMMYFUNCTION("""COMPUTED_VALUE"""),51.0)</f>
        <v>51</v>
      </c>
      <c r="H1633" s="1">
        <f>IFERROR(__xludf.DUMMYFUNCTION("""COMPUTED_VALUE"""),74.0)</f>
        <v>74</v>
      </c>
      <c r="I1633" s="1">
        <f>IFERROR(__xludf.DUMMYFUNCTION("""COMPUTED_VALUE"""),41.0)</f>
        <v>41</v>
      </c>
      <c r="J1633" s="1">
        <f>IFERROR(__xludf.DUMMYFUNCTION("""COMPUTED_VALUE"""),296.0)</f>
        <v>296</v>
      </c>
      <c r="K1633" s="1">
        <f>IFERROR(__xludf.DUMMYFUNCTION("""COMPUTED_VALUE"""),59.199999999999996)</f>
        <v>59.2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>
        <f>IFERROR(__xludf.DUMMYFUNCTION("""COMPUTED_VALUE"""),67.0)</f>
        <v>67</v>
      </c>
      <c r="E1634" s="1">
        <f>IFERROR(__xludf.DUMMYFUNCTION("""COMPUTED_VALUE"""),38.0)</f>
        <v>38</v>
      </c>
      <c r="F1634" s="1">
        <f>IFERROR(__xludf.DUMMYFUNCTION("""COMPUTED_VALUE"""),93.0)</f>
        <v>93</v>
      </c>
      <c r="G1634" s="1">
        <f>IFERROR(__xludf.DUMMYFUNCTION("""COMPUTED_VALUE"""),46.0)</f>
        <v>46</v>
      </c>
      <c r="H1634" s="1">
        <f>IFERROR(__xludf.DUMMYFUNCTION("""COMPUTED_VALUE"""),48.0)</f>
        <v>48</v>
      </c>
      <c r="I1634" s="1">
        <f>IFERROR(__xludf.DUMMYFUNCTION("""COMPUTED_VALUE"""),67.0)</f>
        <v>67</v>
      </c>
      <c r="J1634" s="1">
        <f>IFERROR(__xludf.DUMMYFUNCTION("""COMPUTED_VALUE"""),292.0)</f>
        <v>292</v>
      </c>
      <c r="K1634" s="1">
        <f>IFERROR(__xludf.DUMMYFUNCTION("""COMPUTED_VALUE"""),58.4)</f>
        <v>58.4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>
        <f>IFERROR(__xludf.DUMMYFUNCTION("""COMPUTED_VALUE"""),15.0)</f>
        <v>15</v>
      </c>
      <c r="E1635" s="1">
        <f>IFERROR(__xludf.DUMMYFUNCTION("""COMPUTED_VALUE"""),89.0)</f>
        <v>89</v>
      </c>
      <c r="F1635" s="1">
        <f>IFERROR(__xludf.DUMMYFUNCTION("""COMPUTED_VALUE"""),98.0)</f>
        <v>98</v>
      </c>
      <c r="G1635" s="1">
        <f>IFERROR(__xludf.DUMMYFUNCTION("""COMPUTED_VALUE"""),79.0)</f>
        <v>79</v>
      </c>
      <c r="H1635" s="1">
        <f>IFERROR(__xludf.DUMMYFUNCTION("""COMPUTED_VALUE"""),32.0)</f>
        <v>32</v>
      </c>
      <c r="I1635" s="1">
        <f>IFERROR(__xludf.DUMMYFUNCTION("""COMPUTED_VALUE"""),51.0)</f>
        <v>51</v>
      </c>
      <c r="J1635" s="1">
        <f>IFERROR(__xludf.DUMMYFUNCTION("""COMPUTED_VALUE"""),349.0)</f>
        <v>349</v>
      </c>
      <c r="K1635" s="1">
        <f>IFERROR(__xludf.DUMMYFUNCTION("""COMPUTED_VALUE"""),69.8)</f>
        <v>69.8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>
        <f>IFERROR(__xludf.DUMMYFUNCTION("""COMPUTED_VALUE"""),61.0)</f>
        <v>61</v>
      </c>
      <c r="E1636" s="1">
        <f>IFERROR(__xludf.DUMMYFUNCTION("""COMPUTED_VALUE"""),65.0)</f>
        <v>65</v>
      </c>
      <c r="F1636" s="1">
        <f>IFERROR(__xludf.DUMMYFUNCTION("""COMPUTED_VALUE"""),90.0)</f>
        <v>90</v>
      </c>
      <c r="G1636" s="1">
        <f>IFERROR(__xludf.DUMMYFUNCTION("""COMPUTED_VALUE"""),54.0)</f>
        <v>54</v>
      </c>
      <c r="H1636" s="1">
        <f>IFERROR(__xludf.DUMMYFUNCTION("""COMPUTED_VALUE"""),54.0)</f>
        <v>54</v>
      </c>
      <c r="I1636" s="1">
        <f>IFERROR(__xludf.DUMMYFUNCTION("""COMPUTED_VALUE"""),34.0)</f>
        <v>34</v>
      </c>
      <c r="J1636" s="1">
        <f>IFERROR(__xludf.DUMMYFUNCTION("""COMPUTED_VALUE"""),297.0)</f>
        <v>297</v>
      </c>
      <c r="K1636" s="1">
        <f>IFERROR(__xludf.DUMMYFUNCTION("""COMPUTED_VALUE"""),59.4)</f>
        <v>59.4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>
        <f>IFERROR(__xludf.DUMMYFUNCTION("""COMPUTED_VALUE"""),57.0)</f>
        <v>57</v>
      </c>
      <c r="E1637" s="1">
        <f>IFERROR(__xludf.DUMMYFUNCTION("""COMPUTED_VALUE"""),95.0)</f>
        <v>95</v>
      </c>
      <c r="F1637" s="1">
        <f>IFERROR(__xludf.DUMMYFUNCTION("""COMPUTED_VALUE"""),51.0)</f>
        <v>51</v>
      </c>
      <c r="G1637" s="1">
        <f>IFERROR(__xludf.DUMMYFUNCTION("""COMPUTED_VALUE"""),21.0)</f>
        <v>21</v>
      </c>
      <c r="H1637" s="1">
        <f>IFERROR(__xludf.DUMMYFUNCTION("""COMPUTED_VALUE"""),22.0)</f>
        <v>22</v>
      </c>
      <c r="I1637" s="1">
        <f>IFERROR(__xludf.DUMMYFUNCTION("""COMPUTED_VALUE"""),42.0)</f>
        <v>42</v>
      </c>
      <c r="J1637" s="1">
        <f>IFERROR(__xludf.DUMMYFUNCTION("""COMPUTED_VALUE"""),231.0)</f>
        <v>231</v>
      </c>
      <c r="K1637" s="1">
        <f>IFERROR(__xludf.DUMMYFUNCTION("""COMPUTED_VALUE"""),46.2)</f>
        <v>46.2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>
        <f>IFERROR(__xludf.DUMMYFUNCTION("""COMPUTED_VALUE"""),72.0)</f>
        <v>72</v>
      </c>
      <c r="E1638" s="1">
        <f>IFERROR(__xludf.DUMMYFUNCTION("""COMPUTED_VALUE"""),20.0)</f>
        <v>20</v>
      </c>
      <c r="F1638" s="1">
        <f>IFERROR(__xludf.DUMMYFUNCTION("""COMPUTED_VALUE"""),48.0)</f>
        <v>48</v>
      </c>
      <c r="G1638" s="1">
        <f>IFERROR(__xludf.DUMMYFUNCTION("""COMPUTED_VALUE"""),76.0)</f>
        <v>76</v>
      </c>
      <c r="H1638" s="1">
        <f>IFERROR(__xludf.DUMMYFUNCTION("""COMPUTED_VALUE"""),44.0)</f>
        <v>44</v>
      </c>
      <c r="I1638" s="1">
        <f>IFERROR(__xludf.DUMMYFUNCTION("""COMPUTED_VALUE"""),60.0)</f>
        <v>60</v>
      </c>
      <c r="J1638" s="1">
        <f>IFERROR(__xludf.DUMMYFUNCTION("""COMPUTED_VALUE"""),248.0)</f>
        <v>248</v>
      </c>
      <c r="K1638" s="1">
        <f>IFERROR(__xludf.DUMMYFUNCTION("""COMPUTED_VALUE"""),49.6)</f>
        <v>49.6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>
        <f>IFERROR(__xludf.DUMMYFUNCTION("""COMPUTED_VALUE"""),29.0)</f>
        <v>29</v>
      </c>
      <c r="E1639" s="1">
        <f>IFERROR(__xludf.DUMMYFUNCTION("""COMPUTED_VALUE"""),59.0)</f>
        <v>59</v>
      </c>
      <c r="F1639" s="1">
        <f>IFERROR(__xludf.DUMMYFUNCTION("""COMPUTED_VALUE"""),90.0)</f>
        <v>90</v>
      </c>
      <c r="G1639" s="1">
        <f>IFERROR(__xludf.DUMMYFUNCTION("""COMPUTED_VALUE"""),75.0)</f>
        <v>75</v>
      </c>
      <c r="H1639" s="1">
        <f>IFERROR(__xludf.DUMMYFUNCTION("""COMPUTED_VALUE"""),41.0)</f>
        <v>41</v>
      </c>
      <c r="I1639" s="1">
        <f>IFERROR(__xludf.DUMMYFUNCTION("""COMPUTED_VALUE"""),71.0)</f>
        <v>71</v>
      </c>
      <c r="J1639" s="1">
        <f>IFERROR(__xludf.DUMMYFUNCTION("""COMPUTED_VALUE"""),336.0)</f>
        <v>336</v>
      </c>
      <c r="K1639" s="1">
        <f>IFERROR(__xludf.DUMMYFUNCTION("""COMPUTED_VALUE"""),67.2)</f>
        <v>67.2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>
        <f>IFERROR(__xludf.DUMMYFUNCTION("""COMPUTED_VALUE"""),33.0)</f>
        <v>33</v>
      </c>
      <c r="E1640" s="1">
        <f>IFERROR(__xludf.DUMMYFUNCTION("""COMPUTED_VALUE"""),77.0)</f>
        <v>77</v>
      </c>
      <c r="F1640" s="1">
        <f>IFERROR(__xludf.DUMMYFUNCTION("""COMPUTED_VALUE"""),93.0)</f>
        <v>93</v>
      </c>
      <c r="G1640" s="1">
        <f>IFERROR(__xludf.DUMMYFUNCTION("""COMPUTED_VALUE"""),23.0)</f>
        <v>23</v>
      </c>
      <c r="H1640" s="1">
        <f>IFERROR(__xludf.DUMMYFUNCTION("""COMPUTED_VALUE"""),89.0)</f>
        <v>89</v>
      </c>
      <c r="I1640" s="1">
        <f>IFERROR(__xludf.DUMMYFUNCTION("""COMPUTED_VALUE"""),22.0)</f>
        <v>22</v>
      </c>
      <c r="J1640" s="1">
        <f>IFERROR(__xludf.DUMMYFUNCTION("""COMPUTED_VALUE"""),304.0)</f>
        <v>304</v>
      </c>
      <c r="K1640" s="1">
        <f>IFERROR(__xludf.DUMMYFUNCTION("""COMPUTED_VALUE"""),60.8)</f>
        <v>60.8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>
        <f>IFERROR(__xludf.DUMMYFUNCTION("""COMPUTED_VALUE"""),89.0)</f>
        <v>89</v>
      </c>
      <c r="E1641" s="1">
        <f>IFERROR(__xludf.DUMMYFUNCTION("""COMPUTED_VALUE"""),40.0)</f>
        <v>40</v>
      </c>
      <c r="F1641" s="1">
        <f>IFERROR(__xludf.DUMMYFUNCTION("""COMPUTED_VALUE"""),71.0)</f>
        <v>71</v>
      </c>
      <c r="G1641" s="1">
        <f>IFERROR(__xludf.DUMMYFUNCTION("""COMPUTED_VALUE"""),56.0)</f>
        <v>56</v>
      </c>
      <c r="H1641" s="1">
        <f>IFERROR(__xludf.DUMMYFUNCTION("""COMPUTED_VALUE"""),75.0)</f>
        <v>75</v>
      </c>
      <c r="I1641" s="1">
        <f>IFERROR(__xludf.DUMMYFUNCTION("""COMPUTED_VALUE"""),74.0)</f>
        <v>74</v>
      </c>
      <c r="J1641" s="1">
        <f>IFERROR(__xludf.DUMMYFUNCTION("""COMPUTED_VALUE"""),316.0)</f>
        <v>316</v>
      </c>
      <c r="K1641" s="1">
        <f>IFERROR(__xludf.DUMMYFUNCTION("""COMPUTED_VALUE"""),63.2)</f>
        <v>63.2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>
        <f>IFERROR(__xludf.DUMMYFUNCTION("""COMPUTED_VALUE"""),65.0)</f>
        <v>65</v>
      </c>
      <c r="E1642" s="1">
        <f>IFERROR(__xludf.DUMMYFUNCTION("""COMPUTED_VALUE"""),37.0)</f>
        <v>37</v>
      </c>
      <c r="F1642" s="1">
        <f>IFERROR(__xludf.DUMMYFUNCTION("""COMPUTED_VALUE"""),69.0)</f>
        <v>69</v>
      </c>
      <c r="G1642" s="1">
        <f>IFERROR(__xludf.DUMMYFUNCTION("""COMPUTED_VALUE"""),85.0)</f>
        <v>85</v>
      </c>
      <c r="H1642" s="1">
        <f>IFERROR(__xludf.DUMMYFUNCTION("""COMPUTED_VALUE"""),31.0)</f>
        <v>31</v>
      </c>
      <c r="I1642" s="1">
        <f>IFERROR(__xludf.DUMMYFUNCTION("""COMPUTED_VALUE"""),46.0)</f>
        <v>46</v>
      </c>
      <c r="J1642" s="1">
        <f>IFERROR(__xludf.DUMMYFUNCTION("""COMPUTED_VALUE"""),268.0)</f>
        <v>268</v>
      </c>
      <c r="K1642" s="1">
        <f>IFERROR(__xludf.DUMMYFUNCTION("""COMPUTED_VALUE"""),53.6)</f>
        <v>53.6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>
        <f>IFERROR(__xludf.DUMMYFUNCTION("""COMPUTED_VALUE"""),35.0)</f>
        <v>35</v>
      </c>
      <c r="E1643" s="1">
        <f>IFERROR(__xludf.DUMMYFUNCTION("""COMPUTED_VALUE"""),73.0)</f>
        <v>73</v>
      </c>
      <c r="F1643" s="1">
        <f>IFERROR(__xludf.DUMMYFUNCTION("""COMPUTED_VALUE"""),40.0)</f>
        <v>40</v>
      </c>
      <c r="G1643" s="1">
        <f>IFERROR(__xludf.DUMMYFUNCTION("""COMPUTED_VALUE"""),75.0)</f>
        <v>75</v>
      </c>
      <c r="H1643" s="1">
        <f>IFERROR(__xludf.DUMMYFUNCTION("""COMPUTED_VALUE"""),83.0)</f>
        <v>83</v>
      </c>
      <c r="I1643" s="1">
        <f>IFERROR(__xludf.DUMMYFUNCTION("""COMPUTED_VALUE"""),35.0)</f>
        <v>35</v>
      </c>
      <c r="J1643" s="1">
        <f>IFERROR(__xludf.DUMMYFUNCTION("""COMPUTED_VALUE"""),306.0)</f>
        <v>306</v>
      </c>
      <c r="K1643" s="1">
        <f>IFERROR(__xludf.DUMMYFUNCTION("""COMPUTED_VALUE"""),61.199999999999996)</f>
        <v>61.2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>
        <f>IFERROR(__xludf.DUMMYFUNCTION("""COMPUTED_VALUE"""),45.0)</f>
        <v>45</v>
      </c>
      <c r="E1644" s="1">
        <f>IFERROR(__xludf.DUMMYFUNCTION("""COMPUTED_VALUE"""),68.0)</f>
        <v>68</v>
      </c>
      <c r="F1644" s="1">
        <f>IFERROR(__xludf.DUMMYFUNCTION("""COMPUTED_VALUE"""),27.0)</f>
        <v>27</v>
      </c>
      <c r="G1644" s="1">
        <f>IFERROR(__xludf.DUMMYFUNCTION("""COMPUTED_VALUE"""),52.0)</f>
        <v>52</v>
      </c>
      <c r="H1644" s="1">
        <f>IFERROR(__xludf.DUMMYFUNCTION("""COMPUTED_VALUE"""),99.0)</f>
        <v>99</v>
      </c>
      <c r="I1644" s="1">
        <f>IFERROR(__xludf.DUMMYFUNCTION("""COMPUTED_VALUE"""),99.0)</f>
        <v>99</v>
      </c>
      <c r="J1644" s="1">
        <f>IFERROR(__xludf.DUMMYFUNCTION("""COMPUTED_VALUE"""),345.0)</f>
        <v>345</v>
      </c>
      <c r="K1644" s="1">
        <f>IFERROR(__xludf.DUMMYFUNCTION("""COMPUTED_VALUE"""),69.0)</f>
        <v>69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>
        <f>IFERROR(__xludf.DUMMYFUNCTION("""COMPUTED_VALUE"""),57.0)</f>
        <v>57</v>
      </c>
      <c r="E1645" s="1">
        <f>IFERROR(__xludf.DUMMYFUNCTION("""COMPUTED_VALUE"""),61.0)</f>
        <v>61</v>
      </c>
      <c r="F1645" s="1">
        <f>IFERROR(__xludf.DUMMYFUNCTION("""COMPUTED_VALUE"""),24.0)</f>
        <v>24</v>
      </c>
      <c r="G1645" s="1">
        <f>IFERROR(__xludf.DUMMYFUNCTION("""COMPUTED_VALUE"""),48.0)</f>
        <v>48</v>
      </c>
      <c r="H1645" s="1">
        <f>IFERROR(__xludf.DUMMYFUNCTION("""COMPUTED_VALUE"""),78.0)</f>
        <v>78</v>
      </c>
      <c r="I1645" s="1">
        <f>IFERROR(__xludf.DUMMYFUNCTION("""COMPUTED_VALUE"""),41.0)</f>
        <v>41</v>
      </c>
      <c r="J1645" s="1">
        <f>IFERROR(__xludf.DUMMYFUNCTION("""COMPUTED_VALUE"""),252.0)</f>
        <v>252</v>
      </c>
      <c r="K1645" s="1">
        <f>IFERROR(__xludf.DUMMYFUNCTION("""COMPUTED_VALUE"""),50.4)</f>
        <v>50.4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>
        <f>IFERROR(__xludf.DUMMYFUNCTION("""COMPUTED_VALUE"""),59.0)</f>
        <v>59</v>
      </c>
      <c r="E1646" s="1">
        <f>IFERROR(__xludf.DUMMYFUNCTION("""COMPUTED_VALUE"""),26.0)</f>
        <v>26</v>
      </c>
      <c r="F1646" s="1">
        <f>IFERROR(__xludf.DUMMYFUNCTION("""COMPUTED_VALUE"""),24.0)</f>
        <v>24</v>
      </c>
      <c r="G1646" s="1">
        <f>IFERROR(__xludf.DUMMYFUNCTION("""COMPUTED_VALUE"""),34.0)</f>
        <v>34</v>
      </c>
      <c r="H1646" s="1">
        <f>IFERROR(__xludf.DUMMYFUNCTION("""COMPUTED_VALUE"""),67.0)</f>
        <v>67</v>
      </c>
      <c r="I1646" s="1">
        <f>IFERROR(__xludf.DUMMYFUNCTION("""COMPUTED_VALUE"""),39.0)</f>
        <v>39</v>
      </c>
      <c r="J1646" s="1">
        <f>IFERROR(__xludf.DUMMYFUNCTION("""COMPUTED_VALUE"""),190.0)</f>
        <v>190</v>
      </c>
      <c r="K1646" s="1">
        <f>IFERROR(__xludf.DUMMYFUNCTION("""COMPUTED_VALUE"""),38.0)</f>
        <v>38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>
        <f>IFERROR(__xludf.DUMMYFUNCTION("""COMPUTED_VALUE"""),68.0)</f>
        <v>68</v>
      </c>
      <c r="E1647" s="1">
        <f>IFERROR(__xludf.DUMMYFUNCTION("""COMPUTED_VALUE"""),33.0)</f>
        <v>33</v>
      </c>
      <c r="F1647" s="1">
        <f>IFERROR(__xludf.DUMMYFUNCTION("""COMPUTED_VALUE"""),78.0)</f>
        <v>78</v>
      </c>
      <c r="G1647" s="1">
        <f>IFERROR(__xludf.DUMMYFUNCTION("""COMPUTED_VALUE"""),79.0)</f>
        <v>79</v>
      </c>
      <c r="H1647" s="1">
        <f>IFERROR(__xludf.DUMMYFUNCTION("""COMPUTED_VALUE"""),22.0)</f>
        <v>22</v>
      </c>
      <c r="I1647" s="1">
        <f>IFERROR(__xludf.DUMMYFUNCTION("""COMPUTED_VALUE"""),22.0)</f>
        <v>22</v>
      </c>
      <c r="J1647" s="1">
        <f>IFERROR(__xludf.DUMMYFUNCTION("""COMPUTED_VALUE"""),234.0)</f>
        <v>234</v>
      </c>
      <c r="K1647" s="1">
        <f>IFERROR(__xludf.DUMMYFUNCTION("""COMPUTED_VALUE"""),46.800000000000004)</f>
        <v>46.8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>
        <f>IFERROR(__xludf.DUMMYFUNCTION("""COMPUTED_VALUE"""),81.0)</f>
        <v>81</v>
      </c>
      <c r="E1648" s="1">
        <f>IFERROR(__xludf.DUMMYFUNCTION("""COMPUTED_VALUE"""),83.0)</f>
        <v>83</v>
      </c>
      <c r="F1648" s="1">
        <f>IFERROR(__xludf.DUMMYFUNCTION("""COMPUTED_VALUE"""),46.0)</f>
        <v>46</v>
      </c>
      <c r="G1648" s="1">
        <f>IFERROR(__xludf.DUMMYFUNCTION("""COMPUTED_VALUE"""),54.0)</f>
        <v>54</v>
      </c>
      <c r="H1648" s="1">
        <f>IFERROR(__xludf.DUMMYFUNCTION("""COMPUTED_VALUE"""),69.0)</f>
        <v>69</v>
      </c>
      <c r="I1648" s="1">
        <f>IFERROR(__xludf.DUMMYFUNCTION("""COMPUTED_VALUE"""),92.0)</f>
        <v>92</v>
      </c>
      <c r="J1648" s="1">
        <f>IFERROR(__xludf.DUMMYFUNCTION("""COMPUTED_VALUE"""),344.0)</f>
        <v>344</v>
      </c>
      <c r="K1648" s="1">
        <f>IFERROR(__xludf.DUMMYFUNCTION("""COMPUTED_VALUE"""),68.8)</f>
        <v>68.8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>
        <f>IFERROR(__xludf.DUMMYFUNCTION("""COMPUTED_VALUE"""),33.0)</f>
        <v>33</v>
      </c>
      <c r="E1649" s="1">
        <f>IFERROR(__xludf.DUMMYFUNCTION("""COMPUTED_VALUE"""),42.0)</f>
        <v>42</v>
      </c>
      <c r="F1649" s="1">
        <f>IFERROR(__xludf.DUMMYFUNCTION("""COMPUTED_VALUE"""),61.0)</f>
        <v>61</v>
      </c>
      <c r="G1649" s="1">
        <f>IFERROR(__xludf.DUMMYFUNCTION("""COMPUTED_VALUE"""),99.0)</f>
        <v>99</v>
      </c>
      <c r="H1649" s="1">
        <f>IFERROR(__xludf.DUMMYFUNCTION("""COMPUTED_VALUE"""),20.0)</f>
        <v>20</v>
      </c>
      <c r="I1649" s="1">
        <f>IFERROR(__xludf.DUMMYFUNCTION("""COMPUTED_VALUE"""),54.0)</f>
        <v>54</v>
      </c>
      <c r="J1649" s="1">
        <f>IFERROR(__xludf.DUMMYFUNCTION("""COMPUTED_VALUE"""),276.0)</f>
        <v>276</v>
      </c>
      <c r="K1649" s="1">
        <f>IFERROR(__xludf.DUMMYFUNCTION("""COMPUTED_VALUE"""),55.2)</f>
        <v>55.2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>
        <f>IFERROR(__xludf.DUMMYFUNCTION("""COMPUTED_VALUE"""),79.0)</f>
        <v>79</v>
      </c>
      <c r="E1650" s="1">
        <f>IFERROR(__xludf.DUMMYFUNCTION("""COMPUTED_VALUE"""),52.0)</f>
        <v>52</v>
      </c>
      <c r="F1650" s="1">
        <f>IFERROR(__xludf.DUMMYFUNCTION("""COMPUTED_VALUE"""),88.0)</f>
        <v>88</v>
      </c>
      <c r="G1650" s="1">
        <f>IFERROR(__xludf.DUMMYFUNCTION("""COMPUTED_VALUE"""),80.0)</f>
        <v>80</v>
      </c>
      <c r="H1650" s="1">
        <f>IFERROR(__xludf.DUMMYFUNCTION("""COMPUTED_VALUE"""),70.0)</f>
        <v>70</v>
      </c>
      <c r="I1650" s="1">
        <f>IFERROR(__xludf.DUMMYFUNCTION("""COMPUTED_VALUE"""),78.0)</f>
        <v>78</v>
      </c>
      <c r="J1650" s="1">
        <f>IFERROR(__xludf.DUMMYFUNCTION("""COMPUTED_VALUE"""),368.0)</f>
        <v>368</v>
      </c>
      <c r="K1650" s="1">
        <f>IFERROR(__xludf.DUMMYFUNCTION("""COMPUTED_VALUE"""),73.6)</f>
        <v>73.6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>
        <f>IFERROR(__xludf.DUMMYFUNCTION("""COMPUTED_VALUE"""),17.0)</f>
        <v>17</v>
      </c>
      <c r="E1651" s="1">
        <f>IFERROR(__xludf.DUMMYFUNCTION("""COMPUTED_VALUE"""),61.0)</f>
        <v>61</v>
      </c>
      <c r="F1651" s="1">
        <f>IFERROR(__xludf.DUMMYFUNCTION("""COMPUTED_VALUE"""),42.0)</f>
        <v>42</v>
      </c>
      <c r="G1651" s="1">
        <f>IFERROR(__xludf.DUMMYFUNCTION("""COMPUTED_VALUE"""),99.0)</f>
        <v>99</v>
      </c>
      <c r="H1651" s="1">
        <f>IFERROR(__xludf.DUMMYFUNCTION("""COMPUTED_VALUE"""),49.0)</f>
        <v>49</v>
      </c>
      <c r="I1651" s="1">
        <f>IFERROR(__xludf.DUMMYFUNCTION("""COMPUTED_VALUE"""),76.0)</f>
        <v>76</v>
      </c>
      <c r="J1651" s="1">
        <f>IFERROR(__xludf.DUMMYFUNCTION("""COMPUTED_VALUE"""),327.0)</f>
        <v>327</v>
      </c>
      <c r="K1651" s="1">
        <f>IFERROR(__xludf.DUMMYFUNCTION("""COMPUTED_VALUE"""),65.4)</f>
        <v>65.4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>
        <f>IFERROR(__xludf.DUMMYFUNCTION("""COMPUTED_VALUE"""),69.0)</f>
        <v>69</v>
      </c>
      <c r="E1652" s="1">
        <f>IFERROR(__xludf.DUMMYFUNCTION("""COMPUTED_VALUE"""),91.0)</f>
        <v>91</v>
      </c>
      <c r="F1652" s="1">
        <f>IFERROR(__xludf.DUMMYFUNCTION("""COMPUTED_VALUE"""),63.0)</f>
        <v>63</v>
      </c>
      <c r="G1652" s="1">
        <f>IFERROR(__xludf.DUMMYFUNCTION("""COMPUTED_VALUE"""),56.0)</f>
        <v>56</v>
      </c>
      <c r="H1652" s="1">
        <f>IFERROR(__xludf.DUMMYFUNCTION("""COMPUTED_VALUE"""),59.0)</f>
        <v>59</v>
      </c>
      <c r="I1652" s="1">
        <f>IFERROR(__xludf.DUMMYFUNCTION("""COMPUTED_VALUE"""),39.0)</f>
        <v>39</v>
      </c>
      <c r="J1652" s="1">
        <f>IFERROR(__xludf.DUMMYFUNCTION("""COMPUTED_VALUE"""),308.0)</f>
        <v>308</v>
      </c>
      <c r="K1652" s="1">
        <f>IFERROR(__xludf.DUMMYFUNCTION("""COMPUTED_VALUE"""),61.6)</f>
        <v>61.6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>
        <f>IFERROR(__xludf.DUMMYFUNCTION("""COMPUTED_VALUE"""),93.0)</f>
        <v>93</v>
      </c>
      <c r="E1653" s="1">
        <f>IFERROR(__xludf.DUMMYFUNCTION("""COMPUTED_VALUE"""),61.0)</f>
        <v>61</v>
      </c>
      <c r="F1653" s="1">
        <f>IFERROR(__xludf.DUMMYFUNCTION("""COMPUTED_VALUE"""),57.0)</f>
        <v>57</v>
      </c>
      <c r="G1653" s="1">
        <f>IFERROR(__xludf.DUMMYFUNCTION("""COMPUTED_VALUE"""),49.0)</f>
        <v>49</v>
      </c>
      <c r="H1653" s="1">
        <f>IFERROR(__xludf.DUMMYFUNCTION("""COMPUTED_VALUE"""),51.0)</f>
        <v>51</v>
      </c>
      <c r="I1653" s="1">
        <f>IFERROR(__xludf.DUMMYFUNCTION("""COMPUTED_VALUE"""),53.0)</f>
        <v>53</v>
      </c>
      <c r="J1653" s="1">
        <f>IFERROR(__xludf.DUMMYFUNCTION("""COMPUTED_VALUE"""),271.0)</f>
        <v>271</v>
      </c>
      <c r="K1653" s="1">
        <f>IFERROR(__xludf.DUMMYFUNCTION("""COMPUTED_VALUE"""),54.2)</f>
        <v>54.2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>
        <f>IFERROR(__xludf.DUMMYFUNCTION("""COMPUTED_VALUE"""),35.0)</f>
        <v>35</v>
      </c>
      <c r="E1654" s="1">
        <f>IFERROR(__xludf.DUMMYFUNCTION("""COMPUTED_VALUE"""),63.0)</f>
        <v>63</v>
      </c>
      <c r="F1654" s="1">
        <f>IFERROR(__xludf.DUMMYFUNCTION("""COMPUTED_VALUE"""),23.0)</f>
        <v>23</v>
      </c>
      <c r="G1654" s="1">
        <f>IFERROR(__xludf.DUMMYFUNCTION("""COMPUTED_VALUE"""),24.0)</f>
        <v>24</v>
      </c>
      <c r="H1654" s="1">
        <f>IFERROR(__xludf.DUMMYFUNCTION("""COMPUTED_VALUE"""),94.0)</f>
        <v>94</v>
      </c>
      <c r="I1654" s="1">
        <f>IFERROR(__xludf.DUMMYFUNCTION("""COMPUTED_VALUE"""),68.0)</f>
        <v>68</v>
      </c>
      <c r="J1654" s="1">
        <f>IFERROR(__xludf.DUMMYFUNCTION("""COMPUTED_VALUE"""),272.0)</f>
        <v>272</v>
      </c>
      <c r="K1654" s="1">
        <f>IFERROR(__xludf.DUMMYFUNCTION("""COMPUTED_VALUE"""),54.400000000000006)</f>
        <v>54.4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>
        <f>IFERROR(__xludf.DUMMYFUNCTION("""COMPUTED_VALUE"""),35.0)</f>
        <v>35</v>
      </c>
      <c r="E1655" s="1">
        <f>IFERROR(__xludf.DUMMYFUNCTION("""COMPUTED_VALUE"""),43.0)</f>
        <v>43</v>
      </c>
      <c r="F1655" s="1">
        <f>IFERROR(__xludf.DUMMYFUNCTION("""COMPUTED_VALUE"""),91.0)</f>
        <v>91</v>
      </c>
      <c r="G1655" s="1">
        <f>IFERROR(__xludf.DUMMYFUNCTION("""COMPUTED_VALUE"""),89.0)</f>
        <v>89</v>
      </c>
      <c r="H1655" s="1">
        <f>IFERROR(__xludf.DUMMYFUNCTION("""COMPUTED_VALUE"""),92.0)</f>
        <v>92</v>
      </c>
      <c r="I1655" s="1">
        <f>IFERROR(__xludf.DUMMYFUNCTION("""COMPUTED_VALUE"""),34.0)</f>
        <v>34</v>
      </c>
      <c r="J1655" s="1">
        <f>IFERROR(__xludf.DUMMYFUNCTION("""COMPUTED_VALUE"""),349.0)</f>
        <v>349</v>
      </c>
      <c r="K1655" s="1">
        <f>IFERROR(__xludf.DUMMYFUNCTION("""COMPUTED_VALUE"""),69.8)</f>
        <v>69.8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>
        <f>IFERROR(__xludf.DUMMYFUNCTION("""COMPUTED_VALUE"""),50.0)</f>
        <v>50</v>
      </c>
      <c r="E1656" s="1">
        <f>IFERROR(__xludf.DUMMYFUNCTION("""COMPUTED_VALUE"""),84.0)</f>
        <v>84</v>
      </c>
      <c r="F1656" s="1">
        <f>IFERROR(__xludf.DUMMYFUNCTION("""COMPUTED_VALUE"""),44.0)</f>
        <v>44</v>
      </c>
      <c r="G1656" s="1">
        <f>IFERROR(__xludf.DUMMYFUNCTION("""COMPUTED_VALUE"""),91.0)</f>
        <v>91</v>
      </c>
      <c r="H1656" s="1">
        <f>IFERROR(__xludf.DUMMYFUNCTION("""COMPUTED_VALUE"""),20.0)</f>
        <v>20</v>
      </c>
      <c r="I1656" s="1">
        <f>IFERROR(__xludf.DUMMYFUNCTION("""COMPUTED_VALUE"""),27.0)</f>
        <v>27</v>
      </c>
      <c r="J1656" s="1">
        <f>IFERROR(__xludf.DUMMYFUNCTION("""COMPUTED_VALUE"""),266.0)</f>
        <v>266</v>
      </c>
      <c r="K1656" s="1">
        <f>IFERROR(__xludf.DUMMYFUNCTION("""COMPUTED_VALUE"""),53.2)</f>
        <v>53.2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>
        <f>IFERROR(__xludf.DUMMYFUNCTION("""COMPUTED_VALUE"""),56.0)</f>
        <v>56</v>
      </c>
      <c r="E1657" s="1">
        <f>IFERROR(__xludf.DUMMYFUNCTION("""COMPUTED_VALUE"""),62.0)</f>
        <v>62</v>
      </c>
      <c r="F1657" s="1">
        <f>IFERROR(__xludf.DUMMYFUNCTION("""COMPUTED_VALUE"""),38.0)</f>
        <v>38</v>
      </c>
      <c r="G1657" s="1">
        <f>IFERROR(__xludf.DUMMYFUNCTION("""COMPUTED_VALUE"""),25.0)</f>
        <v>25</v>
      </c>
      <c r="H1657" s="1">
        <f>IFERROR(__xludf.DUMMYFUNCTION("""COMPUTED_VALUE"""),26.0)</f>
        <v>26</v>
      </c>
      <c r="I1657" s="1">
        <f>IFERROR(__xludf.DUMMYFUNCTION("""COMPUTED_VALUE"""),64.0)</f>
        <v>64</v>
      </c>
      <c r="J1657" s="1">
        <f>IFERROR(__xludf.DUMMYFUNCTION("""COMPUTED_VALUE"""),215.0)</f>
        <v>215</v>
      </c>
      <c r="K1657" s="1">
        <f>IFERROR(__xludf.DUMMYFUNCTION("""COMPUTED_VALUE"""),43.0)</f>
        <v>43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>
        <f>IFERROR(__xludf.DUMMYFUNCTION("""COMPUTED_VALUE"""),45.0)</f>
        <v>45</v>
      </c>
      <c r="E1658" s="1">
        <f>IFERROR(__xludf.DUMMYFUNCTION("""COMPUTED_VALUE"""),32.0)</f>
        <v>32</v>
      </c>
      <c r="F1658" s="1">
        <f>IFERROR(__xludf.DUMMYFUNCTION("""COMPUTED_VALUE"""),78.0)</f>
        <v>78</v>
      </c>
      <c r="G1658" s="1">
        <f>IFERROR(__xludf.DUMMYFUNCTION("""COMPUTED_VALUE"""),36.0)</f>
        <v>36</v>
      </c>
      <c r="H1658" s="1">
        <f>IFERROR(__xludf.DUMMYFUNCTION("""COMPUTED_VALUE"""),52.0)</f>
        <v>52</v>
      </c>
      <c r="I1658" s="1">
        <f>IFERROR(__xludf.DUMMYFUNCTION("""COMPUTED_VALUE"""),62.0)</f>
        <v>62</v>
      </c>
      <c r="J1658" s="1">
        <f>IFERROR(__xludf.DUMMYFUNCTION("""COMPUTED_VALUE"""),260.0)</f>
        <v>260</v>
      </c>
      <c r="K1658" s="1">
        <f>IFERROR(__xludf.DUMMYFUNCTION("""COMPUTED_VALUE"""),52.0)</f>
        <v>52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>
        <f>IFERROR(__xludf.DUMMYFUNCTION("""COMPUTED_VALUE"""),44.0)</f>
        <v>44</v>
      </c>
      <c r="E1659" s="1">
        <f>IFERROR(__xludf.DUMMYFUNCTION("""COMPUTED_VALUE"""),53.0)</f>
        <v>53</v>
      </c>
      <c r="F1659" s="1">
        <f>IFERROR(__xludf.DUMMYFUNCTION("""COMPUTED_VALUE"""),67.0)</f>
        <v>67</v>
      </c>
      <c r="G1659" s="1">
        <f>IFERROR(__xludf.DUMMYFUNCTION("""COMPUTED_VALUE"""),57.0)</f>
        <v>57</v>
      </c>
      <c r="H1659" s="1">
        <f>IFERROR(__xludf.DUMMYFUNCTION("""COMPUTED_VALUE"""),52.0)</f>
        <v>52</v>
      </c>
      <c r="I1659" s="1">
        <f>IFERROR(__xludf.DUMMYFUNCTION("""COMPUTED_VALUE"""),93.0)</f>
        <v>93</v>
      </c>
      <c r="J1659" s="1">
        <f>IFERROR(__xludf.DUMMYFUNCTION("""COMPUTED_VALUE"""),322.0)</f>
        <v>322</v>
      </c>
      <c r="K1659" s="1">
        <f>IFERROR(__xludf.DUMMYFUNCTION("""COMPUTED_VALUE"""),64.4)</f>
        <v>64.4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>
        <f>IFERROR(__xludf.DUMMYFUNCTION("""COMPUTED_VALUE"""),89.0)</f>
        <v>89</v>
      </c>
      <c r="E1660" s="1">
        <f>IFERROR(__xludf.DUMMYFUNCTION("""COMPUTED_VALUE"""),55.0)</f>
        <v>55</v>
      </c>
      <c r="F1660" s="1">
        <f>IFERROR(__xludf.DUMMYFUNCTION("""COMPUTED_VALUE"""),61.0)</f>
        <v>61</v>
      </c>
      <c r="G1660" s="1">
        <f>IFERROR(__xludf.DUMMYFUNCTION("""COMPUTED_VALUE"""),51.0)</f>
        <v>51</v>
      </c>
      <c r="H1660" s="1">
        <f>IFERROR(__xludf.DUMMYFUNCTION("""COMPUTED_VALUE"""),34.0)</f>
        <v>34</v>
      </c>
      <c r="I1660" s="1">
        <f>IFERROR(__xludf.DUMMYFUNCTION("""COMPUTED_VALUE"""),29.0)</f>
        <v>29</v>
      </c>
      <c r="J1660" s="1">
        <f>IFERROR(__xludf.DUMMYFUNCTION("""COMPUTED_VALUE"""),230.0)</f>
        <v>230</v>
      </c>
      <c r="K1660" s="1">
        <f>IFERROR(__xludf.DUMMYFUNCTION("""COMPUTED_VALUE"""),46.0)</f>
        <v>46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>
        <f>IFERROR(__xludf.DUMMYFUNCTION("""COMPUTED_VALUE"""),98.0)</f>
        <v>98</v>
      </c>
      <c r="E1661" s="1">
        <f>IFERROR(__xludf.DUMMYFUNCTION("""COMPUTED_VALUE"""),29.0)</f>
        <v>29</v>
      </c>
      <c r="F1661" s="1">
        <f>IFERROR(__xludf.DUMMYFUNCTION("""COMPUTED_VALUE"""),58.0)</f>
        <v>58</v>
      </c>
      <c r="G1661" s="1">
        <f>IFERROR(__xludf.DUMMYFUNCTION("""COMPUTED_VALUE"""),60.0)</f>
        <v>60</v>
      </c>
      <c r="H1661" s="1">
        <f>IFERROR(__xludf.DUMMYFUNCTION("""COMPUTED_VALUE"""),57.0)</f>
        <v>57</v>
      </c>
      <c r="I1661" s="1">
        <f>IFERROR(__xludf.DUMMYFUNCTION("""COMPUTED_VALUE"""),95.0)</f>
        <v>95</v>
      </c>
      <c r="J1661" s="1">
        <f>IFERROR(__xludf.DUMMYFUNCTION("""COMPUTED_VALUE"""),299.0)</f>
        <v>299</v>
      </c>
      <c r="K1661" s="1">
        <f>IFERROR(__xludf.DUMMYFUNCTION("""COMPUTED_VALUE"""),59.8)</f>
        <v>59.8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>
        <f>IFERROR(__xludf.DUMMYFUNCTION("""COMPUTED_VALUE"""),76.0)</f>
        <v>76</v>
      </c>
      <c r="E1662" s="1">
        <f>IFERROR(__xludf.DUMMYFUNCTION("""COMPUTED_VALUE"""),20.0)</f>
        <v>20</v>
      </c>
      <c r="F1662" s="1">
        <f>IFERROR(__xludf.DUMMYFUNCTION("""COMPUTED_VALUE"""),50.0)</f>
        <v>50</v>
      </c>
      <c r="G1662" s="1">
        <f>IFERROR(__xludf.DUMMYFUNCTION("""COMPUTED_VALUE"""),62.0)</f>
        <v>62</v>
      </c>
      <c r="H1662" s="1">
        <f>IFERROR(__xludf.DUMMYFUNCTION("""COMPUTED_VALUE"""),71.0)</f>
        <v>71</v>
      </c>
      <c r="I1662" s="1">
        <f>IFERROR(__xludf.DUMMYFUNCTION("""COMPUTED_VALUE"""),58.0)</f>
        <v>58</v>
      </c>
      <c r="J1662" s="1">
        <f>IFERROR(__xludf.DUMMYFUNCTION("""COMPUTED_VALUE"""),261.0)</f>
        <v>261</v>
      </c>
      <c r="K1662" s="1">
        <f>IFERROR(__xludf.DUMMYFUNCTION("""COMPUTED_VALUE"""),52.2)</f>
        <v>52.2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>
        <f>IFERROR(__xludf.DUMMYFUNCTION("""COMPUTED_VALUE"""),47.0)</f>
        <v>47</v>
      </c>
      <c r="E1663" s="1">
        <f>IFERROR(__xludf.DUMMYFUNCTION("""COMPUTED_VALUE"""),55.0)</f>
        <v>55</v>
      </c>
      <c r="F1663" s="1">
        <f>IFERROR(__xludf.DUMMYFUNCTION("""COMPUTED_VALUE"""),54.0)</f>
        <v>54</v>
      </c>
      <c r="G1663" s="1">
        <f>IFERROR(__xludf.DUMMYFUNCTION("""COMPUTED_VALUE"""),32.0)</f>
        <v>32</v>
      </c>
      <c r="H1663" s="1">
        <f>IFERROR(__xludf.DUMMYFUNCTION("""COMPUTED_VALUE"""),22.0)</f>
        <v>22</v>
      </c>
      <c r="I1663" s="1">
        <f>IFERROR(__xludf.DUMMYFUNCTION("""COMPUTED_VALUE"""),88.0)</f>
        <v>88</v>
      </c>
      <c r="J1663" s="1">
        <f>IFERROR(__xludf.DUMMYFUNCTION("""COMPUTED_VALUE"""),251.0)</f>
        <v>251</v>
      </c>
      <c r="K1663" s="1">
        <f>IFERROR(__xludf.DUMMYFUNCTION("""COMPUTED_VALUE"""),50.2)</f>
        <v>50.2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>
        <f>IFERROR(__xludf.DUMMYFUNCTION("""COMPUTED_VALUE"""),33.0)</f>
        <v>33</v>
      </c>
      <c r="E1664" s="1">
        <f>IFERROR(__xludf.DUMMYFUNCTION("""COMPUTED_VALUE"""),39.0)</f>
        <v>39</v>
      </c>
      <c r="F1664" s="1">
        <f>IFERROR(__xludf.DUMMYFUNCTION("""COMPUTED_VALUE"""),60.0)</f>
        <v>60</v>
      </c>
      <c r="G1664" s="1">
        <f>IFERROR(__xludf.DUMMYFUNCTION("""COMPUTED_VALUE"""),45.0)</f>
        <v>45</v>
      </c>
      <c r="H1664" s="1">
        <f>IFERROR(__xludf.DUMMYFUNCTION("""COMPUTED_VALUE"""),41.0)</f>
        <v>41</v>
      </c>
      <c r="I1664" s="1">
        <f>IFERROR(__xludf.DUMMYFUNCTION("""COMPUTED_VALUE"""),53.0)</f>
        <v>53</v>
      </c>
      <c r="J1664" s="1">
        <f>IFERROR(__xludf.DUMMYFUNCTION("""COMPUTED_VALUE"""),238.0)</f>
        <v>238</v>
      </c>
      <c r="K1664" s="1">
        <f>IFERROR(__xludf.DUMMYFUNCTION("""COMPUTED_VALUE"""),47.599999999999994)</f>
        <v>47.6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>
        <f>IFERROR(__xludf.DUMMYFUNCTION("""COMPUTED_VALUE"""),72.0)</f>
        <v>72</v>
      </c>
      <c r="E1665" s="1">
        <f>IFERROR(__xludf.DUMMYFUNCTION("""COMPUTED_VALUE"""),31.0)</f>
        <v>31</v>
      </c>
      <c r="F1665" s="1">
        <f>IFERROR(__xludf.DUMMYFUNCTION("""COMPUTED_VALUE"""),49.0)</f>
        <v>49</v>
      </c>
      <c r="G1665" s="1">
        <f>IFERROR(__xludf.DUMMYFUNCTION("""COMPUTED_VALUE"""),60.0)</f>
        <v>60</v>
      </c>
      <c r="H1665" s="1">
        <f>IFERROR(__xludf.DUMMYFUNCTION("""COMPUTED_VALUE"""),51.0)</f>
        <v>51</v>
      </c>
      <c r="I1665" s="1">
        <f>IFERROR(__xludf.DUMMYFUNCTION("""COMPUTED_VALUE"""),29.0)</f>
        <v>29</v>
      </c>
      <c r="J1665" s="1">
        <f>IFERROR(__xludf.DUMMYFUNCTION("""COMPUTED_VALUE"""),220.0)</f>
        <v>220</v>
      </c>
      <c r="K1665" s="1">
        <f>IFERROR(__xludf.DUMMYFUNCTION("""COMPUTED_VALUE"""),44.0)</f>
        <v>44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>
        <f>IFERROR(__xludf.DUMMYFUNCTION("""COMPUTED_VALUE"""),21.0)</f>
        <v>21</v>
      </c>
      <c r="E1666" s="1">
        <f>IFERROR(__xludf.DUMMYFUNCTION("""COMPUTED_VALUE"""),34.0)</f>
        <v>34</v>
      </c>
      <c r="F1666" s="1">
        <f>IFERROR(__xludf.DUMMYFUNCTION("""COMPUTED_VALUE"""),56.0)</f>
        <v>56</v>
      </c>
      <c r="G1666" s="1">
        <f>IFERROR(__xludf.DUMMYFUNCTION("""COMPUTED_VALUE"""),61.0)</f>
        <v>61</v>
      </c>
      <c r="H1666" s="1">
        <f>IFERROR(__xludf.DUMMYFUNCTION("""COMPUTED_VALUE"""),27.0)</f>
        <v>27</v>
      </c>
      <c r="I1666" s="1">
        <f>IFERROR(__xludf.DUMMYFUNCTION("""COMPUTED_VALUE"""),95.0)</f>
        <v>95</v>
      </c>
      <c r="J1666" s="1">
        <f>IFERROR(__xludf.DUMMYFUNCTION("""COMPUTED_VALUE"""),273.0)</f>
        <v>273</v>
      </c>
      <c r="K1666" s="1">
        <f>IFERROR(__xludf.DUMMYFUNCTION("""COMPUTED_VALUE"""),54.6)</f>
        <v>54.6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>
        <f>IFERROR(__xludf.DUMMYFUNCTION("""COMPUTED_VALUE"""),30.0)</f>
        <v>30</v>
      </c>
      <c r="E1667" s="1">
        <f>IFERROR(__xludf.DUMMYFUNCTION("""COMPUTED_VALUE"""),56.0)</f>
        <v>56</v>
      </c>
      <c r="F1667" s="1">
        <f>IFERROR(__xludf.DUMMYFUNCTION("""COMPUTED_VALUE"""),90.0)</f>
        <v>90</v>
      </c>
      <c r="G1667" s="1">
        <f>IFERROR(__xludf.DUMMYFUNCTION("""COMPUTED_VALUE"""),62.0)</f>
        <v>62</v>
      </c>
      <c r="H1667" s="1">
        <f>IFERROR(__xludf.DUMMYFUNCTION("""COMPUTED_VALUE"""),40.0)</f>
        <v>40</v>
      </c>
      <c r="I1667" s="1">
        <f>IFERROR(__xludf.DUMMYFUNCTION("""COMPUTED_VALUE"""),60.0)</f>
        <v>60</v>
      </c>
      <c r="J1667" s="1">
        <f>IFERROR(__xludf.DUMMYFUNCTION("""COMPUTED_VALUE"""),308.0)</f>
        <v>308</v>
      </c>
      <c r="K1667" s="1">
        <f>IFERROR(__xludf.DUMMYFUNCTION("""COMPUTED_VALUE"""),61.6)</f>
        <v>61.6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>
        <f>IFERROR(__xludf.DUMMYFUNCTION("""COMPUTED_VALUE"""),34.0)</f>
        <v>34</v>
      </c>
      <c r="E1668" s="1">
        <f>IFERROR(__xludf.DUMMYFUNCTION("""COMPUTED_VALUE"""),88.0)</f>
        <v>88</v>
      </c>
      <c r="F1668" s="1">
        <f>IFERROR(__xludf.DUMMYFUNCTION("""COMPUTED_VALUE"""),72.0)</f>
        <v>72</v>
      </c>
      <c r="G1668" s="1">
        <f>IFERROR(__xludf.DUMMYFUNCTION("""COMPUTED_VALUE"""),20.0)</f>
        <v>20</v>
      </c>
      <c r="H1668" s="1">
        <f>IFERROR(__xludf.DUMMYFUNCTION("""COMPUTED_VALUE"""),81.0)</f>
        <v>81</v>
      </c>
      <c r="I1668" s="1">
        <f>IFERROR(__xludf.DUMMYFUNCTION("""COMPUTED_VALUE"""),31.0)</f>
        <v>31</v>
      </c>
      <c r="J1668" s="1">
        <f>IFERROR(__xludf.DUMMYFUNCTION("""COMPUTED_VALUE"""),292.0)</f>
        <v>292</v>
      </c>
      <c r="K1668" s="1">
        <f>IFERROR(__xludf.DUMMYFUNCTION("""COMPUTED_VALUE"""),58.4)</f>
        <v>58.4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>
        <f>IFERROR(__xludf.DUMMYFUNCTION("""COMPUTED_VALUE"""),19.0)</f>
        <v>19</v>
      </c>
      <c r="E1669" s="1">
        <f>IFERROR(__xludf.DUMMYFUNCTION("""COMPUTED_VALUE"""),59.0)</f>
        <v>59</v>
      </c>
      <c r="F1669" s="1">
        <f>IFERROR(__xludf.DUMMYFUNCTION("""COMPUTED_VALUE"""),46.0)</f>
        <v>46</v>
      </c>
      <c r="G1669" s="1">
        <f>IFERROR(__xludf.DUMMYFUNCTION("""COMPUTED_VALUE"""),30.0)</f>
        <v>30</v>
      </c>
      <c r="H1669" s="1">
        <f>IFERROR(__xludf.DUMMYFUNCTION("""COMPUTED_VALUE"""),31.0)</f>
        <v>31</v>
      </c>
      <c r="I1669" s="1">
        <f>IFERROR(__xludf.DUMMYFUNCTION("""COMPUTED_VALUE"""),21.0)</f>
        <v>21</v>
      </c>
      <c r="J1669" s="1">
        <f>IFERROR(__xludf.DUMMYFUNCTION("""COMPUTED_VALUE"""),187.0)</f>
        <v>187</v>
      </c>
      <c r="K1669" s="1">
        <f>IFERROR(__xludf.DUMMYFUNCTION("""COMPUTED_VALUE"""),37.4)</f>
        <v>37.4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>
        <f>IFERROR(__xludf.DUMMYFUNCTION("""COMPUTED_VALUE"""),80.0)</f>
        <v>80</v>
      </c>
      <c r="E1670" s="1">
        <f>IFERROR(__xludf.DUMMYFUNCTION("""COMPUTED_VALUE"""),93.0)</f>
        <v>93</v>
      </c>
      <c r="F1670" s="1">
        <f>IFERROR(__xludf.DUMMYFUNCTION("""COMPUTED_VALUE"""),68.0)</f>
        <v>68</v>
      </c>
      <c r="G1670" s="1">
        <f>IFERROR(__xludf.DUMMYFUNCTION("""COMPUTED_VALUE"""),37.0)</f>
        <v>37</v>
      </c>
      <c r="H1670" s="1">
        <f>IFERROR(__xludf.DUMMYFUNCTION("""COMPUTED_VALUE"""),84.0)</f>
        <v>84</v>
      </c>
      <c r="I1670" s="1">
        <f>IFERROR(__xludf.DUMMYFUNCTION("""COMPUTED_VALUE"""),79.0)</f>
        <v>79</v>
      </c>
      <c r="J1670" s="1">
        <f>IFERROR(__xludf.DUMMYFUNCTION("""COMPUTED_VALUE"""),361.0)</f>
        <v>361</v>
      </c>
      <c r="K1670" s="1">
        <f>IFERROR(__xludf.DUMMYFUNCTION("""COMPUTED_VALUE"""),72.2)</f>
        <v>72.2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>
        <f>IFERROR(__xludf.DUMMYFUNCTION("""COMPUTED_VALUE"""),85.0)</f>
        <v>85</v>
      </c>
      <c r="E1671" s="1">
        <f>IFERROR(__xludf.DUMMYFUNCTION("""COMPUTED_VALUE"""),60.0)</f>
        <v>60</v>
      </c>
      <c r="F1671" s="1">
        <f>IFERROR(__xludf.DUMMYFUNCTION("""COMPUTED_VALUE"""),84.0)</f>
        <v>84</v>
      </c>
      <c r="G1671" s="1">
        <f>IFERROR(__xludf.DUMMYFUNCTION("""COMPUTED_VALUE"""),63.0)</f>
        <v>63</v>
      </c>
      <c r="H1671" s="1">
        <f>IFERROR(__xludf.DUMMYFUNCTION("""COMPUTED_VALUE"""),75.0)</f>
        <v>75</v>
      </c>
      <c r="I1671" s="1">
        <f>IFERROR(__xludf.DUMMYFUNCTION("""COMPUTED_VALUE"""),62.0)</f>
        <v>62</v>
      </c>
      <c r="J1671" s="1">
        <f>IFERROR(__xludf.DUMMYFUNCTION("""COMPUTED_VALUE"""),344.0)</f>
        <v>344</v>
      </c>
      <c r="K1671" s="1">
        <f>IFERROR(__xludf.DUMMYFUNCTION("""COMPUTED_VALUE"""),68.8)</f>
        <v>68.8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>
        <f>IFERROR(__xludf.DUMMYFUNCTION("""COMPUTED_VALUE"""),17.0)</f>
        <v>17</v>
      </c>
      <c r="E1672" s="1">
        <f>IFERROR(__xludf.DUMMYFUNCTION("""COMPUTED_VALUE"""),97.0)</f>
        <v>97</v>
      </c>
      <c r="F1672" s="1">
        <f>IFERROR(__xludf.DUMMYFUNCTION("""COMPUTED_VALUE"""),88.0)</f>
        <v>88</v>
      </c>
      <c r="G1672" s="1">
        <f>IFERROR(__xludf.DUMMYFUNCTION("""COMPUTED_VALUE"""),26.0)</f>
        <v>26</v>
      </c>
      <c r="H1672" s="1">
        <f>IFERROR(__xludf.DUMMYFUNCTION("""COMPUTED_VALUE"""),38.0)</f>
        <v>38</v>
      </c>
      <c r="I1672" s="1">
        <f>IFERROR(__xludf.DUMMYFUNCTION("""COMPUTED_VALUE"""),73.0)</f>
        <v>73</v>
      </c>
      <c r="J1672" s="1">
        <f>IFERROR(__xludf.DUMMYFUNCTION("""COMPUTED_VALUE"""),322.0)</f>
        <v>322</v>
      </c>
      <c r="K1672" s="1">
        <f>IFERROR(__xludf.DUMMYFUNCTION("""COMPUTED_VALUE"""),64.4)</f>
        <v>64.4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>
        <f>IFERROR(__xludf.DUMMYFUNCTION("""COMPUTED_VALUE"""),40.0)</f>
        <v>40</v>
      </c>
      <c r="E1673" s="1">
        <f>IFERROR(__xludf.DUMMYFUNCTION("""COMPUTED_VALUE"""),92.0)</f>
        <v>92</v>
      </c>
      <c r="F1673" s="1">
        <f>IFERROR(__xludf.DUMMYFUNCTION("""COMPUTED_VALUE"""),39.0)</f>
        <v>39</v>
      </c>
      <c r="G1673" s="1">
        <f>IFERROR(__xludf.DUMMYFUNCTION("""COMPUTED_VALUE"""),81.0)</f>
        <v>81</v>
      </c>
      <c r="H1673" s="1">
        <f>IFERROR(__xludf.DUMMYFUNCTION("""COMPUTED_VALUE"""),34.0)</f>
        <v>34</v>
      </c>
      <c r="I1673" s="1">
        <f>IFERROR(__xludf.DUMMYFUNCTION("""COMPUTED_VALUE"""),44.0)</f>
        <v>44</v>
      </c>
      <c r="J1673" s="1">
        <f>IFERROR(__xludf.DUMMYFUNCTION("""COMPUTED_VALUE"""),290.0)</f>
        <v>290</v>
      </c>
      <c r="K1673" s="1">
        <f>IFERROR(__xludf.DUMMYFUNCTION("""COMPUTED_VALUE"""),57.99999999999999)</f>
        <v>58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>
        <f>IFERROR(__xludf.DUMMYFUNCTION("""COMPUTED_VALUE"""),51.0)</f>
        <v>51</v>
      </c>
      <c r="E1674" s="1">
        <f>IFERROR(__xludf.DUMMYFUNCTION("""COMPUTED_VALUE"""),80.0)</f>
        <v>80</v>
      </c>
      <c r="F1674" s="1">
        <f>IFERROR(__xludf.DUMMYFUNCTION("""COMPUTED_VALUE"""),35.0)</f>
        <v>35</v>
      </c>
      <c r="G1674" s="1">
        <f>IFERROR(__xludf.DUMMYFUNCTION("""COMPUTED_VALUE"""),65.0)</f>
        <v>65</v>
      </c>
      <c r="H1674" s="1">
        <f>IFERROR(__xludf.DUMMYFUNCTION("""COMPUTED_VALUE"""),73.0)</f>
        <v>73</v>
      </c>
      <c r="I1674" s="1">
        <f>IFERROR(__xludf.DUMMYFUNCTION("""COMPUTED_VALUE"""),74.0)</f>
        <v>74</v>
      </c>
      <c r="J1674" s="1">
        <f>IFERROR(__xludf.DUMMYFUNCTION("""COMPUTED_VALUE"""),327.0)</f>
        <v>327</v>
      </c>
      <c r="K1674" s="1">
        <f>IFERROR(__xludf.DUMMYFUNCTION("""COMPUTED_VALUE"""),65.4)</f>
        <v>65.4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>
        <f>IFERROR(__xludf.DUMMYFUNCTION("""COMPUTED_VALUE"""),36.0)</f>
        <v>36</v>
      </c>
      <c r="E1675" s="1">
        <f>IFERROR(__xludf.DUMMYFUNCTION("""COMPUTED_VALUE"""),99.0)</f>
        <v>99</v>
      </c>
      <c r="F1675" s="1">
        <f>IFERROR(__xludf.DUMMYFUNCTION("""COMPUTED_VALUE"""),96.0)</f>
        <v>96</v>
      </c>
      <c r="G1675" s="1">
        <f>IFERROR(__xludf.DUMMYFUNCTION("""COMPUTED_VALUE"""),41.0)</f>
        <v>41</v>
      </c>
      <c r="H1675" s="1">
        <f>IFERROR(__xludf.DUMMYFUNCTION("""COMPUTED_VALUE"""),28.0)</f>
        <v>28</v>
      </c>
      <c r="I1675" s="1">
        <f>IFERROR(__xludf.DUMMYFUNCTION("""COMPUTED_VALUE"""),31.0)</f>
        <v>31</v>
      </c>
      <c r="J1675" s="1">
        <f>IFERROR(__xludf.DUMMYFUNCTION("""COMPUTED_VALUE"""),295.0)</f>
        <v>295</v>
      </c>
      <c r="K1675" s="1">
        <f>IFERROR(__xludf.DUMMYFUNCTION("""COMPUTED_VALUE"""),59.0)</f>
        <v>59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>
        <f>IFERROR(__xludf.DUMMYFUNCTION("""COMPUTED_VALUE"""),29.0)</f>
        <v>29</v>
      </c>
      <c r="E1676" s="1">
        <f>IFERROR(__xludf.DUMMYFUNCTION("""COMPUTED_VALUE"""),38.0)</f>
        <v>38</v>
      </c>
      <c r="F1676" s="1">
        <f>IFERROR(__xludf.DUMMYFUNCTION("""COMPUTED_VALUE"""),28.0)</f>
        <v>28</v>
      </c>
      <c r="G1676" s="1">
        <f>IFERROR(__xludf.DUMMYFUNCTION("""COMPUTED_VALUE"""),99.0)</f>
        <v>99</v>
      </c>
      <c r="H1676" s="1">
        <f>IFERROR(__xludf.DUMMYFUNCTION("""COMPUTED_VALUE"""),44.0)</f>
        <v>44</v>
      </c>
      <c r="I1676" s="1">
        <f>IFERROR(__xludf.DUMMYFUNCTION("""COMPUTED_VALUE"""),32.0)</f>
        <v>32</v>
      </c>
      <c r="J1676" s="1">
        <f>IFERROR(__xludf.DUMMYFUNCTION("""COMPUTED_VALUE"""),241.0)</f>
        <v>241</v>
      </c>
      <c r="K1676" s="1">
        <f>IFERROR(__xludf.DUMMYFUNCTION("""COMPUTED_VALUE"""),48.199999999999996)</f>
        <v>48.2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>
        <f>IFERROR(__xludf.DUMMYFUNCTION("""COMPUTED_VALUE"""),31.0)</f>
        <v>31</v>
      </c>
      <c r="E1677" s="1">
        <f>IFERROR(__xludf.DUMMYFUNCTION("""COMPUTED_VALUE"""),20.0)</f>
        <v>20</v>
      </c>
      <c r="F1677" s="1">
        <f>IFERROR(__xludf.DUMMYFUNCTION("""COMPUTED_VALUE"""),58.0)</f>
        <v>58</v>
      </c>
      <c r="G1677" s="1">
        <f>IFERROR(__xludf.DUMMYFUNCTION("""COMPUTED_VALUE"""),95.0)</f>
        <v>95</v>
      </c>
      <c r="H1677" s="1">
        <f>IFERROR(__xludf.DUMMYFUNCTION("""COMPUTED_VALUE"""),57.0)</f>
        <v>57</v>
      </c>
      <c r="I1677" s="1">
        <f>IFERROR(__xludf.DUMMYFUNCTION("""COMPUTED_VALUE"""),57.0)</f>
        <v>57</v>
      </c>
      <c r="J1677" s="1">
        <f>IFERROR(__xludf.DUMMYFUNCTION("""COMPUTED_VALUE"""),287.0)</f>
        <v>287</v>
      </c>
      <c r="K1677" s="1">
        <f>IFERROR(__xludf.DUMMYFUNCTION("""COMPUTED_VALUE"""),57.4)</f>
        <v>57.4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>
        <f>IFERROR(__xludf.DUMMYFUNCTION("""COMPUTED_VALUE"""),12.0)</f>
        <v>12</v>
      </c>
      <c r="E1678" s="1">
        <f>IFERROR(__xludf.DUMMYFUNCTION("""COMPUTED_VALUE"""),76.0)</f>
        <v>76</v>
      </c>
      <c r="F1678" s="1">
        <f>IFERROR(__xludf.DUMMYFUNCTION("""COMPUTED_VALUE"""),44.0)</f>
        <v>44</v>
      </c>
      <c r="G1678" s="1">
        <f>IFERROR(__xludf.DUMMYFUNCTION("""COMPUTED_VALUE"""),83.0)</f>
        <v>83</v>
      </c>
      <c r="H1678" s="1">
        <f>IFERROR(__xludf.DUMMYFUNCTION("""COMPUTED_VALUE"""),81.0)</f>
        <v>81</v>
      </c>
      <c r="I1678" s="1">
        <f>IFERROR(__xludf.DUMMYFUNCTION("""COMPUTED_VALUE"""),52.0)</f>
        <v>52</v>
      </c>
      <c r="J1678" s="1">
        <f>IFERROR(__xludf.DUMMYFUNCTION("""COMPUTED_VALUE"""),336.0)</f>
        <v>336</v>
      </c>
      <c r="K1678" s="1">
        <f>IFERROR(__xludf.DUMMYFUNCTION("""COMPUTED_VALUE"""),67.2)</f>
        <v>67.2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>
        <f>IFERROR(__xludf.DUMMYFUNCTION("""COMPUTED_VALUE"""),33.0)</f>
        <v>33</v>
      </c>
      <c r="E1679" s="1">
        <f>IFERROR(__xludf.DUMMYFUNCTION("""COMPUTED_VALUE"""),38.0)</f>
        <v>38</v>
      </c>
      <c r="F1679" s="1">
        <f>IFERROR(__xludf.DUMMYFUNCTION("""COMPUTED_VALUE"""),25.0)</f>
        <v>25</v>
      </c>
      <c r="G1679" s="1">
        <f>IFERROR(__xludf.DUMMYFUNCTION("""COMPUTED_VALUE"""),99.0)</f>
        <v>99</v>
      </c>
      <c r="H1679" s="1">
        <f>IFERROR(__xludf.DUMMYFUNCTION("""COMPUTED_VALUE"""),94.0)</f>
        <v>94</v>
      </c>
      <c r="I1679" s="1">
        <f>IFERROR(__xludf.DUMMYFUNCTION("""COMPUTED_VALUE"""),29.0)</f>
        <v>29</v>
      </c>
      <c r="J1679" s="1">
        <f>IFERROR(__xludf.DUMMYFUNCTION("""COMPUTED_VALUE"""),285.0)</f>
        <v>285</v>
      </c>
      <c r="K1679" s="1">
        <f>IFERROR(__xludf.DUMMYFUNCTION("""COMPUTED_VALUE"""),56.99999999999999)</f>
        <v>57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>
        <f>IFERROR(__xludf.DUMMYFUNCTION("""COMPUTED_VALUE"""),44.0)</f>
        <v>44</v>
      </c>
      <c r="E1680" s="1">
        <f>IFERROR(__xludf.DUMMYFUNCTION("""COMPUTED_VALUE"""),59.0)</f>
        <v>59</v>
      </c>
      <c r="F1680" s="1">
        <f>IFERROR(__xludf.DUMMYFUNCTION("""COMPUTED_VALUE"""),31.0)</f>
        <v>31</v>
      </c>
      <c r="G1680" s="1">
        <f>IFERROR(__xludf.DUMMYFUNCTION("""COMPUTED_VALUE"""),87.0)</f>
        <v>87</v>
      </c>
      <c r="H1680" s="1">
        <f>IFERROR(__xludf.DUMMYFUNCTION("""COMPUTED_VALUE"""),88.0)</f>
        <v>88</v>
      </c>
      <c r="I1680" s="1">
        <f>IFERROR(__xludf.DUMMYFUNCTION("""COMPUTED_VALUE"""),97.0)</f>
        <v>97</v>
      </c>
      <c r="J1680" s="1">
        <f>IFERROR(__xludf.DUMMYFUNCTION("""COMPUTED_VALUE"""),362.0)</f>
        <v>362</v>
      </c>
      <c r="K1680" s="1">
        <f>IFERROR(__xludf.DUMMYFUNCTION("""COMPUTED_VALUE"""),72.39999999999999)</f>
        <v>72.4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>
        <f>IFERROR(__xludf.DUMMYFUNCTION("""COMPUTED_VALUE"""),38.0)</f>
        <v>38</v>
      </c>
      <c r="E1681" s="1">
        <f>IFERROR(__xludf.DUMMYFUNCTION("""COMPUTED_VALUE"""),25.0)</f>
        <v>25</v>
      </c>
      <c r="F1681" s="1">
        <f>IFERROR(__xludf.DUMMYFUNCTION("""COMPUTED_VALUE"""),80.0)</f>
        <v>80</v>
      </c>
      <c r="G1681" s="1">
        <f>IFERROR(__xludf.DUMMYFUNCTION("""COMPUTED_VALUE"""),43.0)</f>
        <v>43</v>
      </c>
      <c r="H1681" s="1">
        <f>IFERROR(__xludf.DUMMYFUNCTION("""COMPUTED_VALUE"""),98.0)</f>
        <v>98</v>
      </c>
      <c r="I1681" s="1">
        <f>IFERROR(__xludf.DUMMYFUNCTION("""COMPUTED_VALUE"""),29.0)</f>
        <v>29</v>
      </c>
      <c r="J1681" s="1">
        <f>IFERROR(__xludf.DUMMYFUNCTION("""COMPUTED_VALUE"""),275.0)</f>
        <v>275</v>
      </c>
      <c r="K1681" s="1">
        <f>IFERROR(__xludf.DUMMYFUNCTION("""COMPUTED_VALUE"""),55.00000000000001)</f>
        <v>55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>
        <f>IFERROR(__xludf.DUMMYFUNCTION("""COMPUTED_VALUE"""),21.0)</f>
        <v>21</v>
      </c>
      <c r="E1682" s="1">
        <f>IFERROR(__xludf.DUMMYFUNCTION("""COMPUTED_VALUE"""),55.0)</f>
        <v>55</v>
      </c>
      <c r="F1682" s="1">
        <f>IFERROR(__xludf.DUMMYFUNCTION("""COMPUTED_VALUE"""),62.0)</f>
        <v>62</v>
      </c>
      <c r="G1682" s="1">
        <f>IFERROR(__xludf.DUMMYFUNCTION("""COMPUTED_VALUE"""),81.0)</f>
        <v>81</v>
      </c>
      <c r="H1682" s="1">
        <f>IFERROR(__xludf.DUMMYFUNCTION("""COMPUTED_VALUE"""),48.0)</f>
        <v>48</v>
      </c>
      <c r="I1682" s="1">
        <f>IFERROR(__xludf.DUMMYFUNCTION("""COMPUTED_VALUE"""),93.0)</f>
        <v>93</v>
      </c>
      <c r="J1682" s="1">
        <f>IFERROR(__xludf.DUMMYFUNCTION("""COMPUTED_VALUE"""),339.0)</f>
        <v>339</v>
      </c>
      <c r="K1682" s="1">
        <f>IFERROR(__xludf.DUMMYFUNCTION("""COMPUTED_VALUE"""),67.80000000000001)</f>
        <v>67.8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>
        <f>IFERROR(__xludf.DUMMYFUNCTION("""COMPUTED_VALUE"""),95.0)</f>
        <v>95</v>
      </c>
      <c r="E1683" s="1">
        <f>IFERROR(__xludf.DUMMYFUNCTION("""COMPUTED_VALUE"""),55.0)</f>
        <v>55</v>
      </c>
      <c r="F1683" s="1">
        <f>IFERROR(__xludf.DUMMYFUNCTION("""COMPUTED_VALUE"""),33.0)</f>
        <v>33</v>
      </c>
      <c r="G1683" s="1">
        <f>IFERROR(__xludf.DUMMYFUNCTION("""COMPUTED_VALUE"""),62.0)</f>
        <v>62</v>
      </c>
      <c r="H1683" s="1">
        <f>IFERROR(__xludf.DUMMYFUNCTION("""COMPUTED_VALUE"""),63.0)</f>
        <v>63</v>
      </c>
      <c r="I1683" s="1">
        <f>IFERROR(__xludf.DUMMYFUNCTION("""COMPUTED_VALUE"""),50.0)</f>
        <v>50</v>
      </c>
      <c r="J1683" s="1">
        <f>IFERROR(__xludf.DUMMYFUNCTION("""COMPUTED_VALUE"""),263.0)</f>
        <v>263</v>
      </c>
      <c r="K1683" s="1">
        <f>IFERROR(__xludf.DUMMYFUNCTION("""COMPUTED_VALUE"""),52.6)</f>
        <v>52.6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>
        <f>IFERROR(__xludf.DUMMYFUNCTION("""COMPUTED_VALUE"""),76.0)</f>
        <v>76</v>
      </c>
      <c r="E1684" s="1">
        <f>IFERROR(__xludf.DUMMYFUNCTION("""COMPUTED_VALUE"""),77.0)</f>
        <v>77</v>
      </c>
      <c r="F1684" s="1">
        <f>IFERROR(__xludf.DUMMYFUNCTION("""COMPUTED_VALUE"""),24.0)</f>
        <v>24</v>
      </c>
      <c r="G1684" s="1">
        <f>IFERROR(__xludf.DUMMYFUNCTION("""COMPUTED_VALUE"""),46.0)</f>
        <v>46</v>
      </c>
      <c r="H1684" s="1">
        <f>IFERROR(__xludf.DUMMYFUNCTION("""COMPUTED_VALUE"""),61.0)</f>
        <v>61</v>
      </c>
      <c r="I1684" s="1">
        <f>IFERROR(__xludf.DUMMYFUNCTION("""COMPUTED_VALUE"""),21.0)</f>
        <v>21</v>
      </c>
      <c r="J1684" s="1">
        <f>IFERROR(__xludf.DUMMYFUNCTION("""COMPUTED_VALUE"""),229.0)</f>
        <v>229</v>
      </c>
      <c r="K1684" s="1">
        <f>IFERROR(__xludf.DUMMYFUNCTION("""COMPUTED_VALUE"""),45.800000000000004)</f>
        <v>45.8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>
        <f>IFERROR(__xludf.DUMMYFUNCTION("""COMPUTED_VALUE"""),23.0)</f>
        <v>23</v>
      </c>
      <c r="E1685" s="1">
        <f>IFERROR(__xludf.DUMMYFUNCTION("""COMPUTED_VALUE"""),89.0)</f>
        <v>89</v>
      </c>
      <c r="F1685" s="1">
        <f>IFERROR(__xludf.DUMMYFUNCTION("""COMPUTED_VALUE"""),85.0)</f>
        <v>85</v>
      </c>
      <c r="G1685" s="1">
        <f>IFERROR(__xludf.DUMMYFUNCTION("""COMPUTED_VALUE"""),48.0)</f>
        <v>48</v>
      </c>
      <c r="H1685" s="1">
        <f>IFERROR(__xludf.DUMMYFUNCTION("""COMPUTED_VALUE"""),88.0)</f>
        <v>88</v>
      </c>
      <c r="I1685" s="1">
        <f>IFERROR(__xludf.DUMMYFUNCTION("""COMPUTED_VALUE"""),62.0)</f>
        <v>62</v>
      </c>
      <c r="J1685" s="1">
        <f>IFERROR(__xludf.DUMMYFUNCTION("""COMPUTED_VALUE"""),372.0)</f>
        <v>372</v>
      </c>
      <c r="K1685" s="1">
        <f>IFERROR(__xludf.DUMMYFUNCTION("""COMPUTED_VALUE"""),74.4)</f>
        <v>74.4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>
        <f>IFERROR(__xludf.DUMMYFUNCTION("""COMPUTED_VALUE"""),31.0)</f>
        <v>31</v>
      </c>
      <c r="E1686" s="1">
        <f>IFERROR(__xludf.DUMMYFUNCTION("""COMPUTED_VALUE"""),55.0)</f>
        <v>55</v>
      </c>
      <c r="F1686" s="1">
        <f>IFERROR(__xludf.DUMMYFUNCTION("""COMPUTED_VALUE"""),40.0)</f>
        <v>40</v>
      </c>
      <c r="G1686" s="1">
        <f>IFERROR(__xludf.DUMMYFUNCTION("""COMPUTED_VALUE"""),44.0)</f>
        <v>44</v>
      </c>
      <c r="H1686" s="1">
        <f>IFERROR(__xludf.DUMMYFUNCTION("""COMPUTED_VALUE"""),21.0)</f>
        <v>21</v>
      </c>
      <c r="I1686" s="1">
        <f>IFERROR(__xludf.DUMMYFUNCTION("""COMPUTED_VALUE"""),93.0)</f>
        <v>93</v>
      </c>
      <c r="J1686" s="1">
        <f>IFERROR(__xludf.DUMMYFUNCTION("""COMPUTED_VALUE"""),253.0)</f>
        <v>253</v>
      </c>
      <c r="K1686" s="1">
        <f>IFERROR(__xludf.DUMMYFUNCTION("""COMPUTED_VALUE"""),50.6)</f>
        <v>50.6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>
        <f>IFERROR(__xludf.DUMMYFUNCTION("""COMPUTED_VALUE"""),42.0)</f>
        <v>42</v>
      </c>
      <c r="E1687" s="1">
        <f>IFERROR(__xludf.DUMMYFUNCTION("""COMPUTED_VALUE"""),61.0)</f>
        <v>61</v>
      </c>
      <c r="F1687" s="1">
        <f>IFERROR(__xludf.DUMMYFUNCTION("""COMPUTED_VALUE"""),25.0)</f>
        <v>25</v>
      </c>
      <c r="G1687" s="1">
        <f>IFERROR(__xludf.DUMMYFUNCTION("""COMPUTED_VALUE"""),51.0)</f>
        <v>51</v>
      </c>
      <c r="H1687" s="1">
        <f>IFERROR(__xludf.DUMMYFUNCTION("""COMPUTED_VALUE"""),68.0)</f>
        <v>68</v>
      </c>
      <c r="I1687" s="1">
        <f>IFERROR(__xludf.DUMMYFUNCTION("""COMPUTED_VALUE"""),30.0)</f>
        <v>30</v>
      </c>
      <c r="J1687" s="1">
        <f>IFERROR(__xludf.DUMMYFUNCTION("""COMPUTED_VALUE"""),235.0)</f>
        <v>235</v>
      </c>
      <c r="K1687" s="1">
        <f>IFERROR(__xludf.DUMMYFUNCTION("""COMPUTED_VALUE"""),47.0)</f>
        <v>47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>
        <f>IFERROR(__xludf.DUMMYFUNCTION("""COMPUTED_VALUE"""),33.0)</f>
        <v>33</v>
      </c>
      <c r="E1688" s="1">
        <f>IFERROR(__xludf.DUMMYFUNCTION("""COMPUTED_VALUE"""),21.0)</f>
        <v>21</v>
      </c>
      <c r="F1688" s="1">
        <f>IFERROR(__xludf.DUMMYFUNCTION("""COMPUTED_VALUE"""),21.0)</f>
        <v>21</v>
      </c>
      <c r="G1688" s="1">
        <f>IFERROR(__xludf.DUMMYFUNCTION("""COMPUTED_VALUE"""),94.0)</f>
        <v>94</v>
      </c>
      <c r="H1688" s="1">
        <f>IFERROR(__xludf.DUMMYFUNCTION("""COMPUTED_VALUE"""),36.0)</f>
        <v>36</v>
      </c>
      <c r="I1688" s="1">
        <f>IFERROR(__xludf.DUMMYFUNCTION("""COMPUTED_VALUE"""),63.0)</f>
        <v>63</v>
      </c>
      <c r="J1688" s="1">
        <f>IFERROR(__xludf.DUMMYFUNCTION("""COMPUTED_VALUE"""),235.0)</f>
        <v>235</v>
      </c>
      <c r="K1688" s="1">
        <f>IFERROR(__xludf.DUMMYFUNCTION("""COMPUTED_VALUE"""),47.0)</f>
        <v>47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>
        <f>IFERROR(__xludf.DUMMYFUNCTION("""COMPUTED_VALUE"""),72.0)</f>
        <v>72</v>
      </c>
      <c r="E1689" s="1">
        <f>IFERROR(__xludf.DUMMYFUNCTION("""COMPUTED_VALUE"""),79.0)</f>
        <v>79</v>
      </c>
      <c r="F1689" s="1">
        <f>IFERROR(__xludf.DUMMYFUNCTION("""COMPUTED_VALUE"""),79.0)</f>
        <v>79</v>
      </c>
      <c r="G1689" s="1">
        <f>IFERROR(__xludf.DUMMYFUNCTION("""COMPUTED_VALUE"""),35.0)</f>
        <v>35</v>
      </c>
      <c r="H1689" s="1">
        <f>IFERROR(__xludf.DUMMYFUNCTION("""COMPUTED_VALUE"""),26.0)</f>
        <v>26</v>
      </c>
      <c r="I1689" s="1">
        <f>IFERROR(__xludf.DUMMYFUNCTION("""COMPUTED_VALUE"""),52.0)</f>
        <v>52</v>
      </c>
      <c r="J1689" s="1">
        <f>IFERROR(__xludf.DUMMYFUNCTION("""COMPUTED_VALUE"""),271.0)</f>
        <v>271</v>
      </c>
      <c r="K1689" s="1">
        <f>IFERROR(__xludf.DUMMYFUNCTION("""COMPUTED_VALUE"""),54.2)</f>
        <v>54.2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>
        <f>IFERROR(__xludf.DUMMYFUNCTION("""COMPUTED_VALUE"""),28.0)</f>
        <v>28</v>
      </c>
      <c r="E1690" s="1">
        <f>IFERROR(__xludf.DUMMYFUNCTION("""COMPUTED_VALUE"""),74.0)</f>
        <v>74</v>
      </c>
      <c r="F1690" s="1">
        <f>IFERROR(__xludf.DUMMYFUNCTION("""COMPUTED_VALUE"""),70.0)</f>
        <v>70</v>
      </c>
      <c r="G1690" s="1">
        <f>IFERROR(__xludf.DUMMYFUNCTION("""COMPUTED_VALUE"""),27.0)</f>
        <v>27</v>
      </c>
      <c r="H1690" s="1">
        <f>IFERROR(__xludf.DUMMYFUNCTION("""COMPUTED_VALUE"""),70.0)</f>
        <v>70</v>
      </c>
      <c r="I1690" s="1">
        <f>IFERROR(__xludf.DUMMYFUNCTION("""COMPUTED_VALUE"""),54.0)</f>
        <v>54</v>
      </c>
      <c r="J1690" s="1">
        <f>IFERROR(__xludf.DUMMYFUNCTION("""COMPUTED_VALUE"""),295.0)</f>
        <v>295</v>
      </c>
      <c r="K1690" s="1">
        <f>IFERROR(__xludf.DUMMYFUNCTION("""COMPUTED_VALUE"""),59.0)</f>
        <v>59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>
        <f>IFERROR(__xludf.DUMMYFUNCTION("""COMPUTED_VALUE"""),28.0)</f>
        <v>28</v>
      </c>
      <c r="E1691" s="1">
        <f>IFERROR(__xludf.DUMMYFUNCTION("""COMPUTED_VALUE"""),76.0)</f>
        <v>76</v>
      </c>
      <c r="F1691" s="1">
        <f>IFERROR(__xludf.DUMMYFUNCTION("""COMPUTED_VALUE"""),20.0)</f>
        <v>20</v>
      </c>
      <c r="G1691" s="1">
        <f>IFERROR(__xludf.DUMMYFUNCTION("""COMPUTED_VALUE"""),56.0)</f>
        <v>56</v>
      </c>
      <c r="H1691" s="1">
        <f>IFERROR(__xludf.DUMMYFUNCTION("""COMPUTED_VALUE"""),66.0)</f>
        <v>66</v>
      </c>
      <c r="I1691" s="1">
        <f>IFERROR(__xludf.DUMMYFUNCTION("""COMPUTED_VALUE"""),92.0)</f>
        <v>92</v>
      </c>
      <c r="J1691" s="1">
        <f>IFERROR(__xludf.DUMMYFUNCTION("""COMPUTED_VALUE"""),310.0)</f>
        <v>310</v>
      </c>
      <c r="K1691" s="1">
        <f>IFERROR(__xludf.DUMMYFUNCTION("""COMPUTED_VALUE"""),62.0)</f>
        <v>62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>
        <f>IFERROR(__xludf.DUMMYFUNCTION("""COMPUTED_VALUE"""),16.0)</f>
        <v>16</v>
      </c>
      <c r="E1692" s="1">
        <f>IFERROR(__xludf.DUMMYFUNCTION("""COMPUTED_VALUE"""),84.0)</f>
        <v>84</v>
      </c>
      <c r="F1692" s="1">
        <f>IFERROR(__xludf.DUMMYFUNCTION("""COMPUTED_VALUE"""),39.0)</f>
        <v>39</v>
      </c>
      <c r="G1692" s="1">
        <f>IFERROR(__xludf.DUMMYFUNCTION("""COMPUTED_VALUE"""),58.0)</f>
        <v>58</v>
      </c>
      <c r="H1692" s="1">
        <f>IFERROR(__xludf.DUMMYFUNCTION("""COMPUTED_VALUE"""),99.0)</f>
        <v>99</v>
      </c>
      <c r="I1692" s="1">
        <f>IFERROR(__xludf.DUMMYFUNCTION("""COMPUTED_VALUE"""),82.0)</f>
        <v>82</v>
      </c>
      <c r="J1692" s="1">
        <f>IFERROR(__xludf.DUMMYFUNCTION("""COMPUTED_VALUE"""),362.0)</f>
        <v>362</v>
      </c>
      <c r="K1692" s="1">
        <f>IFERROR(__xludf.DUMMYFUNCTION("""COMPUTED_VALUE"""),72.39999999999999)</f>
        <v>72.4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>
        <f>IFERROR(__xludf.DUMMYFUNCTION("""COMPUTED_VALUE"""),76.0)</f>
        <v>76</v>
      </c>
      <c r="E1693" s="1">
        <f>IFERROR(__xludf.DUMMYFUNCTION("""COMPUTED_VALUE"""),81.0)</f>
        <v>81</v>
      </c>
      <c r="F1693" s="1">
        <f>IFERROR(__xludf.DUMMYFUNCTION("""COMPUTED_VALUE"""),30.0)</f>
        <v>30</v>
      </c>
      <c r="G1693" s="1">
        <f>IFERROR(__xludf.DUMMYFUNCTION("""COMPUTED_VALUE"""),67.0)</f>
        <v>67</v>
      </c>
      <c r="H1693" s="1">
        <f>IFERROR(__xludf.DUMMYFUNCTION("""COMPUTED_VALUE"""),27.0)</f>
        <v>27</v>
      </c>
      <c r="I1693" s="1">
        <f>IFERROR(__xludf.DUMMYFUNCTION("""COMPUTED_VALUE"""),69.0)</f>
        <v>69</v>
      </c>
      <c r="J1693" s="1">
        <f>IFERROR(__xludf.DUMMYFUNCTION("""COMPUTED_VALUE"""),274.0)</f>
        <v>274</v>
      </c>
      <c r="K1693" s="1">
        <f>IFERROR(__xludf.DUMMYFUNCTION("""COMPUTED_VALUE"""),54.800000000000004)</f>
        <v>54.8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>
        <f>IFERROR(__xludf.DUMMYFUNCTION("""COMPUTED_VALUE"""),42.0)</f>
        <v>42</v>
      </c>
      <c r="E1694" s="1">
        <f>IFERROR(__xludf.DUMMYFUNCTION("""COMPUTED_VALUE"""),22.0)</f>
        <v>22</v>
      </c>
      <c r="F1694" s="1">
        <f>IFERROR(__xludf.DUMMYFUNCTION("""COMPUTED_VALUE"""),73.0)</f>
        <v>73</v>
      </c>
      <c r="G1694" s="1">
        <f>IFERROR(__xludf.DUMMYFUNCTION("""COMPUTED_VALUE"""),70.0)</f>
        <v>70</v>
      </c>
      <c r="H1694" s="1">
        <f>IFERROR(__xludf.DUMMYFUNCTION("""COMPUTED_VALUE"""),73.0)</f>
        <v>73</v>
      </c>
      <c r="I1694" s="1">
        <f>IFERROR(__xludf.DUMMYFUNCTION("""COMPUTED_VALUE"""),51.0)</f>
        <v>51</v>
      </c>
      <c r="J1694" s="1">
        <f>IFERROR(__xludf.DUMMYFUNCTION("""COMPUTED_VALUE"""),289.0)</f>
        <v>289</v>
      </c>
      <c r="K1694" s="1">
        <f>IFERROR(__xludf.DUMMYFUNCTION("""COMPUTED_VALUE"""),57.8)</f>
        <v>57.8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>
        <f>IFERROR(__xludf.DUMMYFUNCTION("""COMPUTED_VALUE"""),71.0)</f>
        <v>71</v>
      </c>
      <c r="E1695" s="1">
        <f>IFERROR(__xludf.DUMMYFUNCTION("""COMPUTED_VALUE"""),28.0)</f>
        <v>28</v>
      </c>
      <c r="F1695" s="1">
        <f>IFERROR(__xludf.DUMMYFUNCTION("""COMPUTED_VALUE"""),80.0)</f>
        <v>80</v>
      </c>
      <c r="G1695" s="1">
        <f>IFERROR(__xludf.DUMMYFUNCTION("""COMPUTED_VALUE"""),96.0)</f>
        <v>96</v>
      </c>
      <c r="H1695" s="1">
        <f>IFERROR(__xludf.DUMMYFUNCTION("""COMPUTED_VALUE"""),41.0)</f>
        <v>41</v>
      </c>
      <c r="I1695" s="1">
        <f>IFERROR(__xludf.DUMMYFUNCTION("""COMPUTED_VALUE"""),80.0)</f>
        <v>80</v>
      </c>
      <c r="J1695" s="1">
        <f>IFERROR(__xludf.DUMMYFUNCTION("""COMPUTED_VALUE"""),325.0)</f>
        <v>325</v>
      </c>
      <c r="K1695" s="1">
        <f>IFERROR(__xludf.DUMMYFUNCTION("""COMPUTED_VALUE"""),65.0)</f>
        <v>65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>
        <f>IFERROR(__xludf.DUMMYFUNCTION("""COMPUTED_VALUE"""),66.0)</f>
        <v>66</v>
      </c>
      <c r="E1696" s="1">
        <f>IFERROR(__xludf.DUMMYFUNCTION("""COMPUTED_VALUE"""),90.0)</f>
        <v>90</v>
      </c>
      <c r="F1696" s="1">
        <f>IFERROR(__xludf.DUMMYFUNCTION("""COMPUTED_VALUE"""),39.0)</f>
        <v>39</v>
      </c>
      <c r="G1696" s="1">
        <f>IFERROR(__xludf.DUMMYFUNCTION("""COMPUTED_VALUE"""),21.0)</f>
        <v>21</v>
      </c>
      <c r="H1696" s="1">
        <f>IFERROR(__xludf.DUMMYFUNCTION("""COMPUTED_VALUE"""),42.0)</f>
        <v>42</v>
      </c>
      <c r="I1696" s="1">
        <f>IFERROR(__xludf.DUMMYFUNCTION("""COMPUTED_VALUE"""),85.0)</f>
        <v>85</v>
      </c>
      <c r="J1696" s="1">
        <f>IFERROR(__xludf.DUMMYFUNCTION("""COMPUTED_VALUE"""),277.0)</f>
        <v>277</v>
      </c>
      <c r="K1696" s="1">
        <f>IFERROR(__xludf.DUMMYFUNCTION("""COMPUTED_VALUE"""),55.400000000000006)</f>
        <v>55.4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>
        <f>IFERROR(__xludf.DUMMYFUNCTION("""COMPUTED_VALUE"""),56.0)</f>
        <v>56</v>
      </c>
      <c r="E1697" s="1">
        <f>IFERROR(__xludf.DUMMYFUNCTION("""COMPUTED_VALUE"""),37.0)</f>
        <v>37</v>
      </c>
      <c r="F1697" s="1">
        <f>IFERROR(__xludf.DUMMYFUNCTION("""COMPUTED_VALUE"""),71.0)</f>
        <v>71</v>
      </c>
      <c r="G1697" s="1">
        <f>IFERROR(__xludf.DUMMYFUNCTION("""COMPUTED_VALUE"""),64.0)</f>
        <v>64</v>
      </c>
      <c r="H1697" s="1">
        <f>IFERROR(__xludf.DUMMYFUNCTION("""COMPUTED_VALUE"""),90.0)</f>
        <v>90</v>
      </c>
      <c r="I1697" s="1">
        <f>IFERROR(__xludf.DUMMYFUNCTION("""COMPUTED_VALUE"""),26.0)</f>
        <v>26</v>
      </c>
      <c r="J1697" s="1">
        <f>IFERROR(__xludf.DUMMYFUNCTION("""COMPUTED_VALUE"""),288.0)</f>
        <v>288</v>
      </c>
      <c r="K1697" s="1">
        <f>IFERROR(__xludf.DUMMYFUNCTION("""COMPUTED_VALUE"""),57.599999999999994)</f>
        <v>57.6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>
        <f>IFERROR(__xludf.DUMMYFUNCTION("""COMPUTED_VALUE"""),25.0)</f>
        <v>25</v>
      </c>
      <c r="E1698" s="1">
        <f>IFERROR(__xludf.DUMMYFUNCTION("""COMPUTED_VALUE"""),64.0)</f>
        <v>64</v>
      </c>
      <c r="F1698" s="1">
        <f>IFERROR(__xludf.DUMMYFUNCTION("""COMPUTED_VALUE"""),22.0)</f>
        <v>22</v>
      </c>
      <c r="G1698" s="1">
        <f>IFERROR(__xludf.DUMMYFUNCTION("""COMPUTED_VALUE"""),70.0)</f>
        <v>70</v>
      </c>
      <c r="H1698" s="1">
        <f>IFERROR(__xludf.DUMMYFUNCTION("""COMPUTED_VALUE"""),88.0)</f>
        <v>88</v>
      </c>
      <c r="I1698" s="1">
        <f>IFERROR(__xludf.DUMMYFUNCTION("""COMPUTED_VALUE"""),66.0)</f>
        <v>66</v>
      </c>
      <c r="J1698" s="1">
        <f>IFERROR(__xludf.DUMMYFUNCTION("""COMPUTED_VALUE"""),310.0)</f>
        <v>310</v>
      </c>
      <c r="K1698" s="1">
        <f>IFERROR(__xludf.DUMMYFUNCTION("""COMPUTED_VALUE"""),62.0)</f>
        <v>62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>
        <f>IFERROR(__xludf.DUMMYFUNCTION("""COMPUTED_VALUE"""),53.0)</f>
        <v>53</v>
      </c>
      <c r="E1699" s="1">
        <f>IFERROR(__xludf.DUMMYFUNCTION("""COMPUTED_VALUE"""),98.0)</f>
        <v>98</v>
      </c>
      <c r="F1699" s="1">
        <f>IFERROR(__xludf.DUMMYFUNCTION("""COMPUTED_VALUE"""),33.0)</f>
        <v>33</v>
      </c>
      <c r="G1699" s="1">
        <f>IFERROR(__xludf.DUMMYFUNCTION("""COMPUTED_VALUE"""),38.0)</f>
        <v>38</v>
      </c>
      <c r="H1699" s="1">
        <f>IFERROR(__xludf.DUMMYFUNCTION("""COMPUTED_VALUE"""),73.0)</f>
        <v>73</v>
      </c>
      <c r="I1699" s="1">
        <f>IFERROR(__xludf.DUMMYFUNCTION("""COMPUTED_VALUE"""),56.0)</f>
        <v>56</v>
      </c>
      <c r="J1699" s="1">
        <f>IFERROR(__xludf.DUMMYFUNCTION("""COMPUTED_VALUE"""),298.0)</f>
        <v>298</v>
      </c>
      <c r="K1699" s="1">
        <f>IFERROR(__xludf.DUMMYFUNCTION("""COMPUTED_VALUE"""),59.599999999999994)</f>
        <v>59.6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>
        <f>IFERROR(__xludf.DUMMYFUNCTION("""COMPUTED_VALUE"""),72.0)</f>
        <v>72</v>
      </c>
      <c r="E1700" s="1">
        <f>IFERROR(__xludf.DUMMYFUNCTION("""COMPUTED_VALUE"""),33.0)</f>
        <v>33</v>
      </c>
      <c r="F1700" s="1">
        <f>IFERROR(__xludf.DUMMYFUNCTION("""COMPUTED_VALUE"""),33.0)</f>
        <v>33</v>
      </c>
      <c r="G1700" s="1">
        <f>IFERROR(__xludf.DUMMYFUNCTION("""COMPUTED_VALUE"""),92.0)</f>
        <v>92</v>
      </c>
      <c r="H1700" s="1">
        <f>IFERROR(__xludf.DUMMYFUNCTION("""COMPUTED_VALUE"""),23.0)</f>
        <v>23</v>
      </c>
      <c r="I1700" s="1">
        <f>IFERROR(__xludf.DUMMYFUNCTION("""COMPUTED_VALUE"""),71.0)</f>
        <v>71</v>
      </c>
      <c r="J1700" s="1">
        <f>IFERROR(__xludf.DUMMYFUNCTION("""COMPUTED_VALUE"""),252.0)</f>
        <v>252</v>
      </c>
      <c r="K1700" s="1">
        <f>IFERROR(__xludf.DUMMYFUNCTION("""COMPUTED_VALUE"""),50.4)</f>
        <v>50.4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>
        <f>IFERROR(__xludf.DUMMYFUNCTION("""COMPUTED_VALUE"""),69.0)</f>
        <v>69</v>
      </c>
      <c r="E1701" s="1">
        <f>IFERROR(__xludf.DUMMYFUNCTION("""COMPUTED_VALUE"""),35.0)</f>
        <v>35</v>
      </c>
      <c r="F1701" s="1">
        <f>IFERROR(__xludf.DUMMYFUNCTION("""COMPUTED_VALUE"""),31.0)</f>
        <v>31</v>
      </c>
      <c r="G1701" s="1">
        <f>IFERROR(__xludf.DUMMYFUNCTION("""COMPUTED_VALUE"""),71.0)</f>
        <v>71</v>
      </c>
      <c r="H1701" s="1">
        <f>IFERROR(__xludf.DUMMYFUNCTION("""COMPUTED_VALUE"""),99.0)</f>
        <v>99</v>
      </c>
      <c r="I1701" s="1">
        <f>IFERROR(__xludf.DUMMYFUNCTION("""COMPUTED_VALUE"""),30.0)</f>
        <v>30</v>
      </c>
      <c r="J1701" s="1">
        <f>IFERROR(__xludf.DUMMYFUNCTION("""COMPUTED_VALUE"""),266.0)</f>
        <v>266</v>
      </c>
      <c r="K1701" s="1">
        <f>IFERROR(__xludf.DUMMYFUNCTION("""COMPUTED_VALUE"""),53.2)</f>
        <v>53.2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>
        <f>IFERROR(__xludf.DUMMYFUNCTION("""COMPUTED_VALUE"""),12.0)</f>
        <v>12</v>
      </c>
      <c r="E1702" s="1">
        <f>IFERROR(__xludf.DUMMYFUNCTION("""COMPUTED_VALUE"""),28.0)</f>
        <v>28</v>
      </c>
      <c r="F1702" s="1">
        <f>IFERROR(__xludf.DUMMYFUNCTION("""COMPUTED_VALUE"""),52.0)</f>
        <v>52</v>
      </c>
      <c r="G1702" s="1">
        <f>IFERROR(__xludf.DUMMYFUNCTION("""COMPUTED_VALUE"""),43.0)</f>
        <v>43</v>
      </c>
      <c r="H1702" s="1">
        <f>IFERROR(__xludf.DUMMYFUNCTION("""COMPUTED_VALUE"""),89.0)</f>
        <v>89</v>
      </c>
      <c r="I1702" s="1">
        <f>IFERROR(__xludf.DUMMYFUNCTION("""COMPUTED_VALUE"""),52.0)</f>
        <v>52</v>
      </c>
      <c r="J1702" s="1">
        <f>IFERROR(__xludf.DUMMYFUNCTION("""COMPUTED_VALUE"""),264.0)</f>
        <v>264</v>
      </c>
      <c r="K1702" s="1">
        <f>IFERROR(__xludf.DUMMYFUNCTION("""COMPUTED_VALUE"""),52.800000000000004)</f>
        <v>52.8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>
        <f>IFERROR(__xludf.DUMMYFUNCTION("""COMPUTED_VALUE"""),85.0)</f>
        <v>85</v>
      </c>
      <c r="E1703" s="1">
        <f>IFERROR(__xludf.DUMMYFUNCTION("""COMPUTED_VALUE"""),29.0)</f>
        <v>29</v>
      </c>
      <c r="F1703" s="1">
        <f>IFERROR(__xludf.DUMMYFUNCTION("""COMPUTED_VALUE"""),42.0)</f>
        <v>42</v>
      </c>
      <c r="G1703" s="1">
        <f>IFERROR(__xludf.DUMMYFUNCTION("""COMPUTED_VALUE"""),81.0)</f>
        <v>81</v>
      </c>
      <c r="H1703" s="1">
        <f>IFERROR(__xludf.DUMMYFUNCTION("""COMPUTED_VALUE"""),43.0)</f>
        <v>43</v>
      </c>
      <c r="I1703" s="1">
        <f>IFERROR(__xludf.DUMMYFUNCTION("""COMPUTED_VALUE"""),70.0)</f>
        <v>70</v>
      </c>
      <c r="J1703" s="1">
        <f>IFERROR(__xludf.DUMMYFUNCTION("""COMPUTED_VALUE"""),265.0)</f>
        <v>265</v>
      </c>
      <c r="K1703" s="1">
        <f>IFERROR(__xludf.DUMMYFUNCTION("""COMPUTED_VALUE"""),53.0)</f>
        <v>53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>
        <f>IFERROR(__xludf.DUMMYFUNCTION("""COMPUTED_VALUE"""),78.0)</f>
        <v>78</v>
      </c>
      <c r="E1704" s="1">
        <f>IFERROR(__xludf.DUMMYFUNCTION("""COMPUTED_VALUE"""),69.0)</f>
        <v>69</v>
      </c>
      <c r="F1704" s="1">
        <f>IFERROR(__xludf.DUMMYFUNCTION("""COMPUTED_VALUE"""),35.0)</f>
        <v>35</v>
      </c>
      <c r="G1704" s="1">
        <f>IFERROR(__xludf.DUMMYFUNCTION("""COMPUTED_VALUE"""),71.0)</f>
        <v>71</v>
      </c>
      <c r="H1704" s="1">
        <f>IFERROR(__xludf.DUMMYFUNCTION("""COMPUTED_VALUE"""),78.0)</f>
        <v>78</v>
      </c>
      <c r="I1704" s="1">
        <f>IFERROR(__xludf.DUMMYFUNCTION("""COMPUTED_VALUE"""),22.0)</f>
        <v>22</v>
      </c>
      <c r="J1704" s="1">
        <f>IFERROR(__xludf.DUMMYFUNCTION("""COMPUTED_VALUE"""),275.0)</f>
        <v>275</v>
      </c>
      <c r="K1704" s="1">
        <f>IFERROR(__xludf.DUMMYFUNCTION("""COMPUTED_VALUE"""),55.00000000000001)</f>
        <v>55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>
        <f>IFERROR(__xludf.DUMMYFUNCTION("""COMPUTED_VALUE"""),32.0)</f>
        <v>32</v>
      </c>
      <c r="E1705" s="1">
        <f>IFERROR(__xludf.DUMMYFUNCTION("""COMPUTED_VALUE"""),86.0)</f>
        <v>86</v>
      </c>
      <c r="F1705" s="1">
        <f>IFERROR(__xludf.DUMMYFUNCTION("""COMPUTED_VALUE"""),61.0)</f>
        <v>61</v>
      </c>
      <c r="G1705" s="1">
        <f>IFERROR(__xludf.DUMMYFUNCTION("""COMPUTED_VALUE"""),32.0)</f>
        <v>32</v>
      </c>
      <c r="H1705" s="1">
        <f>IFERROR(__xludf.DUMMYFUNCTION("""COMPUTED_VALUE"""),60.0)</f>
        <v>60</v>
      </c>
      <c r="I1705" s="1">
        <f>IFERROR(__xludf.DUMMYFUNCTION("""COMPUTED_VALUE"""),70.0)</f>
        <v>70</v>
      </c>
      <c r="J1705" s="1">
        <f>IFERROR(__xludf.DUMMYFUNCTION("""COMPUTED_VALUE"""),309.0)</f>
        <v>309</v>
      </c>
      <c r="K1705" s="1">
        <f>IFERROR(__xludf.DUMMYFUNCTION("""COMPUTED_VALUE"""),61.8)</f>
        <v>61.8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>
        <f>IFERROR(__xludf.DUMMYFUNCTION("""COMPUTED_VALUE"""),10.0)</f>
        <v>10</v>
      </c>
      <c r="E1706" s="1">
        <f>IFERROR(__xludf.DUMMYFUNCTION("""COMPUTED_VALUE"""),70.0)</f>
        <v>70</v>
      </c>
      <c r="F1706" s="1">
        <f>IFERROR(__xludf.DUMMYFUNCTION("""COMPUTED_VALUE"""),46.0)</f>
        <v>46</v>
      </c>
      <c r="G1706" s="1">
        <f>IFERROR(__xludf.DUMMYFUNCTION("""COMPUTED_VALUE"""),57.0)</f>
        <v>57</v>
      </c>
      <c r="H1706" s="1">
        <f>IFERROR(__xludf.DUMMYFUNCTION("""COMPUTED_VALUE"""),70.0)</f>
        <v>70</v>
      </c>
      <c r="I1706" s="1">
        <f>IFERROR(__xludf.DUMMYFUNCTION("""COMPUTED_VALUE"""),65.0)</f>
        <v>65</v>
      </c>
      <c r="J1706" s="1">
        <f>IFERROR(__xludf.DUMMYFUNCTION("""COMPUTED_VALUE"""),308.0)</f>
        <v>308</v>
      </c>
      <c r="K1706" s="1">
        <f>IFERROR(__xludf.DUMMYFUNCTION("""COMPUTED_VALUE"""),61.6)</f>
        <v>61.6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>
        <f>IFERROR(__xludf.DUMMYFUNCTION("""COMPUTED_VALUE"""),22.0)</f>
        <v>22</v>
      </c>
      <c r="E1707" s="1">
        <f>IFERROR(__xludf.DUMMYFUNCTION("""COMPUTED_VALUE"""),36.0)</f>
        <v>36</v>
      </c>
      <c r="F1707" s="1">
        <f>IFERROR(__xludf.DUMMYFUNCTION("""COMPUTED_VALUE"""),25.0)</f>
        <v>25</v>
      </c>
      <c r="G1707" s="1">
        <f>IFERROR(__xludf.DUMMYFUNCTION("""COMPUTED_VALUE"""),89.0)</f>
        <v>89</v>
      </c>
      <c r="H1707" s="1">
        <f>IFERROR(__xludf.DUMMYFUNCTION("""COMPUTED_VALUE"""),60.0)</f>
        <v>60</v>
      </c>
      <c r="I1707" s="1">
        <f>IFERROR(__xludf.DUMMYFUNCTION("""COMPUTED_VALUE"""),47.0)</f>
        <v>47</v>
      </c>
      <c r="J1707" s="1">
        <f>IFERROR(__xludf.DUMMYFUNCTION("""COMPUTED_VALUE"""),257.0)</f>
        <v>257</v>
      </c>
      <c r="K1707" s="1">
        <f>IFERROR(__xludf.DUMMYFUNCTION("""COMPUTED_VALUE"""),51.4)</f>
        <v>51.4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>
        <f>IFERROR(__xludf.DUMMYFUNCTION("""COMPUTED_VALUE"""),73.0)</f>
        <v>73</v>
      </c>
      <c r="E1708" s="1">
        <f>IFERROR(__xludf.DUMMYFUNCTION("""COMPUTED_VALUE"""),51.0)</f>
        <v>51</v>
      </c>
      <c r="F1708" s="1">
        <f>IFERROR(__xludf.DUMMYFUNCTION("""COMPUTED_VALUE"""),61.0)</f>
        <v>61</v>
      </c>
      <c r="G1708" s="1">
        <f>IFERROR(__xludf.DUMMYFUNCTION("""COMPUTED_VALUE"""),69.0)</f>
        <v>69</v>
      </c>
      <c r="H1708" s="1">
        <f>IFERROR(__xludf.DUMMYFUNCTION("""COMPUTED_VALUE"""),73.0)</f>
        <v>73</v>
      </c>
      <c r="I1708" s="1">
        <f>IFERROR(__xludf.DUMMYFUNCTION("""COMPUTED_VALUE"""),75.0)</f>
        <v>75</v>
      </c>
      <c r="J1708" s="1">
        <f>IFERROR(__xludf.DUMMYFUNCTION("""COMPUTED_VALUE"""),329.0)</f>
        <v>329</v>
      </c>
      <c r="K1708" s="1">
        <f>IFERROR(__xludf.DUMMYFUNCTION("""COMPUTED_VALUE"""),65.8)</f>
        <v>65.8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>
        <f>IFERROR(__xludf.DUMMYFUNCTION("""COMPUTED_VALUE"""),44.0)</f>
        <v>44</v>
      </c>
      <c r="E1709" s="1">
        <f>IFERROR(__xludf.DUMMYFUNCTION("""COMPUTED_VALUE"""),68.0)</f>
        <v>68</v>
      </c>
      <c r="F1709" s="1">
        <f>IFERROR(__xludf.DUMMYFUNCTION("""COMPUTED_VALUE"""),75.0)</f>
        <v>75</v>
      </c>
      <c r="G1709" s="1">
        <f>IFERROR(__xludf.DUMMYFUNCTION("""COMPUTED_VALUE"""),61.0)</f>
        <v>61</v>
      </c>
      <c r="H1709" s="1">
        <f>IFERROR(__xludf.DUMMYFUNCTION("""COMPUTED_VALUE"""),94.0)</f>
        <v>94</v>
      </c>
      <c r="I1709" s="1">
        <f>IFERROR(__xludf.DUMMYFUNCTION("""COMPUTED_VALUE"""),57.0)</f>
        <v>57</v>
      </c>
      <c r="J1709" s="1">
        <f>IFERROR(__xludf.DUMMYFUNCTION("""COMPUTED_VALUE"""),355.0)</f>
        <v>355</v>
      </c>
      <c r="K1709" s="1">
        <f>IFERROR(__xludf.DUMMYFUNCTION("""COMPUTED_VALUE"""),71.0)</f>
        <v>71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>
        <f>IFERROR(__xludf.DUMMYFUNCTION("""COMPUTED_VALUE"""),23.0)</f>
        <v>23</v>
      </c>
      <c r="E1710" s="1">
        <f>IFERROR(__xludf.DUMMYFUNCTION("""COMPUTED_VALUE"""),42.0)</f>
        <v>42</v>
      </c>
      <c r="F1710" s="1">
        <f>IFERROR(__xludf.DUMMYFUNCTION("""COMPUTED_VALUE"""),55.0)</f>
        <v>55</v>
      </c>
      <c r="G1710" s="1">
        <f>IFERROR(__xludf.DUMMYFUNCTION("""COMPUTED_VALUE"""),70.0)</f>
        <v>70</v>
      </c>
      <c r="H1710" s="1">
        <f>IFERROR(__xludf.DUMMYFUNCTION("""COMPUTED_VALUE"""),99.0)</f>
        <v>99</v>
      </c>
      <c r="I1710" s="1">
        <f>IFERROR(__xludf.DUMMYFUNCTION("""COMPUTED_VALUE"""),94.0)</f>
        <v>94</v>
      </c>
      <c r="J1710" s="1">
        <f>IFERROR(__xludf.DUMMYFUNCTION("""COMPUTED_VALUE"""),360.0)</f>
        <v>360</v>
      </c>
      <c r="K1710" s="1">
        <f>IFERROR(__xludf.DUMMYFUNCTION("""COMPUTED_VALUE"""),72.0)</f>
        <v>72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>
        <f>IFERROR(__xludf.DUMMYFUNCTION("""COMPUTED_VALUE"""),30.0)</f>
        <v>30</v>
      </c>
      <c r="E1711" s="1">
        <f>IFERROR(__xludf.DUMMYFUNCTION("""COMPUTED_VALUE"""),56.0)</f>
        <v>56</v>
      </c>
      <c r="F1711" s="1">
        <f>IFERROR(__xludf.DUMMYFUNCTION("""COMPUTED_VALUE"""),53.0)</f>
        <v>53</v>
      </c>
      <c r="G1711" s="1">
        <f>IFERROR(__xludf.DUMMYFUNCTION("""COMPUTED_VALUE"""),47.0)</f>
        <v>47</v>
      </c>
      <c r="H1711" s="1">
        <f>IFERROR(__xludf.DUMMYFUNCTION("""COMPUTED_VALUE"""),56.0)</f>
        <v>56</v>
      </c>
      <c r="I1711" s="1">
        <f>IFERROR(__xludf.DUMMYFUNCTION("""COMPUTED_VALUE"""),53.0)</f>
        <v>53</v>
      </c>
      <c r="J1711" s="1">
        <f>IFERROR(__xludf.DUMMYFUNCTION("""COMPUTED_VALUE"""),265.0)</f>
        <v>265</v>
      </c>
      <c r="K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>
        <f>IFERROR(__xludf.DUMMYFUNCTION("""COMPUTED_VALUE"""),79.0)</f>
        <v>79</v>
      </c>
      <c r="E1712" s="1">
        <f>IFERROR(__xludf.DUMMYFUNCTION("""COMPUTED_VALUE"""),58.0)</f>
        <v>58</v>
      </c>
      <c r="F1712" s="1">
        <f>IFERROR(__xludf.DUMMYFUNCTION("""COMPUTED_VALUE"""),42.0)</f>
        <v>42</v>
      </c>
      <c r="G1712" s="1">
        <f>IFERROR(__xludf.DUMMYFUNCTION("""COMPUTED_VALUE"""),90.0)</f>
        <v>90</v>
      </c>
      <c r="H1712" s="1">
        <f>IFERROR(__xludf.DUMMYFUNCTION("""COMPUTED_VALUE"""),68.0)</f>
        <v>68</v>
      </c>
      <c r="I1712" s="1">
        <f>IFERROR(__xludf.DUMMYFUNCTION("""COMPUTED_VALUE"""),70.0)</f>
        <v>70</v>
      </c>
      <c r="J1712" s="1">
        <f>IFERROR(__xludf.DUMMYFUNCTION("""COMPUTED_VALUE"""),328.0)</f>
        <v>328</v>
      </c>
      <c r="K1712" s="1">
        <f>IFERROR(__xludf.DUMMYFUNCTION("""COMPUTED_VALUE"""),65.60000000000001)</f>
        <v>65.6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>
        <f>IFERROR(__xludf.DUMMYFUNCTION("""COMPUTED_VALUE"""),85.0)</f>
        <v>85</v>
      </c>
      <c r="E1713" s="1">
        <f>IFERROR(__xludf.DUMMYFUNCTION("""COMPUTED_VALUE"""),60.0)</f>
        <v>60</v>
      </c>
      <c r="F1713" s="1">
        <f>IFERROR(__xludf.DUMMYFUNCTION("""COMPUTED_VALUE"""),96.0)</f>
        <v>96</v>
      </c>
      <c r="G1713" s="1">
        <f>IFERROR(__xludf.DUMMYFUNCTION("""COMPUTED_VALUE"""),51.0)</f>
        <v>51</v>
      </c>
      <c r="H1713" s="1">
        <f>IFERROR(__xludf.DUMMYFUNCTION("""COMPUTED_VALUE"""),66.0)</f>
        <v>66</v>
      </c>
      <c r="I1713" s="1">
        <f>IFERROR(__xludf.DUMMYFUNCTION("""COMPUTED_VALUE"""),58.0)</f>
        <v>58</v>
      </c>
      <c r="J1713" s="1">
        <f>IFERROR(__xludf.DUMMYFUNCTION("""COMPUTED_VALUE"""),331.0)</f>
        <v>331</v>
      </c>
      <c r="K1713" s="1">
        <f>IFERROR(__xludf.DUMMYFUNCTION("""COMPUTED_VALUE"""),66.2)</f>
        <v>66.2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>
        <f>IFERROR(__xludf.DUMMYFUNCTION("""COMPUTED_VALUE"""),44.0)</f>
        <v>44</v>
      </c>
      <c r="E1714" s="1">
        <f>IFERROR(__xludf.DUMMYFUNCTION("""COMPUTED_VALUE"""),55.0)</f>
        <v>55</v>
      </c>
      <c r="F1714" s="1">
        <f>IFERROR(__xludf.DUMMYFUNCTION("""COMPUTED_VALUE"""),92.0)</f>
        <v>92</v>
      </c>
      <c r="G1714" s="1">
        <f>IFERROR(__xludf.DUMMYFUNCTION("""COMPUTED_VALUE"""),21.0)</f>
        <v>21</v>
      </c>
      <c r="H1714" s="1">
        <f>IFERROR(__xludf.DUMMYFUNCTION("""COMPUTED_VALUE"""),86.0)</f>
        <v>86</v>
      </c>
      <c r="I1714" s="1">
        <f>IFERROR(__xludf.DUMMYFUNCTION("""COMPUTED_VALUE"""),69.0)</f>
        <v>69</v>
      </c>
      <c r="J1714" s="1">
        <f>IFERROR(__xludf.DUMMYFUNCTION("""COMPUTED_VALUE"""),323.0)</f>
        <v>323</v>
      </c>
      <c r="K1714" s="1">
        <f>IFERROR(__xludf.DUMMYFUNCTION("""COMPUTED_VALUE"""),64.60000000000001)</f>
        <v>64.6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>
        <f>IFERROR(__xludf.DUMMYFUNCTION("""COMPUTED_VALUE"""),29.0)</f>
        <v>29</v>
      </c>
      <c r="E1715" s="1">
        <f>IFERROR(__xludf.DUMMYFUNCTION("""COMPUTED_VALUE"""),82.0)</f>
        <v>82</v>
      </c>
      <c r="F1715" s="1">
        <f>IFERROR(__xludf.DUMMYFUNCTION("""COMPUTED_VALUE"""),39.0)</f>
        <v>39</v>
      </c>
      <c r="G1715" s="1">
        <f>IFERROR(__xludf.DUMMYFUNCTION("""COMPUTED_VALUE"""),48.0)</f>
        <v>48</v>
      </c>
      <c r="H1715" s="1">
        <f>IFERROR(__xludf.DUMMYFUNCTION("""COMPUTED_VALUE"""),84.0)</f>
        <v>84</v>
      </c>
      <c r="I1715" s="1">
        <f>IFERROR(__xludf.DUMMYFUNCTION("""COMPUTED_VALUE"""),51.0)</f>
        <v>51</v>
      </c>
      <c r="J1715" s="1">
        <f>IFERROR(__xludf.DUMMYFUNCTION("""COMPUTED_VALUE"""),304.0)</f>
        <v>304</v>
      </c>
      <c r="K1715" s="1">
        <f>IFERROR(__xludf.DUMMYFUNCTION("""COMPUTED_VALUE"""),60.8)</f>
        <v>60.8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>
        <f>IFERROR(__xludf.DUMMYFUNCTION("""COMPUTED_VALUE"""),12.0)</f>
        <v>12</v>
      </c>
      <c r="E1716" s="1">
        <f>IFERROR(__xludf.DUMMYFUNCTION("""COMPUTED_VALUE"""),50.0)</f>
        <v>50</v>
      </c>
      <c r="F1716" s="1">
        <f>IFERROR(__xludf.DUMMYFUNCTION("""COMPUTED_VALUE"""),95.0)</f>
        <v>95</v>
      </c>
      <c r="G1716" s="1">
        <f>IFERROR(__xludf.DUMMYFUNCTION("""COMPUTED_VALUE"""),42.0)</f>
        <v>42</v>
      </c>
      <c r="H1716" s="1">
        <f>IFERROR(__xludf.DUMMYFUNCTION("""COMPUTED_VALUE"""),78.0)</f>
        <v>78</v>
      </c>
      <c r="I1716" s="1">
        <f>IFERROR(__xludf.DUMMYFUNCTION("""COMPUTED_VALUE"""),33.0)</f>
        <v>33</v>
      </c>
      <c r="J1716" s="1">
        <f>IFERROR(__xludf.DUMMYFUNCTION("""COMPUTED_VALUE"""),298.0)</f>
        <v>298</v>
      </c>
      <c r="K1716" s="1">
        <f>IFERROR(__xludf.DUMMYFUNCTION("""COMPUTED_VALUE"""),59.599999999999994)</f>
        <v>59.6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>
        <f>IFERROR(__xludf.DUMMYFUNCTION("""COMPUTED_VALUE"""),27.0)</f>
        <v>27</v>
      </c>
      <c r="E1717" s="1">
        <f>IFERROR(__xludf.DUMMYFUNCTION("""COMPUTED_VALUE"""),93.0)</f>
        <v>93</v>
      </c>
      <c r="F1717" s="1">
        <f>IFERROR(__xludf.DUMMYFUNCTION("""COMPUTED_VALUE"""),34.0)</f>
        <v>34</v>
      </c>
      <c r="G1717" s="1">
        <f>IFERROR(__xludf.DUMMYFUNCTION("""COMPUTED_VALUE"""),52.0)</f>
        <v>52</v>
      </c>
      <c r="H1717" s="1">
        <f>IFERROR(__xludf.DUMMYFUNCTION("""COMPUTED_VALUE"""),55.0)</f>
        <v>55</v>
      </c>
      <c r="I1717" s="1">
        <f>IFERROR(__xludf.DUMMYFUNCTION("""COMPUTED_VALUE"""),52.0)</f>
        <v>52</v>
      </c>
      <c r="J1717" s="1">
        <f>IFERROR(__xludf.DUMMYFUNCTION("""COMPUTED_VALUE"""),286.0)</f>
        <v>286</v>
      </c>
      <c r="K1717" s="1">
        <f>IFERROR(__xludf.DUMMYFUNCTION("""COMPUTED_VALUE"""),57.199999999999996)</f>
        <v>57.2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>
        <f>IFERROR(__xludf.DUMMYFUNCTION("""COMPUTED_VALUE"""),70.0)</f>
        <v>70</v>
      </c>
      <c r="E1718" s="1">
        <f>IFERROR(__xludf.DUMMYFUNCTION("""COMPUTED_VALUE"""),44.0)</f>
        <v>44</v>
      </c>
      <c r="F1718" s="1">
        <f>IFERROR(__xludf.DUMMYFUNCTION("""COMPUTED_VALUE"""),79.0)</f>
        <v>79</v>
      </c>
      <c r="G1718" s="1">
        <f>IFERROR(__xludf.DUMMYFUNCTION("""COMPUTED_VALUE"""),83.0)</f>
        <v>83</v>
      </c>
      <c r="H1718" s="1">
        <f>IFERROR(__xludf.DUMMYFUNCTION("""COMPUTED_VALUE"""),49.0)</f>
        <v>49</v>
      </c>
      <c r="I1718" s="1">
        <f>IFERROR(__xludf.DUMMYFUNCTION("""COMPUTED_VALUE"""),24.0)</f>
        <v>24</v>
      </c>
      <c r="J1718" s="1">
        <f>IFERROR(__xludf.DUMMYFUNCTION("""COMPUTED_VALUE"""),279.0)</f>
        <v>279</v>
      </c>
      <c r="K1718" s="1">
        <f>IFERROR(__xludf.DUMMYFUNCTION("""COMPUTED_VALUE"""),55.800000000000004)</f>
        <v>55.8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>
        <f>IFERROR(__xludf.DUMMYFUNCTION("""COMPUTED_VALUE"""),46.0)</f>
        <v>46</v>
      </c>
      <c r="E1719" s="1">
        <f>IFERROR(__xludf.DUMMYFUNCTION("""COMPUTED_VALUE"""),49.0)</f>
        <v>49</v>
      </c>
      <c r="F1719" s="1">
        <f>IFERROR(__xludf.DUMMYFUNCTION("""COMPUTED_VALUE"""),95.0)</f>
        <v>95</v>
      </c>
      <c r="G1719" s="1">
        <f>IFERROR(__xludf.DUMMYFUNCTION("""COMPUTED_VALUE"""),54.0)</f>
        <v>54</v>
      </c>
      <c r="H1719" s="1">
        <f>IFERROR(__xludf.DUMMYFUNCTION("""COMPUTED_VALUE"""),61.0)</f>
        <v>61</v>
      </c>
      <c r="I1719" s="1">
        <f>IFERROR(__xludf.DUMMYFUNCTION("""COMPUTED_VALUE"""),71.0)</f>
        <v>71</v>
      </c>
      <c r="J1719" s="1">
        <f>IFERROR(__xludf.DUMMYFUNCTION("""COMPUTED_VALUE"""),330.0)</f>
        <v>330</v>
      </c>
      <c r="K1719" s="1">
        <f>IFERROR(__xludf.DUMMYFUNCTION("""COMPUTED_VALUE"""),66.0)</f>
        <v>66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>
        <f>IFERROR(__xludf.DUMMYFUNCTION("""COMPUTED_VALUE"""),69.0)</f>
        <v>69</v>
      </c>
      <c r="E1720" s="1">
        <f>IFERROR(__xludf.DUMMYFUNCTION("""COMPUTED_VALUE"""),59.0)</f>
        <v>59</v>
      </c>
      <c r="F1720" s="1">
        <f>IFERROR(__xludf.DUMMYFUNCTION("""COMPUTED_VALUE"""),62.0)</f>
        <v>62</v>
      </c>
      <c r="G1720" s="1">
        <f>IFERROR(__xludf.DUMMYFUNCTION("""COMPUTED_VALUE"""),58.0)</f>
        <v>58</v>
      </c>
      <c r="H1720" s="1">
        <f>IFERROR(__xludf.DUMMYFUNCTION("""COMPUTED_VALUE"""),48.0)</f>
        <v>48</v>
      </c>
      <c r="I1720" s="1">
        <f>IFERROR(__xludf.DUMMYFUNCTION("""COMPUTED_VALUE"""),41.0)</f>
        <v>41</v>
      </c>
      <c r="J1720" s="1">
        <f>IFERROR(__xludf.DUMMYFUNCTION("""COMPUTED_VALUE"""),268.0)</f>
        <v>268</v>
      </c>
      <c r="K1720" s="1">
        <f>IFERROR(__xludf.DUMMYFUNCTION("""COMPUTED_VALUE"""),53.6)</f>
        <v>53.6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>
        <f>IFERROR(__xludf.DUMMYFUNCTION("""COMPUTED_VALUE"""),78.0)</f>
        <v>78</v>
      </c>
      <c r="E1721" s="1">
        <f>IFERROR(__xludf.DUMMYFUNCTION("""COMPUTED_VALUE"""),77.0)</f>
        <v>77</v>
      </c>
      <c r="F1721" s="1">
        <f>IFERROR(__xludf.DUMMYFUNCTION("""COMPUTED_VALUE"""),83.0)</f>
        <v>83</v>
      </c>
      <c r="G1721" s="1">
        <f>IFERROR(__xludf.DUMMYFUNCTION("""COMPUTED_VALUE"""),79.0)</f>
        <v>79</v>
      </c>
      <c r="H1721" s="1">
        <f>IFERROR(__xludf.DUMMYFUNCTION("""COMPUTED_VALUE"""),85.0)</f>
        <v>85</v>
      </c>
      <c r="I1721" s="1">
        <f>IFERROR(__xludf.DUMMYFUNCTION("""COMPUTED_VALUE"""),22.0)</f>
        <v>22</v>
      </c>
      <c r="J1721" s="1">
        <f>IFERROR(__xludf.DUMMYFUNCTION("""COMPUTED_VALUE"""),346.0)</f>
        <v>346</v>
      </c>
      <c r="K1721" s="1">
        <f>IFERROR(__xludf.DUMMYFUNCTION("""COMPUTED_VALUE"""),69.19999999999999)</f>
        <v>69.2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>
        <f>IFERROR(__xludf.DUMMYFUNCTION("""COMPUTED_VALUE"""),36.0)</f>
        <v>36</v>
      </c>
      <c r="E1722" s="1">
        <f>IFERROR(__xludf.DUMMYFUNCTION("""COMPUTED_VALUE"""),95.0)</f>
        <v>95</v>
      </c>
      <c r="F1722" s="1">
        <f>IFERROR(__xludf.DUMMYFUNCTION("""COMPUTED_VALUE"""),43.0)</f>
        <v>43</v>
      </c>
      <c r="G1722" s="1">
        <f>IFERROR(__xludf.DUMMYFUNCTION("""COMPUTED_VALUE"""),33.0)</f>
        <v>33</v>
      </c>
      <c r="H1722" s="1">
        <f>IFERROR(__xludf.DUMMYFUNCTION("""COMPUTED_VALUE"""),64.0)</f>
        <v>64</v>
      </c>
      <c r="I1722" s="1">
        <f>IFERROR(__xludf.DUMMYFUNCTION("""COMPUTED_VALUE"""),70.0)</f>
        <v>70</v>
      </c>
      <c r="J1722" s="1">
        <f>IFERROR(__xludf.DUMMYFUNCTION("""COMPUTED_VALUE"""),305.0)</f>
        <v>305</v>
      </c>
      <c r="K1722" s="1">
        <f>IFERROR(__xludf.DUMMYFUNCTION("""COMPUTED_VALUE"""),61.0)</f>
        <v>61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>
        <f>IFERROR(__xludf.DUMMYFUNCTION("""COMPUTED_VALUE"""),14.0)</f>
        <v>14</v>
      </c>
      <c r="E1723" s="1">
        <f>IFERROR(__xludf.DUMMYFUNCTION("""COMPUTED_VALUE"""),44.0)</f>
        <v>44</v>
      </c>
      <c r="F1723" s="1">
        <f>IFERROR(__xludf.DUMMYFUNCTION("""COMPUTED_VALUE"""),21.0)</f>
        <v>21</v>
      </c>
      <c r="G1723" s="1">
        <f>IFERROR(__xludf.DUMMYFUNCTION("""COMPUTED_VALUE"""),62.0)</f>
        <v>62</v>
      </c>
      <c r="H1723" s="1">
        <f>IFERROR(__xludf.DUMMYFUNCTION("""COMPUTED_VALUE"""),28.0)</f>
        <v>28</v>
      </c>
      <c r="I1723" s="1">
        <f>IFERROR(__xludf.DUMMYFUNCTION("""COMPUTED_VALUE"""),21.0)</f>
        <v>21</v>
      </c>
      <c r="J1723" s="1">
        <f>IFERROR(__xludf.DUMMYFUNCTION("""COMPUTED_VALUE"""),176.0)</f>
        <v>176</v>
      </c>
      <c r="K1723" s="1">
        <f>IFERROR(__xludf.DUMMYFUNCTION("""COMPUTED_VALUE"""),35.199999999999996)</f>
        <v>35.2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>
        <f>IFERROR(__xludf.DUMMYFUNCTION("""COMPUTED_VALUE"""),41.0)</f>
        <v>41</v>
      </c>
      <c r="E1724" s="1">
        <f>IFERROR(__xludf.DUMMYFUNCTION("""COMPUTED_VALUE"""),47.0)</f>
        <v>47</v>
      </c>
      <c r="F1724" s="1">
        <f>IFERROR(__xludf.DUMMYFUNCTION("""COMPUTED_VALUE"""),32.0)</f>
        <v>32</v>
      </c>
      <c r="G1724" s="1">
        <f>IFERROR(__xludf.DUMMYFUNCTION("""COMPUTED_VALUE"""),82.0)</f>
        <v>82</v>
      </c>
      <c r="H1724" s="1">
        <f>IFERROR(__xludf.DUMMYFUNCTION("""COMPUTED_VALUE"""),30.0)</f>
        <v>30</v>
      </c>
      <c r="I1724" s="1">
        <f>IFERROR(__xludf.DUMMYFUNCTION("""COMPUTED_VALUE"""),99.0)</f>
        <v>99</v>
      </c>
      <c r="J1724" s="1">
        <f>IFERROR(__xludf.DUMMYFUNCTION("""COMPUTED_VALUE"""),290.0)</f>
        <v>290</v>
      </c>
      <c r="K1724" s="1">
        <f>IFERROR(__xludf.DUMMYFUNCTION("""COMPUTED_VALUE"""),57.99999999999999)</f>
        <v>58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>
        <f>IFERROR(__xludf.DUMMYFUNCTION("""COMPUTED_VALUE"""),32.0)</f>
        <v>32</v>
      </c>
      <c r="E1725" s="1">
        <f>IFERROR(__xludf.DUMMYFUNCTION("""COMPUTED_VALUE"""),22.0)</f>
        <v>22</v>
      </c>
      <c r="F1725" s="1">
        <f>IFERROR(__xludf.DUMMYFUNCTION("""COMPUTED_VALUE"""),30.0)</f>
        <v>30</v>
      </c>
      <c r="G1725" s="1">
        <f>IFERROR(__xludf.DUMMYFUNCTION("""COMPUTED_VALUE"""),64.0)</f>
        <v>64</v>
      </c>
      <c r="H1725" s="1">
        <f>IFERROR(__xludf.DUMMYFUNCTION("""COMPUTED_VALUE"""),32.0)</f>
        <v>32</v>
      </c>
      <c r="I1725" s="1">
        <f>IFERROR(__xludf.DUMMYFUNCTION("""COMPUTED_VALUE"""),62.0)</f>
        <v>62</v>
      </c>
      <c r="J1725" s="1">
        <f>IFERROR(__xludf.DUMMYFUNCTION("""COMPUTED_VALUE"""),210.0)</f>
        <v>210</v>
      </c>
      <c r="K1725" s="1">
        <f>IFERROR(__xludf.DUMMYFUNCTION("""COMPUTED_VALUE"""),42.0)</f>
        <v>42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>
        <f>IFERROR(__xludf.DUMMYFUNCTION("""COMPUTED_VALUE"""),52.0)</f>
        <v>52</v>
      </c>
      <c r="E1726" s="1">
        <f>IFERROR(__xludf.DUMMYFUNCTION("""COMPUTED_VALUE"""),33.0)</f>
        <v>33</v>
      </c>
      <c r="F1726" s="1">
        <f>IFERROR(__xludf.DUMMYFUNCTION("""COMPUTED_VALUE"""),33.0)</f>
        <v>33</v>
      </c>
      <c r="G1726" s="1">
        <f>IFERROR(__xludf.DUMMYFUNCTION("""COMPUTED_VALUE"""),76.0)</f>
        <v>76</v>
      </c>
      <c r="H1726" s="1">
        <f>IFERROR(__xludf.DUMMYFUNCTION("""COMPUTED_VALUE"""),38.0)</f>
        <v>38</v>
      </c>
      <c r="I1726" s="1">
        <f>IFERROR(__xludf.DUMMYFUNCTION("""COMPUTED_VALUE"""),57.0)</f>
        <v>57</v>
      </c>
      <c r="J1726" s="1">
        <f>IFERROR(__xludf.DUMMYFUNCTION("""COMPUTED_VALUE"""),237.0)</f>
        <v>237</v>
      </c>
      <c r="K1726" s="1">
        <f>IFERROR(__xludf.DUMMYFUNCTION("""COMPUTED_VALUE"""),47.4)</f>
        <v>47.4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>
        <f>IFERROR(__xludf.DUMMYFUNCTION("""COMPUTED_VALUE"""),86.0)</f>
        <v>86</v>
      </c>
      <c r="E1727" s="1">
        <f>IFERROR(__xludf.DUMMYFUNCTION("""COMPUTED_VALUE"""),78.0)</f>
        <v>78</v>
      </c>
      <c r="F1727" s="1">
        <f>IFERROR(__xludf.DUMMYFUNCTION("""COMPUTED_VALUE"""),90.0)</f>
        <v>90</v>
      </c>
      <c r="G1727" s="1">
        <f>IFERROR(__xludf.DUMMYFUNCTION("""COMPUTED_VALUE"""),74.0)</f>
        <v>74</v>
      </c>
      <c r="H1727" s="1">
        <f>IFERROR(__xludf.DUMMYFUNCTION("""COMPUTED_VALUE"""),55.0)</f>
        <v>55</v>
      </c>
      <c r="I1727" s="1">
        <f>IFERROR(__xludf.DUMMYFUNCTION("""COMPUTED_VALUE"""),43.0)</f>
        <v>43</v>
      </c>
      <c r="J1727" s="1">
        <f>IFERROR(__xludf.DUMMYFUNCTION("""COMPUTED_VALUE"""),340.0)</f>
        <v>340</v>
      </c>
      <c r="K1727" s="1">
        <f>IFERROR(__xludf.DUMMYFUNCTION("""COMPUTED_VALUE"""),68.0)</f>
        <v>68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>
        <f>IFERROR(__xludf.DUMMYFUNCTION("""COMPUTED_VALUE"""),47.0)</f>
        <v>47</v>
      </c>
      <c r="E1728" s="1">
        <f>IFERROR(__xludf.DUMMYFUNCTION("""COMPUTED_VALUE"""),94.0)</f>
        <v>94</v>
      </c>
      <c r="F1728" s="1">
        <f>IFERROR(__xludf.DUMMYFUNCTION("""COMPUTED_VALUE"""),87.0)</f>
        <v>87</v>
      </c>
      <c r="G1728" s="1">
        <f>IFERROR(__xludf.DUMMYFUNCTION("""COMPUTED_VALUE"""),27.0)</f>
        <v>27</v>
      </c>
      <c r="H1728" s="1">
        <f>IFERROR(__xludf.DUMMYFUNCTION("""COMPUTED_VALUE"""),20.0)</f>
        <v>20</v>
      </c>
      <c r="I1728" s="1">
        <f>IFERROR(__xludf.DUMMYFUNCTION("""COMPUTED_VALUE"""),63.0)</f>
        <v>63</v>
      </c>
      <c r="J1728" s="1">
        <f>IFERROR(__xludf.DUMMYFUNCTION("""COMPUTED_VALUE"""),291.0)</f>
        <v>291</v>
      </c>
      <c r="K1728" s="1">
        <f>IFERROR(__xludf.DUMMYFUNCTION("""COMPUTED_VALUE"""),58.199999999999996)</f>
        <v>58.2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>
        <f>IFERROR(__xludf.DUMMYFUNCTION("""COMPUTED_VALUE"""),15.0)</f>
        <v>15</v>
      </c>
      <c r="E1729" s="1">
        <f>IFERROR(__xludf.DUMMYFUNCTION("""COMPUTED_VALUE"""),60.0)</f>
        <v>60</v>
      </c>
      <c r="F1729" s="1">
        <f>IFERROR(__xludf.DUMMYFUNCTION("""COMPUTED_VALUE"""),74.0)</f>
        <v>74</v>
      </c>
      <c r="G1729" s="1">
        <f>IFERROR(__xludf.DUMMYFUNCTION("""COMPUTED_VALUE"""),44.0)</f>
        <v>44</v>
      </c>
      <c r="H1729" s="1">
        <f>IFERROR(__xludf.DUMMYFUNCTION("""COMPUTED_VALUE"""),98.0)</f>
        <v>98</v>
      </c>
      <c r="I1729" s="1">
        <f>IFERROR(__xludf.DUMMYFUNCTION("""COMPUTED_VALUE"""),93.0)</f>
        <v>93</v>
      </c>
      <c r="J1729" s="1">
        <f>IFERROR(__xludf.DUMMYFUNCTION("""COMPUTED_VALUE"""),369.0)</f>
        <v>369</v>
      </c>
      <c r="K1729" s="1">
        <f>IFERROR(__xludf.DUMMYFUNCTION("""COMPUTED_VALUE"""),73.8)</f>
        <v>73.8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>
        <f>IFERROR(__xludf.DUMMYFUNCTION("""COMPUTED_VALUE"""),17.0)</f>
        <v>17</v>
      </c>
      <c r="E1730" s="1">
        <f>IFERROR(__xludf.DUMMYFUNCTION("""COMPUTED_VALUE"""),53.0)</f>
        <v>53</v>
      </c>
      <c r="F1730" s="1">
        <f>IFERROR(__xludf.DUMMYFUNCTION("""COMPUTED_VALUE"""),59.0)</f>
        <v>59</v>
      </c>
      <c r="G1730" s="1">
        <f>IFERROR(__xludf.DUMMYFUNCTION("""COMPUTED_VALUE"""),43.0)</f>
        <v>43</v>
      </c>
      <c r="H1730" s="1">
        <f>IFERROR(__xludf.DUMMYFUNCTION("""COMPUTED_VALUE"""),32.0)</f>
        <v>32</v>
      </c>
      <c r="I1730" s="1">
        <f>IFERROR(__xludf.DUMMYFUNCTION("""COMPUTED_VALUE"""),56.0)</f>
        <v>56</v>
      </c>
      <c r="J1730" s="1">
        <f>IFERROR(__xludf.DUMMYFUNCTION("""COMPUTED_VALUE"""),243.0)</f>
        <v>243</v>
      </c>
      <c r="K1730" s="1">
        <f>IFERROR(__xludf.DUMMYFUNCTION("""COMPUTED_VALUE"""),48.6)</f>
        <v>48.6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>
        <f>IFERROR(__xludf.DUMMYFUNCTION("""COMPUTED_VALUE"""),88.0)</f>
        <v>88</v>
      </c>
      <c r="E1731" s="1">
        <f>IFERROR(__xludf.DUMMYFUNCTION("""COMPUTED_VALUE"""),27.0)</f>
        <v>27</v>
      </c>
      <c r="F1731" s="1">
        <f>IFERROR(__xludf.DUMMYFUNCTION("""COMPUTED_VALUE"""),26.0)</f>
        <v>26</v>
      </c>
      <c r="G1731" s="1">
        <f>IFERROR(__xludf.DUMMYFUNCTION("""COMPUTED_VALUE"""),68.0)</f>
        <v>68</v>
      </c>
      <c r="H1731" s="1">
        <f>IFERROR(__xludf.DUMMYFUNCTION("""COMPUTED_VALUE"""),86.0)</f>
        <v>86</v>
      </c>
      <c r="I1731" s="1">
        <f>IFERROR(__xludf.DUMMYFUNCTION("""COMPUTED_VALUE"""),60.0)</f>
        <v>60</v>
      </c>
      <c r="J1731" s="1">
        <f>IFERROR(__xludf.DUMMYFUNCTION("""COMPUTED_VALUE"""),267.0)</f>
        <v>267</v>
      </c>
      <c r="K1731" s="1">
        <f>IFERROR(__xludf.DUMMYFUNCTION("""COMPUTED_VALUE"""),53.400000000000006)</f>
        <v>53.4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>
        <f>IFERROR(__xludf.DUMMYFUNCTION("""COMPUTED_VALUE"""),47.0)</f>
        <v>47</v>
      </c>
      <c r="E1732" s="1">
        <f>IFERROR(__xludf.DUMMYFUNCTION("""COMPUTED_VALUE"""),42.0)</f>
        <v>42</v>
      </c>
      <c r="F1732" s="1">
        <f>IFERROR(__xludf.DUMMYFUNCTION("""COMPUTED_VALUE"""),25.0)</f>
        <v>25</v>
      </c>
      <c r="G1732" s="1">
        <f>IFERROR(__xludf.DUMMYFUNCTION("""COMPUTED_VALUE"""),82.0)</f>
        <v>82</v>
      </c>
      <c r="H1732" s="1">
        <f>IFERROR(__xludf.DUMMYFUNCTION("""COMPUTED_VALUE"""),26.0)</f>
        <v>26</v>
      </c>
      <c r="I1732" s="1">
        <f>IFERROR(__xludf.DUMMYFUNCTION("""COMPUTED_VALUE"""),82.0)</f>
        <v>82</v>
      </c>
      <c r="J1732" s="1">
        <f>IFERROR(__xludf.DUMMYFUNCTION("""COMPUTED_VALUE"""),257.0)</f>
        <v>257</v>
      </c>
      <c r="K1732" s="1">
        <f>IFERROR(__xludf.DUMMYFUNCTION("""COMPUTED_VALUE"""),51.4)</f>
        <v>51.4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>
        <f>IFERROR(__xludf.DUMMYFUNCTION("""COMPUTED_VALUE"""),83.0)</f>
        <v>83</v>
      </c>
      <c r="E1733" s="1">
        <f>IFERROR(__xludf.DUMMYFUNCTION("""COMPUTED_VALUE"""),33.0)</f>
        <v>33</v>
      </c>
      <c r="F1733" s="1">
        <f>IFERROR(__xludf.DUMMYFUNCTION("""COMPUTED_VALUE"""),64.0)</f>
        <v>64</v>
      </c>
      <c r="G1733" s="1">
        <f>IFERROR(__xludf.DUMMYFUNCTION("""COMPUTED_VALUE"""),80.0)</f>
        <v>80</v>
      </c>
      <c r="H1733" s="1">
        <f>IFERROR(__xludf.DUMMYFUNCTION("""COMPUTED_VALUE"""),58.0)</f>
        <v>58</v>
      </c>
      <c r="I1733" s="1">
        <f>IFERROR(__xludf.DUMMYFUNCTION("""COMPUTED_VALUE"""),60.0)</f>
        <v>60</v>
      </c>
      <c r="J1733" s="1">
        <f>IFERROR(__xludf.DUMMYFUNCTION("""COMPUTED_VALUE"""),295.0)</f>
        <v>295</v>
      </c>
      <c r="K1733" s="1">
        <f>IFERROR(__xludf.DUMMYFUNCTION("""COMPUTED_VALUE"""),59.0)</f>
        <v>59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>
        <f>IFERROR(__xludf.DUMMYFUNCTION("""COMPUTED_VALUE"""),32.0)</f>
        <v>32</v>
      </c>
      <c r="E1734" s="1">
        <f>IFERROR(__xludf.DUMMYFUNCTION("""COMPUTED_VALUE"""),84.0)</f>
        <v>84</v>
      </c>
      <c r="F1734" s="1">
        <f>IFERROR(__xludf.DUMMYFUNCTION("""COMPUTED_VALUE"""),44.0)</f>
        <v>44</v>
      </c>
      <c r="G1734" s="1">
        <f>IFERROR(__xludf.DUMMYFUNCTION("""COMPUTED_VALUE"""),41.0)</f>
        <v>41</v>
      </c>
      <c r="H1734" s="1">
        <f>IFERROR(__xludf.DUMMYFUNCTION("""COMPUTED_VALUE"""),84.0)</f>
        <v>84</v>
      </c>
      <c r="I1734" s="1">
        <f>IFERROR(__xludf.DUMMYFUNCTION("""COMPUTED_VALUE"""),36.0)</f>
        <v>36</v>
      </c>
      <c r="J1734" s="1">
        <f>IFERROR(__xludf.DUMMYFUNCTION("""COMPUTED_VALUE"""),289.0)</f>
        <v>289</v>
      </c>
      <c r="K1734" s="1">
        <f>IFERROR(__xludf.DUMMYFUNCTION("""COMPUTED_VALUE"""),57.8)</f>
        <v>57.8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>
        <f>IFERROR(__xludf.DUMMYFUNCTION("""COMPUTED_VALUE"""),16.0)</f>
        <v>16</v>
      </c>
      <c r="E1735" s="1">
        <f>IFERROR(__xludf.DUMMYFUNCTION("""COMPUTED_VALUE"""),51.0)</f>
        <v>51</v>
      </c>
      <c r="F1735" s="1">
        <f>IFERROR(__xludf.DUMMYFUNCTION("""COMPUTED_VALUE"""),36.0)</f>
        <v>36</v>
      </c>
      <c r="G1735" s="1">
        <f>IFERROR(__xludf.DUMMYFUNCTION("""COMPUTED_VALUE"""),21.0)</f>
        <v>21</v>
      </c>
      <c r="H1735" s="1">
        <f>IFERROR(__xludf.DUMMYFUNCTION("""COMPUTED_VALUE"""),98.0)</f>
        <v>98</v>
      </c>
      <c r="I1735" s="1">
        <f>IFERROR(__xludf.DUMMYFUNCTION("""COMPUTED_VALUE"""),99.0)</f>
        <v>99</v>
      </c>
      <c r="J1735" s="1">
        <f>IFERROR(__xludf.DUMMYFUNCTION("""COMPUTED_VALUE"""),305.0)</f>
        <v>305</v>
      </c>
      <c r="K1735" s="1">
        <f>IFERROR(__xludf.DUMMYFUNCTION("""COMPUTED_VALUE"""),61.0)</f>
        <v>61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>
        <f>IFERROR(__xludf.DUMMYFUNCTION("""COMPUTED_VALUE"""),93.0)</f>
        <v>93</v>
      </c>
      <c r="E1736" s="1">
        <f>IFERROR(__xludf.DUMMYFUNCTION("""COMPUTED_VALUE"""),48.0)</f>
        <v>48</v>
      </c>
      <c r="F1736" s="1">
        <f>IFERROR(__xludf.DUMMYFUNCTION("""COMPUTED_VALUE"""),22.0)</f>
        <v>22</v>
      </c>
      <c r="G1736" s="1">
        <f>IFERROR(__xludf.DUMMYFUNCTION("""COMPUTED_VALUE"""),27.0)</f>
        <v>27</v>
      </c>
      <c r="H1736" s="1">
        <f>IFERROR(__xludf.DUMMYFUNCTION("""COMPUTED_VALUE"""),86.0)</f>
        <v>86</v>
      </c>
      <c r="I1736" s="1">
        <f>IFERROR(__xludf.DUMMYFUNCTION("""COMPUTED_VALUE"""),58.0)</f>
        <v>58</v>
      </c>
      <c r="J1736" s="1">
        <f>IFERROR(__xludf.DUMMYFUNCTION("""COMPUTED_VALUE"""),241.0)</f>
        <v>241</v>
      </c>
      <c r="K1736" s="1">
        <f>IFERROR(__xludf.DUMMYFUNCTION("""COMPUTED_VALUE"""),48.199999999999996)</f>
        <v>48.2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>
        <f>IFERROR(__xludf.DUMMYFUNCTION("""COMPUTED_VALUE"""),95.0)</f>
        <v>95</v>
      </c>
      <c r="E1737" s="1">
        <f>IFERROR(__xludf.DUMMYFUNCTION("""COMPUTED_VALUE"""),20.0)</f>
        <v>20</v>
      </c>
      <c r="F1737" s="1">
        <f>IFERROR(__xludf.DUMMYFUNCTION("""COMPUTED_VALUE"""),59.0)</f>
        <v>59</v>
      </c>
      <c r="G1737" s="1">
        <f>IFERROR(__xludf.DUMMYFUNCTION("""COMPUTED_VALUE"""),40.0)</f>
        <v>40</v>
      </c>
      <c r="H1737" s="1">
        <f>IFERROR(__xludf.DUMMYFUNCTION("""COMPUTED_VALUE"""),99.0)</f>
        <v>99</v>
      </c>
      <c r="I1737" s="1">
        <f>IFERROR(__xludf.DUMMYFUNCTION("""COMPUTED_VALUE"""),21.0)</f>
        <v>21</v>
      </c>
      <c r="J1737" s="1">
        <f>IFERROR(__xludf.DUMMYFUNCTION("""COMPUTED_VALUE"""),239.0)</f>
        <v>239</v>
      </c>
      <c r="K1737" s="1">
        <f>IFERROR(__xludf.DUMMYFUNCTION("""COMPUTED_VALUE"""),47.8)</f>
        <v>47.8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>
        <f>IFERROR(__xludf.DUMMYFUNCTION("""COMPUTED_VALUE"""),62.0)</f>
        <v>62</v>
      </c>
      <c r="E1738" s="1">
        <f>IFERROR(__xludf.DUMMYFUNCTION("""COMPUTED_VALUE"""),58.0)</f>
        <v>58</v>
      </c>
      <c r="F1738" s="1">
        <f>IFERROR(__xludf.DUMMYFUNCTION("""COMPUTED_VALUE"""),68.0)</f>
        <v>68</v>
      </c>
      <c r="G1738" s="1">
        <f>IFERROR(__xludf.DUMMYFUNCTION("""COMPUTED_VALUE"""),70.0)</f>
        <v>70</v>
      </c>
      <c r="H1738" s="1">
        <f>IFERROR(__xludf.DUMMYFUNCTION("""COMPUTED_VALUE"""),73.0)</f>
        <v>73</v>
      </c>
      <c r="I1738" s="1">
        <f>IFERROR(__xludf.DUMMYFUNCTION("""COMPUTED_VALUE"""),90.0)</f>
        <v>90</v>
      </c>
      <c r="J1738" s="1">
        <f>IFERROR(__xludf.DUMMYFUNCTION("""COMPUTED_VALUE"""),359.0)</f>
        <v>359</v>
      </c>
      <c r="K1738" s="1">
        <f>IFERROR(__xludf.DUMMYFUNCTION("""COMPUTED_VALUE"""),71.8)</f>
        <v>71.8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>
        <f>IFERROR(__xludf.DUMMYFUNCTION("""COMPUTED_VALUE"""),49.0)</f>
        <v>49</v>
      </c>
      <c r="E1739" s="1">
        <f>IFERROR(__xludf.DUMMYFUNCTION("""COMPUTED_VALUE"""),23.0)</f>
        <v>23</v>
      </c>
      <c r="F1739" s="1">
        <f>IFERROR(__xludf.DUMMYFUNCTION("""COMPUTED_VALUE"""),26.0)</f>
        <v>26</v>
      </c>
      <c r="G1739" s="1">
        <f>IFERROR(__xludf.DUMMYFUNCTION("""COMPUTED_VALUE"""),30.0)</f>
        <v>30</v>
      </c>
      <c r="H1739" s="1">
        <f>IFERROR(__xludf.DUMMYFUNCTION("""COMPUTED_VALUE"""),37.0)</f>
        <v>37</v>
      </c>
      <c r="I1739" s="1">
        <f>IFERROR(__xludf.DUMMYFUNCTION("""COMPUTED_VALUE"""),40.0)</f>
        <v>40</v>
      </c>
      <c r="J1739" s="1">
        <f>IFERROR(__xludf.DUMMYFUNCTION("""COMPUTED_VALUE"""),156.0)</f>
        <v>156</v>
      </c>
      <c r="K1739" s="1">
        <f>IFERROR(__xludf.DUMMYFUNCTION("""COMPUTED_VALUE"""),31.2)</f>
        <v>31.2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>
        <f>IFERROR(__xludf.DUMMYFUNCTION("""COMPUTED_VALUE"""),45.0)</f>
        <v>45</v>
      </c>
      <c r="E1740" s="1">
        <f>IFERROR(__xludf.DUMMYFUNCTION("""COMPUTED_VALUE"""),48.0)</f>
        <v>48</v>
      </c>
      <c r="F1740" s="1">
        <f>IFERROR(__xludf.DUMMYFUNCTION("""COMPUTED_VALUE"""),96.0)</f>
        <v>96</v>
      </c>
      <c r="G1740" s="1">
        <f>IFERROR(__xludf.DUMMYFUNCTION("""COMPUTED_VALUE"""),52.0)</f>
        <v>52</v>
      </c>
      <c r="H1740" s="1">
        <f>IFERROR(__xludf.DUMMYFUNCTION("""COMPUTED_VALUE"""),29.0)</f>
        <v>29</v>
      </c>
      <c r="I1740" s="1">
        <f>IFERROR(__xludf.DUMMYFUNCTION("""COMPUTED_VALUE"""),47.0)</f>
        <v>47</v>
      </c>
      <c r="J1740" s="1">
        <f>IFERROR(__xludf.DUMMYFUNCTION("""COMPUTED_VALUE"""),272.0)</f>
        <v>272</v>
      </c>
      <c r="K1740" s="1">
        <f>IFERROR(__xludf.DUMMYFUNCTION("""COMPUTED_VALUE"""),54.400000000000006)</f>
        <v>54.4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>
        <f>IFERROR(__xludf.DUMMYFUNCTION("""COMPUTED_VALUE"""),65.0)</f>
        <v>65</v>
      </c>
      <c r="E1741" s="1">
        <f>IFERROR(__xludf.DUMMYFUNCTION("""COMPUTED_VALUE"""),46.0)</f>
        <v>46</v>
      </c>
      <c r="F1741" s="1">
        <f>IFERROR(__xludf.DUMMYFUNCTION("""COMPUTED_VALUE"""),43.0)</f>
        <v>43</v>
      </c>
      <c r="G1741" s="1">
        <f>IFERROR(__xludf.DUMMYFUNCTION("""COMPUTED_VALUE"""),25.0)</f>
        <v>25</v>
      </c>
      <c r="H1741" s="1">
        <f>IFERROR(__xludf.DUMMYFUNCTION("""COMPUTED_VALUE"""),94.0)</f>
        <v>94</v>
      </c>
      <c r="I1741" s="1">
        <f>IFERROR(__xludf.DUMMYFUNCTION("""COMPUTED_VALUE"""),97.0)</f>
        <v>97</v>
      </c>
      <c r="J1741" s="1">
        <f>IFERROR(__xludf.DUMMYFUNCTION("""COMPUTED_VALUE"""),305.0)</f>
        <v>305</v>
      </c>
      <c r="K1741" s="1">
        <f>IFERROR(__xludf.DUMMYFUNCTION("""COMPUTED_VALUE"""),61.0)</f>
        <v>61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>
        <f>IFERROR(__xludf.DUMMYFUNCTION("""COMPUTED_VALUE"""),52.0)</f>
        <v>52</v>
      </c>
      <c r="E1742" s="1">
        <f>IFERROR(__xludf.DUMMYFUNCTION("""COMPUTED_VALUE"""),53.0)</f>
        <v>53</v>
      </c>
      <c r="F1742" s="1">
        <f>IFERROR(__xludf.DUMMYFUNCTION("""COMPUTED_VALUE"""),39.0)</f>
        <v>39</v>
      </c>
      <c r="G1742" s="1">
        <f>IFERROR(__xludf.DUMMYFUNCTION("""COMPUTED_VALUE"""),29.0)</f>
        <v>29</v>
      </c>
      <c r="H1742" s="1">
        <f>IFERROR(__xludf.DUMMYFUNCTION("""COMPUTED_VALUE"""),58.0)</f>
        <v>58</v>
      </c>
      <c r="I1742" s="1">
        <f>IFERROR(__xludf.DUMMYFUNCTION("""COMPUTED_VALUE"""),81.0)</f>
        <v>81</v>
      </c>
      <c r="J1742" s="1">
        <f>IFERROR(__xludf.DUMMYFUNCTION("""COMPUTED_VALUE"""),260.0)</f>
        <v>260</v>
      </c>
      <c r="K1742" s="1">
        <f>IFERROR(__xludf.DUMMYFUNCTION("""COMPUTED_VALUE"""),52.0)</f>
        <v>52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>
        <f>IFERROR(__xludf.DUMMYFUNCTION("""COMPUTED_VALUE"""),93.0)</f>
        <v>93</v>
      </c>
      <c r="E1743" s="1">
        <f>IFERROR(__xludf.DUMMYFUNCTION("""COMPUTED_VALUE"""),52.0)</f>
        <v>52</v>
      </c>
      <c r="F1743" s="1">
        <f>IFERROR(__xludf.DUMMYFUNCTION("""COMPUTED_VALUE"""),23.0)</f>
        <v>23</v>
      </c>
      <c r="G1743" s="1">
        <f>IFERROR(__xludf.DUMMYFUNCTION("""COMPUTED_VALUE"""),90.0)</f>
        <v>90</v>
      </c>
      <c r="H1743" s="1">
        <f>IFERROR(__xludf.DUMMYFUNCTION("""COMPUTED_VALUE"""),68.0)</f>
        <v>68</v>
      </c>
      <c r="I1743" s="1">
        <f>IFERROR(__xludf.DUMMYFUNCTION("""COMPUTED_VALUE"""),40.0)</f>
        <v>40</v>
      </c>
      <c r="J1743" s="1">
        <f>IFERROR(__xludf.DUMMYFUNCTION("""COMPUTED_VALUE"""),273.0)</f>
        <v>273</v>
      </c>
      <c r="K1743" s="1">
        <f>IFERROR(__xludf.DUMMYFUNCTION("""COMPUTED_VALUE"""),54.6)</f>
        <v>54.6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>
        <f>IFERROR(__xludf.DUMMYFUNCTION("""COMPUTED_VALUE"""),97.0)</f>
        <v>97</v>
      </c>
      <c r="E1744" s="1">
        <f>IFERROR(__xludf.DUMMYFUNCTION("""COMPUTED_VALUE"""),62.0)</f>
        <v>62</v>
      </c>
      <c r="F1744" s="1">
        <f>IFERROR(__xludf.DUMMYFUNCTION("""COMPUTED_VALUE"""),33.0)</f>
        <v>33</v>
      </c>
      <c r="G1744" s="1">
        <f>IFERROR(__xludf.DUMMYFUNCTION("""COMPUTED_VALUE"""),36.0)</f>
        <v>36</v>
      </c>
      <c r="H1744" s="1">
        <f>IFERROR(__xludf.DUMMYFUNCTION("""COMPUTED_VALUE"""),25.0)</f>
        <v>25</v>
      </c>
      <c r="I1744" s="1">
        <f>IFERROR(__xludf.DUMMYFUNCTION("""COMPUTED_VALUE"""),49.0)</f>
        <v>49</v>
      </c>
      <c r="J1744" s="1">
        <f>IFERROR(__xludf.DUMMYFUNCTION("""COMPUTED_VALUE"""),205.0)</f>
        <v>205</v>
      </c>
      <c r="K1744" s="1">
        <f>IFERROR(__xludf.DUMMYFUNCTION("""COMPUTED_VALUE"""),41.0)</f>
        <v>41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>
        <f>IFERROR(__xludf.DUMMYFUNCTION("""COMPUTED_VALUE"""),71.0)</f>
        <v>71</v>
      </c>
      <c r="E1745" s="1">
        <f>IFERROR(__xludf.DUMMYFUNCTION("""COMPUTED_VALUE"""),57.0)</f>
        <v>57</v>
      </c>
      <c r="F1745" s="1">
        <f>IFERROR(__xludf.DUMMYFUNCTION("""COMPUTED_VALUE"""),48.0)</f>
        <v>48</v>
      </c>
      <c r="G1745" s="1">
        <f>IFERROR(__xludf.DUMMYFUNCTION("""COMPUTED_VALUE"""),56.0)</f>
        <v>56</v>
      </c>
      <c r="H1745" s="1">
        <f>IFERROR(__xludf.DUMMYFUNCTION("""COMPUTED_VALUE"""),39.0)</f>
        <v>39</v>
      </c>
      <c r="I1745" s="1">
        <f>IFERROR(__xludf.DUMMYFUNCTION("""COMPUTED_VALUE"""),54.0)</f>
        <v>54</v>
      </c>
      <c r="J1745" s="1">
        <f>IFERROR(__xludf.DUMMYFUNCTION("""COMPUTED_VALUE"""),254.0)</f>
        <v>254</v>
      </c>
      <c r="K1745" s="1">
        <f>IFERROR(__xludf.DUMMYFUNCTION("""COMPUTED_VALUE"""),50.8)</f>
        <v>50.8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>
        <f>IFERROR(__xludf.DUMMYFUNCTION("""COMPUTED_VALUE"""),22.0)</f>
        <v>22</v>
      </c>
      <c r="E1746" s="1">
        <f>IFERROR(__xludf.DUMMYFUNCTION("""COMPUTED_VALUE"""),95.0)</f>
        <v>95</v>
      </c>
      <c r="F1746" s="1">
        <f>IFERROR(__xludf.DUMMYFUNCTION("""COMPUTED_VALUE"""),27.0)</f>
        <v>27</v>
      </c>
      <c r="G1746" s="1">
        <f>IFERROR(__xludf.DUMMYFUNCTION("""COMPUTED_VALUE"""),37.0)</f>
        <v>37</v>
      </c>
      <c r="H1746" s="1">
        <f>IFERROR(__xludf.DUMMYFUNCTION("""COMPUTED_VALUE"""),50.0)</f>
        <v>50</v>
      </c>
      <c r="I1746" s="1">
        <f>IFERROR(__xludf.DUMMYFUNCTION("""COMPUTED_VALUE"""),90.0)</f>
        <v>90</v>
      </c>
      <c r="J1746" s="1">
        <f>IFERROR(__xludf.DUMMYFUNCTION("""COMPUTED_VALUE"""),299.0)</f>
        <v>299</v>
      </c>
      <c r="K1746" s="1">
        <f>IFERROR(__xludf.DUMMYFUNCTION("""COMPUTED_VALUE"""),59.8)</f>
        <v>59.8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>
        <f>IFERROR(__xludf.DUMMYFUNCTION("""COMPUTED_VALUE"""),19.0)</f>
        <v>19</v>
      </c>
      <c r="E1747" s="1">
        <f>IFERROR(__xludf.DUMMYFUNCTION("""COMPUTED_VALUE"""),62.0)</f>
        <v>62</v>
      </c>
      <c r="F1747" s="1">
        <f>IFERROR(__xludf.DUMMYFUNCTION("""COMPUTED_VALUE"""),22.0)</f>
        <v>22</v>
      </c>
      <c r="G1747" s="1">
        <f>IFERROR(__xludf.DUMMYFUNCTION("""COMPUTED_VALUE"""),59.0)</f>
        <v>59</v>
      </c>
      <c r="H1747" s="1">
        <f>IFERROR(__xludf.DUMMYFUNCTION("""COMPUTED_VALUE"""),75.0)</f>
        <v>75</v>
      </c>
      <c r="I1747" s="1">
        <f>IFERROR(__xludf.DUMMYFUNCTION("""COMPUTED_VALUE"""),20.0)</f>
        <v>20</v>
      </c>
      <c r="J1747" s="1">
        <f>IFERROR(__xludf.DUMMYFUNCTION("""COMPUTED_VALUE"""),238.0)</f>
        <v>238</v>
      </c>
      <c r="K1747" s="1">
        <f>IFERROR(__xludf.DUMMYFUNCTION("""COMPUTED_VALUE"""),47.599999999999994)</f>
        <v>47.6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>
        <f>IFERROR(__xludf.DUMMYFUNCTION("""COMPUTED_VALUE"""),100.0)</f>
        <v>100</v>
      </c>
      <c r="E1748" s="1">
        <f>IFERROR(__xludf.DUMMYFUNCTION("""COMPUTED_VALUE"""),88.0)</f>
        <v>88</v>
      </c>
      <c r="F1748" s="1">
        <f>IFERROR(__xludf.DUMMYFUNCTION("""COMPUTED_VALUE"""),54.0)</f>
        <v>54</v>
      </c>
      <c r="G1748" s="1">
        <f>IFERROR(__xludf.DUMMYFUNCTION("""COMPUTED_VALUE"""),62.0)</f>
        <v>62</v>
      </c>
      <c r="H1748" s="1">
        <f>IFERROR(__xludf.DUMMYFUNCTION("""COMPUTED_VALUE"""),22.0)</f>
        <v>22</v>
      </c>
      <c r="I1748" s="1">
        <f>IFERROR(__xludf.DUMMYFUNCTION("""COMPUTED_VALUE"""),68.0)</f>
        <v>68</v>
      </c>
      <c r="J1748" s="1">
        <f>IFERROR(__xludf.DUMMYFUNCTION("""COMPUTED_VALUE"""),294.0)</f>
        <v>294</v>
      </c>
      <c r="K1748" s="1">
        <f>IFERROR(__xludf.DUMMYFUNCTION("""COMPUTED_VALUE"""),58.8)</f>
        <v>58.8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>
        <f>IFERROR(__xludf.DUMMYFUNCTION("""COMPUTED_VALUE"""),64.0)</f>
        <v>64</v>
      </c>
      <c r="E1749" s="1">
        <f>IFERROR(__xludf.DUMMYFUNCTION("""COMPUTED_VALUE"""),83.0)</f>
        <v>83</v>
      </c>
      <c r="F1749" s="1">
        <f>IFERROR(__xludf.DUMMYFUNCTION("""COMPUTED_VALUE"""),97.0)</f>
        <v>97</v>
      </c>
      <c r="G1749" s="1">
        <f>IFERROR(__xludf.DUMMYFUNCTION("""COMPUTED_VALUE"""),66.0)</f>
        <v>66</v>
      </c>
      <c r="H1749" s="1">
        <f>IFERROR(__xludf.DUMMYFUNCTION("""COMPUTED_VALUE"""),79.0)</f>
        <v>79</v>
      </c>
      <c r="I1749" s="1">
        <f>IFERROR(__xludf.DUMMYFUNCTION("""COMPUTED_VALUE"""),70.0)</f>
        <v>70</v>
      </c>
      <c r="J1749" s="1">
        <f>IFERROR(__xludf.DUMMYFUNCTION("""COMPUTED_VALUE"""),395.0)</f>
        <v>395</v>
      </c>
      <c r="K1749" s="1">
        <f>IFERROR(__xludf.DUMMYFUNCTION("""COMPUTED_VALUE"""),79.0)</f>
        <v>79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>
        <f>IFERROR(__xludf.DUMMYFUNCTION("""COMPUTED_VALUE"""),92.0)</f>
        <v>92</v>
      </c>
      <c r="E1750" s="1">
        <f>IFERROR(__xludf.DUMMYFUNCTION("""COMPUTED_VALUE"""),54.0)</f>
        <v>54</v>
      </c>
      <c r="F1750" s="1">
        <f>IFERROR(__xludf.DUMMYFUNCTION("""COMPUTED_VALUE"""),46.0)</f>
        <v>46</v>
      </c>
      <c r="G1750" s="1">
        <f>IFERROR(__xludf.DUMMYFUNCTION("""COMPUTED_VALUE"""),47.0)</f>
        <v>47</v>
      </c>
      <c r="H1750" s="1">
        <f>IFERROR(__xludf.DUMMYFUNCTION("""COMPUTED_VALUE"""),68.0)</f>
        <v>68</v>
      </c>
      <c r="I1750" s="1">
        <f>IFERROR(__xludf.DUMMYFUNCTION("""COMPUTED_VALUE"""),95.0)</f>
        <v>95</v>
      </c>
      <c r="J1750" s="1">
        <f>IFERROR(__xludf.DUMMYFUNCTION("""COMPUTED_VALUE"""),310.0)</f>
        <v>310</v>
      </c>
      <c r="K1750" s="1">
        <f>IFERROR(__xludf.DUMMYFUNCTION("""COMPUTED_VALUE"""),62.0)</f>
        <v>62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>
        <f>IFERROR(__xludf.DUMMYFUNCTION("""COMPUTED_VALUE"""),18.0)</f>
        <v>18</v>
      </c>
      <c r="E1751" s="1">
        <f>IFERROR(__xludf.DUMMYFUNCTION("""COMPUTED_VALUE"""),47.0)</f>
        <v>47</v>
      </c>
      <c r="F1751" s="1">
        <f>IFERROR(__xludf.DUMMYFUNCTION("""COMPUTED_VALUE"""),44.0)</f>
        <v>44</v>
      </c>
      <c r="G1751" s="1">
        <f>IFERROR(__xludf.DUMMYFUNCTION("""COMPUTED_VALUE"""),32.0)</f>
        <v>32</v>
      </c>
      <c r="H1751" s="1">
        <f>IFERROR(__xludf.DUMMYFUNCTION("""COMPUTED_VALUE"""),59.0)</f>
        <v>59</v>
      </c>
      <c r="I1751" s="1">
        <f>IFERROR(__xludf.DUMMYFUNCTION("""COMPUTED_VALUE"""),78.0)</f>
        <v>78</v>
      </c>
      <c r="J1751" s="1">
        <f>IFERROR(__xludf.DUMMYFUNCTION("""COMPUTED_VALUE"""),260.0)</f>
        <v>260</v>
      </c>
      <c r="K1751" s="1">
        <f>IFERROR(__xludf.DUMMYFUNCTION("""COMPUTED_VALUE"""),52.0)</f>
        <v>52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>
        <f>IFERROR(__xludf.DUMMYFUNCTION("""COMPUTED_VALUE"""),74.0)</f>
        <v>74</v>
      </c>
      <c r="E1752" s="1">
        <f>IFERROR(__xludf.DUMMYFUNCTION("""COMPUTED_VALUE"""),29.0)</f>
        <v>29</v>
      </c>
      <c r="F1752" s="1">
        <f>IFERROR(__xludf.DUMMYFUNCTION("""COMPUTED_VALUE"""),37.0)</f>
        <v>37</v>
      </c>
      <c r="G1752" s="1">
        <f>IFERROR(__xludf.DUMMYFUNCTION("""COMPUTED_VALUE"""),85.0)</f>
        <v>85</v>
      </c>
      <c r="H1752" s="1">
        <f>IFERROR(__xludf.DUMMYFUNCTION("""COMPUTED_VALUE"""),52.0)</f>
        <v>52</v>
      </c>
      <c r="I1752" s="1">
        <f>IFERROR(__xludf.DUMMYFUNCTION("""COMPUTED_VALUE"""),69.0)</f>
        <v>69</v>
      </c>
      <c r="J1752" s="1">
        <f>IFERROR(__xludf.DUMMYFUNCTION("""COMPUTED_VALUE"""),272.0)</f>
        <v>272</v>
      </c>
      <c r="K1752" s="1">
        <f>IFERROR(__xludf.DUMMYFUNCTION("""COMPUTED_VALUE"""),54.400000000000006)</f>
        <v>54.4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>
        <f>IFERROR(__xludf.DUMMYFUNCTION("""COMPUTED_VALUE"""),30.0)</f>
        <v>30</v>
      </c>
      <c r="E1753" s="1">
        <f>IFERROR(__xludf.DUMMYFUNCTION("""COMPUTED_VALUE"""),21.0)</f>
        <v>21</v>
      </c>
      <c r="F1753" s="1">
        <f>IFERROR(__xludf.DUMMYFUNCTION("""COMPUTED_VALUE"""),99.0)</f>
        <v>99</v>
      </c>
      <c r="G1753" s="1">
        <f>IFERROR(__xludf.DUMMYFUNCTION("""COMPUTED_VALUE"""),23.0)</f>
        <v>23</v>
      </c>
      <c r="H1753" s="1">
        <f>IFERROR(__xludf.DUMMYFUNCTION("""COMPUTED_VALUE"""),45.0)</f>
        <v>45</v>
      </c>
      <c r="I1753" s="1">
        <f>IFERROR(__xludf.DUMMYFUNCTION("""COMPUTED_VALUE"""),74.0)</f>
        <v>74</v>
      </c>
      <c r="J1753" s="1">
        <f>IFERROR(__xludf.DUMMYFUNCTION("""COMPUTED_VALUE"""),262.0)</f>
        <v>262</v>
      </c>
      <c r="K1753" s="1">
        <f>IFERROR(__xludf.DUMMYFUNCTION("""COMPUTED_VALUE"""),52.400000000000006)</f>
        <v>52.4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>
        <f>IFERROR(__xludf.DUMMYFUNCTION("""COMPUTED_VALUE"""),57.0)</f>
        <v>57</v>
      </c>
      <c r="E1754" s="1">
        <f>IFERROR(__xludf.DUMMYFUNCTION("""COMPUTED_VALUE"""),98.0)</f>
        <v>98</v>
      </c>
      <c r="F1754" s="1">
        <f>IFERROR(__xludf.DUMMYFUNCTION("""COMPUTED_VALUE"""),62.0)</f>
        <v>62</v>
      </c>
      <c r="G1754" s="1">
        <f>IFERROR(__xludf.DUMMYFUNCTION("""COMPUTED_VALUE"""),77.0)</f>
        <v>77</v>
      </c>
      <c r="H1754" s="1">
        <f>IFERROR(__xludf.DUMMYFUNCTION("""COMPUTED_VALUE"""),70.0)</f>
        <v>70</v>
      </c>
      <c r="I1754" s="1">
        <f>IFERROR(__xludf.DUMMYFUNCTION("""COMPUTED_VALUE"""),70.0)</f>
        <v>70</v>
      </c>
      <c r="J1754" s="1">
        <f>IFERROR(__xludf.DUMMYFUNCTION("""COMPUTED_VALUE"""),377.0)</f>
        <v>377</v>
      </c>
      <c r="K1754" s="1">
        <f>IFERROR(__xludf.DUMMYFUNCTION("""COMPUTED_VALUE"""),75.4)</f>
        <v>75.4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>
        <f>IFERROR(__xludf.DUMMYFUNCTION("""COMPUTED_VALUE"""),54.0)</f>
        <v>54</v>
      </c>
      <c r="E1755" s="1">
        <f>IFERROR(__xludf.DUMMYFUNCTION("""COMPUTED_VALUE"""),59.0)</f>
        <v>59</v>
      </c>
      <c r="F1755" s="1">
        <f>IFERROR(__xludf.DUMMYFUNCTION("""COMPUTED_VALUE"""),84.0)</f>
        <v>84</v>
      </c>
      <c r="G1755" s="1">
        <f>IFERROR(__xludf.DUMMYFUNCTION("""COMPUTED_VALUE"""),57.0)</f>
        <v>57</v>
      </c>
      <c r="H1755" s="1">
        <f>IFERROR(__xludf.DUMMYFUNCTION("""COMPUTED_VALUE"""),80.0)</f>
        <v>80</v>
      </c>
      <c r="I1755" s="1">
        <f>IFERROR(__xludf.DUMMYFUNCTION("""COMPUTED_VALUE"""),21.0)</f>
        <v>21</v>
      </c>
      <c r="J1755" s="1">
        <f>IFERROR(__xludf.DUMMYFUNCTION("""COMPUTED_VALUE"""),301.0)</f>
        <v>301</v>
      </c>
      <c r="K1755" s="1">
        <f>IFERROR(__xludf.DUMMYFUNCTION("""COMPUTED_VALUE"""),60.199999999999996)</f>
        <v>60.2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>
        <f>IFERROR(__xludf.DUMMYFUNCTION("""COMPUTED_VALUE"""),73.0)</f>
        <v>73</v>
      </c>
      <c r="E1756" s="1">
        <f>IFERROR(__xludf.DUMMYFUNCTION("""COMPUTED_VALUE"""),40.0)</f>
        <v>40</v>
      </c>
      <c r="F1756" s="1">
        <f>IFERROR(__xludf.DUMMYFUNCTION("""COMPUTED_VALUE"""),27.0)</f>
        <v>27</v>
      </c>
      <c r="G1756" s="1">
        <f>IFERROR(__xludf.DUMMYFUNCTION("""COMPUTED_VALUE"""),24.0)</f>
        <v>24</v>
      </c>
      <c r="H1756" s="1">
        <f>IFERROR(__xludf.DUMMYFUNCTION("""COMPUTED_VALUE"""),73.0)</f>
        <v>73</v>
      </c>
      <c r="I1756" s="1">
        <f>IFERROR(__xludf.DUMMYFUNCTION("""COMPUTED_VALUE"""),25.0)</f>
        <v>25</v>
      </c>
      <c r="J1756" s="1">
        <f>IFERROR(__xludf.DUMMYFUNCTION("""COMPUTED_VALUE"""),189.0)</f>
        <v>189</v>
      </c>
      <c r="K1756" s="1">
        <f>IFERROR(__xludf.DUMMYFUNCTION("""COMPUTED_VALUE"""),37.8)</f>
        <v>37.8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>
        <f>IFERROR(__xludf.DUMMYFUNCTION("""COMPUTED_VALUE"""),40.0)</f>
        <v>40</v>
      </c>
      <c r="E1757" s="1">
        <f>IFERROR(__xludf.DUMMYFUNCTION("""COMPUTED_VALUE"""),46.0)</f>
        <v>46</v>
      </c>
      <c r="F1757" s="1">
        <f>IFERROR(__xludf.DUMMYFUNCTION("""COMPUTED_VALUE"""),59.0)</f>
        <v>59</v>
      </c>
      <c r="G1757" s="1">
        <f>IFERROR(__xludf.DUMMYFUNCTION("""COMPUTED_VALUE"""),98.0)</f>
        <v>98</v>
      </c>
      <c r="H1757" s="1">
        <f>IFERROR(__xludf.DUMMYFUNCTION("""COMPUTED_VALUE"""),50.0)</f>
        <v>50</v>
      </c>
      <c r="I1757" s="1">
        <f>IFERROR(__xludf.DUMMYFUNCTION("""COMPUTED_VALUE"""),61.0)</f>
        <v>61</v>
      </c>
      <c r="J1757" s="1">
        <f>IFERROR(__xludf.DUMMYFUNCTION("""COMPUTED_VALUE"""),314.0)</f>
        <v>314</v>
      </c>
      <c r="K1757" s="1">
        <f>IFERROR(__xludf.DUMMYFUNCTION("""COMPUTED_VALUE"""),62.8)</f>
        <v>62.8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>
        <f>IFERROR(__xludf.DUMMYFUNCTION("""COMPUTED_VALUE"""),84.0)</f>
        <v>84</v>
      </c>
      <c r="E1758" s="1">
        <f>IFERROR(__xludf.DUMMYFUNCTION("""COMPUTED_VALUE"""),58.0)</f>
        <v>58</v>
      </c>
      <c r="F1758" s="1">
        <f>IFERROR(__xludf.DUMMYFUNCTION("""COMPUTED_VALUE"""),94.0)</f>
        <v>94</v>
      </c>
      <c r="G1758" s="1">
        <f>IFERROR(__xludf.DUMMYFUNCTION("""COMPUTED_VALUE"""),39.0)</f>
        <v>39</v>
      </c>
      <c r="H1758" s="1">
        <f>IFERROR(__xludf.DUMMYFUNCTION("""COMPUTED_VALUE"""),58.0)</f>
        <v>58</v>
      </c>
      <c r="I1758" s="1">
        <f>IFERROR(__xludf.DUMMYFUNCTION("""COMPUTED_VALUE"""),44.0)</f>
        <v>44</v>
      </c>
      <c r="J1758" s="1">
        <f>IFERROR(__xludf.DUMMYFUNCTION("""COMPUTED_VALUE"""),293.0)</f>
        <v>293</v>
      </c>
      <c r="K1758" s="1">
        <f>IFERROR(__xludf.DUMMYFUNCTION("""COMPUTED_VALUE"""),58.599999999999994)</f>
        <v>58.6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>
        <f>IFERROR(__xludf.DUMMYFUNCTION("""COMPUTED_VALUE"""),33.0)</f>
        <v>33</v>
      </c>
      <c r="E1759" s="1">
        <f>IFERROR(__xludf.DUMMYFUNCTION("""COMPUTED_VALUE"""),84.0)</f>
        <v>84</v>
      </c>
      <c r="F1759" s="1">
        <f>IFERROR(__xludf.DUMMYFUNCTION("""COMPUTED_VALUE"""),45.0)</f>
        <v>45</v>
      </c>
      <c r="G1759" s="1">
        <f>IFERROR(__xludf.DUMMYFUNCTION("""COMPUTED_VALUE"""),39.0)</f>
        <v>39</v>
      </c>
      <c r="H1759" s="1">
        <f>IFERROR(__xludf.DUMMYFUNCTION("""COMPUTED_VALUE"""),29.0)</f>
        <v>29</v>
      </c>
      <c r="I1759" s="1">
        <f>IFERROR(__xludf.DUMMYFUNCTION("""COMPUTED_VALUE"""),84.0)</f>
        <v>84</v>
      </c>
      <c r="J1759" s="1">
        <f>IFERROR(__xludf.DUMMYFUNCTION("""COMPUTED_VALUE"""),281.0)</f>
        <v>281</v>
      </c>
      <c r="K1759" s="1">
        <f>IFERROR(__xludf.DUMMYFUNCTION("""COMPUTED_VALUE"""),56.2)</f>
        <v>56.2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>
        <f>IFERROR(__xludf.DUMMYFUNCTION("""COMPUTED_VALUE"""),41.0)</f>
        <v>41</v>
      </c>
      <c r="E1760" s="1">
        <f>IFERROR(__xludf.DUMMYFUNCTION("""COMPUTED_VALUE"""),34.0)</f>
        <v>34</v>
      </c>
      <c r="F1760" s="1">
        <f>IFERROR(__xludf.DUMMYFUNCTION("""COMPUTED_VALUE"""),61.0)</f>
        <v>61</v>
      </c>
      <c r="G1760" s="1">
        <f>IFERROR(__xludf.DUMMYFUNCTION("""COMPUTED_VALUE"""),56.0)</f>
        <v>56</v>
      </c>
      <c r="H1760" s="1">
        <f>IFERROR(__xludf.DUMMYFUNCTION("""COMPUTED_VALUE"""),65.0)</f>
        <v>65</v>
      </c>
      <c r="I1760" s="1">
        <f>IFERROR(__xludf.DUMMYFUNCTION("""COMPUTED_VALUE"""),37.0)</f>
        <v>37</v>
      </c>
      <c r="J1760" s="1">
        <f>IFERROR(__xludf.DUMMYFUNCTION("""COMPUTED_VALUE"""),253.0)</f>
        <v>253</v>
      </c>
      <c r="K1760" s="1">
        <f>IFERROR(__xludf.DUMMYFUNCTION("""COMPUTED_VALUE"""),50.6)</f>
        <v>50.6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>
        <f>IFERROR(__xludf.DUMMYFUNCTION("""COMPUTED_VALUE"""),58.0)</f>
        <v>58</v>
      </c>
      <c r="E1761" s="1">
        <f>IFERROR(__xludf.DUMMYFUNCTION("""COMPUTED_VALUE"""),67.0)</f>
        <v>67</v>
      </c>
      <c r="F1761" s="1">
        <f>IFERROR(__xludf.DUMMYFUNCTION("""COMPUTED_VALUE"""),86.0)</f>
        <v>86</v>
      </c>
      <c r="G1761" s="1">
        <f>IFERROR(__xludf.DUMMYFUNCTION("""COMPUTED_VALUE"""),38.0)</f>
        <v>38</v>
      </c>
      <c r="H1761" s="1">
        <f>IFERROR(__xludf.DUMMYFUNCTION("""COMPUTED_VALUE"""),33.0)</f>
        <v>33</v>
      </c>
      <c r="I1761" s="1">
        <f>IFERROR(__xludf.DUMMYFUNCTION("""COMPUTED_VALUE"""),62.0)</f>
        <v>62</v>
      </c>
      <c r="J1761" s="1">
        <f>IFERROR(__xludf.DUMMYFUNCTION("""COMPUTED_VALUE"""),286.0)</f>
        <v>286</v>
      </c>
      <c r="K1761" s="1">
        <f>IFERROR(__xludf.DUMMYFUNCTION("""COMPUTED_VALUE"""),57.199999999999996)</f>
        <v>57.2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>
        <f>IFERROR(__xludf.DUMMYFUNCTION("""COMPUTED_VALUE"""),16.0)</f>
        <v>16</v>
      </c>
      <c r="E1762" s="1">
        <f>IFERROR(__xludf.DUMMYFUNCTION("""COMPUTED_VALUE"""),99.0)</f>
        <v>99</v>
      </c>
      <c r="F1762" s="1">
        <f>IFERROR(__xludf.DUMMYFUNCTION("""COMPUTED_VALUE"""),96.0)</f>
        <v>96</v>
      </c>
      <c r="G1762" s="1">
        <f>IFERROR(__xludf.DUMMYFUNCTION("""COMPUTED_VALUE"""),80.0)</f>
        <v>80</v>
      </c>
      <c r="H1762" s="1">
        <f>IFERROR(__xludf.DUMMYFUNCTION("""COMPUTED_VALUE"""),51.0)</f>
        <v>51</v>
      </c>
      <c r="I1762" s="1">
        <f>IFERROR(__xludf.DUMMYFUNCTION("""COMPUTED_VALUE"""),97.0)</f>
        <v>97</v>
      </c>
      <c r="J1762" s="1">
        <f>IFERROR(__xludf.DUMMYFUNCTION("""COMPUTED_VALUE"""),423.0)</f>
        <v>423</v>
      </c>
      <c r="K1762" s="1">
        <f>IFERROR(__xludf.DUMMYFUNCTION("""COMPUTED_VALUE"""),84.6)</f>
        <v>84.6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>
        <f>IFERROR(__xludf.DUMMYFUNCTION("""COMPUTED_VALUE"""),61.0)</f>
        <v>61</v>
      </c>
      <c r="E1763" s="1">
        <f>IFERROR(__xludf.DUMMYFUNCTION("""COMPUTED_VALUE"""),22.0)</f>
        <v>22</v>
      </c>
      <c r="F1763" s="1">
        <f>IFERROR(__xludf.DUMMYFUNCTION("""COMPUTED_VALUE"""),27.0)</f>
        <v>27</v>
      </c>
      <c r="G1763" s="1">
        <f>IFERROR(__xludf.DUMMYFUNCTION("""COMPUTED_VALUE"""),89.0)</f>
        <v>89</v>
      </c>
      <c r="H1763" s="1">
        <f>IFERROR(__xludf.DUMMYFUNCTION("""COMPUTED_VALUE"""),32.0)</f>
        <v>32</v>
      </c>
      <c r="I1763" s="1">
        <f>IFERROR(__xludf.DUMMYFUNCTION("""COMPUTED_VALUE"""),70.0)</f>
        <v>70</v>
      </c>
      <c r="J1763" s="1">
        <f>IFERROR(__xludf.DUMMYFUNCTION("""COMPUTED_VALUE"""),240.0)</f>
        <v>240</v>
      </c>
      <c r="K1763" s="1">
        <f>IFERROR(__xludf.DUMMYFUNCTION("""COMPUTED_VALUE"""),48.0)</f>
        <v>48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>
        <f>IFERROR(__xludf.DUMMYFUNCTION("""COMPUTED_VALUE"""),24.0)</f>
        <v>24</v>
      </c>
      <c r="E1764" s="1">
        <f>IFERROR(__xludf.DUMMYFUNCTION("""COMPUTED_VALUE"""),94.0)</f>
        <v>94</v>
      </c>
      <c r="F1764" s="1">
        <f>IFERROR(__xludf.DUMMYFUNCTION("""COMPUTED_VALUE"""),84.0)</f>
        <v>84</v>
      </c>
      <c r="G1764" s="1">
        <f>IFERROR(__xludf.DUMMYFUNCTION("""COMPUTED_VALUE"""),32.0)</f>
        <v>32</v>
      </c>
      <c r="H1764" s="1">
        <f>IFERROR(__xludf.DUMMYFUNCTION("""COMPUTED_VALUE"""),58.0)</f>
        <v>58</v>
      </c>
      <c r="I1764" s="1">
        <f>IFERROR(__xludf.DUMMYFUNCTION("""COMPUTED_VALUE"""),98.0)</f>
        <v>98</v>
      </c>
      <c r="J1764" s="1">
        <f>IFERROR(__xludf.DUMMYFUNCTION("""COMPUTED_VALUE"""),366.0)</f>
        <v>366</v>
      </c>
      <c r="K1764" s="1">
        <f>IFERROR(__xludf.DUMMYFUNCTION("""COMPUTED_VALUE"""),73.2)</f>
        <v>73.2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>
        <f>IFERROR(__xludf.DUMMYFUNCTION("""COMPUTED_VALUE"""),97.0)</f>
        <v>97</v>
      </c>
      <c r="E1765" s="1">
        <f>IFERROR(__xludf.DUMMYFUNCTION("""COMPUTED_VALUE"""),91.0)</f>
        <v>91</v>
      </c>
      <c r="F1765" s="1">
        <f>IFERROR(__xludf.DUMMYFUNCTION("""COMPUTED_VALUE"""),99.0)</f>
        <v>99</v>
      </c>
      <c r="G1765" s="1">
        <f>IFERROR(__xludf.DUMMYFUNCTION("""COMPUTED_VALUE"""),49.0)</f>
        <v>49</v>
      </c>
      <c r="H1765" s="1">
        <f>IFERROR(__xludf.DUMMYFUNCTION("""COMPUTED_VALUE"""),63.0)</f>
        <v>63</v>
      </c>
      <c r="I1765" s="1">
        <f>IFERROR(__xludf.DUMMYFUNCTION("""COMPUTED_VALUE"""),28.0)</f>
        <v>28</v>
      </c>
      <c r="J1765" s="1">
        <f>IFERROR(__xludf.DUMMYFUNCTION("""COMPUTED_VALUE"""),330.0)</f>
        <v>330</v>
      </c>
      <c r="K1765" s="1">
        <f>IFERROR(__xludf.DUMMYFUNCTION("""COMPUTED_VALUE"""),66.0)</f>
        <v>66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>
        <f>IFERROR(__xludf.DUMMYFUNCTION("""COMPUTED_VALUE"""),49.0)</f>
        <v>49</v>
      </c>
      <c r="E1766" s="1">
        <f>IFERROR(__xludf.DUMMYFUNCTION("""COMPUTED_VALUE"""),89.0)</f>
        <v>89</v>
      </c>
      <c r="F1766" s="1">
        <f>IFERROR(__xludf.DUMMYFUNCTION("""COMPUTED_VALUE"""),56.0)</f>
        <v>56</v>
      </c>
      <c r="G1766" s="1">
        <f>IFERROR(__xludf.DUMMYFUNCTION("""COMPUTED_VALUE"""),68.0)</f>
        <v>68</v>
      </c>
      <c r="H1766" s="1">
        <f>IFERROR(__xludf.DUMMYFUNCTION("""COMPUTED_VALUE"""),82.0)</f>
        <v>82</v>
      </c>
      <c r="I1766" s="1">
        <f>IFERROR(__xludf.DUMMYFUNCTION("""COMPUTED_VALUE"""),80.0)</f>
        <v>80</v>
      </c>
      <c r="J1766" s="1">
        <f>IFERROR(__xludf.DUMMYFUNCTION("""COMPUTED_VALUE"""),375.0)</f>
        <v>375</v>
      </c>
      <c r="K1766" s="1">
        <f>IFERROR(__xludf.DUMMYFUNCTION("""COMPUTED_VALUE"""),75.0)</f>
        <v>75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>
        <f>IFERROR(__xludf.DUMMYFUNCTION("""COMPUTED_VALUE"""),87.0)</f>
        <v>87</v>
      </c>
      <c r="E1767" s="1">
        <f>IFERROR(__xludf.DUMMYFUNCTION("""COMPUTED_VALUE"""),55.0)</f>
        <v>55</v>
      </c>
      <c r="F1767" s="1">
        <f>IFERROR(__xludf.DUMMYFUNCTION("""COMPUTED_VALUE"""),97.0)</f>
        <v>97</v>
      </c>
      <c r="G1767" s="1">
        <f>IFERROR(__xludf.DUMMYFUNCTION("""COMPUTED_VALUE"""),20.0)</f>
        <v>20</v>
      </c>
      <c r="H1767" s="1">
        <f>IFERROR(__xludf.DUMMYFUNCTION("""COMPUTED_VALUE"""),43.0)</f>
        <v>43</v>
      </c>
      <c r="I1767" s="1">
        <f>IFERROR(__xludf.DUMMYFUNCTION("""COMPUTED_VALUE"""),52.0)</f>
        <v>52</v>
      </c>
      <c r="J1767" s="1">
        <f>IFERROR(__xludf.DUMMYFUNCTION("""COMPUTED_VALUE"""),267.0)</f>
        <v>267</v>
      </c>
      <c r="K1767" s="1">
        <f>IFERROR(__xludf.DUMMYFUNCTION("""COMPUTED_VALUE"""),53.400000000000006)</f>
        <v>53.4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>
        <f>IFERROR(__xludf.DUMMYFUNCTION("""COMPUTED_VALUE"""),91.0)</f>
        <v>91</v>
      </c>
      <c r="E1768" s="1">
        <f>IFERROR(__xludf.DUMMYFUNCTION("""COMPUTED_VALUE"""),44.0)</f>
        <v>44</v>
      </c>
      <c r="F1768" s="1">
        <f>IFERROR(__xludf.DUMMYFUNCTION("""COMPUTED_VALUE"""),21.0)</f>
        <v>21</v>
      </c>
      <c r="G1768" s="1">
        <f>IFERROR(__xludf.DUMMYFUNCTION("""COMPUTED_VALUE"""),58.0)</f>
        <v>58</v>
      </c>
      <c r="H1768" s="1">
        <f>IFERROR(__xludf.DUMMYFUNCTION("""COMPUTED_VALUE"""),97.0)</f>
        <v>97</v>
      </c>
      <c r="I1768" s="1">
        <f>IFERROR(__xludf.DUMMYFUNCTION("""COMPUTED_VALUE"""),73.0)</f>
        <v>73</v>
      </c>
      <c r="J1768" s="1">
        <f>IFERROR(__xludf.DUMMYFUNCTION("""COMPUTED_VALUE"""),293.0)</f>
        <v>293</v>
      </c>
      <c r="K1768" s="1">
        <f>IFERROR(__xludf.DUMMYFUNCTION("""COMPUTED_VALUE"""),58.599999999999994)</f>
        <v>58.6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>
        <f>IFERROR(__xludf.DUMMYFUNCTION("""COMPUTED_VALUE"""),35.0)</f>
        <v>35</v>
      </c>
      <c r="E1769" s="1">
        <f>IFERROR(__xludf.DUMMYFUNCTION("""COMPUTED_VALUE"""),83.0)</f>
        <v>83</v>
      </c>
      <c r="F1769" s="1">
        <f>IFERROR(__xludf.DUMMYFUNCTION("""COMPUTED_VALUE"""),45.0)</f>
        <v>45</v>
      </c>
      <c r="G1769" s="1">
        <f>IFERROR(__xludf.DUMMYFUNCTION("""COMPUTED_VALUE"""),54.0)</f>
        <v>54</v>
      </c>
      <c r="H1769" s="1">
        <f>IFERROR(__xludf.DUMMYFUNCTION("""COMPUTED_VALUE"""),29.0)</f>
        <v>29</v>
      </c>
      <c r="I1769" s="1">
        <f>IFERROR(__xludf.DUMMYFUNCTION("""COMPUTED_VALUE"""),26.0)</f>
        <v>26</v>
      </c>
      <c r="J1769" s="1">
        <f>IFERROR(__xludf.DUMMYFUNCTION("""COMPUTED_VALUE"""),237.0)</f>
        <v>237</v>
      </c>
      <c r="K1769" s="1">
        <f>IFERROR(__xludf.DUMMYFUNCTION("""COMPUTED_VALUE"""),47.4)</f>
        <v>47.4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>
        <f>IFERROR(__xludf.DUMMYFUNCTION("""COMPUTED_VALUE"""),26.0)</f>
        <v>26</v>
      </c>
      <c r="E1770" s="1">
        <f>IFERROR(__xludf.DUMMYFUNCTION("""COMPUTED_VALUE"""),92.0)</f>
        <v>92</v>
      </c>
      <c r="F1770" s="1">
        <f>IFERROR(__xludf.DUMMYFUNCTION("""COMPUTED_VALUE"""),35.0)</f>
        <v>35</v>
      </c>
      <c r="G1770" s="1">
        <f>IFERROR(__xludf.DUMMYFUNCTION("""COMPUTED_VALUE"""),21.0)</f>
        <v>21</v>
      </c>
      <c r="H1770" s="1">
        <f>IFERROR(__xludf.DUMMYFUNCTION("""COMPUTED_VALUE"""),30.0)</f>
        <v>30</v>
      </c>
      <c r="I1770" s="1">
        <f>IFERROR(__xludf.DUMMYFUNCTION("""COMPUTED_VALUE"""),73.0)</f>
        <v>73</v>
      </c>
      <c r="J1770" s="1">
        <f>IFERROR(__xludf.DUMMYFUNCTION("""COMPUTED_VALUE"""),251.0)</f>
        <v>251</v>
      </c>
      <c r="K1770" s="1">
        <f>IFERROR(__xludf.DUMMYFUNCTION("""COMPUTED_VALUE"""),50.2)</f>
        <v>50.2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>
        <f>IFERROR(__xludf.DUMMYFUNCTION("""COMPUTED_VALUE"""),20.0)</f>
        <v>20</v>
      </c>
      <c r="E1771" s="1">
        <f>IFERROR(__xludf.DUMMYFUNCTION("""COMPUTED_VALUE"""),28.0)</f>
        <v>28</v>
      </c>
      <c r="F1771" s="1">
        <f>IFERROR(__xludf.DUMMYFUNCTION("""COMPUTED_VALUE"""),38.0)</f>
        <v>38</v>
      </c>
      <c r="G1771" s="1">
        <f>IFERROR(__xludf.DUMMYFUNCTION("""COMPUTED_VALUE"""),48.0)</f>
        <v>48</v>
      </c>
      <c r="H1771" s="1">
        <f>IFERROR(__xludf.DUMMYFUNCTION("""COMPUTED_VALUE"""),36.0)</f>
        <v>36</v>
      </c>
      <c r="I1771" s="1">
        <f>IFERROR(__xludf.DUMMYFUNCTION("""COMPUTED_VALUE"""),83.0)</f>
        <v>83</v>
      </c>
      <c r="J1771" s="1">
        <f>IFERROR(__xludf.DUMMYFUNCTION("""COMPUTED_VALUE"""),233.0)</f>
        <v>233</v>
      </c>
      <c r="K1771" s="1">
        <f>IFERROR(__xludf.DUMMYFUNCTION("""COMPUTED_VALUE"""),46.6)</f>
        <v>46.6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>
        <f>IFERROR(__xludf.DUMMYFUNCTION("""COMPUTED_VALUE"""),32.0)</f>
        <v>32</v>
      </c>
      <c r="E1772" s="1">
        <f>IFERROR(__xludf.DUMMYFUNCTION("""COMPUTED_VALUE"""),70.0)</f>
        <v>70</v>
      </c>
      <c r="F1772" s="1">
        <f>IFERROR(__xludf.DUMMYFUNCTION("""COMPUTED_VALUE"""),43.0)</f>
        <v>43</v>
      </c>
      <c r="G1772" s="1">
        <f>IFERROR(__xludf.DUMMYFUNCTION("""COMPUTED_VALUE"""),39.0)</f>
        <v>39</v>
      </c>
      <c r="H1772" s="1">
        <f>IFERROR(__xludf.DUMMYFUNCTION("""COMPUTED_VALUE"""),43.0)</f>
        <v>43</v>
      </c>
      <c r="I1772" s="1">
        <f>IFERROR(__xludf.DUMMYFUNCTION("""COMPUTED_VALUE"""),61.0)</f>
        <v>61</v>
      </c>
      <c r="J1772" s="1">
        <f>IFERROR(__xludf.DUMMYFUNCTION("""COMPUTED_VALUE"""),256.0)</f>
        <v>256</v>
      </c>
      <c r="K1772" s="1">
        <f>IFERROR(__xludf.DUMMYFUNCTION("""COMPUTED_VALUE"""),51.2)</f>
        <v>51.2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>
        <f>IFERROR(__xludf.DUMMYFUNCTION("""COMPUTED_VALUE"""),80.0)</f>
        <v>80</v>
      </c>
      <c r="E1773" s="1">
        <f>IFERROR(__xludf.DUMMYFUNCTION("""COMPUTED_VALUE"""),31.0)</f>
        <v>31</v>
      </c>
      <c r="F1773" s="1">
        <f>IFERROR(__xludf.DUMMYFUNCTION("""COMPUTED_VALUE"""),74.0)</f>
        <v>74</v>
      </c>
      <c r="G1773" s="1">
        <f>IFERROR(__xludf.DUMMYFUNCTION("""COMPUTED_VALUE"""),77.0)</f>
        <v>77</v>
      </c>
      <c r="H1773" s="1">
        <f>IFERROR(__xludf.DUMMYFUNCTION("""COMPUTED_VALUE"""),92.0)</f>
        <v>92</v>
      </c>
      <c r="I1773" s="1">
        <f>IFERROR(__xludf.DUMMYFUNCTION("""COMPUTED_VALUE"""),43.0)</f>
        <v>43</v>
      </c>
      <c r="J1773" s="1">
        <f>IFERROR(__xludf.DUMMYFUNCTION("""COMPUTED_VALUE"""),317.0)</f>
        <v>317</v>
      </c>
      <c r="K1773" s="1">
        <f>IFERROR(__xludf.DUMMYFUNCTION("""COMPUTED_VALUE"""),63.4)</f>
        <v>63.4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>
        <f>IFERROR(__xludf.DUMMYFUNCTION("""COMPUTED_VALUE"""),25.0)</f>
        <v>25</v>
      </c>
      <c r="E1774" s="1">
        <f>IFERROR(__xludf.DUMMYFUNCTION("""COMPUTED_VALUE"""),70.0)</f>
        <v>70</v>
      </c>
      <c r="F1774" s="1">
        <f>IFERROR(__xludf.DUMMYFUNCTION("""COMPUTED_VALUE"""),44.0)</f>
        <v>44</v>
      </c>
      <c r="G1774" s="1">
        <f>IFERROR(__xludf.DUMMYFUNCTION("""COMPUTED_VALUE"""),78.0)</f>
        <v>78</v>
      </c>
      <c r="H1774" s="1">
        <f>IFERROR(__xludf.DUMMYFUNCTION("""COMPUTED_VALUE"""),60.0)</f>
        <v>60</v>
      </c>
      <c r="I1774" s="1">
        <f>IFERROR(__xludf.DUMMYFUNCTION("""COMPUTED_VALUE"""),47.0)</f>
        <v>47</v>
      </c>
      <c r="J1774" s="1">
        <f>IFERROR(__xludf.DUMMYFUNCTION("""COMPUTED_VALUE"""),299.0)</f>
        <v>299</v>
      </c>
      <c r="K1774" s="1">
        <f>IFERROR(__xludf.DUMMYFUNCTION("""COMPUTED_VALUE"""),59.8)</f>
        <v>59.8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>
        <f>IFERROR(__xludf.DUMMYFUNCTION("""COMPUTED_VALUE"""),59.0)</f>
        <v>59</v>
      </c>
      <c r="E1775" s="1">
        <f>IFERROR(__xludf.DUMMYFUNCTION("""COMPUTED_VALUE"""),35.0)</f>
        <v>35</v>
      </c>
      <c r="F1775" s="1">
        <f>IFERROR(__xludf.DUMMYFUNCTION("""COMPUTED_VALUE"""),52.0)</f>
        <v>52</v>
      </c>
      <c r="G1775" s="1">
        <f>IFERROR(__xludf.DUMMYFUNCTION("""COMPUTED_VALUE"""),37.0)</f>
        <v>37</v>
      </c>
      <c r="H1775" s="1">
        <f>IFERROR(__xludf.DUMMYFUNCTION("""COMPUTED_VALUE"""),61.0)</f>
        <v>61</v>
      </c>
      <c r="I1775" s="1">
        <f>IFERROR(__xludf.DUMMYFUNCTION("""COMPUTED_VALUE"""),71.0)</f>
        <v>71</v>
      </c>
      <c r="J1775" s="1">
        <f>IFERROR(__xludf.DUMMYFUNCTION("""COMPUTED_VALUE"""),256.0)</f>
        <v>256</v>
      </c>
      <c r="K1775" s="1">
        <f>IFERROR(__xludf.DUMMYFUNCTION("""COMPUTED_VALUE"""),51.2)</f>
        <v>51.2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>
        <f>IFERROR(__xludf.DUMMYFUNCTION("""COMPUTED_VALUE"""),26.0)</f>
        <v>26</v>
      </c>
      <c r="E1776" s="1">
        <f>IFERROR(__xludf.DUMMYFUNCTION("""COMPUTED_VALUE"""),35.0)</f>
        <v>35</v>
      </c>
      <c r="F1776" s="1">
        <f>IFERROR(__xludf.DUMMYFUNCTION("""COMPUTED_VALUE"""),44.0)</f>
        <v>44</v>
      </c>
      <c r="G1776" s="1">
        <f>IFERROR(__xludf.DUMMYFUNCTION("""COMPUTED_VALUE"""),43.0)</f>
        <v>43</v>
      </c>
      <c r="H1776" s="1">
        <f>IFERROR(__xludf.DUMMYFUNCTION("""COMPUTED_VALUE"""),73.0)</f>
        <v>73</v>
      </c>
      <c r="I1776" s="1">
        <f>IFERROR(__xludf.DUMMYFUNCTION("""COMPUTED_VALUE"""),21.0)</f>
        <v>21</v>
      </c>
      <c r="J1776" s="1">
        <f>IFERROR(__xludf.DUMMYFUNCTION("""COMPUTED_VALUE"""),216.0)</f>
        <v>216</v>
      </c>
      <c r="K1776" s="1">
        <f>IFERROR(__xludf.DUMMYFUNCTION("""COMPUTED_VALUE"""),43.2)</f>
        <v>43.2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>
        <f>IFERROR(__xludf.DUMMYFUNCTION("""COMPUTED_VALUE"""),83.0)</f>
        <v>83</v>
      </c>
      <c r="E1777" s="1">
        <f>IFERROR(__xludf.DUMMYFUNCTION("""COMPUTED_VALUE"""),23.0)</f>
        <v>23</v>
      </c>
      <c r="F1777" s="1">
        <f>IFERROR(__xludf.DUMMYFUNCTION("""COMPUTED_VALUE"""),47.0)</f>
        <v>47</v>
      </c>
      <c r="G1777" s="1">
        <f>IFERROR(__xludf.DUMMYFUNCTION("""COMPUTED_VALUE"""),26.0)</f>
        <v>26</v>
      </c>
      <c r="H1777" s="1">
        <f>IFERROR(__xludf.DUMMYFUNCTION("""COMPUTED_VALUE"""),98.0)</f>
        <v>98</v>
      </c>
      <c r="I1777" s="1">
        <f>IFERROR(__xludf.DUMMYFUNCTION("""COMPUTED_VALUE"""),20.0)</f>
        <v>20</v>
      </c>
      <c r="J1777" s="1">
        <f>IFERROR(__xludf.DUMMYFUNCTION("""COMPUTED_VALUE"""),214.0)</f>
        <v>214</v>
      </c>
      <c r="K1777" s="1">
        <f>IFERROR(__xludf.DUMMYFUNCTION("""COMPUTED_VALUE"""),42.8)</f>
        <v>42.8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>
        <f>IFERROR(__xludf.DUMMYFUNCTION("""COMPUTED_VALUE"""),26.0)</f>
        <v>26</v>
      </c>
      <c r="E1778" s="1">
        <f>IFERROR(__xludf.DUMMYFUNCTION("""COMPUTED_VALUE"""),34.0)</f>
        <v>34</v>
      </c>
      <c r="F1778" s="1">
        <f>IFERROR(__xludf.DUMMYFUNCTION("""COMPUTED_VALUE"""),24.0)</f>
        <v>24</v>
      </c>
      <c r="G1778" s="1">
        <f>IFERROR(__xludf.DUMMYFUNCTION("""COMPUTED_VALUE"""),67.0)</f>
        <v>67</v>
      </c>
      <c r="H1778" s="1">
        <f>IFERROR(__xludf.DUMMYFUNCTION("""COMPUTED_VALUE"""),76.0)</f>
        <v>76</v>
      </c>
      <c r="I1778" s="1">
        <f>IFERROR(__xludf.DUMMYFUNCTION("""COMPUTED_VALUE"""),47.0)</f>
        <v>47</v>
      </c>
      <c r="J1778" s="1">
        <f>IFERROR(__xludf.DUMMYFUNCTION("""COMPUTED_VALUE"""),248.0)</f>
        <v>248</v>
      </c>
      <c r="K1778" s="1">
        <f>IFERROR(__xludf.DUMMYFUNCTION("""COMPUTED_VALUE"""),49.6)</f>
        <v>49.6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>
        <f>IFERROR(__xludf.DUMMYFUNCTION("""COMPUTED_VALUE"""),35.0)</f>
        <v>35</v>
      </c>
      <c r="E1779" s="1">
        <f>IFERROR(__xludf.DUMMYFUNCTION("""COMPUTED_VALUE"""),55.0)</f>
        <v>55</v>
      </c>
      <c r="F1779" s="1">
        <f>IFERROR(__xludf.DUMMYFUNCTION("""COMPUTED_VALUE"""),59.0)</f>
        <v>59</v>
      </c>
      <c r="G1779" s="1">
        <f>IFERROR(__xludf.DUMMYFUNCTION("""COMPUTED_VALUE"""),71.0)</f>
        <v>71</v>
      </c>
      <c r="H1779" s="1">
        <f>IFERROR(__xludf.DUMMYFUNCTION("""COMPUTED_VALUE"""),43.0)</f>
        <v>43</v>
      </c>
      <c r="I1779" s="1">
        <f>IFERROR(__xludf.DUMMYFUNCTION("""COMPUTED_VALUE"""),48.0)</f>
        <v>48</v>
      </c>
      <c r="J1779" s="1">
        <f>IFERROR(__xludf.DUMMYFUNCTION("""COMPUTED_VALUE"""),276.0)</f>
        <v>276</v>
      </c>
      <c r="K1779" s="1">
        <f>IFERROR(__xludf.DUMMYFUNCTION("""COMPUTED_VALUE"""),55.2)</f>
        <v>55.2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>
        <f>IFERROR(__xludf.DUMMYFUNCTION("""COMPUTED_VALUE"""),87.0)</f>
        <v>87</v>
      </c>
      <c r="E1780" s="1">
        <f>IFERROR(__xludf.DUMMYFUNCTION("""COMPUTED_VALUE"""),23.0)</f>
        <v>23</v>
      </c>
      <c r="F1780" s="1">
        <f>IFERROR(__xludf.DUMMYFUNCTION("""COMPUTED_VALUE"""),70.0)</f>
        <v>70</v>
      </c>
      <c r="G1780" s="1">
        <f>IFERROR(__xludf.DUMMYFUNCTION("""COMPUTED_VALUE"""),48.0)</f>
        <v>48</v>
      </c>
      <c r="H1780" s="1">
        <f>IFERROR(__xludf.DUMMYFUNCTION("""COMPUTED_VALUE"""),83.0)</f>
        <v>83</v>
      </c>
      <c r="I1780" s="1">
        <f>IFERROR(__xludf.DUMMYFUNCTION("""COMPUTED_VALUE"""),95.0)</f>
        <v>95</v>
      </c>
      <c r="J1780" s="1">
        <f>IFERROR(__xludf.DUMMYFUNCTION("""COMPUTED_VALUE"""),319.0)</f>
        <v>319</v>
      </c>
      <c r="K1780" s="1">
        <f>IFERROR(__xludf.DUMMYFUNCTION("""COMPUTED_VALUE"""),63.800000000000004)</f>
        <v>63.8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>
        <f>IFERROR(__xludf.DUMMYFUNCTION("""COMPUTED_VALUE"""),40.0)</f>
        <v>40</v>
      </c>
      <c r="E1781" s="1">
        <f>IFERROR(__xludf.DUMMYFUNCTION("""COMPUTED_VALUE"""),40.0)</f>
        <v>40</v>
      </c>
      <c r="F1781" s="1">
        <f>IFERROR(__xludf.DUMMYFUNCTION("""COMPUTED_VALUE"""),71.0)</f>
        <v>71</v>
      </c>
      <c r="G1781" s="1">
        <f>IFERROR(__xludf.DUMMYFUNCTION("""COMPUTED_VALUE"""),89.0)</f>
        <v>89</v>
      </c>
      <c r="H1781" s="1">
        <f>IFERROR(__xludf.DUMMYFUNCTION("""COMPUTED_VALUE"""),78.0)</f>
        <v>78</v>
      </c>
      <c r="I1781" s="1">
        <f>IFERROR(__xludf.DUMMYFUNCTION("""COMPUTED_VALUE"""),57.0)</f>
        <v>57</v>
      </c>
      <c r="J1781" s="1">
        <f>IFERROR(__xludf.DUMMYFUNCTION("""COMPUTED_VALUE"""),335.0)</f>
        <v>335</v>
      </c>
      <c r="K1781" s="1">
        <f>IFERROR(__xludf.DUMMYFUNCTION("""COMPUTED_VALUE"""),67.0)</f>
        <v>67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>
        <f>IFERROR(__xludf.DUMMYFUNCTION("""COMPUTED_VALUE"""),30.0)</f>
        <v>30</v>
      </c>
      <c r="E1782" s="1">
        <f>IFERROR(__xludf.DUMMYFUNCTION("""COMPUTED_VALUE"""),96.0)</f>
        <v>96</v>
      </c>
      <c r="F1782" s="1">
        <f>IFERROR(__xludf.DUMMYFUNCTION("""COMPUTED_VALUE"""),56.0)</f>
        <v>56</v>
      </c>
      <c r="G1782" s="1">
        <f>IFERROR(__xludf.DUMMYFUNCTION("""COMPUTED_VALUE"""),55.0)</f>
        <v>55</v>
      </c>
      <c r="H1782" s="1">
        <f>IFERROR(__xludf.DUMMYFUNCTION("""COMPUTED_VALUE"""),88.0)</f>
        <v>88</v>
      </c>
      <c r="I1782" s="1">
        <f>IFERROR(__xludf.DUMMYFUNCTION("""COMPUTED_VALUE"""),31.0)</f>
        <v>31</v>
      </c>
      <c r="J1782" s="1">
        <f>IFERROR(__xludf.DUMMYFUNCTION("""COMPUTED_VALUE"""),326.0)</f>
        <v>326</v>
      </c>
      <c r="K1782" s="1">
        <f>IFERROR(__xludf.DUMMYFUNCTION("""COMPUTED_VALUE"""),65.2)</f>
        <v>65.2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>
        <f>IFERROR(__xludf.DUMMYFUNCTION("""COMPUTED_VALUE"""),47.0)</f>
        <v>47</v>
      </c>
      <c r="E1783" s="1">
        <f>IFERROR(__xludf.DUMMYFUNCTION("""COMPUTED_VALUE"""),27.0)</f>
        <v>27</v>
      </c>
      <c r="F1783" s="1">
        <f>IFERROR(__xludf.DUMMYFUNCTION("""COMPUTED_VALUE"""),32.0)</f>
        <v>32</v>
      </c>
      <c r="G1783" s="1">
        <f>IFERROR(__xludf.DUMMYFUNCTION("""COMPUTED_VALUE"""),88.0)</f>
        <v>88</v>
      </c>
      <c r="H1783" s="1">
        <f>IFERROR(__xludf.DUMMYFUNCTION("""COMPUTED_VALUE"""),97.0)</f>
        <v>97</v>
      </c>
      <c r="I1783" s="1">
        <f>IFERROR(__xludf.DUMMYFUNCTION("""COMPUTED_VALUE"""),99.0)</f>
        <v>99</v>
      </c>
      <c r="J1783" s="1">
        <f>IFERROR(__xludf.DUMMYFUNCTION("""COMPUTED_VALUE"""),343.0)</f>
        <v>343</v>
      </c>
      <c r="K1783" s="1">
        <f>IFERROR(__xludf.DUMMYFUNCTION("""COMPUTED_VALUE"""),68.60000000000001)</f>
        <v>68.6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>
        <f>IFERROR(__xludf.DUMMYFUNCTION("""COMPUTED_VALUE"""),14.0)</f>
        <v>14</v>
      </c>
      <c r="E1784" s="1">
        <f>IFERROR(__xludf.DUMMYFUNCTION("""COMPUTED_VALUE"""),72.0)</f>
        <v>72</v>
      </c>
      <c r="F1784" s="1">
        <f>IFERROR(__xludf.DUMMYFUNCTION("""COMPUTED_VALUE"""),40.0)</f>
        <v>40</v>
      </c>
      <c r="G1784" s="1">
        <f>IFERROR(__xludf.DUMMYFUNCTION("""COMPUTED_VALUE"""),32.0)</f>
        <v>32</v>
      </c>
      <c r="H1784" s="1">
        <f>IFERROR(__xludf.DUMMYFUNCTION("""COMPUTED_VALUE"""),68.0)</f>
        <v>68</v>
      </c>
      <c r="I1784" s="1">
        <f>IFERROR(__xludf.DUMMYFUNCTION("""COMPUTED_VALUE"""),61.0)</f>
        <v>61</v>
      </c>
      <c r="J1784" s="1">
        <f>IFERROR(__xludf.DUMMYFUNCTION("""COMPUTED_VALUE"""),273.0)</f>
        <v>273</v>
      </c>
      <c r="K1784" s="1">
        <f>IFERROR(__xludf.DUMMYFUNCTION("""COMPUTED_VALUE"""),54.6)</f>
        <v>54.6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>
        <f>IFERROR(__xludf.DUMMYFUNCTION("""COMPUTED_VALUE"""),51.0)</f>
        <v>51</v>
      </c>
      <c r="E1785" s="1">
        <f>IFERROR(__xludf.DUMMYFUNCTION("""COMPUTED_VALUE"""),41.0)</f>
        <v>41</v>
      </c>
      <c r="F1785" s="1">
        <f>IFERROR(__xludf.DUMMYFUNCTION("""COMPUTED_VALUE"""),21.0)</f>
        <v>21</v>
      </c>
      <c r="G1785" s="1">
        <f>IFERROR(__xludf.DUMMYFUNCTION("""COMPUTED_VALUE"""),77.0)</f>
        <v>77</v>
      </c>
      <c r="H1785" s="1">
        <f>IFERROR(__xludf.DUMMYFUNCTION("""COMPUTED_VALUE"""),40.0)</f>
        <v>40</v>
      </c>
      <c r="I1785" s="1">
        <f>IFERROR(__xludf.DUMMYFUNCTION("""COMPUTED_VALUE"""),50.0)</f>
        <v>50</v>
      </c>
      <c r="J1785" s="1">
        <f>IFERROR(__xludf.DUMMYFUNCTION("""COMPUTED_VALUE"""),229.0)</f>
        <v>229</v>
      </c>
      <c r="K1785" s="1">
        <f>IFERROR(__xludf.DUMMYFUNCTION("""COMPUTED_VALUE"""),45.800000000000004)</f>
        <v>45.8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>
        <f>IFERROR(__xludf.DUMMYFUNCTION("""COMPUTED_VALUE"""),12.0)</f>
        <v>12</v>
      </c>
      <c r="E1786" s="1">
        <f>IFERROR(__xludf.DUMMYFUNCTION("""COMPUTED_VALUE"""),91.0)</f>
        <v>91</v>
      </c>
      <c r="F1786" s="1">
        <f>IFERROR(__xludf.DUMMYFUNCTION("""COMPUTED_VALUE"""),84.0)</f>
        <v>84</v>
      </c>
      <c r="G1786" s="1">
        <f>IFERROR(__xludf.DUMMYFUNCTION("""COMPUTED_VALUE"""),76.0)</f>
        <v>76</v>
      </c>
      <c r="H1786" s="1">
        <f>IFERROR(__xludf.DUMMYFUNCTION("""COMPUTED_VALUE"""),55.0)</f>
        <v>55</v>
      </c>
      <c r="I1786" s="1">
        <f>IFERROR(__xludf.DUMMYFUNCTION("""COMPUTED_VALUE"""),58.0)</f>
        <v>58</v>
      </c>
      <c r="J1786" s="1">
        <f>IFERROR(__xludf.DUMMYFUNCTION("""COMPUTED_VALUE"""),364.0)</f>
        <v>364</v>
      </c>
      <c r="K1786" s="1">
        <f>IFERROR(__xludf.DUMMYFUNCTION("""COMPUTED_VALUE"""),72.8)</f>
        <v>72.8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>
        <f>IFERROR(__xludf.DUMMYFUNCTION("""COMPUTED_VALUE"""),73.0)</f>
        <v>73</v>
      </c>
      <c r="E1787" s="1">
        <f>IFERROR(__xludf.DUMMYFUNCTION("""COMPUTED_VALUE"""),61.0)</f>
        <v>61</v>
      </c>
      <c r="F1787" s="1">
        <f>IFERROR(__xludf.DUMMYFUNCTION("""COMPUTED_VALUE"""),54.0)</f>
        <v>54</v>
      </c>
      <c r="G1787" s="1">
        <f>IFERROR(__xludf.DUMMYFUNCTION("""COMPUTED_VALUE"""),78.0)</f>
        <v>78</v>
      </c>
      <c r="H1787" s="1">
        <f>IFERROR(__xludf.DUMMYFUNCTION("""COMPUTED_VALUE"""),35.0)</f>
        <v>35</v>
      </c>
      <c r="I1787" s="1">
        <f>IFERROR(__xludf.DUMMYFUNCTION("""COMPUTED_VALUE"""),74.0)</f>
        <v>74</v>
      </c>
      <c r="J1787" s="1">
        <f>IFERROR(__xludf.DUMMYFUNCTION("""COMPUTED_VALUE"""),302.0)</f>
        <v>302</v>
      </c>
      <c r="K1787" s="1">
        <f>IFERROR(__xludf.DUMMYFUNCTION("""COMPUTED_VALUE"""),60.4)</f>
        <v>60.4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>
        <f>IFERROR(__xludf.DUMMYFUNCTION("""COMPUTED_VALUE"""),83.0)</f>
        <v>83</v>
      </c>
      <c r="E1788" s="1">
        <f>IFERROR(__xludf.DUMMYFUNCTION("""COMPUTED_VALUE"""),43.0)</f>
        <v>43</v>
      </c>
      <c r="F1788" s="1">
        <f>IFERROR(__xludf.DUMMYFUNCTION("""COMPUTED_VALUE"""),80.0)</f>
        <v>80</v>
      </c>
      <c r="G1788" s="1">
        <f>IFERROR(__xludf.DUMMYFUNCTION("""COMPUTED_VALUE"""),95.0)</f>
        <v>95</v>
      </c>
      <c r="H1788" s="1">
        <f>IFERROR(__xludf.DUMMYFUNCTION("""COMPUTED_VALUE"""),96.0)</f>
        <v>96</v>
      </c>
      <c r="I1788" s="1">
        <f>IFERROR(__xludf.DUMMYFUNCTION("""COMPUTED_VALUE"""),30.0)</f>
        <v>30</v>
      </c>
      <c r="J1788" s="1">
        <f>IFERROR(__xludf.DUMMYFUNCTION("""COMPUTED_VALUE"""),344.0)</f>
        <v>344</v>
      </c>
      <c r="K1788" s="1">
        <f>IFERROR(__xludf.DUMMYFUNCTION("""COMPUTED_VALUE"""),68.8)</f>
        <v>68.8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>
        <f>IFERROR(__xludf.DUMMYFUNCTION("""COMPUTED_VALUE"""),83.0)</f>
        <v>83</v>
      </c>
      <c r="E1789" s="1">
        <f>IFERROR(__xludf.DUMMYFUNCTION("""COMPUTED_VALUE"""),28.0)</f>
        <v>28</v>
      </c>
      <c r="F1789" s="1">
        <f>IFERROR(__xludf.DUMMYFUNCTION("""COMPUTED_VALUE"""),43.0)</f>
        <v>43</v>
      </c>
      <c r="G1789" s="1">
        <f>IFERROR(__xludf.DUMMYFUNCTION("""COMPUTED_VALUE"""),81.0)</f>
        <v>81</v>
      </c>
      <c r="H1789" s="1">
        <f>IFERROR(__xludf.DUMMYFUNCTION("""COMPUTED_VALUE"""),87.0)</f>
        <v>87</v>
      </c>
      <c r="I1789" s="1">
        <f>IFERROR(__xludf.DUMMYFUNCTION("""COMPUTED_VALUE"""),96.0)</f>
        <v>96</v>
      </c>
      <c r="J1789" s="1">
        <f>IFERROR(__xludf.DUMMYFUNCTION("""COMPUTED_VALUE"""),335.0)</f>
        <v>335</v>
      </c>
      <c r="K1789" s="1">
        <f>IFERROR(__xludf.DUMMYFUNCTION("""COMPUTED_VALUE"""),67.0)</f>
        <v>67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>
        <f>IFERROR(__xludf.DUMMYFUNCTION("""COMPUTED_VALUE"""),25.0)</f>
        <v>25</v>
      </c>
      <c r="E1790" s="1">
        <f>IFERROR(__xludf.DUMMYFUNCTION("""COMPUTED_VALUE"""),48.0)</f>
        <v>48</v>
      </c>
      <c r="F1790" s="1">
        <f>IFERROR(__xludf.DUMMYFUNCTION("""COMPUTED_VALUE"""),82.0)</f>
        <v>82</v>
      </c>
      <c r="G1790" s="1">
        <f>IFERROR(__xludf.DUMMYFUNCTION("""COMPUTED_VALUE"""),90.0)</f>
        <v>90</v>
      </c>
      <c r="H1790" s="1">
        <f>IFERROR(__xludf.DUMMYFUNCTION("""COMPUTED_VALUE"""),78.0)</f>
        <v>78</v>
      </c>
      <c r="I1790" s="1">
        <f>IFERROR(__xludf.DUMMYFUNCTION("""COMPUTED_VALUE"""),66.0)</f>
        <v>66</v>
      </c>
      <c r="J1790" s="1">
        <f>IFERROR(__xludf.DUMMYFUNCTION("""COMPUTED_VALUE"""),364.0)</f>
        <v>364</v>
      </c>
      <c r="K1790" s="1">
        <f>IFERROR(__xludf.DUMMYFUNCTION("""COMPUTED_VALUE"""),72.8)</f>
        <v>72.8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>
        <f>IFERROR(__xludf.DUMMYFUNCTION("""COMPUTED_VALUE"""),63.0)</f>
        <v>63</v>
      </c>
      <c r="E1791" s="1">
        <f>IFERROR(__xludf.DUMMYFUNCTION("""COMPUTED_VALUE"""),47.0)</f>
        <v>47</v>
      </c>
      <c r="F1791" s="1">
        <f>IFERROR(__xludf.DUMMYFUNCTION("""COMPUTED_VALUE"""),27.0)</f>
        <v>27</v>
      </c>
      <c r="G1791" s="1">
        <f>IFERROR(__xludf.DUMMYFUNCTION("""COMPUTED_VALUE"""),44.0)</f>
        <v>44</v>
      </c>
      <c r="H1791" s="1">
        <f>IFERROR(__xludf.DUMMYFUNCTION("""COMPUTED_VALUE"""),63.0)</f>
        <v>63</v>
      </c>
      <c r="I1791" s="1">
        <f>IFERROR(__xludf.DUMMYFUNCTION("""COMPUTED_VALUE"""),59.0)</f>
        <v>59</v>
      </c>
      <c r="J1791" s="1">
        <f>IFERROR(__xludf.DUMMYFUNCTION("""COMPUTED_VALUE"""),240.0)</f>
        <v>240</v>
      </c>
      <c r="K1791" s="1">
        <f>IFERROR(__xludf.DUMMYFUNCTION("""COMPUTED_VALUE"""),48.0)</f>
        <v>48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>
        <f>IFERROR(__xludf.DUMMYFUNCTION("""COMPUTED_VALUE"""),16.0)</f>
        <v>16</v>
      </c>
      <c r="E1792" s="1">
        <f>IFERROR(__xludf.DUMMYFUNCTION("""COMPUTED_VALUE"""),55.0)</f>
        <v>55</v>
      </c>
      <c r="F1792" s="1">
        <f>IFERROR(__xludf.DUMMYFUNCTION("""COMPUTED_VALUE"""),91.0)</f>
        <v>91</v>
      </c>
      <c r="G1792" s="1">
        <f>IFERROR(__xludf.DUMMYFUNCTION("""COMPUTED_VALUE"""),84.0)</f>
        <v>84</v>
      </c>
      <c r="H1792" s="1">
        <f>IFERROR(__xludf.DUMMYFUNCTION("""COMPUTED_VALUE"""),54.0)</f>
        <v>54</v>
      </c>
      <c r="I1792" s="1">
        <f>IFERROR(__xludf.DUMMYFUNCTION("""COMPUTED_VALUE"""),46.0)</f>
        <v>46</v>
      </c>
      <c r="J1792" s="1">
        <f>IFERROR(__xludf.DUMMYFUNCTION("""COMPUTED_VALUE"""),330.0)</f>
        <v>330</v>
      </c>
      <c r="K1792" s="1">
        <f>IFERROR(__xludf.DUMMYFUNCTION("""COMPUTED_VALUE"""),66.0)</f>
        <v>66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>
        <f>IFERROR(__xludf.DUMMYFUNCTION("""COMPUTED_VALUE"""),69.0)</f>
        <v>69</v>
      </c>
      <c r="E1793" s="1">
        <f>IFERROR(__xludf.DUMMYFUNCTION("""COMPUTED_VALUE"""),57.0)</f>
        <v>57</v>
      </c>
      <c r="F1793" s="1">
        <f>IFERROR(__xludf.DUMMYFUNCTION("""COMPUTED_VALUE"""),40.0)</f>
        <v>40</v>
      </c>
      <c r="G1793" s="1">
        <f>IFERROR(__xludf.DUMMYFUNCTION("""COMPUTED_VALUE"""),55.0)</f>
        <v>55</v>
      </c>
      <c r="H1793" s="1">
        <f>IFERROR(__xludf.DUMMYFUNCTION("""COMPUTED_VALUE"""),32.0)</f>
        <v>32</v>
      </c>
      <c r="I1793" s="1">
        <f>IFERROR(__xludf.DUMMYFUNCTION("""COMPUTED_VALUE"""),78.0)</f>
        <v>78</v>
      </c>
      <c r="J1793" s="1">
        <f>IFERROR(__xludf.DUMMYFUNCTION("""COMPUTED_VALUE"""),262.0)</f>
        <v>262</v>
      </c>
      <c r="K1793" s="1">
        <f>IFERROR(__xludf.DUMMYFUNCTION("""COMPUTED_VALUE"""),52.400000000000006)</f>
        <v>52.4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>
        <f>IFERROR(__xludf.DUMMYFUNCTION("""COMPUTED_VALUE"""),11.0)</f>
        <v>11</v>
      </c>
      <c r="E1794" s="1">
        <f>IFERROR(__xludf.DUMMYFUNCTION("""COMPUTED_VALUE"""),37.0)</f>
        <v>37</v>
      </c>
      <c r="F1794" s="1">
        <f>IFERROR(__xludf.DUMMYFUNCTION("""COMPUTED_VALUE"""),60.0)</f>
        <v>60</v>
      </c>
      <c r="G1794" s="1">
        <f>IFERROR(__xludf.DUMMYFUNCTION("""COMPUTED_VALUE"""),63.0)</f>
        <v>63</v>
      </c>
      <c r="H1794" s="1">
        <f>IFERROR(__xludf.DUMMYFUNCTION("""COMPUTED_VALUE"""),77.0)</f>
        <v>77</v>
      </c>
      <c r="I1794" s="1">
        <f>IFERROR(__xludf.DUMMYFUNCTION("""COMPUTED_VALUE"""),36.0)</f>
        <v>36</v>
      </c>
      <c r="J1794" s="1">
        <f>IFERROR(__xludf.DUMMYFUNCTION("""COMPUTED_VALUE"""),273.0)</f>
        <v>273</v>
      </c>
      <c r="K1794" s="1">
        <f>IFERROR(__xludf.DUMMYFUNCTION("""COMPUTED_VALUE"""),54.6)</f>
        <v>54.6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>
        <f>IFERROR(__xludf.DUMMYFUNCTION("""COMPUTED_VALUE"""),76.0)</f>
        <v>76</v>
      </c>
      <c r="E1795" s="1">
        <f>IFERROR(__xludf.DUMMYFUNCTION("""COMPUTED_VALUE"""),61.0)</f>
        <v>61</v>
      </c>
      <c r="F1795" s="1">
        <f>IFERROR(__xludf.DUMMYFUNCTION("""COMPUTED_VALUE"""),28.0)</f>
        <v>28</v>
      </c>
      <c r="G1795" s="1">
        <f>IFERROR(__xludf.DUMMYFUNCTION("""COMPUTED_VALUE"""),94.0)</f>
        <v>94</v>
      </c>
      <c r="H1795" s="1">
        <f>IFERROR(__xludf.DUMMYFUNCTION("""COMPUTED_VALUE"""),36.0)</f>
        <v>36</v>
      </c>
      <c r="I1795" s="1">
        <f>IFERROR(__xludf.DUMMYFUNCTION("""COMPUTED_VALUE"""),56.0)</f>
        <v>56</v>
      </c>
      <c r="J1795" s="1">
        <f>IFERROR(__xludf.DUMMYFUNCTION("""COMPUTED_VALUE"""),275.0)</f>
        <v>275</v>
      </c>
      <c r="K1795" s="1">
        <f>IFERROR(__xludf.DUMMYFUNCTION("""COMPUTED_VALUE"""),55.00000000000001)</f>
        <v>55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>
        <f>IFERROR(__xludf.DUMMYFUNCTION("""COMPUTED_VALUE"""),81.0)</f>
        <v>81</v>
      </c>
      <c r="E1796" s="1">
        <f>IFERROR(__xludf.DUMMYFUNCTION("""COMPUTED_VALUE"""),72.0)</f>
        <v>72</v>
      </c>
      <c r="F1796" s="1">
        <f>IFERROR(__xludf.DUMMYFUNCTION("""COMPUTED_VALUE"""),59.0)</f>
        <v>59</v>
      </c>
      <c r="G1796" s="1">
        <f>IFERROR(__xludf.DUMMYFUNCTION("""COMPUTED_VALUE"""),52.0)</f>
        <v>52</v>
      </c>
      <c r="H1796" s="1">
        <f>IFERROR(__xludf.DUMMYFUNCTION("""COMPUTED_VALUE"""),81.0)</f>
        <v>81</v>
      </c>
      <c r="I1796" s="1">
        <f>IFERROR(__xludf.DUMMYFUNCTION("""COMPUTED_VALUE"""),86.0)</f>
        <v>86</v>
      </c>
      <c r="J1796" s="1">
        <f>IFERROR(__xludf.DUMMYFUNCTION("""COMPUTED_VALUE"""),350.0)</f>
        <v>350</v>
      </c>
      <c r="K1796" s="1">
        <f>IFERROR(__xludf.DUMMYFUNCTION("""COMPUTED_VALUE"""),70.0)</f>
        <v>70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>
        <f>IFERROR(__xludf.DUMMYFUNCTION("""COMPUTED_VALUE"""),65.0)</f>
        <v>65</v>
      </c>
      <c r="E1797" s="1">
        <f>IFERROR(__xludf.DUMMYFUNCTION("""COMPUTED_VALUE"""),76.0)</f>
        <v>76</v>
      </c>
      <c r="F1797" s="1">
        <f>IFERROR(__xludf.DUMMYFUNCTION("""COMPUTED_VALUE"""),55.0)</f>
        <v>55</v>
      </c>
      <c r="G1797" s="1">
        <f>IFERROR(__xludf.DUMMYFUNCTION("""COMPUTED_VALUE"""),69.0)</f>
        <v>69</v>
      </c>
      <c r="H1797" s="1">
        <f>IFERROR(__xludf.DUMMYFUNCTION("""COMPUTED_VALUE"""),95.0)</f>
        <v>95</v>
      </c>
      <c r="I1797" s="1">
        <f>IFERROR(__xludf.DUMMYFUNCTION("""COMPUTED_VALUE"""),63.0)</f>
        <v>63</v>
      </c>
      <c r="J1797" s="1">
        <f>IFERROR(__xludf.DUMMYFUNCTION("""COMPUTED_VALUE"""),358.0)</f>
        <v>358</v>
      </c>
      <c r="K1797" s="1">
        <f>IFERROR(__xludf.DUMMYFUNCTION("""COMPUTED_VALUE"""),71.6)</f>
        <v>71.6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>
        <f>IFERROR(__xludf.DUMMYFUNCTION("""COMPUTED_VALUE"""),46.0)</f>
        <v>46</v>
      </c>
      <c r="E1798" s="1">
        <f>IFERROR(__xludf.DUMMYFUNCTION("""COMPUTED_VALUE"""),94.0)</f>
        <v>94</v>
      </c>
      <c r="F1798" s="1">
        <f>IFERROR(__xludf.DUMMYFUNCTION("""COMPUTED_VALUE"""),66.0)</f>
        <v>66</v>
      </c>
      <c r="G1798" s="1">
        <f>IFERROR(__xludf.DUMMYFUNCTION("""COMPUTED_VALUE"""),51.0)</f>
        <v>51</v>
      </c>
      <c r="H1798" s="1">
        <f>IFERROR(__xludf.DUMMYFUNCTION("""COMPUTED_VALUE"""),34.0)</f>
        <v>34</v>
      </c>
      <c r="I1798" s="1">
        <f>IFERROR(__xludf.DUMMYFUNCTION("""COMPUTED_VALUE"""),29.0)</f>
        <v>29</v>
      </c>
      <c r="J1798" s="1">
        <f>IFERROR(__xludf.DUMMYFUNCTION("""COMPUTED_VALUE"""),274.0)</f>
        <v>274</v>
      </c>
      <c r="K1798" s="1">
        <f>IFERROR(__xludf.DUMMYFUNCTION("""COMPUTED_VALUE"""),54.800000000000004)</f>
        <v>54.8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>
        <f>IFERROR(__xludf.DUMMYFUNCTION("""COMPUTED_VALUE"""),57.0)</f>
        <v>57</v>
      </c>
      <c r="E1799" s="1">
        <f>IFERROR(__xludf.DUMMYFUNCTION("""COMPUTED_VALUE"""),73.0)</f>
        <v>73</v>
      </c>
      <c r="F1799" s="1">
        <f>IFERROR(__xludf.DUMMYFUNCTION("""COMPUTED_VALUE"""),52.0)</f>
        <v>52</v>
      </c>
      <c r="G1799" s="1">
        <f>IFERROR(__xludf.DUMMYFUNCTION("""COMPUTED_VALUE"""),96.0)</f>
        <v>96</v>
      </c>
      <c r="H1799" s="1">
        <f>IFERROR(__xludf.DUMMYFUNCTION("""COMPUTED_VALUE"""),77.0)</f>
        <v>77</v>
      </c>
      <c r="I1799" s="1">
        <f>IFERROR(__xludf.DUMMYFUNCTION("""COMPUTED_VALUE"""),22.0)</f>
        <v>22</v>
      </c>
      <c r="J1799" s="1">
        <f>IFERROR(__xludf.DUMMYFUNCTION("""COMPUTED_VALUE"""),320.0)</f>
        <v>320</v>
      </c>
      <c r="K1799" s="1">
        <f>IFERROR(__xludf.DUMMYFUNCTION("""COMPUTED_VALUE"""),64.0)</f>
        <v>64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>
        <f>IFERROR(__xludf.DUMMYFUNCTION("""COMPUTED_VALUE"""),61.0)</f>
        <v>61</v>
      </c>
      <c r="E1800" s="1">
        <f>IFERROR(__xludf.DUMMYFUNCTION("""COMPUTED_VALUE"""),31.0)</f>
        <v>31</v>
      </c>
      <c r="F1800" s="1">
        <f>IFERROR(__xludf.DUMMYFUNCTION("""COMPUTED_VALUE"""),60.0)</f>
        <v>60</v>
      </c>
      <c r="G1800" s="1">
        <f>IFERROR(__xludf.DUMMYFUNCTION("""COMPUTED_VALUE"""),62.0)</f>
        <v>62</v>
      </c>
      <c r="H1800" s="1">
        <f>IFERROR(__xludf.DUMMYFUNCTION("""COMPUTED_VALUE"""),30.0)</f>
        <v>30</v>
      </c>
      <c r="I1800" s="1">
        <f>IFERROR(__xludf.DUMMYFUNCTION("""COMPUTED_VALUE"""),28.0)</f>
        <v>28</v>
      </c>
      <c r="J1800" s="1">
        <f>IFERROR(__xludf.DUMMYFUNCTION("""COMPUTED_VALUE"""),211.0)</f>
        <v>211</v>
      </c>
      <c r="K1800" s="1">
        <f>IFERROR(__xludf.DUMMYFUNCTION("""COMPUTED_VALUE"""),42.199999999999996)</f>
        <v>42.2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>
        <f>IFERROR(__xludf.DUMMYFUNCTION("""COMPUTED_VALUE"""),29.0)</f>
        <v>29</v>
      </c>
      <c r="E1801" s="1">
        <f>IFERROR(__xludf.DUMMYFUNCTION("""COMPUTED_VALUE"""),90.0)</f>
        <v>90</v>
      </c>
      <c r="F1801" s="1">
        <f>IFERROR(__xludf.DUMMYFUNCTION("""COMPUTED_VALUE"""),60.0)</f>
        <v>60</v>
      </c>
      <c r="G1801" s="1">
        <f>IFERROR(__xludf.DUMMYFUNCTION("""COMPUTED_VALUE"""),64.0)</f>
        <v>64</v>
      </c>
      <c r="H1801" s="1">
        <f>IFERROR(__xludf.DUMMYFUNCTION("""COMPUTED_VALUE"""),35.0)</f>
        <v>35</v>
      </c>
      <c r="I1801" s="1">
        <f>IFERROR(__xludf.DUMMYFUNCTION("""COMPUTED_VALUE"""),97.0)</f>
        <v>97</v>
      </c>
      <c r="J1801" s="1">
        <f>IFERROR(__xludf.DUMMYFUNCTION("""COMPUTED_VALUE"""),346.0)</f>
        <v>346</v>
      </c>
      <c r="K1801" s="1">
        <f>IFERROR(__xludf.DUMMYFUNCTION("""COMPUTED_VALUE"""),69.19999999999999)</f>
        <v>69.2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>
        <f>IFERROR(__xludf.DUMMYFUNCTION("""COMPUTED_VALUE"""),43.0)</f>
        <v>43</v>
      </c>
      <c r="E1802" s="1">
        <f>IFERROR(__xludf.DUMMYFUNCTION("""COMPUTED_VALUE"""),32.0)</f>
        <v>32</v>
      </c>
      <c r="F1802" s="1">
        <f>IFERROR(__xludf.DUMMYFUNCTION("""COMPUTED_VALUE"""),62.0)</f>
        <v>62</v>
      </c>
      <c r="G1802" s="1">
        <f>IFERROR(__xludf.DUMMYFUNCTION("""COMPUTED_VALUE"""),60.0)</f>
        <v>60</v>
      </c>
      <c r="H1802" s="1">
        <f>IFERROR(__xludf.DUMMYFUNCTION("""COMPUTED_VALUE"""),77.0)</f>
        <v>77</v>
      </c>
      <c r="I1802" s="1">
        <f>IFERROR(__xludf.DUMMYFUNCTION("""COMPUTED_VALUE"""),50.0)</f>
        <v>50</v>
      </c>
      <c r="J1802" s="1">
        <f>IFERROR(__xludf.DUMMYFUNCTION("""COMPUTED_VALUE"""),281.0)</f>
        <v>281</v>
      </c>
      <c r="K1802" s="1">
        <f>IFERROR(__xludf.DUMMYFUNCTION("""COMPUTED_VALUE"""),56.2)</f>
        <v>56.2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>
        <f>IFERROR(__xludf.DUMMYFUNCTION("""COMPUTED_VALUE"""),83.0)</f>
        <v>83</v>
      </c>
      <c r="E1803" s="1">
        <f>IFERROR(__xludf.DUMMYFUNCTION("""COMPUTED_VALUE"""),44.0)</f>
        <v>44</v>
      </c>
      <c r="F1803" s="1">
        <f>IFERROR(__xludf.DUMMYFUNCTION("""COMPUTED_VALUE"""),34.0)</f>
        <v>34</v>
      </c>
      <c r="G1803" s="1">
        <f>IFERROR(__xludf.DUMMYFUNCTION("""COMPUTED_VALUE"""),91.0)</f>
        <v>91</v>
      </c>
      <c r="H1803" s="1">
        <f>IFERROR(__xludf.DUMMYFUNCTION("""COMPUTED_VALUE"""),83.0)</f>
        <v>83</v>
      </c>
      <c r="I1803" s="1">
        <f>IFERROR(__xludf.DUMMYFUNCTION("""COMPUTED_VALUE"""),94.0)</f>
        <v>94</v>
      </c>
      <c r="J1803" s="1">
        <f>IFERROR(__xludf.DUMMYFUNCTION("""COMPUTED_VALUE"""),346.0)</f>
        <v>346</v>
      </c>
      <c r="K1803" s="1">
        <f>IFERROR(__xludf.DUMMYFUNCTION("""COMPUTED_VALUE"""),69.19999999999999)</f>
        <v>69.2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>
        <f>IFERROR(__xludf.DUMMYFUNCTION("""COMPUTED_VALUE"""),35.0)</f>
        <v>35</v>
      </c>
      <c r="E1804" s="1">
        <f>IFERROR(__xludf.DUMMYFUNCTION("""COMPUTED_VALUE"""),90.0)</f>
        <v>90</v>
      </c>
      <c r="F1804" s="1">
        <f>IFERROR(__xludf.DUMMYFUNCTION("""COMPUTED_VALUE"""),32.0)</f>
        <v>32</v>
      </c>
      <c r="G1804" s="1">
        <f>IFERROR(__xludf.DUMMYFUNCTION("""COMPUTED_VALUE"""),34.0)</f>
        <v>34</v>
      </c>
      <c r="H1804" s="1">
        <f>IFERROR(__xludf.DUMMYFUNCTION("""COMPUTED_VALUE"""),32.0)</f>
        <v>32</v>
      </c>
      <c r="I1804" s="1">
        <f>IFERROR(__xludf.DUMMYFUNCTION("""COMPUTED_VALUE"""),95.0)</f>
        <v>95</v>
      </c>
      <c r="J1804" s="1">
        <f>IFERROR(__xludf.DUMMYFUNCTION("""COMPUTED_VALUE"""),283.0)</f>
        <v>283</v>
      </c>
      <c r="K1804" s="1">
        <f>IFERROR(__xludf.DUMMYFUNCTION("""COMPUTED_VALUE"""),56.599999999999994)</f>
        <v>56.6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>
        <f>IFERROR(__xludf.DUMMYFUNCTION("""COMPUTED_VALUE"""),55.0)</f>
        <v>55</v>
      </c>
      <c r="E1805" s="1">
        <f>IFERROR(__xludf.DUMMYFUNCTION("""COMPUTED_VALUE"""),40.0)</f>
        <v>40</v>
      </c>
      <c r="F1805" s="1">
        <f>IFERROR(__xludf.DUMMYFUNCTION("""COMPUTED_VALUE"""),58.0)</f>
        <v>58</v>
      </c>
      <c r="G1805" s="1">
        <f>IFERROR(__xludf.DUMMYFUNCTION("""COMPUTED_VALUE"""),39.0)</f>
        <v>39</v>
      </c>
      <c r="H1805" s="1">
        <f>IFERROR(__xludf.DUMMYFUNCTION("""COMPUTED_VALUE"""),26.0)</f>
        <v>26</v>
      </c>
      <c r="I1805" s="1">
        <f>IFERROR(__xludf.DUMMYFUNCTION("""COMPUTED_VALUE"""),96.0)</f>
        <v>96</v>
      </c>
      <c r="J1805" s="1">
        <f>IFERROR(__xludf.DUMMYFUNCTION("""COMPUTED_VALUE"""),259.0)</f>
        <v>259</v>
      </c>
      <c r="K1805" s="1">
        <f>IFERROR(__xludf.DUMMYFUNCTION("""COMPUTED_VALUE"""),51.800000000000004)</f>
        <v>51.8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>
        <f>IFERROR(__xludf.DUMMYFUNCTION("""COMPUTED_VALUE"""),16.0)</f>
        <v>16</v>
      </c>
      <c r="E1806" s="1">
        <f>IFERROR(__xludf.DUMMYFUNCTION("""COMPUTED_VALUE"""),49.0)</f>
        <v>49</v>
      </c>
      <c r="F1806" s="1">
        <f>IFERROR(__xludf.DUMMYFUNCTION("""COMPUTED_VALUE"""),24.0)</f>
        <v>24</v>
      </c>
      <c r="G1806" s="1">
        <f>IFERROR(__xludf.DUMMYFUNCTION("""COMPUTED_VALUE"""),23.0)</f>
        <v>23</v>
      </c>
      <c r="H1806" s="1">
        <f>IFERROR(__xludf.DUMMYFUNCTION("""COMPUTED_VALUE"""),47.0)</f>
        <v>47</v>
      </c>
      <c r="I1806" s="1">
        <f>IFERROR(__xludf.DUMMYFUNCTION("""COMPUTED_VALUE"""),44.0)</f>
        <v>44</v>
      </c>
      <c r="J1806" s="1">
        <f>IFERROR(__xludf.DUMMYFUNCTION("""COMPUTED_VALUE"""),187.0)</f>
        <v>187</v>
      </c>
      <c r="K1806" s="1">
        <f>IFERROR(__xludf.DUMMYFUNCTION("""COMPUTED_VALUE"""),37.4)</f>
        <v>37.4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>
        <f>IFERROR(__xludf.DUMMYFUNCTION("""COMPUTED_VALUE"""),47.0)</f>
        <v>47</v>
      </c>
      <c r="E1807" s="1">
        <f>IFERROR(__xludf.DUMMYFUNCTION("""COMPUTED_VALUE"""),51.0)</f>
        <v>51</v>
      </c>
      <c r="F1807" s="1">
        <f>IFERROR(__xludf.DUMMYFUNCTION("""COMPUTED_VALUE"""),97.0)</f>
        <v>97</v>
      </c>
      <c r="G1807" s="1">
        <f>IFERROR(__xludf.DUMMYFUNCTION("""COMPUTED_VALUE"""),48.0)</f>
        <v>48</v>
      </c>
      <c r="H1807" s="1">
        <f>IFERROR(__xludf.DUMMYFUNCTION("""COMPUTED_VALUE"""),75.0)</f>
        <v>75</v>
      </c>
      <c r="I1807" s="1">
        <f>IFERROR(__xludf.DUMMYFUNCTION("""COMPUTED_VALUE"""),89.0)</f>
        <v>89</v>
      </c>
      <c r="J1807" s="1">
        <f>IFERROR(__xludf.DUMMYFUNCTION("""COMPUTED_VALUE"""),360.0)</f>
        <v>360</v>
      </c>
      <c r="K1807" s="1">
        <f>IFERROR(__xludf.DUMMYFUNCTION("""COMPUTED_VALUE"""),72.0)</f>
        <v>72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>
        <f>IFERROR(__xludf.DUMMYFUNCTION("""COMPUTED_VALUE"""),60.0)</f>
        <v>60</v>
      </c>
      <c r="E1808" s="1">
        <f>IFERROR(__xludf.DUMMYFUNCTION("""COMPUTED_VALUE"""),76.0)</f>
        <v>76</v>
      </c>
      <c r="F1808" s="1">
        <f>IFERROR(__xludf.DUMMYFUNCTION("""COMPUTED_VALUE"""),40.0)</f>
        <v>40</v>
      </c>
      <c r="G1808" s="1">
        <f>IFERROR(__xludf.DUMMYFUNCTION("""COMPUTED_VALUE"""),65.0)</f>
        <v>65</v>
      </c>
      <c r="H1808" s="1">
        <f>IFERROR(__xludf.DUMMYFUNCTION("""COMPUTED_VALUE"""),24.0)</f>
        <v>24</v>
      </c>
      <c r="I1808" s="1">
        <f>IFERROR(__xludf.DUMMYFUNCTION("""COMPUTED_VALUE"""),21.0)</f>
        <v>21</v>
      </c>
      <c r="J1808" s="1">
        <f>IFERROR(__xludf.DUMMYFUNCTION("""COMPUTED_VALUE"""),226.0)</f>
        <v>226</v>
      </c>
      <c r="K1808" s="1">
        <f>IFERROR(__xludf.DUMMYFUNCTION("""COMPUTED_VALUE"""),45.2)</f>
        <v>45.2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>
        <f>IFERROR(__xludf.DUMMYFUNCTION("""COMPUTED_VALUE"""),17.0)</f>
        <v>17</v>
      </c>
      <c r="E1809" s="1">
        <f>IFERROR(__xludf.DUMMYFUNCTION("""COMPUTED_VALUE"""),73.0)</f>
        <v>73</v>
      </c>
      <c r="F1809" s="1">
        <f>IFERROR(__xludf.DUMMYFUNCTION("""COMPUTED_VALUE"""),23.0)</f>
        <v>23</v>
      </c>
      <c r="G1809" s="1">
        <f>IFERROR(__xludf.DUMMYFUNCTION("""COMPUTED_VALUE"""),90.0)</f>
        <v>90</v>
      </c>
      <c r="H1809" s="1">
        <f>IFERROR(__xludf.DUMMYFUNCTION("""COMPUTED_VALUE"""),65.0)</f>
        <v>65</v>
      </c>
      <c r="I1809" s="1">
        <f>IFERROR(__xludf.DUMMYFUNCTION("""COMPUTED_VALUE"""),95.0)</f>
        <v>95</v>
      </c>
      <c r="J1809" s="1">
        <f>IFERROR(__xludf.DUMMYFUNCTION("""COMPUTED_VALUE"""),346.0)</f>
        <v>346</v>
      </c>
      <c r="K1809" s="1">
        <f>IFERROR(__xludf.DUMMYFUNCTION("""COMPUTED_VALUE"""),69.19999999999999)</f>
        <v>69.2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>
        <f>IFERROR(__xludf.DUMMYFUNCTION("""COMPUTED_VALUE"""),98.0)</f>
        <v>98</v>
      </c>
      <c r="E1810" s="1">
        <f>IFERROR(__xludf.DUMMYFUNCTION("""COMPUTED_VALUE"""),97.0)</f>
        <v>97</v>
      </c>
      <c r="F1810" s="1">
        <f>IFERROR(__xludf.DUMMYFUNCTION("""COMPUTED_VALUE"""),24.0)</f>
        <v>24</v>
      </c>
      <c r="G1810" s="1">
        <f>IFERROR(__xludf.DUMMYFUNCTION("""COMPUTED_VALUE"""),67.0)</f>
        <v>67</v>
      </c>
      <c r="H1810" s="1">
        <f>IFERROR(__xludf.DUMMYFUNCTION("""COMPUTED_VALUE"""),99.0)</f>
        <v>99</v>
      </c>
      <c r="I1810" s="1">
        <f>IFERROR(__xludf.DUMMYFUNCTION("""COMPUTED_VALUE"""),34.0)</f>
        <v>34</v>
      </c>
      <c r="J1810" s="1">
        <f>IFERROR(__xludf.DUMMYFUNCTION("""COMPUTED_VALUE"""),321.0)</f>
        <v>321</v>
      </c>
      <c r="K1810" s="1">
        <f>IFERROR(__xludf.DUMMYFUNCTION("""COMPUTED_VALUE"""),64.2)</f>
        <v>64.2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>
        <f>IFERROR(__xludf.DUMMYFUNCTION("""COMPUTED_VALUE"""),67.0)</f>
        <v>67</v>
      </c>
      <c r="E1811" s="1">
        <f>IFERROR(__xludf.DUMMYFUNCTION("""COMPUTED_VALUE"""),99.0)</f>
        <v>99</v>
      </c>
      <c r="F1811" s="1">
        <f>IFERROR(__xludf.DUMMYFUNCTION("""COMPUTED_VALUE"""),66.0)</f>
        <v>66</v>
      </c>
      <c r="G1811" s="1">
        <f>IFERROR(__xludf.DUMMYFUNCTION("""COMPUTED_VALUE"""),85.0)</f>
        <v>85</v>
      </c>
      <c r="H1811" s="1">
        <f>IFERROR(__xludf.DUMMYFUNCTION("""COMPUTED_VALUE"""),64.0)</f>
        <v>64</v>
      </c>
      <c r="I1811" s="1">
        <f>IFERROR(__xludf.DUMMYFUNCTION("""COMPUTED_VALUE"""),54.0)</f>
        <v>54</v>
      </c>
      <c r="J1811" s="1">
        <f>IFERROR(__xludf.DUMMYFUNCTION("""COMPUTED_VALUE"""),368.0)</f>
        <v>368</v>
      </c>
      <c r="K1811" s="1">
        <f>IFERROR(__xludf.DUMMYFUNCTION("""COMPUTED_VALUE"""),73.6)</f>
        <v>73.6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>
        <f>IFERROR(__xludf.DUMMYFUNCTION("""COMPUTED_VALUE"""),39.0)</f>
        <v>39</v>
      </c>
      <c r="E1812" s="1">
        <f>IFERROR(__xludf.DUMMYFUNCTION("""COMPUTED_VALUE"""),61.0)</f>
        <v>61</v>
      </c>
      <c r="F1812" s="1">
        <f>IFERROR(__xludf.DUMMYFUNCTION("""COMPUTED_VALUE"""),81.0)</f>
        <v>81</v>
      </c>
      <c r="G1812" s="1">
        <f>IFERROR(__xludf.DUMMYFUNCTION("""COMPUTED_VALUE"""),73.0)</f>
        <v>73</v>
      </c>
      <c r="H1812" s="1">
        <f>IFERROR(__xludf.DUMMYFUNCTION("""COMPUTED_VALUE"""),83.0)</f>
        <v>83</v>
      </c>
      <c r="I1812" s="1">
        <f>IFERROR(__xludf.DUMMYFUNCTION("""COMPUTED_VALUE"""),35.0)</f>
        <v>35</v>
      </c>
      <c r="J1812" s="1">
        <f>IFERROR(__xludf.DUMMYFUNCTION("""COMPUTED_VALUE"""),333.0)</f>
        <v>333</v>
      </c>
      <c r="K1812" s="1">
        <f>IFERROR(__xludf.DUMMYFUNCTION("""COMPUTED_VALUE"""),66.60000000000001)</f>
        <v>66.6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>
        <f>IFERROR(__xludf.DUMMYFUNCTION("""COMPUTED_VALUE"""),35.0)</f>
        <v>35</v>
      </c>
      <c r="E1813" s="1">
        <f>IFERROR(__xludf.DUMMYFUNCTION("""COMPUTED_VALUE"""),38.0)</f>
        <v>38</v>
      </c>
      <c r="F1813" s="1">
        <f>IFERROR(__xludf.DUMMYFUNCTION("""COMPUTED_VALUE"""),23.0)</f>
        <v>23</v>
      </c>
      <c r="G1813" s="1">
        <f>IFERROR(__xludf.DUMMYFUNCTION("""COMPUTED_VALUE"""),29.0)</f>
        <v>29</v>
      </c>
      <c r="H1813" s="1">
        <f>IFERROR(__xludf.DUMMYFUNCTION("""COMPUTED_VALUE"""),61.0)</f>
        <v>61</v>
      </c>
      <c r="I1813" s="1">
        <f>IFERROR(__xludf.DUMMYFUNCTION("""COMPUTED_VALUE"""),68.0)</f>
        <v>68</v>
      </c>
      <c r="J1813" s="1">
        <f>IFERROR(__xludf.DUMMYFUNCTION("""COMPUTED_VALUE"""),219.0)</f>
        <v>219</v>
      </c>
      <c r="K1813" s="1">
        <f>IFERROR(__xludf.DUMMYFUNCTION("""COMPUTED_VALUE"""),43.8)</f>
        <v>43.8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>
        <f>IFERROR(__xludf.DUMMYFUNCTION("""COMPUTED_VALUE"""),11.0)</f>
        <v>11</v>
      </c>
      <c r="E1814" s="1">
        <f>IFERROR(__xludf.DUMMYFUNCTION("""COMPUTED_VALUE"""),57.0)</f>
        <v>57</v>
      </c>
      <c r="F1814" s="1">
        <f>IFERROR(__xludf.DUMMYFUNCTION("""COMPUTED_VALUE"""),30.0)</f>
        <v>30</v>
      </c>
      <c r="G1814" s="1">
        <f>IFERROR(__xludf.DUMMYFUNCTION("""COMPUTED_VALUE"""),50.0)</f>
        <v>50</v>
      </c>
      <c r="H1814" s="1">
        <f>IFERROR(__xludf.DUMMYFUNCTION("""COMPUTED_VALUE"""),87.0)</f>
        <v>87</v>
      </c>
      <c r="I1814" s="1">
        <f>IFERROR(__xludf.DUMMYFUNCTION("""COMPUTED_VALUE"""),97.0)</f>
        <v>97</v>
      </c>
      <c r="J1814" s="1">
        <f>IFERROR(__xludf.DUMMYFUNCTION("""COMPUTED_VALUE"""),321.0)</f>
        <v>321</v>
      </c>
      <c r="K1814" s="1">
        <f>IFERROR(__xludf.DUMMYFUNCTION("""COMPUTED_VALUE"""),64.2)</f>
        <v>64.2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>
        <f>IFERROR(__xludf.DUMMYFUNCTION("""COMPUTED_VALUE"""),67.0)</f>
        <v>67</v>
      </c>
      <c r="E1815" s="1">
        <f>IFERROR(__xludf.DUMMYFUNCTION("""COMPUTED_VALUE"""),70.0)</f>
        <v>70</v>
      </c>
      <c r="F1815" s="1">
        <f>IFERROR(__xludf.DUMMYFUNCTION("""COMPUTED_VALUE"""),54.0)</f>
        <v>54</v>
      </c>
      <c r="G1815" s="1">
        <f>IFERROR(__xludf.DUMMYFUNCTION("""COMPUTED_VALUE"""),28.0)</f>
        <v>28</v>
      </c>
      <c r="H1815" s="1">
        <f>IFERROR(__xludf.DUMMYFUNCTION("""COMPUTED_VALUE"""),85.0)</f>
        <v>85</v>
      </c>
      <c r="I1815" s="1">
        <f>IFERROR(__xludf.DUMMYFUNCTION("""COMPUTED_VALUE"""),70.0)</f>
        <v>70</v>
      </c>
      <c r="J1815" s="1">
        <f>IFERROR(__xludf.DUMMYFUNCTION("""COMPUTED_VALUE"""),307.0)</f>
        <v>307</v>
      </c>
      <c r="K1815" s="1">
        <f>IFERROR(__xludf.DUMMYFUNCTION("""COMPUTED_VALUE"""),61.4)</f>
        <v>61.4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>
        <f>IFERROR(__xludf.DUMMYFUNCTION("""COMPUTED_VALUE"""),58.0)</f>
        <v>58</v>
      </c>
      <c r="E1816" s="1">
        <f>IFERROR(__xludf.DUMMYFUNCTION("""COMPUTED_VALUE"""),61.0)</f>
        <v>61</v>
      </c>
      <c r="F1816" s="1">
        <f>IFERROR(__xludf.DUMMYFUNCTION("""COMPUTED_VALUE"""),63.0)</f>
        <v>63</v>
      </c>
      <c r="G1816" s="1">
        <f>IFERROR(__xludf.DUMMYFUNCTION("""COMPUTED_VALUE"""),57.0)</f>
        <v>57</v>
      </c>
      <c r="H1816" s="1">
        <f>IFERROR(__xludf.DUMMYFUNCTION("""COMPUTED_VALUE"""),44.0)</f>
        <v>44</v>
      </c>
      <c r="I1816" s="1">
        <f>IFERROR(__xludf.DUMMYFUNCTION("""COMPUTED_VALUE"""),62.0)</f>
        <v>62</v>
      </c>
      <c r="J1816" s="1">
        <f>IFERROR(__xludf.DUMMYFUNCTION("""COMPUTED_VALUE"""),287.0)</f>
        <v>287</v>
      </c>
      <c r="K1816" s="1">
        <f>IFERROR(__xludf.DUMMYFUNCTION("""COMPUTED_VALUE"""),57.4)</f>
        <v>57.4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>
        <f>IFERROR(__xludf.DUMMYFUNCTION("""COMPUTED_VALUE"""),10.0)</f>
        <v>10</v>
      </c>
      <c r="E1817" s="1">
        <f>IFERROR(__xludf.DUMMYFUNCTION("""COMPUTED_VALUE"""),64.0)</f>
        <v>64</v>
      </c>
      <c r="F1817" s="1">
        <f>IFERROR(__xludf.DUMMYFUNCTION("""COMPUTED_VALUE"""),77.0)</f>
        <v>77</v>
      </c>
      <c r="G1817" s="1">
        <f>IFERROR(__xludf.DUMMYFUNCTION("""COMPUTED_VALUE"""),88.0)</f>
        <v>88</v>
      </c>
      <c r="H1817" s="1">
        <f>IFERROR(__xludf.DUMMYFUNCTION("""COMPUTED_VALUE"""),50.0)</f>
        <v>50</v>
      </c>
      <c r="I1817" s="1">
        <f>IFERROR(__xludf.DUMMYFUNCTION("""COMPUTED_VALUE"""),35.0)</f>
        <v>35</v>
      </c>
      <c r="J1817" s="1">
        <f>IFERROR(__xludf.DUMMYFUNCTION("""COMPUTED_VALUE"""),314.0)</f>
        <v>314</v>
      </c>
      <c r="K1817" s="1">
        <f>IFERROR(__xludf.DUMMYFUNCTION("""COMPUTED_VALUE"""),62.8)</f>
        <v>62.8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>
        <f>IFERROR(__xludf.DUMMYFUNCTION("""COMPUTED_VALUE"""),78.0)</f>
        <v>78</v>
      </c>
      <c r="E1818" s="1">
        <f>IFERROR(__xludf.DUMMYFUNCTION("""COMPUTED_VALUE"""),70.0)</f>
        <v>70</v>
      </c>
      <c r="F1818" s="1">
        <f>IFERROR(__xludf.DUMMYFUNCTION("""COMPUTED_VALUE"""),92.0)</f>
        <v>92</v>
      </c>
      <c r="G1818" s="1">
        <f>IFERROR(__xludf.DUMMYFUNCTION("""COMPUTED_VALUE"""),84.0)</f>
        <v>84</v>
      </c>
      <c r="H1818" s="1">
        <f>IFERROR(__xludf.DUMMYFUNCTION("""COMPUTED_VALUE"""),62.0)</f>
        <v>62</v>
      </c>
      <c r="I1818" s="1">
        <f>IFERROR(__xludf.DUMMYFUNCTION("""COMPUTED_VALUE"""),27.0)</f>
        <v>27</v>
      </c>
      <c r="J1818" s="1">
        <f>IFERROR(__xludf.DUMMYFUNCTION("""COMPUTED_VALUE"""),335.0)</f>
        <v>335</v>
      </c>
      <c r="K1818" s="1">
        <f>IFERROR(__xludf.DUMMYFUNCTION("""COMPUTED_VALUE"""),67.0)</f>
        <v>67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>
        <f>IFERROR(__xludf.DUMMYFUNCTION("""COMPUTED_VALUE"""),45.0)</f>
        <v>45</v>
      </c>
      <c r="E1819" s="1">
        <f>IFERROR(__xludf.DUMMYFUNCTION("""COMPUTED_VALUE"""),38.0)</f>
        <v>38</v>
      </c>
      <c r="F1819" s="1">
        <f>IFERROR(__xludf.DUMMYFUNCTION("""COMPUTED_VALUE"""),72.0)</f>
        <v>72</v>
      </c>
      <c r="G1819" s="1">
        <f>IFERROR(__xludf.DUMMYFUNCTION("""COMPUTED_VALUE"""),64.0)</f>
        <v>64</v>
      </c>
      <c r="H1819" s="1">
        <f>IFERROR(__xludf.DUMMYFUNCTION("""COMPUTED_VALUE"""),74.0)</f>
        <v>74</v>
      </c>
      <c r="I1819" s="1">
        <f>IFERROR(__xludf.DUMMYFUNCTION("""COMPUTED_VALUE"""),31.0)</f>
        <v>31</v>
      </c>
      <c r="J1819" s="1">
        <f>IFERROR(__xludf.DUMMYFUNCTION("""COMPUTED_VALUE"""),279.0)</f>
        <v>279</v>
      </c>
      <c r="K1819" s="1">
        <f>IFERROR(__xludf.DUMMYFUNCTION("""COMPUTED_VALUE"""),55.800000000000004)</f>
        <v>55.8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>
        <f>IFERROR(__xludf.DUMMYFUNCTION("""COMPUTED_VALUE"""),58.0)</f>
        <v>58</v>
      </c>
      <c r="E1820" s="1">
        <f>IFERROR(__xludf.DUMMYFUNCTION("""COMPUTED_VALUE"""),32.0)</f>
        <v>32</v>
      </c>
      <c r="F1820" s="1">
        <f>IFERROR(__xludf.DUMMYFUNCTION("""COMPUTED_VALUE"""),22.0)</f>
        <v>22</v>
      </c>
      <c r="G1820" s="1">
        <f>IFERROR(__xludf.DUMMYFUNCTION("""COMPUTED_VALUE"""),39.0)</f>
        <v>39</v>
      </c>
      <c r="H1820" s="1">
        <f>IFERROR(__xludf.DUMMYFUNCTION("""COMPUTED_VALUE"""),43.0)</f>
        <v>43</v>
      </c>
      <c r="I1820" s="1">
        <f>IFERROR(__xludf.DUMMYFUNCTION("""COMPUTED_VALUE"""),55.0)</f>
        <v>55</v>
      </c>
      <c r="J1820" s="1">
        <f>IFERROR(__xludf.DUMMYFUNCTION("""COMPUTED_VALUE"""),191.0)</f>
        <v>191</v>
      </c>
      <c r="K1820" s="1">
        <f>IFERROR(__xludf.DUMMYFUNCTION("""COMPUTED_VALUE"""),38.2)</f>
        <v>38.2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>
        <f>IFERROR(__xludf.DUMMYFUNCTION("""COMPUTED_VALUE"""),62.0)</f>
        <v>62</v>
      </c>
      <c r="E1821" s="1">
        <f>IFERROR(__xludf.DUMMYFUNCTION("""COMPUTED_VALUE"""),66.0)</f>
        <v>66</v>
      </c>
      <c r="F1821" s="1">
        <f>IFERROR(__xludf.DUMMYFUNCTION("""COMPUTED_VALUE"""),89.0)</f>
        <v>89</v>
      </c>
      <c r="G1821" s="1">
        <f>IFERROR(__xludf.DUMMYFUNCTION("""COMPUTED_VALUE"""),91.0)</f>
        <v>91</v>
      </c>
      <c r="H1821" s="1">
        <f>IFERROR(__xludf.DUMMYFUNCTION("""COMPUTED_VALUE"""),59.0)</f>
        <v>59</v>
      </c>
      <c r="I1821" s="1">
        <f>IFERROR(__xludf.DUMMYFUNCTION("""COMPUTED_VALUE"""),79.0)</f>
        <v>79</v>
      </c>
      <c r="J1821" s="1">
        <f>IFERROR(__xludf.DUMMYFUNCTION("""COMPUTED_VALUE"""),384.0)</f>
        <v>384</v>
      </c>
      <c r="K1821" s="1">
        <f>IFERROR(__xludf.DUMMYFUNCTION("""COMPUTED_VALUE"""),76.8)</f>
        <v>76.8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>
        <f>IFERROR(__xludf.DUMMYFUNCTION("""COMPUTED_VALUE"""),57.0)</f>
        <v>57</v>
      </c>
      <c r="E1822" s="1">
        <f>IFERROR(__xludf.DUMMYFUNCTION("""COMPUTED_VALUE"""),82.0)</f>
        <v>82</v>
      </c>
      <c r="F1822" s="1">
        <f>IFERROR(__xludf.DUMMYFUNCTION("""COMPUTED_VALUE"""),58.0)</f>
        <v>58</v>
      </c>
      <c r="G1822" s="1">
        <f>IFERROR(__xludf.DUMMYFUNCTION("""COMPUTED_VALUE"""),84.0)</f>
        <v>84</v>
      </c>
      <c r="H1822" s="1">
        <f>IFERROR(__xludf.DUMMYFUNCTION("""COMPUTED_VALUE"""),29.0)</f>
        <v>29</v>
      </c>
      <c r="I1822" s="1">
        <f>IFERROR(__xludf.DUMMYFUNCTION("""COMPUTED_VALUE"""),79.0)</f>
        <v>79</v>
      </c>
      <c r="J1822" s="1">
        <f>IFERROR(__xludf.DUMMYFUNCTION("""COMPUTED_VALUE"""),332.0)</f>
        <v>332</v>
      </c>
      <c r="K1822" s="1">
        <f>IFERROR(__xludf.DUMMYFUNCTION("""COMPUTED_VALUE"""),66.4)</f>
        <v>66.4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>
        <f>IFERROR(__xludf.DUMMYFUNCTION("""COMPUTED_VALUE"""),97.0)</f>
        <v>97</v>
      </c>
      <c r="E1823" s="1">
        <f>IFERROR(__xludf.DUMMYFUNCTION("""COMPUTED_VALUE"""),37.0)</f>
        <v>37</v>
      </c>
      <c r="F1823" s="1">
        <f>IFERROR(__xludf.DUMMYFUNCTION("""COMPUTED_VALUE"""),67.0)</f>
        <v>67</v>
      </c>
      <c r="G1823" s="1">
        <f>IFERROR(__xludf.DUMMYFUNCTION("""COMPUTED_VALUE"""),98.0)</f>
        <v>98</v>
      </c>
      <c r="H1823" s="1">
        <f>IFERROR(__xludf.DUMMYFUNCTION("""COMPUTED_VALUE"""),60.0)</f>
        <v>60</v>
      </c>
      <c r="I1823" s="1">
        <f>IFERROR(__xludf.DUMMYFUNCTION("""COMPUTED_VALUE"""),86.0)</f>
        <v>86</v>
      </c>
      <c r="J1823" s="1">
        <f>IFERROR(__xludf.DUMMYFUNCTION("""COMPUTED_VALUE"""),348.0)</f>
        <v>348</v>
      </c>
      <c r="K1823" s="1">
        <f>IFERROR(__xludf.DUMMYFUNCTION("""COMPUTED_VALUE"""),69.6)</f>
        <v>69.6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>
        <f>IFERROR(__xludf.DUMMYFUNCTION("""COMPUTED_VALUE"""),38.0)</f>
        <v>38</v>
      </c>
      <c r="E1824" s="1">
        <f>IFERROR(__xludf.DUMMYFUNCTION("""COMPUTED_VALUE"""),41.0)</f>
        <v>41</v>
      </c>
      <c r="F1824" s="1">
        <f>IFERROR(__xludf.DUMMYFUNCTION("""COMPUTED_VALUE"""),51.0)</f>
        <v>51</v>
      </c>
      <c r="G1824" s="1">
        <f>IFERROR(__xludf.DUMMYFUNCTION("""COMPUTED_VALUE"""),25.0)</f>
        <v>25</v>
      </c>
      <c r="H1824" s="1">
        <f>IFERROR(__xludf.DUMMYFUNCTION("""COMPUTED_VALUE"""),92.0)</f>
        <v>92</v>
      </c>
      <c r="I1824" s="1">
        <f>IFERROR(__xludf.DUMMYFUNCTION("""COMPUTED_VALUE"""),75.0)</f>
        <v>75</v>
      </c>
      <c r="J1824" s="1">
        <f>IFERROR(__xludf.DUMMYFUNCTION("""COMPUTED_VALUE"""),284.0)</f>
        <v>284</v>
      </c>
      <c r="K1824" s="1">
        <f>IFERROR(__xludf.DUMMYFUNCTION("""COMPUTED_VALUE"""),56.8)</f>
        <v>56.8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>
        <f>IFERROR(__xludf.DUMMYFUNCTION("""COMPUTED_VALUE"""),70.0)</f>
        <v>70</v>
      </c>
      <c r="E1825" s="1">
        <f>IFERROR(__xludf.DUMMYFUNCTION("""COMPUTED_VALUE"""),32.0)</f>
        <v>32</v>
      </c>
      <c r="F1825" s="1">
        <f>IFERROR(__xludf.DUMMYFUNCTION("""COMPUTED_VALUE"""),56.0)</f>
        <v>56</v>
      </c>
      <c r="G1825" s="1">
        <f>IFERROR(__xludf.DUMMYFUNCTION("""COMPUTED_VALUE"""),40.0)</f>
        <v>40</v>
      </c>
      <c r="H1825" s="1">
        <f>IFERROR(__xludf.DUMMYFUNCTION("""COMPUTED_VALUE"""),24.0)</f>
        <v>24</v>
      </c>
      <c r="I1825" s="1">
        <f>IFERROR(__xludf.DUMMYFUNCTION("""COMPUTED_VALUE"""),63.0)</f>
        <v>63</v>
      </c>
      <c r="J1825" s="1">
        <f>IFERROR(__xludf.DUMMYFUNCTION("""COMPUTED_VALUE"""),215.0)</f>
        <v>215</v>
      </c>
      <c r="K1825" s="1">
        <f>IFERROR(__xludf.DUMMYFUNCTION("""COMPUTED_VALUE"""),43.0)</f>
        <v>43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>
        <f>IFERROR(__xludf.DUMMYFUNCTION("""COMPUTED_VALUE"""),41.0)</f>
        <v>41</v>
      </c>
      <c r="E1826" s="1">
        <f>IFERROR(__xludf.DUMMYFUNCTION("""COMPUTED_VALUE"""),91.0)</f>
        <v>91</v>
      </c>
      <c r="F1826" s="1">
        <f>IFERROR(__xludf.DUMMYFUNCTION("""COMPUTED_VALUE"""),82.0)</f>
        <v>82</v>
      </c>
      <c r="G1826" s="1">
        <f>IFERROR(__xludf.DUMMYFUNCTION("""COMPUTED_VALUE"""),21.0)</f>
        <v>21</v>
      </c>
      <c r="H1826" s="1">
        <f>IFERROR(__xludf.DUMMYFUNCTION("""COMPUTED_VALUE"""),90.0)</f>
        <v>90</v>
      </c>
      <c r="I1826" s="1">
        <f>IFERROR(__xludf.DUMMYFUNCTION("""COMPUTED_VALUE"""),54.0)</f>
        <v>54</v>
      </c>
      <c r="J1826" s="1">
        <f>IFERROR(__xludf.DUMMYFUNCTION("""COMPUTED_VALUE"""),338.0)</f>
        <v>338</v>
      </c>
      <c r="K1826" s="1">
        <f>IFERROR(__xludf.DUMMYFUNCTION("""COMPUTED_VALUE"""),67.60000000000001)</f>
        <v>67.6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>
        <f>IFERROR(__xludf.DUMMYFUNCTION("""COMPUTED_VALUE"""),73.0)</f>
        <v>73</v>
      </c>
      <c r="E1827" s="1">
        <f>IFERROR(__xludf.DUMMYFUNCTION("""COMPUTED_VALUE"""),72.0)</f>
        <v>72</v>
      </c>
      <c r="F1827" s="1">
        <f>IFERROR(__xludf.DUMMYFUNCTION("""COMPUTED_VALUE"""),68.0)</f>
        <v>68</v>
      </c>
      <c r="G1827" s="1">
        <f>IFERROR(__xludf.DUMMYFUNCTION("""COMPUTED_VALUE"""),96.0)</f>
        <v>96</v>
      </c>
      <c r="H1827" s="1">
        <f>IFERROR(__xludf.DUMMYFUNCTION("""COMPUTED_VALUE"""),97.0)</f>
        <v>97</v>
      </c>
      <c r="I1827" s="1">
        <f>IFERROR(__xludf.DUMMYFUNCTION("""COMPUTED_VALUE"""),36.0)</f>
        <v>36</v>
      </c>
      <c r="J1827" s="1">
        <f>IFERROR(__xludf.DUMMYFUNCTION("""COMPUTED_VALUE"""),369.0)</f>
        <v>369</v>
      </c>
      <c r="K1827" s="1">
        <f>IFERROR(__xludf.DUMMYFUNCTION("""COMPUTED_VALUE"""),73.8)</f>
        <v>73.8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>
        <f>IFERROR(__xludf.DUMMYFUNCTION("""COMPUTED_VALUE"""),24.0)</f>
        <v>24</v>
      </c>
      <c r="E1828" s="1">
        <f>IFERROR(__xludf.DUMMYFUNCTION("""COMPUTED_VALUE"""),54.0)</f>
        <v>54</v>
      </c>
      <c r="F1828" s="1">
        <f>IFERROR(__xludf.DUMMYFUNCTION("""COMPUTED_VALUE"""),71.0)</f>
        <v>71</v>
      </c>
      <c r="G1828" s="1">
        <f>IFERROR(__xludf.DUMMYFUNCTION("""COMPUTED_VALUE"""),52.0)</f>
        <v>52</v>
      </c>
      <c r="H1828" s="1">
        <f>IFERROR(__xludf.DUMMYFUNCTION("""COMPUTED_VALUE"""),92.0)</f>
        <v>92</v>
      </c>
      <c r="I1828" s="1">
        <f>IFERROR(__xludf.DUMMYFUNCTION("""COMPUTED_VALUE"""),46.0)</f>
        <v>46</v>
      </c>
      <c r="J1828" s="1">
        <f>IFERROR(__xludf.DUMMYFUNCTION("""COMPUTED_VALUE"""),315.0)</f>
        <v>315</v>
      </c>
      <c r="K1828" s="1">
        <f>IFERROR(__xludf.DUMMYFUNCTION("""COMPUTED_VALUE"""),63.0)</f>
        <v>63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>
        <f>IFERROR(__xludf.DUMMYFUNCTION("""COMPUTED_VALUE"""),63.0)</f>
        <v>63</v>
      </c>
      <c r="E1829" s="1">
        <f>IFERROR(__xludf.DUMMYFUNCTION("""COMPUTED_VALUE"""),38.0)</f>
        <v>38</v>
      </c>
      <c r="F1829" s="1">
        <f>IFERROR(__xludf.DUMMYFUNCTION("""COMPUTED_VALUE"""),63.0)</f>
        <v>63</v>
      </c>
      <c r="G1829" s="1">
        <f>IFERROR(__xludf.DUMMYFUNCTION("""COMPUTED_VALUE"""),86.0)</f>
        <v>86</v>
      </c>
      <c r="H1829" s="1">
        <f>IFERROR(__xludf.DUMMYFUNCTION("""COMPUTED_VALUE"""),37.0)</f>
        <v>37</v>
      </c>
      <c r="I1829" s="1">
        <f>IFERROR(__xludf.DUMMYFUNCTION("""COMPUTED_VALUE"""),73.0)</f>
        <v>73</v>
      </c>
      <c r="J1829" s="1">
        <f>IFERROR(__xludf.DUMMYFUNCTION("""COMPUTED_VALUE"""),297.0)</f>
        <v>297</v>
      </c>
      <c r="K1829" s="1">
        <f>IFERROR(__xludf.DUMMYFUNCTION("""COMPUTED_VALUE"""),59.4)</f>
        <v>59.4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>
        <f>IFERROR(__xludf.DUMMYFUNCTION("""COMPUTED_VALUE"""),56.0)</f>
        <v>56</v>
      </c>
      <c r="E1830" s="1">
        <f>IFERROR(__xludf.DUMMYFUNCTION("""COMPUTED_VALUE"""),53.0)</f>
        <v>53</v>
      </c>
      <c r="F1830" s="1">
        <f>IFERROR(__xludf.DUMMYFUNCTION("""COMPUTED_VALUE"""),39.0)</f>
        <v>39</v>
      </c>
      <c r="G1830" s="1">
        <f>IFERROR(__xludf.DUMMYFUNCTION("""COMPUTED_VALUE"""),63.0)</f>
        <v>63</v>
      </c>
      <c r="H1830" s="1">
        <f>IFERROR(__xludf.DUMMYFUNCTION("""COMPUTED_VALUE"""),80.0)</f>
        <v>80</v>
      </c>
      <c r="I1830" s="1">
        <f>IFERROR(__xludf.DUMMYFUNCTION("""COMPUTED_VALUE"""),49.0)</f>
        <v>49</v>
      </c>
      <c r="J1830" s="1">
        <f>IFERROR(__xludf.DUMMYFUNCTION("""COMPUTED_VALUE"""),284.0)</f>
        <v>284</v>
      </c>
      <c r="K1830" s="1">
        <f>IFERROR(__xludf.DUMMYFUNCTION("""COMPUTED_VALUE"""),56.8)</f>
        <v>56.8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>
        <f>IFERROR(__xludf.DUMMYFUNCTION("""COMPUTED_VALUE"""),52.0)</f>
        <v>52</v>
      </c>
      <c r="E1831" s="1">
        <f>IFERROR(__xludf.DUMMYFUNCTION("""COMPUTED_VALUE"""),85.0)</f>
        <v>85</v>
      </c>
      <c r="F1831" s="1">
        <f>IFERROR(__xludf.DUMMYFUNCTION("""COMPUTED_VALUE"""),94.0)</f>
        <v>94</v>
      </c>
      <c r="G1831" s="1">
        <f>IFERROR(__xludf.DUMMYFUNCTION("""COMPUTED_VALUE"""),32.0)</f>
        <v>32</v>
      </c>
      <c r="H1831" s="1">
        <f>IFERROR(__xludf.DUMMYFUNCTION("""COMPUTED_VALUE"""),23.0)</f>
        <v>23</v>
      </c>
      <c r="I1831" s="1">
        <f>IFERROR(__xludf.DUMMYFUNCTION("""COMPUTED_VALUE"""),56.0)</f>
        <v>56</v>
      </c>
      <c r="J1831" s="1">
        <f>IFERROR(__xludf.DUMMYFUNCTION("""COMPUTED_VALUE"""),290.0)</f>
        <v>290</v>
      </c>
      <c r="K1831" s="1">
        <f>IFERROR(__xludf.DUMMYFUNCTION("""COMPUTED_VALUE"""),57.99999999999999)</f>
        <v>58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>
        <f>IFERROR(__xludf.DUMMYFUNCTION("""COMPUTED_VALUE"""),71.0)</f>
        <v>71</v>
      </c>
      <c r="E1832" s="1">
        <f>IFERROR(__xludf.DUMMYFUNCTION("""COMPUTED_VALUE"""),90.0)</f>
        <v>90</v>
      </c>
      <c r="F1832" s="1">
        <f>IFERROR(__xludf.DUMMYFUNCTION("""COMPUTED_VALUE"""),32.0)</f>
        <v>32</v>
      </c>
      <c r="G1832" s="1">
        <f>IFERROR(__xludf.DUMMYFUNCTION("""COMPUTED_VALUE"""),57.0)</f>
        <v>57</v>
      </c>
      <c r="H1832" s="1">
        <f>IFERROR(__xludf.DUMMYFUNCTION("""COMPUTED_VALUE"""),71.0)</f>
        <v>71</v>
      </c>
      <c r="I1832" s="1">
        <f>IFERROR(__xludf.DUMMYFUNCTION("""COMPUTED_VALUE"""),81.0)</f>
        <v>81</v>
      </c>
      <c r="J1832" s="1">
        <f>IFERROR(__xludf.DUMMYFUNCTION("""COMPUTED_VALUE"""),331.0)</f>
        <v>331</v>
      </c>
      <c r="K1832" s="1">
        <f>IFERROR(__xludf.DUMMYFUNCTION("""COMPUTED_VALUE"""),66.2)</f>
        <v>66.2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>
        <f>IFERROR(__xludf.DUMMYFUNCTION("""COMPUTED_VALUE"""),40.0)</f>
        <v>40</v>
      </c>
      <c r="E1833" s="1">
        <f>IFERROR(__xludf.DUMMYFUNCTION("""COMPUTED_VALUE"""),99.0)</f>
        <v>99</v>
      </c>
      <c r="F1833" s="1">
        <f>IFERROR(__xludf.DUMMYFUNCTION("""COMPUTED_VALUE"""),71.0)</f>
        <v>71</v>
      </c>
      <c r="G1833" s="1">
        <f>IFERROR(__xludf.DUMMYFUNCTION("""COMPUTED_VALUE"""),68.0)</f>
        <v>68</v>
      </c>
      <c r="H1833" s="1">
        <f>IFERROR(__xludf.DUMMYFUNCTION("""COMPUTED_VALUE"""),47.0)</f>
        <v>47</v>
      </c>
      <c r="I1833" s="1">
        <f>IFERROR(__xludf.DUMMYFUNCTION("""COMPUTED_VALUE"""),42.0)</f>
        <v>42</v>
      </c>
      <c r="J1833" s="1">
        <f>IFERROR(__xludf.DUMMYFUNCTION("""COMPUTED_VALUE"""),327.0)</f>
        <v>327</v>
      </c>
      <c r="K1833" s="1">
        <f>IFERROR(__xludf.DUMMYFUNCTION("""COMPUTED_VALUE"""),65.4)</f>
        <v>65.4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>
        <f>IFERROR(__xludf.DUMMYFUNCTION("""COMPUTED_VALUE"""),22.0)</f>
        <v>22</v>
      </c>
      <c r="E1834" s="1">
        <f>IFERROR(__xludf.DUMMYFUNCTION("""COMPUTED_VALUE"""),79.0)</f>
        <v>79</v>
      </c>
      <c r="F1834" s="1">
        <f>IFERROR(__xludf.DUMMYFUNCTION("""COMPUTED_VALUE"""),43.0)</f>
        <v>43</v>
      </c>
      <c r="G1834" s="1">
        <f>IFERROR(__xludf.DUMMYFUNCTION("""COMPUTED_VALUE"""),50.0)</f>
        <v>50</v>
      </c>
      <c r="H1834" s="1">
        <f>IFERROR(__xludf.DUMMYFUNCTION("""COMPUTED_VALUE"""),90.0)</f>
        <v>90</v>
      </c>
      <c r="I1834" s="1">
        <f>IFERROR(__xludf.DUMMYFUNCTION("""COMPUTED_VALUE"""),67.0)</f>
        <v>67</v>
      </c>
      <c r="J1834" s="1">
        <f>IFERROR(__xludf.DUMMYFUNCTION("""COMPUTED_VALUE"""),329.0)</f>
        <v>329</v>
      </c>
      <c r="K1834" s="1">
        <f>IFERROR(__xludf.DUMMYFUNCTION("""COMPUTED_VALUE"""),65.8)</f>
        <v>65.8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>
        <f>IFERROR(__xludf.DUMMYFUNCTION("""COMPUTED_VALUE"""),59.0)</f>
        <v>59</v>
      </c>
      <c r="E1835" s="1">
        <f>IFERROR(__xludf.DUMMYFUNCTION("""COMPUTED_VALUE"""),79.0)</f>
        <v>79</v>
      </c>
      <c r="F1835" s="1">
        <f>IFERROR(__xludf.DUMMYFUNCTION("""COMPUTED_VALUE"""),91.0)</f>
        <v>91</v>
      </c>
      <c r="G1835" s="1">
        <f>IFERROR(__xludf.DUMMYFUNCTION("""COMPUTED_VALUE"""),70.0)</f>
        <v>70</v>
      </c>
      <c r="H1835" s="1">
        <f>IFERROR(__xludf.DUMMYFUNCTION("""COMPUTED_VALUE"""),25.0)</f>
        <v>25</v>
      </c>
      <c r="I1835" s="1">
        <f>IFERROR(__xludf.DUMMYFUNCTION("""COMPUTED_VALUE"""),68.0)</f>
        <v>68</v>
      </c>
      <c r="J1835" s="1">
        <f>IFERROR(__xludf.DUMMYFUNCTION("""COMPUTED_VALUE"""),333.0)</f>
        <v>333</v>
      </c>
      <c r="K1835" s="1">
        <f>IFERROR(__xludf.DUMMYFUNCTION("""COMPUTED_VALUE"""),66.60000000000001)</f>
        <v>66.6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>
        <f>IFERROR(__xludf.DUMMYFUNCTION("""COMPUTED_VALUE"""),19.0)</f>
        <v>19</v>
      </c>
      <c r="E1836" s="1">
        <f>IFERROR(__xludf.DUMMYFUNCTION("""COMPUTED_VALUE"""),22.0)</f>
        <v>22</v>
      </c>
      <c r="F1836" s="1">
        <f>IFERROR(__xludf.DUMMYFUNCTION("""COMPUTED_VALUE"""),85.0)</f>
        <v>85</v>
      </c>
      <c r="G1836" s="1">
        <f>IFERROR(__xludf.DUMMYFUNCTION("""COMPUTED_VALUE"""),87.0)</f>
        <v>87</v>
      </c>
      <c r="H1836" s="1">
        <f>IFERROR(__xludf.DUMMYFUNCTION("""COMPUTED_VALUE"""),23.0)</f>
        <v>23</v>
      </c>
      <c r="I1836" s="1">
        <f>IFERROR(__xludf.DUMMYFUNCTION("""COMPUTED_VALUE"""),28.0)</f>
        <v>28</v>
      </c>
      <c r="J1836" s="1">
        <f>IFERROR(__xludf.DUMMYFUNCTION("""COMPUTED_VALUE"""),245.0)</f>
        <v>245</v>
      </c>
      <c r="K1836" s="1">
        <f>IFERROR(__xludf.DUMMYFUNCTION("""COMPUTED_VALUE"""),49.0)</f>
        <v>49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>
        <f>IFERROR(__xludf.DUMMYFUNCTION("""COMPUTED_VALUE"""),96.0)</f>
        <v>96</v>
      </c>
      <c r="E1837" s="1">
        <f>IFERROR(__xludf.DUMMYFUNCTION("""COMPUTED_VALUE"""),22.0)</f>
        <v>22</v>
      </c>
      <c r="F1837" s="1">
        <f>IFERROR(__xludf.DUMMYFUNCTION("""COMPUTED_VALUE"""),48.0)</f>
        <v>48</v>
      </c>
      <c r="G1837" s="1">
        <f>IFERROR(__xludf.DUMMYFUNCTION("""COMPUTED_VALUE"""),30.0)</f>
        <v>30</v>
      </c>
      <c r="H1837" s="1">
        <f>IFERROR(__xludf.DUMMYFUNCTION("""COMPUTED_VALUE"""),51.0)</f>
        <v>51</v>
      </c>
      <c r="I1837" s="1">
        <f>IFERROR(__xludf.DUMMYFUNCTION("""COMPUTED_VALUE"""),26.0)</f>
        <v>26</v>
      </c>
      <c r="J1837" s="1">
        <f>IFERROR(__xludf.DUMMYFUNCTION("""COMPUTED_VALUE"""),177.0)</f>
        <v>177</v>
      </c>
      <c r="K1837" s="1">
        <f>IFERROR(__xludf.DUMMYFUNCTION("""COMPUTED_VALUE"""),35.4)</f>
        <v>35.4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>
        <f>IFERROR(__xludf.DUMMYFUNCTION("""COMPUTED_VALUE"""),60.0)</f>
        <v>60</v>
      </c>
      <c r="E1838" s="1">
        <f>IFERROR(__xludf.DUMMYFUNCTION("""COMPUTED_VALUE"""),77.0)</f>
        <v>77</v>
      </c>
      <c r="F1838" s="1">
        <f>IFERROR(__xludf.DUMMYFUNCTION("""COMPUTED_VALUE"""),48.0)</f>
        <v>48</v>
      </c>
      <c r="G1838" s="1">
        <f>IFERROR(__xludf.DUMMYFUNCTION("""COMPUTED_VALUE"""),39.0)</f>
        <v>39</v>
      </c>
      <c r="H1838" s="1">
        <f>IFERROR(__xludf.DUMMYFUNCTION("""COMPUTED_VALUE"""),54.0)</f>
        <v>54</v>
      </c>
      <c r="I1838" s="1">
        <f>IFERROR(__xludf.DUMMYFUNCTION("""COMPUTED_VALUE"""),31.0)</f>
        <v>31</v>
      </c>
      <c r="J1838" s="1">
        <f>IFERROR(__xludf.DUMMYFUNCTION("""COMPUTED_VALUE"""),249.0)</f>
        <v>249</v>
      </c>
      <c r="K1838" s="1">
        <f>IFERROR(__xludf.DUMMYFUNCTION("""COMPUTED_VALUE"""),49.8)</f>
        <v>49.8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>
        <f>IFERROR(__xludf.DUMMYFUNCTION("""COMPUTED_VALUE"""),28.0)</f>
        <v>28</v>
      </c>
      <c r="E1839" s="1">
        <f>IFERROR(__xludf.DUMMYFUNCTION("""COMPUTED_VALUE"""),77.0)</f>
        <v>77</v>
      </c>
      <c r="F1839" s="1">
        <f>IFERROR(__xludf.DUMMYFUNCTION("""COMPUTED_VALUE"""),27.0)</f>
        <v>27</v>
      </c>
      <c r="G1839" s="1">
        <f>IFERROR(__xludf.DUMMYFUNCTION("""COMPUTED_VALUE"""),59.0)</f>
        <v>59</v>
      </c>
      <c r="H1839" s="1">
        <f>IFERROR(__xludf.DUMMYFUNCTION("""COMPUTED_VALUE"""),83.0)</f>
        <v>83</v>
      </c>
      <c r="I1839" s="1">
        <f>IFERROR(__xludf.DUMMYFUNCTION("""COMPUTED_VALUE"""),34.0)</f>
        <v>34</v>
      </c>
      <c r="J1839" s="1">
        <f>IFERROR(__xludf.DUMMYFUNCTION("""COMPUTED_VALUE"""),280.0)</f>
        <v>280</v>
      </c>
      <c r="K1839" s="1">
        <f>IFERROR(__xludf.DUMMYFUNCTION("""COMPUTED_VALUE"""),56.00000000000001)</f>
        <v>56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>
        <f>IFERROR(__xludf.DUMMYFUNCTION("""COMPUTED_VALUE"""),49.0)</f>
        <v>49</v>
      </c>
      <c r="E1840" s="1">
        <f>IFERROR(__xludf.DUMMYFUNCTION("""COMPUTED_VALUE"""),94.0)</f>
        <v>94</v>
      </c>
      <c r="F1840" s="1">
        <f>IFERROR(__xludf.DUMMYFUNCTION("""COMPUTED_VALUE"""),79.0)</f>
        <v>79</v>
      </c>
      <c r="G1840" s="1">
        <f>IFERROR(__xludf.DUMMYFUNCTION("""COMPUTED_VALUE"""),83.0)</f>
        <v>83</v>
      </c>
      <c r="H1840" s="1">
        <f>IFERROR(__xludf.DUMMYFUNCTION("""COMPUTED_VALUE"""),79.0)</f>
        <v>79</v>
      </c>
      <c r="I1840" s="1">
        <f>IFERROR(__xludf.DUMMYFUNCTION("""COMPUTED_VALUE"""),49.0)</f>
        <v>49</v>
      </c>
      <c r="J1840" s="1">
        <f>IFERROR(__xludf.DUMMYFUNCTION("""COMPUTED_VALUE"""),384.0)</f>
        <v>384</v>
      </c>
      <c r="K1840" s="1">
        <f>IFERROR(__xludf.DUMMYFUNCTION("""COMPUTED_VALUE"""),76.8)</f>
        <v>76.8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>
        <f>IFERROR(__xludf.DUMMYFUNCTION("""COMPUTED_VALUE"""),46.0)</f>
        <v>46</v>
      </c>
      <c r="E1841" s="1">
        <f>IFERROR(__xludf.DUMMYFUNCTION("""COMPUTED_VALUE"""),66.0)</f>
        <v>66</v>
      </c>
      <c r="F1841" s="1">
        <f>IFERROR(__xludf.DUMMYFUNCTION("""COMPUTED_VALUE"""),92.0)</f>
        <v>92</v>
      </c>
      <c r="G1841" s="1">
        <f>IFERROR(__xludf.DUMMYFUNCTION("""COMPUTED_VALUE"""),87.0)</f>
        <v>87</v>
      </c>
      <c r="H1841" s="1">
        <f>IFERROR(__xludf.DUMMYFUNCTION("""COMPUTED_VALUE"""),36.0)</f>
        <v>36</v>
      </c>
      <c r="I1841" s="1">
        <f>IFERROR(__xludf.DUMMYFUNCTION("""COMPUTED_VALUE"""),46.0)</f>
        <v>46</v>
      </c>
      <c r="J1841" s="1">
        <f>IFERROR(__xludf.DUMMYFUNCTION("""COMPUTED_VALUE"""),327.0)</f>
        <v>327</v>
      </c>
      <c r="K1841" s="1">
        <f>IFERROR(__xludf.DUMMYFUNCTION("""COMPUTED_VALUE"""),65.4)</f>
        <v>65.4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>
        <f>IFERROR(__xludf.DUMMYFUNCTION("""COMPUTED_VALUE"""),77.0)</f>
        <v>77</v>
      </c>
      <c r="E1842" s="1">
        <f>IFERROR(__xludf.DUMMYFUNCTION("""COMPUTED_VALUE"""),98.0)</f>
        <v>98</v>
      </c>
      <c r="F1842" s="1">
        <f>IFERROR(__xludf.DUMMYFUNCTION("""COMPUTED_VALUE"""),87.0)</f>
        <v>87</v>
      </c>
      <c r="G1842" s="1">
        <f>IFERROR(__xludf.DUMMYFUNCTION("""COMPUTED_VALUE"""),68.0)</f>
        <v>68</v>
      </c>
      <c r="H1842" s="1">
        <f>IFERROR(__xludf.DUMMYFUNCTION("""COMPUTED_VALUE"""),58.0)</f>
        <v>58</v>
      </c>
      <c r="I1842" s="1">
        <f>IFERROR(__xludf.DUMMYFUNCTION("""COMPUTED_VALUE"""),20.0)</f>
        <v>20</v>
      </c>
      <c r="J1842" s="1">
        <f>IFERROR(__xludf.DUMMYFUNCTION("""COMPUTED_VALUE"""),331.0)</f>
        <v>331</v>
      </c>
      <c r="K1842" s="1">
        <f>IFERROR(__xludf.DUMMYFUNCTION("""COMPUTED_VALUE"""),66.2)</f>
        <v>66.2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>
        <f>IFERROR(__xludf.DUMMYFUNCTION("""COMPUTED_VALUE"""),17.0)</f>
        <v>17</v>
      </c>
      <c r="E1843" s="1">
        <f>IFERROR(__xludf.DUMMYFUNCTION("""COMPUTED_VALUE"""),38.0)</f>
        <v>38</v>
      </c>
      <c r="F1843" s="1">
        <f>IFERROR(__xludf.DUMMYFUNCTION("""COMPUTED_VALUE"""),72.0)</f>
        <v>72</v>
      </c>
      <c r="G1843" s="1">
        <f>IFERROR(__xludf.DUMMYFUNCTION("""COMPUTED_VALUE"""),34.0)</f>
        <v>34</v>
      </c>
      <c r="H1843" s="1">
        <f>IFERROR(__xludf.DUMMYFUNCTION("""COMPUTED_VALUE"""),96.0)</f>
        <v>96</v>
      </c>
      <c r="I1843" s="1">
        <f>IFERROR(__xludf.DUMMYFUNCTION("""COMPUTED_VALUE"""),87.0)</f>
        <v>87</v>
      </c>
      <c r="J1843" s="1">
        <f>IFERROR(__xludf.DUMMYFUNCTION("""COMPUTED_VALUE"""),327.0)</f>
        <v>327</v>
      </c>
      <c r="K1843" s="1">
        <f>IFERROR(__xludf.DUMMYFUNCTION("""COMPUTED_VALUE"""),65.4)</f>
        <v>65.4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>
        <f>IFERROR(__xludf.DUMMYFUNCTION("""COMPUTED_VALUE"""),71.0)</f>
        <v>71</v>
      </c>
      <c r="E1844" s="1">
        <f>IFERROR(__xludf.DUMMYFUNCTION("""COMPUTED_VALUE"""),21.0)</f>
        <v>21</v>
      </c>
      <c r="F1844" s="1">
        <f>IFERROR(__xludf.DUMMYFUNCTION("""COMPUTED_VALUE"""),58.0)</f>
        <v>58</v>
      </c>
      <c r="G1844" s="1">
        <f>IFERROR(__xludf.DUMMYFUNCTION("""COMPUTED_VALUE"""),64.0)</f>
        <v>64</v>
      </c>
      <c r="H1844" s="1">
        <f>IFERROR(__xludf.DUMMYFUNCTION("""COMPUTED_VALUE"""),31.0)</f>
        <v>31</v>
      </c>
      <c r="I1844" s="1">
        <f>IFERROR(__xludf.DUMMYFUNCTION("""COMPUTED_VALUE"""),56.0)</f>
        <v>56</v>
      </c>
      <c r="J1844" s="1">
        <f>IFERROR(__xludf.DUMMYFUNCTION("""COMPUTED_VALUE"""),230.0)</f>
        <v>230</v>
      </c>
      <c r="K1844" s="1">
        <f>IFERROR(__xludf.DUMMYFUNCTION("""COMPUTED_VALUE"""),46.0)</f>
        <v>46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>
        <f>IFERROR(__xludf.DUMMYFUNCTION("""COMPUTED_VALUE"""),48.0)</f>
        <v>48</v>
      </c>
      <c r="E1845" s="1">
        <f>IFERROR(__xludf.DUMMYFUNCTION("""COMPUTED_VALUE"""),57.0)</f>
        <v>57</v>
      </c>
      <c r="F1845" s="1">
        <f>IFERROR(__xludf.DUMMYFUNCTION("""COMPUTED_VALUE"""),45.0)</f>
        <v>45</v>
      </c>
      <c r="G1845" s="1">
        <f>IFERROR(__xludf.DUMMYFUNCTION("""COMPUTED_VALUE"""),61.0)</f>
        <v>61</v>
      </c>
      <c r="H1845" s="1">
        <f>IFERROR(__xludf.DUMMYFUNCTION("""COMPUTED_VALUE"""),43.0)</f>
        <v>43</v>
      </c>
      <c r="I1845" s="1">
        <f>IFERROR(__xludf.DUMMYFUNCTION("""COMPUTED_VALUE"""),79.0)</f>
        <v>79</v>
      </c>
      <c r="J1845" s="1">
        <f>IFERROR(__xludf.DUMMYFUNCTION("""COMPUTED_VALUE"""),285.0)</f>
        <v>285</v>
      </c>
      <c r="K1845" s="1">
        <f>IFERROR(__xludf.DUMMYFUNCTION("""COMPUTED_VALUE"""),56.99999999999999)</f>
        <v>57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>
        <f>IFERROR(__xludf.DUMMYFUNCTION("""COMPUTED_VALUE"""),53.0)</f>
        <v>53</v>
      </c>
      <c r="E1846" s="1">
        <f>IFERROR(__xludf.DUMMYFUNCTION("""COMPUTED_VALUE"""),92.0)</f>
        <v>92</v>
      </c>
      <c r="F1846" s="1">
        <f>IFERROR(__xludf.DUMMYFUNCTION("""COMPUTED_VALUE"""),51.0)</f>
        <v>51</v>
      </c>
      <c r="G1846" s="1">
        <f>IFERROR(__xludf.DUMMYFUNCTION("""COMPUTED_VALUE"""),70.0)</f>
        <v>70</v>
      </c>
      <c r="H1846" s="1">
        <f>IFERROR(__xludf.DUMMYFUNCTION("""COMPUTED_VALUE"""),95.0)</f>
        <v>95</v>
      </c>
      <c r="I1846" s="1">
        <f>IFERROR(__xludf.DUMMYFUNCTION("""COMPUTED_VALUE"""),20.0)</f>
        <v>20</v>
      </c>
      <c r="J1846" s="1">
        <f>IFERROR(__xludf.DUMMYFUNCTION("""COMPUTED_VALUE"""),328.0)</f>
        <v>328</v>
      </c>
      <c r="K1846" s="1">
        <f>IFERROR(__xludf.DUMMYFUNCTION("""COMPUTED_VALUE"""),65.60000000000001)</f>
        <v>65.6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>
        <f>IFERROR(__xludf.DUMMYFUNCTION("""COMPUTED_VALUE"""),47.0)</f>
        <v>47</v>
      </c>
      <c r="E1847" s="1">
        <f>IFERROR(__xludf.DUMMYFUNCTION("""COMPUTED_VALUE"""),92.0)</f>
        <v>92</v>
      </c>
      <c r="F1847" s="1">
        <f>IFERROR(__xludf.DUMMYFUNCTION("""COMPUTED_VALUE"""),28.0)</f>
        <v>28</v>
      </c>
      <c r="G1847" s="1">
        <f>IFERROR(__xludf.DUMMYFUNCTION("""COMPUTED_VALUE"""),35.0)</f>
        <v>35</v>
      </c>
      <c r="H1847" s="1">
        <f>IFERROR(__xludf.DUMMYFUNCTION("""COMPUTED_VALUE"""),91.0)</f>
        <v>91</v>
      </c>
      <c r="I1847" s="1">
        <f>IFERROR(__xludf.DUMMYFUNCTION("""COMPUTED_VALUE"""),26.0)</f>
        <v>26</v>
      </c>
      <c r="J1847" s="1">
        <f>IFERROR(__xludf.DUMMYFUNCTION("""COMPUTED_VALUE"""),272.0)</f>
        <v>272</v>
      </c>
      <c r="K1847" s="1">
        <f>IFERROR(__xludf.DUMMYFUNCTION("""COMPUTED_VALUE"""),54.400000000000006)</f>
        <v>54.4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>
        <f>IFERROR(__xludf.DUMMYFUNCTION("""COMPUTED_VALUE"""),84.0)</f>
        <v>84</v>
      </c>
      <c r="E1848" s="1">
        <f>IFERROR(__xludf.DUMMYFUNCTION("""COMPUTED_VALUE"""),29.0)</f>
        <v>29</v>
      </c>
      <c r="F1848" s="1">
        <f>IFERROR(__xludf.DUMMYFUNCTION("""COMPUTED_VALUE"""),39.0)</f>
        <v>39</v>
      </c>
      <c r="G1848" s="1">
        <f>IFERROR(__xludf.DUMMYFUNCTION("""COMPUTED_VALUE"""),46.0)</f>
        <v>46</v>
      </c>
      <c r="H1848" s="1">
        <f>IFERROR(__xludf.DUMMYFUNCTION("""COMPUTED_VALUE"""),33.0)</f>
        <v>33</v>
      </c>
      <c r="I1848" s="1">
        <f>IFERROR(__xludf.DUMMYFUNCTION("""COMPUTED_VALUE"""),67.0)</f>
        <v>67</v>
      </c>
      <c r="J1848" s="1">
        <f>IFERROR(__xludf.DUMMYFUNCTION("""COMPUTED_VALUE"""),214.0)</f>
        <v>214</v>
      </c>
      <c r="K1848" s="1">
        <f>IFERROR(__xludf.DUMMYFUNCTION("""COMPUTED_VALUE"""),42.8)</f>
        <v>42.8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>
        <f>IFERROR(__xludf.DUMMYFUNCTION("""COMPUTED_VALUE"""),48.0)</f>
        <v>48</v>
      </c>
      <c r="E1849" s="1">
        <f>IFERROR(__xludf.DUMMYFUNCTION("""COMPUTED_VALUE"""),88.0)</f>
        <v>88</v>
      </c>
      <c r="F1849" s="1">
        <f>IFERROR(__xludf.DUMMYFUNCTION("""COMPUTED_VALUE"""),82.0)</f>
        <v>82</v>
      </c>
      <c r="G1849" s="1">
        <f>IFERROR(__xludf.DUMMYFUNCTION("""COMPUTED_VALUE"""),48.0)</f>
        <v>48</v>
      </c>
      <c r="H1849" s="1">
        <f>IFERROR(__xludf.DUMMYFUNCTION("""COMPUTED_VALUE"""),61.0)</f>
        <v>61</v>
      </c>
      <c r="I1849" s="1">
        <f>IFERROR(__xludf.DUMMYFUNCTION("""COMPUTED_VALUE"""),51.0)</f>
        <v>51</v>
      </c>
      <c r="J1849" s="1">
        <f>IFERROR(__xludf.DUMMYFUNCTION("""COMPUTED_VALUE"""),330.0)</f>
        <v>330</v>
      </c>
      <c r="K1849" s="1">
        <f>IFERROR(__xludf.DUMMYFUNCTION("""COMPUTED_VALUE"""),66.0)</f>
        <v>66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>
        <f>IFERROR(__xludf.DUMMYFUNCTION("""COMPUTED_VALUE"""),63.0)</f>
        <v>63</v>
      </c>
      <c r="E1850" s="1">
        <f>IFERROR(__xludf.DUMMYFUNCTION("""COMPUTED_VALUE"""),40.0)</f>
        <v>40</v>
      </c>
      <c r="F1850" s="1">
        <f>IFERROR(__xludf.DUMMYFUNCTION("""COMPUTED_VALUE"""),89.0)</f>
        <v>89</v>
      </c>
      <c r="G1850" s="1">
        <f>IFERROR(__xludf.DUMMYFUNCTION("""COMPUTED_VALUE"""),22.0)</f>
        <v>22</v>
      </c>
      <c r="H1850" s="1">
        <f>IFERROR(__xludf.DUMMYFUNCTION("""COMPUTED_VALUE"""),95.0)</f>
        <v>95</v>
      </c>
      <c r="I1850" s="1">
        <f>IFERROR(__xludf.DUMMYFUNCTION("""COMPUTED_VALUE"""),79.0)</f>
        <v>79</v>
      </c>
      <c r="J1850" s="1">
        <f>IFERROR(__xludf.DUMMYFUNCTION("""COMPUTED_VALUE"""),325.0)</f>
        <v>325</v>
      </c>
      <c r="K1850" s="1">
        <f>IFERROR(__xludf.DUMMYFUNCTION("""COMPUTED_VALUE"""),65.0)</f>
        <v>65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>
        <f>IFERROR(__xludf.DUMMYFUNCTION("""COMPUTED_VALUE"""),76.0)</f>
        <v>76</v>
      </c>
      <c r="E1851" s="1">
        <f>IFERROR(__xludf.DUMMYFUNCTION("""COMPUTED_VALUE"""),97.0)</f>
        <v>97</v>
      </c>
      <c r="F1851" s="1">
        <f>IFERROR(__xludf.DUMMYFUNCTION("""COMPUTED_VALUE"""),42.0)</f>
        <v>42</v>
      </c>
      <c r="G1851" s="1">
        <f>IFERROR(__xludf.DUMMYFUNCTION("""COMPUTED_VALUE"""),48.0)</f>
        <v>48</v>
      </c>
      <c r="H1851" s="1">
        <f>IFERROR(__xludf.DUMMYFUNCTION("""COMPUTED_VALUE"""),49.0)</f>
        <v>49</v>
      </c>
      <c r="I1851" s="1">
        <f>IFERROR(__xludf.DUMMYFUNCTION("""COMPUTED_VALUE"""),70.0)</f>
        <v>70</v>
      </c>
      <c r="J1851" s="1">
        <f>IFERROR(__xludf.DUMMYFUNCTION("""COMPUTED_VALUE"""),306.0)</f>
        <v>306</v>
      </c>
      <c r="K1851" s="1">
        <f>IFERROR(__xludf.DUMMYFUNCTION("""COMPUTED_VALUE"""),61.199999999999996)</f>
        <v>61.2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>
        <f>IFERROR(__xludf.DUMMYFUNCTION("""COMPUTED_VALUE"""),33.0)</f>
        <v>33</v>
      </c>
      <c r="E1852" s="1">
        <f>IFERROR(__xludf.DUMMYFUNCTION("""COMPUTED_VALUE"""),61.0)</f>
        <v>61</v>
      </c>
      <c r="F1852" s="1">
        <f>IFERROR(__xludf.DUMMYFUNCTION("""COMPUTED_VALUE"""),81.0)</f>
        <v>81</v>
      </c>
      <c r="G1852" s="1">
        <f>IFERROR(__xludf.DUMMYFUNCTION("""COMPUTED_VALUE"""),67.0)</f>
        <v>67</v>
      </c>
      <c r="H1852" s="1">
        <f>IFERROR(__xludf.DUMMYFUNCTION("""COMPUTED_VALUE"""),84.0)</f>
        <v>84</v>
      </c>
      <c r="I1852" s="1">
        <f>IFERROR(__xludf.DUMMYFUNCTION("""COMPUTED_VALUE"""),27.0)</f>
        <v>27</v>
      </c>
      <c r="J1852" s="1">
        <f>IFERROR(__xludf.DUMMYFUNCTION("""COMPUTED_VALUE"""),320.0)</f>
        <v>320</v>
      </c>
      <c r="K1852" s="1">
        <f>IFERROR(__xludf.DUMMYFUNCTION("""COMPUTED_VALUE"""),64.0)</f>
        <v>64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>
        <f>IFERROR(__xludf.DUMMYFUNCTION("""COMPUTED_VALUE"""),62.0)</f>
        <v>62</v>
      </c>
      <c r="E1853" s="1">
        <f>IFERROR(__xludf.DUMMYFUNCTION("""COMPUTED_VALUE"""),42.0)</f>
        <v>42</v>
      </c>
      <c r="F1853" s="1">
        <f>IFERROR(__xludf.DUMMYFUNCTION("""COMPUTED_VALUE"""),98.0)</f>
        <v>98</v>
      </c>
      <c r="G1853" s="1">
        <f>IFERROR(__xludf.DUMMYFUNCTION("""COMPUTED_VALUE"""),44.0)</f>
        <v>44</v>
      </c>
      <c r="H1853" s="1">
        <f>IFERROR(__xludf.DUMMYFUNCTION("""COMPUTED_VALUE"""),89.0)</f>
        <v>89</v>
      </c>
      <c r="I1853" s="1">
        <f>IFERROR(__xludf.DUMMYFUNCTION("""COMPUTED_VALUE"""),97.0)</f>
        <v>97</v>
      </c>
      <c r="J1853" s="1">
        <f>IFERROR(__xludf.DUMMYFUNCTION("""COMPUTED_VALUE"""),370.0)</f>
        <v>370</v>
      </c>
      <c r="K1853" s="1">
        <f>IFERROR(__xludf.DUMMYFUNCTION("""COMPUTED_VALUE"""),74.0)</f>
        <v>74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>
        <f>IFERROR(__xludf.DUMMYFUNCTION("""COMPUTED_VALUE"""),79.0)</f>
        <v>79</v>
      </c>
      <c r="E1854" s="1">
        <f>IFERROR(__xludf.DUMMYFUNCTION("""COMPUTED_VALUE"""),95.0)</f>
        <v>95</v>
      </c>
      <c r="F1854" s="1">
        <f>IFERROR(__xludf.DUMMYFUNCTION("""COMPUTED_VALUE"""),87.0)</f>
        <v>87</v>
      </c>
      <c r="G1854" s="1">
        <f>IFERROR(__xludf.DUMMYFUNCTION("""COMPUTED_VALUE"""),86.0)</f>
        <v>86</v>
      </c>
      <c r="H1854" s="1">
        <f>IFERROR(__xludf.DUMMYFUNCTION("""COMPUTED_VALUE"""),47.0)</f>
        <v>47</v>
      </c>
      <c r="I1854" s="1">
        <f>IFERROR(__xludf.DUMMYFUNCTION("""COMPUTED_VALUE"""),37.0)</f>
        <v>37</v>
      </c>
      <c r="J1854" s="1">
        <f>IFERROR(__xludf.DUMMYFUNCTION("""COMPUTED_VALUE"""),352.0)</f>
        <v>352</v>
      </c>
      <c r="K1854" s="1">
        <f>IFERROR(__xludf.DUMMYFUNCTION("""COMPUTED_VALUE"""),70.39999999999999)</f>
        <v>70.4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>
        <f>IFERROR(__xludf.DUMMYFUNCTION("""COMPUTED_VALUE"""),72.0)</f>
        <v>72</v>
      </c>
      <c r="E1855" s="1">
        <f>IFERROR(__xludf.DUMMYFUNCTION("""COMPUTED_VALUE"""),97.0)</f>
        <v>97</v>
      </c>
      <c r="F1855" s="1">
        <f>IFERROR(__xludf.DUMMYFUNCTION("""COMPUTED_VALUE"""),39.0)</f>
        <v>39</v>
      </c>
      <c r="G1855" s="1">
        <f>IFERROR(__xludf.DUMMYFUNCTION("""COMPUTED_VALUE"""),79.0)</f>
        <v>79</v>
      </c>
      <c r="H1855" s="1">
        <f>IFERROR(__xludf.DUMMYFUNCTION("""COMPUTED_VALUE"""),37.0)</f>
        <v>37</v>
      </c>
      <c r="I1855" s="1">
        <f>IFERROR(__xludf.DUMMYFUNCTION("""COMPUTED_VALUE"""),94.0)</f>
        <v>94</v>
      </c>
      <c r="J1855" s="1">
        <f>IFERROR(__xludf.DUMMYFUNCTION("""COMPUTED_VALUE"""),346.0)</f>
        <v>346</v>
      </c>
      <c r="K1855" s="1">
        <f>IFERROR(__xludf.DUMMYFUNCTION("""COMPUTED_VALUE"""),69.19999999999999)</f>
        <v>69.2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>
        <f>IFERROR(__xludf.DUMMYFUNCTION("""COMPUTED_VALUE"""),81.0)</f>
        <v>81</v>
      </c>
      <c r="E1856" s="1">
        <f>IFERROR(__xludf.DUMMYFUNCTION("""COMPUTED_VALUE"""),66.0)</f>
        <v>66</v>
      </c>
      <c r="F1856" s="1">
        <f>IFERROR(__xludf.DUMMYFUNCTION("""COMPUTED_VALUE"""),47.0)</f>
        <v>47</v>
      </c>
      <c r="G1856" s="1">
        <f>IFERROR(__xludf.DUMMYFUNCTION("""COMPUTED_VALUE"""),89.0)</f>
        <v>89</v>
      </c>
      <c r="H1856" s="1">
        <f>IFERROR(__xludf.DUMMYFUNCTION("""COMPUTED_VALUE"""),82.0)</f>
        <v>82</v>
      </c>
      <c r="I1856" s="1">
        <f>IFERROR(__xludf.DUMMYFUNCTION("""COMPUTED_VALUE"""),40.0)</f>
        <v>40</v>
      </c>
      <c r="J1856" s="1">
        <f>IFERROR(__xludf.DUMMYFUNCTION("""COMPUTED_VALUE"""),324.0)</f>
        <v>324</v>
      </c>
      <c r="K1856" s="1">
        <f>IFERROR(__xludf.DUMMYFUNCTION("""COMPUTED_VALUE"""),64.8)</f>
        <v>64.8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>
        <f>IFERROR(__xludf.DUMMYFUNCTION("""COMPUTED_VALUE"""),55.0)</f>
        <v>55</v>
      </c>
      <c r="E1857" s="1">
        <f>IFERROR(__xludf.DUMMYFUNCTION("""COMPUTED_VALUE"""),52.0)</f>
        <v>52</v>
      </c>
      <c r="F1857" s="1">
        <f>IFERROR(__xludf.DUMMYFUNCTION("""COMPUTED_VALUE"""),62.0)</f>
        <v>62</v>
      </c>
      <c r="G1857" s="1">
        <f>IFERROR(__xludf.DUMMYFUNCTION("""COMPUTED_VALUE"""),27.0)</f>
        <v>27</v>
      </c>
      <c r="H1857" s="1">
        <f>IFERROR(__xludf.DUMMYFUNCTION("""COMPUTED_VALUE"""),77.0)</f>
        <v>77</v>
      </c>
      <c r="I1857" s="1">
        <f>IFERROR(__xludf.DUMMYFUNCTION("""COMPUTED_VALUE"""),75.0)</f>
        <v>75</v>
      </c>
      <c r="J1857" s="1">
        <f>IFERROR(__xludf.DUMMYFUNCTION("""COMPUTED_VALUE"""),293.0)</f>
        <v>293</v>
      </c>
      <c r="K1857" s="1">
        <f>IFERROR(__xludf.DUMMYFUNCTION("""COMPUTED_VALUE"""),58.599999999999994)</f>
        <v>58.6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>
        <f>IFERROR(__xludf.DUMMYFUNCTION("""COMPUTED_VALUE"""),29.0)</f>
        <v>29</v>
      </c>
      <c r="E1858" s="1">
        <f>IFERROR(__xludf.DUMMYFUNCTION("""COMPUTED_VALUE"""),70.0)</f>
        <v>70</v>
      </c>
      <c r="F1858" s="1">
        <f>IFERROR(__xludf.DUMMYFUNCTION("""COMPUTED_VALUE"""),60.0)</f>
        <v>60</v>
      </c>
      <c r="G1858" s="1">
        <f>IFERROR(__xludf.DUMMYFUNCTION("""COMPUTED_VALUE"""),84.0)</f>
        <v>84</v>
      </c>
      <c r="H1858" s="1">
        <f>IFERROR(__xludf.DUMMYFUNCTION("""COMPUTED_VALUE"""),92.0)</f>
        <v>92</v>
      </c>
      <c r="I1858" s="1">
        <f>IFERROR(__xludf.DUMMYFUNCTION("""COMPUTED_VALUE"""),54.0)</f>
        <v>54</v>
      </c>
      <c r="J1858" s="1">
        <f>IFERROR(__xludf.DUMMYFUNCTION("""COMPUTED_VALUE"""),360.0)</f>
        <v>360</v>
      </c>
      <c r="K1858" s="1">
        <f>IFERROR(__xludf.DUMMYFUNCTION("""COMPUTED_VALUE"""),72.0)</f>
        <v>72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>
        <f>IFERROR(__xludf.DUMMYFUNCTION("""COMPUTED_VALUE"""),40.0)</f>
        <v>40</v>
      </c>
      <c r="E1859" s="1">
        <f>IFERROR(__xludf.DUMMYFUNCTION("""COMPUTED_VALUE"""),69.0)</f>
        <v>69</v>
      </c>
      <c r="F1859" s="1">
        <f>IFERROR(__xludf.DUMMYFUNCTION("""COMPUTED_VALUE"""),99.0)</f>
        <v>99</v>
      </c>
      <c r="G1859" s="1">
        <f>IFERROR(__xludf.DUMMYFUNCTION("""COMPUTED_VALUE"""),62.0)</f>
        <v>62</v>
      </c>
      <c r="H1859" s="1">
        <f>IFERROR(__xludf.DUMMYFUNCTION("""COMPUTED_VALUE"""),61.0)</f>
        <v>61</v>
      </c>
      <c r="I1859" s="1">
        <f>IFERROR(__xludf.DUMMYFUNCTION("""COMPUTED_VALUE"""),66.0)</f>
        <v>66</v>
      </c>
      <c r="J1859" s="1">
        <f>IFERROR(__xludf.DUMMYFUNCTION("""COMPUTED_VALUE"""),357.0)</f>
        <v>357</v>
      </c>
      <c r="K1859" s="1">
        <f>IFERROR(__xludf.DUMMYFUNCTION("""COMPUTED_VALUE"""),71.39999999999999)</f>
        <v>71.4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>
        <f>IFERROR(__xludf.DUMMYFUNCTION("""COMPUTED_VALUE"""),40.0)</f>
        <v>40</v>
      </c>
      <c r="E1860" s="1">
        <f>IFERROR(__xludf.DUMMYFUNCTION("""COMPUTED_VALUE"""),55.0)</f>
        <v>55</v>
      </c>
      <c r="F1860" s="1">
        <f>IFERROR(__xludf.DUMMYFUNCTION("""COMPUTED_VALUE"""),51.0)</f>
        <v>51</v>
      </c>
      <c r="G1860" s="1">
        <f>IFERROR(__xludf.DUMMYFUNCTION("""COMPUTED_VALUE"""),37.0)</f>
        <v>37</v>
      </c>
      <c r="H1860" s="1">
        <f>IFERROR(__xludf.DUMMYFUNCTION("""COMPUTED_VALUE"""),37.0)</f>
        <v>37</v>
      </c>
      <c r="I1860" s="1">
        <f>IFERROR(__xludf.DUMMYFUNCTION("""COMPUTED_VALUE"""),84.0)</f>
        <v>84</v>
      </c>
      <c r="J1860" s="1">
        <f>IFERROR(__xludf.DUMMYFUNCTION("""COMPUTED_VALUE"""),264.0)</f>
        <v>264</v>
      </c>
      <c r="K1860" s="1">
        <f>IFERROR(__xludf.DUMMYFUNCTION("""COMPUTED_VALUE"""),52.800000000000004)</f>
        <v>52.8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>
        <f>IFERROR(__xludf.DUMMYFUNCTION("""COMPUTED_VALUE"""),90.0)</f>
        <v>90</v>
      </c>
      <c r="E1861" s="1">
        <f>IFERROR(__xludf.DUMMYFUNCTION("""COMPUTED_VALUE"""),24.0)</f>
        <v>24</v>
      </c>
      <c r="F1861" s="1">
        <f>IFERROR(__xludf.DUMMYFUNCTION("""COMPUTED_VALUE"""),41.0)</f>
        <v>41</v>
      </c>
      <c r="G1861" s="1">
        <f>IFERROR(__xludf.DUMMYFUNCTION("""COMPUTED_VALUE"""),52.0)</f>
        <v>52</v>
      </c>
      <c r="H1861" s="1">
        <f>IFERROR(__xludf.DUMMYFUNCTION("""COMPUTED_VALUE"""),38.0)</f>
        <v>38</v>
      </c>
      <c r="I1861" s="1">
        <f>IFERROR(__xludf.DUMMYFUNCTION("""COMPUTED_VALUE"""),86.0)</f>
        <v>86</v>
      </c>
      <c r="J1861" s="1">
        <f>IFERROR(__xludf.DUMMYFUNCTION("""COMPUTED_VALUE"""),241.0)</f>
        <v>241</v>
      </c>
      <c r="K1861" s="1">
        <f>IFERROR(__xludf.DUMMYFUNCTION("""COMPUTED_VALUE"""),48.199999999999996)</f>
        <v>48.2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>
        <f>IFERROR(__xludf.DUMMYFUNCTION("""COMPUTED_VALUE"""),23.0)</f>
        <v>23</v>
      </c>
      <c r="E1862" s="1">
        <f>IFERROR(__xludf.DUMMYFUNCTION("""COMPUTED_VALUE"""),98.0)</f>
        <v>98</v>
      </c>
      <c r="F1862" s="1">
        <f>IFERROR(__xludf.DUMMYFUNCTION("""COMPUTED_VALUE"""),68.0)</f>
        <v>68</v>
      </c>
      <c r="G1862" s="1">
        <f>IFERROR(__xludf.DUMMYFUNCTION("""COMPUTED_VALUE"""),63.0)</f>
        <v>63</v>
      </c>
      <c r="H1862" s="1">
        <f>IFERROR(__xludf.DUMMYFUNCTION("""COMPUTED_VALUE"""),71.0)</f>
        <v>71</v>
      </c>
      <c r="I1862" s="1">
        <f>IFERROR(__xludf.DUMMYFUNCTION("""COMPUTED_VALUE"""),84.0)</f>
        <v>84</v>
      </c>
      <c r="J1862" s="1">
        <f>IFERROR(__xludf.DUMMYFUNCTION("""COMPUTED_VALUE"""),384.0)</f>
        <v>384</v>
      </c>
      <c r="K1862" s="1">
        <f>IFERROR(__xludf.DUMMYFUNCTION("""COMPUTED_VALUE"""),76.8)</f>
        <v>76.8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>
        <f>IFERROR(__xludf.DUMMYFUNCTION("""COMPUTED_VALUE"""),14.0)</f>
        <v>14</v>
      </c>
      <c r="E1863" s="1">
        <f>IFERROR(__xludf.DUMMYFUNCTION("""COMPUTED_VALUE"""),88.0)</f>
        <v>88</v>
      </c>
      <c r="F1863" s="1">
        <f>IFERROR(__xludf.DUMMYFUNCTION("""COMPUTED_VALUE"""),69.0)</f>
        <v>69</v>
      </c>
      <c r="G1863" s="1">
        <f>IFERROR(__xludf.DUMMYFUNCTION("""COMPUTED_VALUE"""),93.0)</f>
        <v>93</v>
      </c>
      <c r="H1863" s="1">
        <f>IFERROR(__xludf.DUMMYFUNCTION("""COMPUTED_VALUE"""),65.0)</f>
        <v>65</v>
      </c>
      <c r="I1863" s="1">
        <f>IFERROR(__xludf.DUMMYFUNCTION("""COMPUTED_VALUE"""),41.0)</f>
        <v>41</v>
      </c>
      <c r="J1863" s="1">
        <f>IFERROR(__xludf.DUMMYFUNCTION("""COMPUTED_VALUE"""),356.0)</f>
        <v>356</v>
      </c>
      <c r="K1863" s="1">
        <f>IFERROR(__xludf.DUMMYFUNCTION("""COMPUTED_VALUE"""),71.2)</f>
        <v>71.2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>
        <f>IFERROR(__xludf.DUMMYFUNCTION("""COMPUTED_VALUE"""),73.0)</f>
        <v>73</v>
      </c>
      <c r="E1864" s="1">
        <f>IFERROR(__xludf.DUMMYFUNCTION("""COMPUTED_VALUE"""),32.0)</f>
        <v>32</v>
      </c>
      <c r="F1864" s="1">
        <f>IFERROR(__xludf.DUMMYFUNCTION("""COMPUTED_VALUE"""),48.0)</f>
        <v>48</v>
      </c>
      <c r="G1864" s="1">
        <f>IFERROR(__xludf.DUMMYFUNCTION("""COMPUTED_VALUE"""),39.0)</f>
        <v>39</v>
      </c>
      <c r="H1864" s="1">
        <f>IFERROR(__xludf.DUMMYFUNCTION("""COMPUTED_VALUE"""),80.0)</f>
        <v>80</v>
      </c>
      <c r="I1864" s="1">
        <f>IFERROR(__xludf.DUMMYFUNCTION("""COMPUTED_VALUE"""),41.0)</f>
        <v>41</v>
      </c>
      <c r="J1864" s="1">
        <f>IFERROR(__xludf.DUMMYFUNCTION("""COMPUTED_VALUE"""),240.0)</f>
        <v>240</v>
      </c>
      <c r="K1864" s="1">
        <f>IFERROR(__xludf.DUMMYFUNCTION("""COMPUTED_VALUE"""),48.0)</f>
        <v>48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>
        <f>IFERROR(__xludf.DUMMYFUNCTION("""COMPUTED_VALUE"""),12.0)</f>
        <v>12</v>
      </c>
      <c r="E1865" s="1">
        <f>IFERROR(__xludf.DUMMYFUNCTION("""COMPUTED_VALUE"""),43.0)</f>
        <v>43</v>
      </c>
      <c r="F1865" s="1">
        <f>IFERROR(__xludf.DUMMYFUNCTION("""COMPUTED_VALUE"""),58.0)</f>
        <v>58</v>
      </c>
      <c r="G1865" s="1">
        <f>IFERROR(__xludf.DUMMYFUNCTION("""COMPUTED_VALUE"""),40.0)</f>
        <v>40</v>
      </c>
      <c r="H1865" s="1">
        <f>IFERROR(__xludf.DUMMYFUNCTION("""COMPUTED_VALUE"""),53.0)</f>
        <v>53</v>
      </c>
      <c r="I1865" s="1">
        <f>IFERROR(__xludf.DUMMYFUNCTION("""COMPUTED_VALUE"""),79.0)</f>
        <v>79</v>
      </c>
      <c r="J1865" s="1">
        <f>IFERROR(__xludf.DUMMYFUNCTION("""COMPUTED_VALUE"""),273.0)</f>
        <v>273</v>
      </c>
      <c r="K1865" s="1">
        <f>IFERROR(__xludf.DUMMYFUNCTION("""COMPUTED_VALUE"""),54.6)</f>
        <v>54.6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>
        <f>IFERROR(__xludf.DUMMYFUNCTION("""COMPUTED_VALUE"""),40.0)</f>
        <v>40</v>
      </c>
      <c r="E1866" s="1">
        <f>IFERROR(__xludf.DUMMYFUNCTION("""COMPUTED_VALUE"""),78.0)</f>
        <v>78</v>
      </c>
      <c r="F1866" s="1">
        <f>IFERROR(__xludf.DUMMYFUNCTION("""COMPUTED_VALUE"""),84.0)</f>
        <v>84</v>
      </c>
      <c r="G1866" s="1">
        <f>IFERROR(__xludf.DUMMYFUNCTION("""COMPUTED_VALUE"""),47.0)</f>
        <v>47</v>
      </c>
      <c r="H1866" s="1">
        <f>IFERROR(__xludf.DUMMYFUNCTION("""COMPUTED_VALUE"""),87.0)</f>
        <v>87</v>
      </c>
      <c r="I1866" s="1">
        <f>IFERROR(__xludf.DUMMYFUNCTION("""COMPUTED_VALUE"""),33.0)</f>
        <v>33</v>
      </c>
      <c r="J1866" s="1">
        <f>IFERROR(__xludf.DUMMYFUNCTION("""COMPUTED_VALUE"""),329.0)</f>
        <v>329</v>
      </c>
      <c r="K1866" s="1">
        <f>IFERROR(__xludf.DUMMYFUNCTION("""COMPUTED_VALUE"""),65.8)</f>
        <v>65.8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>
        <f>IFERROR(__xludf.DUMMYFUNCTION("""COMPUTED_VALUE"""),56.0)</f>
        <v>56</v>
      </c>
      <c r="E1867" s="1">
        <f>IFERROR(__xludf.DUMMYFUNCTION("""COMPUTED_VALUE"""),33.0)</f>
        <v>33</v>
      </c>
      <c r="F1867" s="1">
        <f>IFERROR(__xludf.DUMMYFUNCTION("""COMPUTED_VALUE"""),96.0)</f>
        <v>96</v>
      </c>
      <c r="G1867" s="1">
        <f>IFERROR(__xludf.DUMMYFUNCTION("""COMPUTED_VALUE"""),88.0)</f>
        <v>88</v>
      </c>
      <c r="H1867" s="1">
        <f>IFERROR(__xludf.DUMMYFUNCTION("""COMPUTED_VALUE"""),98.0)</f>
        <v>98</v>
      </c>
      <c r="I1867" s="1">
        <f>IFERROR(__xludf.DUMMYFUNCTION("""COMPUTED_VALUE"""),48.0)</f>
        <v>48</v>
      </c>
      <c r="J1867" s="1">
        <f>IFERROR(__xludf.DUMMYFUNCTION("""COMPUTED_VALUE"""),363.0)</f>
        <v>363</v>
      </c>
      <c r="K1867" s="1">
        <f>IFERROR(__xludf.DUMMYFUNCTION("""COMPUTED_VALUE"""),72.6)</f>
        <v>72.6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>
        <f>IFERROR(__xludf.DUMMYFUNCTION("""COMPUTED_VALUE"""),19.0)</f>
        <v>19</v>
      </c>
      <c r="E1868" s="1">
        <f>IFERROR(__xludf.DUMMYFUNCTION("""COMPUTED_VALUE"""),86.0)</f>
        <v>86</v>
      </c>
      <c r="F1868" s="1">
        <f>IFERROR(__xludf.DUMMYFUNCTION("""COMPUTED_VALUE"""),35.0)</f>
        <v>35</v>
      </c>
      <c r="G1868" s="1">
        <f>IFERROR(__xludf.DUMMYFUNCTION("""COMPUTED_VALUE"""),30.0)</f>
        <v>30</v>
      </c>
      <c r="H1868" s="1">
        <f>IFERROR(__xludf.DUMMYFUNCTION("""COMPUTED_VALUE"""),88.0)</f>
        <v>88</v>
      </c>
      <c r="I1868" s="1">
        <f>IFERROR(__xludf.DUMMYFUNCTION("""COMPUTED_VALUE"""),27.0)</f>
        <v>27</v>
      </c>
      <c r="J1868" s="1">
        <f>IFERROR(__xludf.DUMMYFUNCTION("""COMPUTED_VALUE"""),266.0)</f>
        <v>266</v>
      </c>
      <c r="K1868" s="1">
        <f>IFERROR(__xludf.DUMMYFUNCTION("""COMPUTED_VALUE"""),53.2)</f>
        <v>53.2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>
        <f>IFERROR(__xludf.DUMMYFUNCTION("""COMPUTED_VALUE"""),40.0)</f>
        <v>40</v>
      </c>
      <c r="E1869" s="1">
        <f>IFERROR(__xludf.DUMMYFUNCTION("""COMPUTED_VALUE"""),40.0)</f>
        <v>40</v>
      </c>
      <c r="F1869" s="1">
        <f>IFERROR(__xludf.DUMMYFUNCTION("""COMPUTED_VALUE"""),86.0)</f>
        <v>86</v>
      </c>
      <c r="G1869" s="1">
        <f>IFERROR(__xludf.DUMMYFUNCTION("""COMPUTED_VALUE"""),75.0)</f>
        <v>75</v>
      </c>
      <c r="H1869" s="1">
        <f>IFERROR(__xludf.DUMMYFUNCTION("""COMPUTED_VALUE"""),81.0)</f>
        <v>81</v>
      </c>
      <c r="I1869" s="1">
        <f>IFERROR(__xludf.DUMMYFUNCTION("""COMPUTED_VALUE"""),43.0)</f>
        <v>43</v>
      </c>
      <c r="J1869" s="1">
        <f>IFERROR(__xludf.DUMMYFUNCTION("""COMPUTED_VALUE"""),325.0)</f>
        <v>325</v>
      </c>
      <c r="K1869" s="1">
        <f>IFERROR(__xludf.DUMMYFUNCTION("""COMPUTED_VALUE"""),65.0)</f>
        <v>65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>
        <f>IFERROR(__xludf.DUMMYFUNCTION("""COMPUTED_VALUE"""),76.0)</f>
        <v>76</v>
      </c>
      <c r="E1870" s="1">
        <f>IFERROR(__xludf.DUMMYFUNCTION("""COMPUTED_VALUE"""),62.0)</f>
        <v>62</v>
      </c>
      <c r="F1870" s="1">
        <f>IFERROR(__xludf.DUMMYFUNCTION("""COMPUTED_VALUE"""),74.0)</f>
        <v>74</v>
      </c>
      <c r="G1870" s="1">
        <f>IFERROR(__xludf.DUMMYFUNCTION("""COMPUTED_VALUE"""),40.0)</f>
        <v>40</v>
      </c>
      <c r="H1870" s="1">
        <f>IFERROR(__xludf.DUMMYFUNCTION("""COMPUTED_VALUE"""),99.0)</f>
        <v>99</v>
      </c>
      <c r="I1870" s="1">
        <f>IFERROR(__xludf.DUMMYFUNCTION("""COMPUTED_VALUE"""),47.0)</f>
        <v>47</v>
      </c>
      <c r="J1870" s="1">
        <f>IFERROR(__xludf.DUMMYFUNCTION("""COMPUTED_VALUE"""),322.0)</f>
        <v>322</v>
      </c>
      <c r="K1870" s="1">
        <f>IFERROR(__xludf.DUMMYFUNCTION("""COMPUTED_VALUE"""),64.4)</f>
        <v>64.4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>
        <f>IFERROR(__xludf.DUMMYFUNCTION("""COMPUTED_VALUE"""),73.0)</f>
        <v>73</v>
      </c>
      <c r="E1871" s="1">
        <f>IFERROR(__xludf.DUMMYFUNCTION("""COMPUTED_VALUE"""),67.0)</f>
        <v>67</v>
      </c>
      <c r="F1871" s="1">
        <f>IFERROR(__xludf.DUMMYFUNCTION("""COMPUTED_VALUE"""),69.0)</f>
        <v>69</v>
      </c>
      <c r="G1871" s="1">
        <f>IFERROR(__xludf.DUMMYFUNCTION("""COMPUTED_VALUE"""),36.0)</f>
        <v>36</v>
      </c>
      <c r="H1871" s="1">
        <f>IFERROR(__xludf.DUMMYFUNCTION("""COMPUTED_VALUE"""),80.0)</f>
        <v>80</v>
      </c>
      <c r="I1871" s="1">
        <f>IFERROR(__xludf.DUMMYFUNCTION("""COMPUTED_VALUE"""),42.0)</f>
        <v>42</v>
      </c>
      <c r="J1871" s="1">
        <f>IFERROR(__xludf.DUMMYFUNCTION("""COMPUTED_VALUE"""),294.0)</f>
        <v>294</v>
      </c>
      <c r="K1871" s="1">
        <f>IFERROR(__xludf.DUMMYFUNCTION("""COMPUTED_VALUE"""),58.8)</f>
        <v>58.8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>
        <f>IFERROR(__xludf.DUMMYFUNCTION("""COMPUTED_VALUE"""),83.0)</f>
        <v>83</v>
      </c>
      <c r="E1872" s="1">
        <f>IFERROR(__xludf.DUMMYFUNCTION("""COMPUTED_VALUE"""),20.0)</f>
        <v>20</v>
      </c>
      <c r="F1872" s="1">
        <f>IFERROR(__xludf.DUMMYFUNCTION("""COMPUTED_VALUE"""),29.0)</f>
        <v>29</v>
      </c>
      <c r="G1872" s="1">
        <f>IFERROR(__xludf.DUMMYFUNCTION("""COMPUTED_VALUE"""),35.0)</f>
        <v>35</v>
      </c>
      <c r="H1872" s="1">
        <f>IFERROR(__xludf.DUMMYFUNCTION("""COMPUTED_VALUE"""),25.0)</f>
        <v>25</v>
      </c>
      <c r="I1872" s="1">
        <f>IFERROR(__xludf.DUMMYFUNCTION("""COMPUTED_VALUE"""),53.0)</f>
        <v>53</v>
      </c>
      <c r="J1872" s="1">
        <f>IFERROR(__xludf.DUMMYFUNCTION("""COMPUTED_VALUE"""),162.0)</f>
        <v>162</v>
      </c>
      <c r="K1872" s="1">
        <f>IFERROR(__xludf.DUMMYFUNCTION("""COMPUTED_VALUE"""),32.4)</f>
        <v>32.4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>
        <f>IFERROR(__xludf.DUMMYFUNCTION("""COMPUTED_VALUE"""),76.0)</f>
        <v>76</v>
      </c>
      <c r="E1873" s="1">
        <f>IFERROR(__xludf.DUMMYFUNCTION("""COMPUTED_VALUE"""),33.0)</f>
        <v>33</v>
      </c>
      <c r="F1873" s="1">
        <f>IFERROR(__xludf.DUMMYFUNCTION("""COMPUTED_VALUE"""),86.0)</f>
        <v>86</v>
      </c>
      <c r="G1873" s="1">
        <f>IFERROR(__xludf.DUMMYFUNCTION("""COMPUTED_VALUE"""),78.0)</f>
        <v>78</v>
      </c>
      <c r="H1873" s="1">
        <f>IFERROR(__xludf.DUMMYFUNCTION("""COMPUTED_VALUE"""),22.0)</f>
        <v>22</v>
      </c>
      <c r="I1873" s="1">
        <f>IFERROR(__xludf.DUMMYFUNCTION("""COMPUTED_VALUE"""),53.0)</f>
        <v>53</v>
      </c>
      <c r="J1873" s="1">
        <f>IFERROR(__xludf.DUMMYFUNCTION("""COMPUTED_VALUE"""),272.0)</f>
        <v>272</v>
      </c>
      <c r="K1873" s="1">
        <f>IFERROR(__xludf.DUMMYFUNCTION("""COMPUTED_VALUE"""),54.400000000000006)</f>
        <v>54.4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>
        <f>IFERROR(__xludf.DUMMYFUNCTION("""COMPUTED_VALUE"""),25.0)</f>
        <v>25</v>
      </c>
      <c r="E1874" s="1">
        <f>IFERROR(__xludf.DUMMYFUNCTION("""COMPUTED_VALUE"""),43.0)</f>
        <v>43</v>
      </c>
      <c r="F1874" s="1">
        <f>IFERROR(__xludf.DUMMYFUNCTION("""COMPUTED_VALUE"""),25.0)</f>
        <v>25</v>
      </c>
      <c r="G1874" s="1">
        <f>IFERROR(__xludf.DUMMYFUNCTION("""COMPUTED_VALUE"""),23.0)</f>
        <v>23</v>
      </c>
      <c r="H1874" s="1">
        <f>IFERROR(__xludf.DUMMYFUNCTION("""COMPUTED_VALUE"""),88.0)</f>
        <v>88</v>
      </c>
      <c r="I1874" s="1">
        <f>IFERROR(__xludf.DUMMYFUNCTION("""COMPUTED_VALUE"""),36.0)</f>
        <v>36</v>
      </c>
      <c r="J1874" s="1">
        <f>IFERROR(__xludf.DUMMYFUNCTION("""COMPUTED_VALUE"""),215.0)</f>
        <v>215</v>
      </c>
      <c r="K1874" s="1">
        <f>IFERROR(__xludf.DUMMYFUNCTION("""COMPUTED_VALUE"""),43.0)</f>
        <v>43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>
        <f>IFERROR(__xludf.DUMMYFUNCTION("""COMPUTED_VALUE"""),48.0)</f>
        <v>48</v>
      </c>
      <c r="E1875" s="1">
        <f>IFERROR(__xludf.DUMMYFUNCTION("""COMPUTED_VALUE"""),27.0)</f>
        <v>27</v>
      </c>
      <c r="F1875" s="1">
        <f>IFERROR(__xludf.DUMMYFUNCTION("""COMPUTED_VALUE"""),65.0)</f>
        <v>65</v>
      </c>
      <c r="G1875" s="1">
        <f>IFERROR(__xludf.DUMMYFUNCTION("""COMPUTED_VALUE"""),90.0)</f>
        <v>90</v>
      </c>
      <c r="H1875" s="1">
        <f>IFERROR(__xludf.DUMMYFUNCTION("""COMPUTED_VALUE"""),88.0)</f>
        <v>88</v>
      </c>
      <c r="I1875" s="1">
        <f>IFERROR(__xludf.DUMMYFUNCTION("""COMPUTED_VALUE"""),72.0)</f>
        <v>72</v>
      </c>
      <c r="J1875" s="1">
        <f>IFERROR(__xludf.DUMMYFUNCTION("""COMPUTED_VALUE"""),342.0)</f>
        <v>342</v>
      </c>
      <c r="K1875" s="1">
        <f>IFERROR(__xludf.DUMMYFUNCTION("""COMPUTED_VALUE"""),68.4)</f>
        <v>68.4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>
        <f>IFERROR(__xludf.DUMMYFUNCTION("""COMPUTED_VALUE"""),93.0)</f>
        <v>93</v>
      </c>
      <c r="E1876" s="1">
        <f>IFERROR(__xludf.DUMMYFUNCTION("""COMPUTED_VALUE"""),77.0)</f>
        <v>77</v>
      </c>
      <c r="F1876" s="1">
        <f>IFERROR(__xludf.DUMMYFUNCTION("""COMPUTED_VALUE"""),86.0)</f>
        <v>86</v>
      </c>
      <c r="G1876" s="1">
        <f>IFERROR(__xludf.DUMMYFUNCTION("""COMPUTED_VALUE"""),69.0)</f>
        <v>69</v>
      </c>
      <c r="H1876" s="1">
        <f>IFERROR(__xludf.DUMMYFUNCTION("""COMPUTED_VALUE"""),51.0)</f>
        <v>51</v>
      </c>
      <c r="I1876" s="1">
        <f>IFERROR(__xludf.DUMMYFUNCTION("""COMPUTED_VALUE"""),48.0)</f>
        <v>48</v>
      </c>
      <c r="J1876" s="1">
        <f>IFERROR(__xludf.DUMMYFUNCTION("""COMPUTED_VALUE"""),331.0)</f>
        <v>331</v>
      </c>
      <c r="K1876" s="1">
        <f>IFERROR(__xludf.DUMMYFUNCTION("""COMPUTED_VALUE"""),66.2)</f>
        <v>66.2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>
        <f>IFERROR(__xludf.DUMMYFUNCTION("""COMPUTED_VALUE"""),33.0)</f>
        <v>33</v>
      </c>
      <c r="E1877" s="1">
        <f>IFERROR(__xludf.DUMMYFUNCTION("""COMPUTED_VALUE"""),75.0)</f>
        <v>75</v>
      </c>
      <c r="F1877" s="1">
        <f>IFERROR(__xludf.DUMMYFUNCTION("""COMPUTED_VALUE"""),86.0)</f>
        <v>86</v>
      </c>
      <c r="G1877" s="1">
        <f>IFERROR(__xludf.DUMMYFUNCTION("""COMPUTED_VALUE"""),71.0)</f>
        <v>71</v>
      </c>
      <c r="H1877" s="1">
        <f>IFERROR(__xludf.DUMMYFUNCTION("""COMPUTED_VALUE"""),70.0)</f>
        <v>70</v>
      </c>
      <c r="I1877" s="1">
        <f>IFERROR(__xludf.DUMMYFUNCTION("""COMPUTED_VALUE"""),43.0)</f>
        <v>43</v>
      </c>
      <c r="J1877" s="1">
        <f>IFERROR(__xludf.DUMMYFUNCTION("""COMPUTED_VALUE"""),345.0)</f>
        <v>345</v>
      </c>
      <c r="K1877" s="1">
        <f>IFERROR(__xludf.DUMMYFUNCTION("""COMPUTED_VALUE"""),69.0)</f>
        <v>69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>
        <f>IFERROR(__xludf.DUMMYFUNCTION("""COMPUTED_VALUE"""),35.0)</f>
        <v>35</v>
      </c>
      <c r="E1878" s="1">
        <f>IFERROR(__xludf.DUMMYFUNCTION("""COMPUTED_VALUE"""),68.0)</f>
        <v>68</v>
      </c>
      <c r="F1878" s="1">
        <f>IFERROR(__xludf.DUMMYFUNCTION("""COMPUTED_VALUE"""),92.0)</f>
        <v>92</v>
      </c>
      <c r="G1878" s="1">
        <f>IFERROR(__xludf.DUMMYFUNCTION("""COMPUTED_VALUE"""),36.0)</f>
        <v>36</v>
      </c>
      <c r="H1878" s="1">
        <f>IFERROR(__xludf.DUMMYFUNCTION("""COMPUTED_VALUE"""),61.0)</f>
        <v>61</v>
      </c>
      <c r="I1878" s="1">
        <f>IFERROR(__xludf.DUMMYFUNCTION("""COMPUTED_VALUE"""),23.0)</f>
        <v>23</v>
      </c>
      <c r="J1878" s="1">
        <f>IFERROR(__xludf.DUMMYFUNCTION("""COMPUTED_VALUE"""),280.0)</f>
        <v>280</v>
      </c>
      <c r="K1878" s="1">
        <f>IFERROR(__xludf.DUMMYFUNCTION("""COMPUTED_VALUE"""),56.00000000000001)</f>
        <v>56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>
        <f>IFERROR(__xludf.DUMMYFUNCTION("""COMPUTED_VALUE"""),55.0)</f>
        <v>55</v>
      </c>
      <c r="E1879" s="1">
        <f>IFERROR(__xludf.DUMMYFUNCTION("""COMPUTED_VALUE"""),72.0)</f>
        <v>72</v>
      </c>
      <c r="F1879" s="1">
        <f>IFERROR(__xludf.DUMMYFUNCTION("""COMPUTED_VALUE"""),35.0)</f>
        <v>35</v>
      </c>
      <c r="G1879" s="1">
        <f>IFERROR(__xludf.DUMMYFUNCTION("""COMPUTED_VALUE"""),46.0)</f>
        <v>46</v>
      </c>
      <c r="H1879" s="1">
        <f>IFERROR(__xludf.DUMMYFUNCTION("""COMPUTED_VALUE"""),25.0)</f>
        <v>25</v>
      </c>
      <c r="I1879" s="1">
        <f>IFERROR(__xludf.DUMMYFUNCTION("""COMPUTED_VALUE"""),34.0)</f>
        <v>34</v>
      </c>
      <c r="J1879" s="1">
        <f>IFERROR(__xludf.DUMMYFUNCTION("""COMPUTED_VALUE"""),212.0)</f>
        <v>212</v>
      </c>
      <c r="K1879" s="1">
        <f>IFERROR(__xludf.DUMMYFUNCTION("""COMPUTED_VALUE"""),42.4)</f>
        <v>42.4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>
        <f>IFERROR(__xludf.DUMMYFUNCTION("""COMPUTED_VALUE"""),83.0)</f>
        <v>83</v>
      </c>
      <c r="E1880" s="1">
        <f>IFERROR(__xludf.DUMMYFUNCTION("""COMPUTED_VALUE"""),74.0)</f>
        <v>74</v>
      </c>
      <c r="F1880" s="1">
        <f>IFERROR(__xludf.DUMMYFUNCTION("""COMPUTED_VALUE"""),42.0)</f>
        <v>42</v>
      </c>
      <c r="G1880" s="1">
        <f>IFERROR(__xludf.DUMMYFUNCTION("""COMPUTED_VALUE"""),59.0)</f>
        <v>59</v>
      </c>
      <c r="H1880" s="1">
        <f>IFERROR(__xludf.DUMMYFUNCTION("""COMPUTED_VALUE"""),24.0)</f>
        <v>24</v>
      </c>
      <c r="I1880" s="1">
        <f>IFERROR(__xludf.DUMMYFUNCTION("""COMPUTED_VALUE"""),27.0)</f>
        <v>27</v>
      </c>
      <c r="J1880" s="1">
        <f>IFERROR(__xludf.DUMMYFUNCTION("""COMPUTED_VALUE"""),226.0)</f>
        <v>226</v>
      </c>
      <c r="K1880" s="1">
        <f>IFERROR(__xludf.DUMMYFUNCTION("""COMPUTED_VALUE"""),45.2)</f>
        <v>45.2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>
        <f>IFERROR(__xludf.DUMMYFUNCTION("""COMPUTED_VALUE"""),77.0)</f>
        <v>77</v>
      </c>
      <c r="E1881" s="1">
        <f>IFERROR(__xludf.DUMMYFUNCTION("""COMPUTED_VALUE"""),63.0)</f>
        <v>63</v>
      </c>
      <c r="F1881" s="1">
        <f>IFERROR(__xludf.DUMMYFUNCTION("""COMPUTED_VALUE"""),52.0)</f>
        <v>52</v>
      </c>
      <c r="G1881" s="1">
        <f>IFERROR(__xludf.DUMMYFUNCTION("""COMPUTED_VALUE"""),51.0)</f>
        <v>51</v>
      </c>
      <c r="H1881" s="1">
        <f>IFERROR(__xludf.DUMMYFUNCTION("""COMPUTED_VALUE"""),25.0)</f>
        <v>25</v>
      </c>
      <c r="I1881" s="1">
        <f>IFERROR(__xludf.DUMMYFUNCTION("""COMPUTED_VALUE"""),78.0)</f>
        <v>78</v>
      </c>
      <c r="J1881" s="1">
        <f>IFERROR(__xludf.DUMMYFUNCTION("""COMPUTED_VALUE"""),269.0)</f>
        <v>269</v>
      </c>
      <c r="K1881" s="1">
        <f>IFERROR(__xludf.DUMMYFUNCTION("""COMPUTED_VALUE"""),53.800000000000004)</f>
        <v>53.8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>
        <f>IFERROR(__xludf.DUMMYFUNCTION("""COMPUTED_VALUE"""),10.0)</f>
        <v>10</v>
      </c>
      <c r="E1882" s="1">
        <f>IFERROR(__xludf.DUMMYFUNCTION("""COMPUTED_VALUE"""),32.0)</f>
        <v>32</v>
      </c>
      <c r="F1882" s="1">
        <f>IFERROR(__xludf.DUMMYFUNCTION("""COMPUTED_VALUE"""),69.0)</f>
        <v>69</v>
      </c>
      <c r="G1882" s="1">
        <f>IFERROR(__xludf.DUMMYFUNCTION("""COMPUTED_VALUE"""),33.0)</f>
        <v>33</v>
      </c>
      <c r="H1882" s="1">
        <f>IFERROR(__xludf.DUMMYFUNCTION("""COMPUTED_VALUE"""),86.0)</f>
        <v>86</v>
      </c>
      <c r="I1882" s="1">
        <f>IFERROR(__xludf.DUMMYFUNCTION("""COMPUTED_VALUE"""),66.0)</f>
        <v>66</v>
      </c>
      <c r="J1882" s="1">
        <f>IFERROR(__xludf.DUMMYFUNCTION("""COMPUTED_VALUE"""),286.0)</f>
        <v>286</v>
      </c>
      <c r="K1882" s="1">
        <f>IFERROR(__xludf.DUMMYFUNCTION("""COMPUTED_VALUE"""),57.199999999999996)</f>
        <v>57.2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>
        <f>IFERROR(__xludf.DUMMYFUNCTION("""COMPUTED_VALUE"""),52.0)</f>
        <v>52</v>
      </c>
      <c r="E1883" s="1">
        <f>IFERROR(__xludf.DUMMYFUNCTION("""COMPUTED_VALUE"""),20.0)</f>
        <v>20</v>
      </c>
      <c r="F1883" s="1">
        <f>IFERROR(__xludf.DUMMYFUNCTION("""COMPUTED_VALUE"""),83.0)</f>
        <v>83</v>
      </c>
      <c r="G1883" s="1">
        <f>IFERROR(__xludf.DUMMYFUNCTION("""COMPUTED_VALUE"""),69.0)</f>
        <v>69</v>
      </c>
      <c r="H1883" s="1">
        <f>IFERROR(__xludf.DUMMYFUNCTION("""COMPUTED_VALUE"""),22.0)</f>
        <v>22</v>
      </c>
      <c r="I1883" s="1">
        <f>IFERROR(__xludf.DUMMYFUNCTION("""COMPUTED_VALUE"""),50.0)</f>
        <v>50</v>
      </c>
      <c r="J1883" s="1">
        <f>IFERROR(__xludf.DUMMYFUNCTION("""COMPUTED_VALUE"""),244.0)</f>
        <v>244</v>
      </c>
      <c r="K1883" s="1">
        <f>IFERROR(__xludf.DUMMYFUNCTION("""COMPUTED_VALUE"""),48.8)</f>
        <v>48.8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>
        <f>IFERROR(__xludf.DUMMYFUNCTION("""COMPUTED_VALUE"""),99.0)</f>
        <v>99</v>
      </c>
      <c r="E1884" s="1">
        <f>IFERROR(__xludf.DUMMYFUNCTION("""COMPUTED_VALUE"""),23.0)</f>
        <v>23</v>
      </c>
      <c r="F1884" s="1">
        <f>IFERROR(__xludf.DUMMYFUNCTION("""COMPUTED_VALUE"""),82.0)</f>
        <v>82</v>
      </c>
      <c r="G1884" s="1">
        <f>IFERROR(__xludf.DUMMYFUNCTION("""COMPUTED_VALUE"""),83.0)</f>
        <v>83</v>
      </c>
      <c r="H1884" s="1">
        <f>IFERROR(__xludf.DUMMYFUNCTION("""COMPUTED_VALUE"""),46.0)</f>
        <v>46</v>
      </c>
      <c r="I1884" s="1">
        <f>IFERROR(__xludf.DUMMYFUNCTION("""COMPUTED_VALUE"""),79.0)</f>
        <v>79</v>
      </c>
      <c r="J1884" s="1">
        <f>IFERROR(__xludf.DUMMYFUNCTION("""COMPUTED_VALUE"""),313.0)</f>
        <v>313</v>
      </c>
      <c r="K1884" s="1">
        <f>IFERROR(__xludf.DUMMYFUNCTION("""COMPUTED_VALUE"""),62.6)</f>
        <v>62.6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>
        <f>IFERROR(__xludf.DUMMYFUNCTION("""COMPUTED_VALUE"""),72.0)</f>
        <v>72</v>
      </c>
      <c r="E1885" s="1">
        <f>IFERROR(__xludf.DUMMYFUNCTION("""COMPUTED_VALUE"""),98.0)</f>
        <v>98</v>
      </c>
      <c r="F1885" s="1">
        <f>IFERROR(__xludf.DUMMYFUNCTION("""COMPUTED_VALUE"""),84.0)</f>
        <v>84</v>
      </c>
      <c r="G1885" s="1">
        <f>IFERROR(__xludf.DUMMYFUNCTION("""COMPUTED_VALUE"""),89.0)</f>
        <v>89</v>
      </c>
      <c r="H1885" s="1">
        <f>IFERROR(__xludf.DUMMYFUNCTION("""COMPUTED_VALUE"""),49.0)</f>
        <v>49</v>
      </c>
      <c r="I1885" s="1">
        <f>IFERROR(__xludf.DUMMYFUNCTION("""COMPUTED_VALUE"""),26.0)</f>
        <v>26</v>
      </c>
      <c r="J1885" s="1">
        <f>IFERROR(__xludf.DUMMYFUNCTION("""COMPUTED_VALUE"""),346.0)</f>
        <v>346</v>
      </c>
      <c r="K1885" s="1">
        <f>IFERROR(__xludf.DUMMYFUNCTION("""COMPUTED_VALUE"""),69.19999999999999)</f>
        <v>69.2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>
        <f>IFERROR(__xludf.DUMMYFUNCTION("""COMPUTED_VALUE"""),24.0)</f>
        <v>24</v>
      </c>
      <c r="E1886" s="1">
        <f>IFERROR(__xludf.DUMMYFUNCTION("""COMPUTED_VALUE"""),94.0)</f>
        <v>94</v>
      </c>
      <c r="F1886" s="1">
        <f>IFERROR(__xludf.DUMMYFUNCTION("""COMPUTED_VALUE"""),25.0)</f>
        <v>25</v>
      </c>
      <c r="G1886" s="1">
        <f>IFERROR(__xludf.DUMMYFUNCTION("""COMPUTED_VALUE"""),32.0)</f>
        <v>32</v>
      </c>
      <c r="H1886" s="1">
        <f>IFERROR(__xludf.DUMMYFUNCTION("""COMPUTED_VALUE"""),22.0)</f>
        <v>22</v>
      </c>
      <c r="I1886" s="1">
        <f>IFERROR(__xludf.DUMMYFUNCTION("""COMPUTED_VALUE"""),56.0)</f>
        <v>56</v>
      </c>
      <c r="J1886" s="1">
        <f>IFERROR(__xludf.DUMMYFUNCTION("""COMPUTED_VALUE"""),229.0)</f>
        <v>229</v>
      </c>
      <c r="K1886" s="1">
        <f>IFERROR(__xludf.DUMMYFUNCTION("""COMPUTED_VALUE"""),45.800000000000004)</f>
        <v>45.8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>
        <f>IFERROR(__xludf.DUMMYFUNCTION("""COMPUTED_VALUE"""),69.0)</f>
        <v>69</v>
      </c>
      <c r="E1887" s="1">
        <f>IFERROR(__xludf.DUMMYFUNCTION("""COMPUTED_VALUE"""),38.0)</f>
        <v>38</v>
      </c>
      <c r="F1887" s="1">
        <f>IFERROR(__xludf.DUMMYFUNCTION("""COMPUTED_VALUE"""),42.0)</f>
        <v>42</v>
      </c>
      <c r="G1887" s="1">
        <f>IFERROR(__xludf.DUMMYFUNCTION("""COMPUTED_VALUE"""),30.0)</f>
        <v>30</v>
      </c>
      <c r="H1887" s="1">
        <f>IFERROR(__xludf.DUMMYFUNCTION("""COMPUTED_VALUE"""),47.0)</f>
        <v>47</v>
      </c>
      <c r="I1887" s="1">
        <f>IFERROR(__xludf.DUMMYFUNCTION("""COMPUTED_VALUE"""),86.0)</f>
        <v>86</v>
      </c>
      <c r="J1887" s="1">
        <f>IFERROR(__xludf.DUMMYFUNCTION("""COMPUTED_VALUE"""),243.0)</f>
        <v>243</v>
      </c>
      <c r="K1887" s="1">
        <f>IFERROR(__xludf.DUMMYFUNCTION("""COMPUTED_VALUE"""),48.6)</f>
        <v>48.6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>
        <f>IFERROR(__xludf.DUMMYFUNCTION("""COMPUTED_VALUE"""),56.0)</f>
        <v>56</v>
      </c>
      <c r="E1888" s="1">
        <f>IFERROR(__xludf.DUMMYFUNCTION("""COMPUTED_VALUE"""),22.0)</f>
        <v>22</v>
      </c>
      <c r="F1888" s="1">
        <f>IFERROR(__xludf.DUMMYFUNCTION("""COMPUTED_VALUE"""),56.0)</f>
        <v>56</v>
      </c>
      <c r="G1888" s="1">
        <f>IFERROR(__xludf.DUMMYFUNCTION("""COMPUTED_VALUE"""),36.0)</f>
        <v>36</v>
      </c>
      <c r="H1888" s="1">
        <f>IFERROR(__xludf.DUMMYFUNCTION("""COMPUTED_VALUE"""),56.0)</f>
        <v>56</v>
      </c>
      <c r="I1888" s="1">
        <f>IFERROR(__xludf.DUMMYFUNCTION("""COMPUTED_VALUE"""),85.0)</f>
        <v>85</v>
      </c>
      <c r="J1888" s="1">
        <f>IFERROR(__xludf.DUMMYFUNCTION("""COMPUTED_VALUE"""),255.0)</f>
        <v>255</v>
      </c>
      <c r="K1888" s="1">
        <f>IFERROR(__xludf.DUMMYFUNCTION("""COMPUTED_VALUE"""),51.0)</f>
        <v>51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>
        <f>IFERROR(__xludf.DUMMYFUNCTION("""COMPUTED_VALUE"""),62.0)</f>
        <v>62</v>
      </c>
      <c r="E1889" s="1">
        <f>IFERROR(__xludf.DUMMYFUNCTION("""COMPUTED_VALUE"""),90.0)</f>
        <v>90</v>
      </c>
      <c r="F1889" s="1">
        <f>IFERROR(__xludf.DUMMYFUNCTION("""COMPUTED_VALUE"""),81.0)</f>
        <v>81</v>
      </c>
      <c r="G1889" s="1">
        <f>IFERROR(__xludf.DUMMYFUNCTION("""COMPUTED_VALUE"""),38.0)</f>
        <v>38</v>
      </c>
      <c r="H1889" s="1">
        <f>IFERROR(__xludf.DUMMYFUNCTION("""COMPUTED_VALUE"""),55.0)</f>
        <v>55</v>
      </c>
      <c r="I1889" s="1">
        <f>IFERROR(__xludf.DUMMYFUNCTION("""COMPUTED_VALUE"""),24.0)</f>
        <v>24</v>
      </c>
      <c r="J1889" s="1">
        <f>IFERROR(__xludf.DUMMYFUNCTION("""COMPUTED_VALUE"""),288.0)</f>
        <v>288</v>
      </c>
      <c r="K1889" s="1">
        <f>IFERROR(__xludf.DUMMYFUNCTION("""COMPUTED_VALUE"""),57.599999999999994)</f>
        <v>57.6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>
        <f>IFERROR(__xludf.DUMMYFUNCTION("""COMPUTED_VALUE"""),23.0)</f>
        <v>23</v>
      </c>
      <c r="E1890" s="1">
        <f>IFERROR(__xludf.DUMMYFUNCTION("""COMPUTED_VALUE"""),21.0)</f>
        <v>21</v>
      </c>
      <c r="F1890" s="1">
        <f>IFERROR(__xludf.DUMMYFUNCTION("""COMPUTED_VALUE"""),67.0)</f>
        <v>67</v>
      </c>
      <c r="G1890" s="1">
        <f>IFERROR(__xludf.DUMMYFUNCTION("""COMPUTED_VALUE"""),60.0)</f>
        <v>60</v>
      </c>
      <c r="H1890" s="1">
        <f>IFERROR(__xludf.DUMMYFUNCTION("""COMPUTED_VALUE"""),50.0)</f>
        <v>50</v>
      </c>
      <c r="I1890" s="1">
        <f>IFERROR(__xludf.DUMMYFUNCTION("""COMPUTED_VALUE"""),63.0)</f>
        <v>63</v>
      </c>
      <c r="J1890" s="1">
        <f>IFERROR(__xludf.DUMMYFUNCTION("""COMPUTED_VALUE"""),261.0)</f>
        <v>261</v>
      </c>
      <c r="K1890" s="1">
        <f>IFERROR(__xludf.DUMMYFUNCTION("""COMPUTED_VALUE"""),52.2)</f>
        <v>52.2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>
        <f>IFERROR(__xludf.DUMMYFUNCTION("""COMPUTED_VALUE"""),94.0)</f>
        <v>94</v>
      </c>
      <c r="E1891" s="1">
        <f>IFERROR(__xludf.DUMMYFUNCTION("""COMPUTED_VALUE"""),95.0)</f>
        <v>95</v>
      </c>
      <c r="F1891" s="1">
        <f>IFERROR(__xludf.DUMMYFUNCTION("""COMPUTED_VALUE"""),21.0)</f>
        <v>21</v>
      </c>
      <c r="G1891" s="1">
        <f>IFERROR(__xludf.DUMMYFUNCTION("""COMPUTED_VALUE"""),71.0)</f>
        <v>71</v>
      </c>
      <c r="H1891" s="1">
        <f>IFERROR(__xludf.DUMMYFUNCTION("""COMPUTED_VALUE"""),60.0)</f>
        <v>60</v>
      </c>
      <c r="I1891" s="1">
        <f>IFERROR(__xludf.DUMMYFUNCTION("""COMPUTED_VALUE"""),27.0)</f>
        <v>27</v>
      </c>
      <c r="J1891" s="1">
        <f>IFERROR(__xludf.DUMMYFUNCTION("""COMPUTED_VALUE"""),274.0)</f>
        <v>274</v>
      </c>
      <c r="K1891" s="1">
        <f>IFERROR(__xludf.DUMMYFUNCTION("""COMPUTED_VALUE"""),54.800000000000004)</f>
        <v>54.8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>
        <f>IFERROR(__xludf.DUMMYFUNCTION("""COMPUTED_VALUE"""),10.0)</f>
        <v>10</v>
      </c>
      <c r="E1892" s="1">
        <f>IFERROR(__xludf.DUMMYFUNCTION("""COMPUTED_VALUE"""),81.0)</f>
        <v>81</v>
      </c>
      <c r="F1892" s="1">
        <f>IFERROR(__xludf.DUMMYFUNCTION("""COMPUTED_VALUE"""),20.0)</f>
        <v>20</v>
      </c>
      <c r="G1892" s="1">
        <f>IFERROR(__xludf.DUMMYFUNCTION("""COMPUTED_VALUE"""),80.0)</f>
        <v>80</v>
      </c>
      <c r="H1892" s="1">
        <f>IFERROR(__xludf.DUMMYFUNCTION("""COMPUTED_VALUE"""),69.0)</f>
        <v>69</v>
      </c>
      <c r="I1892" s="1">
        <f>IFERROR(__xludf.DUMMYFUNCTION("""COMPUTED_VALUE"""),49.0)</f>
        <v>49</v>
      </c>
      <c r="J1892" s="1">
        <f>IFERROR(__xludf.DUMMYFUNCTION("""COMPUTED_VALUE"""),299.0)</f>
        <v>299</v>
      </c>
      <c r="K1892" s="1">
        <f>IFERROR(__xludf.DUMMYFUNCTION("""COMPUTED_VALUE"""),59.8)</f>
        <v>59.8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>
        <f>IFERROR(__xludf.DUMMYFUNCTION("""COMPUTED_VALUE"""),35.0)</f>
        <v>35</v>
      </c>
      <c r="E1893" s="1">
        <f>IFERROR(__xludf.DUMMYFUNCTION("""COMPUTED_VALUE"""),64.0)</f>
        <v>64</v>
      </c>
      <c r="F1893" s="1">
        <f>IFERROR(__xludf.DUMMYFUNCTION("""COMPUTED_VALUE"""),21.0)</f>
        <v>21</v>
      </c>
      <c r="G1893" s="1">
        <f>IFERROR(__xludf.DUMMYFUNCTION("""COMPUTED_VALUE"""),98.0)</f>
        <v>98</v>
      </c>
      <c r="H1893" s="1">
        <f>IFERROR(__xludf.DUMMYFUNCTION("""COMPUTED_VALUE"""),24.0)</f>
        <v>24</v>
      </c>
      <c r="I1893" s="1">
        <f>IFERROR(__xludf.DUMMYFUNCTION("""COMPUTED_VALUE"""),39.0)</f>
        <v>39</v>
      </c>
      <c r="J1893" s="1">
        <f>IFERROR(__xludf.DUMMYFUNCTION("""COMPUTED_VALUE"""),246.0)</f>
        <v>246</v>
      </c>
      <c r="K1893" s="1">
        <f>IFERROR(__xludf.DUMMYFUNCTION("""COMPUTED_VALUE"""),49.2)</f>
        <v>49.2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>
        <f>IFERROR(__xludf.DUMMYFUNCTION("""COMPUTED_VALUE"""),10.0)</f>
        <v>10</v>
      </c>
      <c r="E1894" s="1">
        <f>IFERROR(__xludf.DUMMYFUNCTION("""COMPUTED_VALUE"""),60.0)</f>
        <v>60</v>
      </c>
      <c r="F1894" s="1">
        <f>IFERROR(__xludf.DUMMYFUNCTION("""COMPUTED_VALUE"""),59.0)</f>
        <v>59</v>
      </c>
      <c r="G1894" s="1">
        <f>IFERROR(__xludf.DUMMYFUNCTION("""COMPUTED_VALUE"""),63.0)</f>
        <v>63</v>
      </c>
      <c r="H1894" s="1">
        <f>IFERROR(__xludf.DUMMYFUNCTION("""COMPUTED_VALUE"""),67.0)</f>
        <v>67</v>
      </c>
      <c r="I1894" s="1">
        <f>IFERROR(__xludf.DUMMYFUNCTION("""COMPUTED_VALUE"""),21.0)</f>
        <v>21</v>
      </c>
      <c r="J1894" s="1">
        <f>IFERROR(__xludf.DUMMYFUNCTION("""COMPUTED_VALUE"""),270.0)</f>
        <v>270</v>
      </c>
      <c r="K1894" s="1">
        <f>IFERROR(__xludf.DUMMYFUNCTION("""COMPUTED_VALUE"""),54.0)</f>
        <v>54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>
        <f>IFERROR(__xludf.DUMMYFUNCTION("""COMPUTED_VALUE"""),99.0)</f>
        <v>99</v>
      </c>
      <c r="E1895" s="1">
        <f>IFERROR(__xludf.DUMMYFUNCTION("""COMPUTED_VALUE"""),50.0)</f>
        <v>50</v>
      </c>
      <c r="F1895" s="1">
        <f>IFERROR(__xludf.DUMMYFUNCTION("""COMPUTED_VALUE"""),43.0)</f>
        <v>43</v>
      </c>
      <c r="G1895" s="1">
        <f>IFERROR(__xludf.DUMMYFUNCTION("""COMPUTED_VALUE"""),39.0)</f>
        <v>39</v>
      </c>
      <c r="H1895" s="1">
        <f>IFERROR(__xludf.DUMMYFUNCTION("""COMPUTED_VALUE"""),83.0)</f>
        <v>83</v>
      </c>
      <c r="I1895" s="1">
        <f>IFERROR(__xludf.DUMMYFUNCTION("""COMPUTED_VALUE"""),83.0)</f>
        <v>83</v>
      </c>
      <c r="J1895" s="1">
        <f>IFERROR(__xludf.DUMMYFUNCTION("""COMPUTED_VALUE"""),298.0)</f>
        <v>298</v>
      </c>
      <c r="K1895" s="1">
        <f>IFERROR(__xludf.DUMMYFUNCTION("""COMPUTED_VALUE"""),59.599999999999994)</f>
        <v>59.6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>
        <f>IFERROR(__xludf.DUMMYFUNCTION("""COMPUTED_VALUE"""),95.0)</f>
        <v>95</v>
      </c>
      <c r="E1896" s="1">
        <f>IFERROR(__xludf.DUMMYFUNCTION("""COMPUTED_VALUE"""),53.0)</f>
        <v>53</v>
      </c>
      <c r="F1896" s="1">
        <f>IFERROR(__xludf.DUMMYFUNCTION("""COMPUTED_VALUE"""),96.0)</f>
        <v>96</v>
      </c>
      <c r="G1896" s="1">
        <f>IFERROR(__xludf.DUMMYFUNCTION("""COMPUTED_VALUE"""),31.0)</f>
        <v>31</v>
      </c>
      <c r="H1896" s="1">
        <f>IFERROR(__xludf.DUMMYFUNCTION("""COMPUTED_VALUE"""),51.0)</f>
        <v>51</v>
      </c>
      <c r="I1896" s="1">
        <f>IFERROR(__xludf.DUMMYFUNCTION("""COMPUTED_VALUE"""),98.0)</f>
        <v>98</v>
      </c>
      <c r="J1896" s="1">
        <f>IFERROR(__xludf.DUMMYFUNCTION("""COMPUTED_VALUE"""),329.0)</f>
        <v>329</v>
      </c>
      <c r="K1896" s="1">
        <f>IFERROR(__xludf.DUMMYFUNCTION("""COMPUTED_VALUE"""),65.8)</f>
        <v>65.8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>
        <f>IFERROR(__xludf.DUMMYFUNCTION("""COMPUTED_VALUE"""),94.0)</f>
        <v>94</v>
      </c>
      <c r="E1897" s="1">
        <f>IFERROR(__xludf.DUMMYFUNCTION("""COMPUTED_VALUE"""),24.0)</f>
        <v>24</v>
      </c>
      <c r="F1897" s="1">
        <f>IFERROR(__xludf.DUMMYFUNCTION("""COMPUTED_VALUE"""),92.0)</f>
        <v>92</v>
      </c>
      <c r="G1897" s="1">
        <f>IFERROR(__xludf.DUMMYFUNCTION("""COMPUTED_VALUE"""),57.0)</f>
        <v>57</v>
      </c>
      <c r="H1897" s="1">
        <f>IFERROR(__xludf.DUMMYFUNCTION("""COMPUTED_VALUE"""),90.0)</f>
        <v>90</v>
      </c>
      <c r="I1897" s="1">
        <f>IFERROR(__xludf.DUMMYFUNCTION("""COMPUTED_VALUE"""),96.0)</f>
        <v>96</v>
      </c>
      <c r="J1897" s="1">
        <f>IFERROR(__xludf.DUMMYFUNCTION("""COMPUTED_VALUE"""),359.0)</f>
        <v>359</v>
      </c>
      <c r="K1897" s="1">
        <f>IFERROR(__xludf.DUMMYFUNCTION("""COMPUTED_VALUE"""),71.8)</f>
        <v>71.8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>
        <f>IFERROR(__xludf.DUMMYFUNCTION("""COMPUTED_VALUE"""),66.0)</f>
        <v>66</v>
      </c>
      <c r="E1898" s="1">
        <f>IFERROR(__xludf.DUMMYFUNCTION("""COMPUTED_VALUE"""),46.0)</f>
        <v>46</v>
      </c>
      <c r="F1898" s="1">
        <f>IFERROR(__xludf.DUMMYFUNCTION("""COMPUTED_VALUE"""),90.0)</f>
        <v>90</v>
      </c>
      <c r="G1898" s="1">
        <f>IFERROR(__xludf.DUMMYFUNCTION("""COMPUTED_VALUE"""),41.0)</f>
        <v>41</v>
      </c>
      <c r="H1898" s="1">
        <f>IFERROR(__xludf.DUMMYFUNCTION("""COMPUTED_VALUE"""),88.0)</f>
        <v>88</v>
      </c>
      <c r="I1898" s="1">
        <f>IFERROR(__xludf.DUMMYFUNCTION("""COMPUTED_VALUE"""),85.0)</f>
        <v>85</v>
      </c>
      <c r="J1898" s="1">
        <f>IFERROR(__xludf.DUMMYFUNCTION("""COMPUTED_VALUE"""),350.0)</f>
        <v>350</v>
      </c>
      <c r="K1898" s="1">
        <f>IFERROR(__xludf.DUMMYFUNCTION("""COMPUTED_VALUE"""),70.0)</f>
        <v>70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>
        <f>IFERROR(__xludf.DUMMYFUNCTION("""COMPUTED_VALUE"""),52.0)</f>
        <v>52</v>
      </c>
      <c r="E1899" s="1">
        <f>IFERROR(__xludf.DUMMYFUNCTION("""COMPUTED_VALUE"""),72.0)</f>
        <v>72</v>
      </c>
      <c r="F1899" s="1">
        <f>IFERROR(__xludf.DUMMYFUNCTION("""COMPUTED_VALUE"""),97.0)</f>
        <v>97</v>
      </c>
      <c r="G1899" s="1">
        <f>IFERROR(__xludf.DUMMYFUNCTION("""COMPUTED_VALUE"""),35.0)</f>
        <v>35</v>
      </c>
      <c r="H1899" s="1">
        <f>IFERROR(__xludf.DUMMYFUNCTION("""COMPUTED_VALUE"""),57.0)</f>
        <v>57</v>
      </c>
      <c r="I1899" s="1">
        <f>IFERROR(__xludf.DUMMYFUNCTION("""COMPUTED_VALUE"""),61.0)</f>
        <v>61</v>
      </c>
      <c r="J1899" s="1">
        <f>IFERROR(__xludf.DUMMYFUNCTION("""COMPUTED_VALUE"""),322.0)</f>
        <v>322</v>
      </c>
      <c r="K1899" s="1">
        <f>IFERROR(__xludf.DUMMYFUNCTION("""COMPUTED_VALUE"""),64.4)</f>
        <v>64.4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>
        <f>IFERROR(__xludf.DUMMYFUNCTION("""COMPUTED_VALUE"""),42.0)</f>
        <v>42</v>
      </c>
      <c r="E1900" s="1">
        <f>IFERROR(__xludf.DUMMYFUNCTION("""COMPUTED_VALUE"""),30.0)</f>
        <v>30</v>
      </c>
      <c r="F1900" s="1">
        <f>IFERROR(__xludf.DUMMYFUNCTION("""COMPUTED_VALUE"""),24.0)</f>
        <v>24</v>
      </c>
      <c r="G1900" s="1">
        <f>IFERROR(__xludf.DUMMYFUNCTION("""COMPUTED_VALUE"""),40.0)</f>
        <v>40</v>
      </c>
      <c r="H1900" s="1">
        <f>IFERROR(__xludf.DUMMYFUNCTION("""COMPUTED_VALUE"""),77.0)</f>
        <v>77</v>
      </c>
      <c r="I1900" s="1">
        <f>IFERROR(__xludf.DUMMYFUNCTION("""COMPUTED_VALUE"""),32.0)</f>
        <v>32</v>
      </c>
      <c r="J1900" s="1">
        <f>IFERROR(__xludf.DUMMYFUNCTION("""COMPUTED_VALUE"""),203.0)</f>
        <v>203</v>
      </c>
      <c r="K1900" s="1">
        <f>IFERROR(__xludf.DUMMYFUNCTION("""COMPUTED_VALUE"""),40.6)</f>
        <v>40.6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>
        <f>IFERROR(__xludf.DUMMYFUNCTION("""COMPUTED_VALUE"""),79.0)</f>
        <v>79</v>
      </c>
      <c r="E1901" s="1">
        <f>IFERROR(__xludf.DUMMYFUNCTION("""COMPUTED_VALUE"""),95.0)</f>
        <v>95</v>
      </c>
      <c r="F1901" s="1">
        <f>IFERROR(__xludf.DUMMYFUNCTION("""COMPUTED_VALUE"""),62.0)</f>
        <v>62</v>
      </c>
      <c r="G1901" s="1">
        <f>IFERROR(__xludf.DUMMYFUNCTION("""COMPUTED_VALUE"""),39.0)</f>
        <v>39</v>
      </c>
      <c r="H1901" s="1">
        <f>IFERROR(__xludf.DUMMYFUNCTION("""COMPUTED_VALUE"""),86.0)</f>
        <v>86</v>
      </c>
      <c r="I1901" s="1">
        <f>IFERROR(__xludf.DUMMYFUNCTION("""COMPUTED_VALUE"""),91.0)</f>
        <v>91</v>
      </c>
      <c r="J1901" s="1">
        <f>IFERROR(__xludf.DUMMYFUNCTION("""COMPUTED_VALUE"""),373.0)</f>
        <v>373</v>
      </c>
      <c r="K1901" s="1">
        <f>IFERROR(__xludf.DUMMYFUNCTION("""COMPUTED_VALUE"""),74.6)</f>
        <v>74.6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>
        <f>IFERROR(__xludf.DUMMYFUNCTION("""COMPUTED_VALUE"""),36.0)</f>
        <v>36</v>
      </c>
      <c r="E1902" s="1">
        <f>IFERROR(__xludf.DUMMYFUNCTION("""COMPUTED_VALUE"""),45.0)</f>
        <v>45</v>
      </c>
      <c r="F1902" s="1">
        <f>IFERROR(__xludf.DUMMYFUNCTION("""COMPUTED_VALUE"""),62.0)</f>
        <v>62</v>
      </c>
      <c r="G1902" s="1">
        <f>IFERROR(__xludf.DUMMYFUNCTION("""COMPUTED_VALUE"""),98.0)</f>
        <v>98</v>
      </c>
      <c r="H1902" s="1">
        <f>IFERROR(__xludf.DUMMYFUNCTION("""COMPUTED_VALUE"""),27.0)</f>
        <v>27</v>
      </c>
      <c r="I1902" s="1">
        <f>IFERROR(__xludf.DUMMYFUNCTION("""COMPUTED_VALUE"""),64.0)</f>
        <v>64</v>
      </c>
      <c r="J1902" s="1">
        <f>IFERROR(__xludf.DUMMYFUNCTION("""COMPUTED_VALUE"""),296.0)</f>
        <v>296</v>
      </c>
      <c r="K1902" s="1">
        <f>IFERROR(__xludf.DUMMYFUNCTION("""COMPUTED_VALUE"""),59.199999999999996)</f>
        <v>59.2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>
        <f>IFERROR(__xludf.DUMMYFUNCTION("""COMPUTED_VALUE"""),13.0)</f>
        <v>13</v>
      </c>
      <c r="E1903" s="1">
        <f>IFERROR(__xludf.DUMMYFUNCTION("""COMPUTED_VALUE"""),39.0)</f>
        <v>39</v>
      </c>
      <c r="F1903" s="1">
        <f>IFERROR(__xludf.DUMMYFUNCTION("""COMPUTED_VALUE"""),72.0)</f>
        <v>72</v>
      </c>
      <c r="G1903" s="1">
        <f>IFERROR(__xludf.DUMMYFUNCTION("""COMPUTED_VALUE"""),42.0)</f>
        <v>42</v>
      </c>
      <c r="H1903" s="1">
        <f>IFERROR(__xludf.DUMMYFUNCTION("""COMPUTED_VALUE"""),65.0)</f>
        <v>65</v>
      </c>
      <c r="I1903" s="1">
        <f>IFERROR(__xludf.DUMMYFUNCTION("""COMPUTED_VALUE"""),57.0)</f>
        <v>57</v>
      </c>
      <c r="J1903" s="1">
        <f>IFERROR(__xludf.DUMMYFUNCTION("""COMPUTED_VALUE"""),275.0)</f>
        <v>275</v>
      </c>
      <c r="K1903" s="1">
        <f>IFERROR(__xludf.DUMMYFUNCTION("""COMPUTED_VALUE"""),55.00000000000001)</f>
        <v>55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>
        <f>IFERROR(__xludf.DUMMYFUNCTION("""COMPUTED_VALUE"""),47.0)</f>
        <v>47</v>
      </c>
      <c r="E1904" s="1">
        <f>IFERROR(__xludf.DUMMYFUNCTION("""COMPUTED_VALUE"""),48.0)</f>
        <v>48</v>
      </c>
      <c r="F1904" s="1">
        <f>IFERROR(__xludf.DUMMYFUNCTION("""COMPUTED_VALUE"""),62.0)</f>
        <v>62</v>
      </c>
      <c r="G1904" s="1">
        <f>IFERROR(__xludf.DUMMYFUNCTION("""COMPUTED_VALUE"""),59.0)</f>
        <v>59</v>
      </c>
      <c r="H1904" s="1">
        <f>IFERROR(__xludf.DUMMYFUNCTION("""COMPUTED_VALUE"""),70.0)</f>
        <v>70</v>
      </c>
      <c r="I1904" s="1">
        <f>IFERROR(__xludf.DUMMYFUNCTION("""COMPUTED_VALUE"""),43.0)</f>
        <v>43</v>
      </c>
      <c r="J1904" s="1">
        <f>IFERROR(__xludf.DUMMYFUNCTION("""COMPUTED_VALUE"""),282.0)</f>
        <v>282</v>
      </c>
      <c r="K1904" s="1">
        <f>IFERROR(__xludf.DUMMYFUNCTION("""COMPUTED_VALUE"""),56.39999999999999)</f>
        <v>56.4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>
        <f>IFERROR(__xludf.DUMMYFUNCTION("""COMPUTED_VALUE"""),60.0)</f>
        <v>60</v>
      </c>
      <c r="E1905" s="1">
        <f>IFERROR(__xludf.DUMMYFUNCTION("""COMPUTED_VALUE"""),22.0)</f>
        <v>22</v>
      </c>
      <c r="F1905" s="1">
        <f>IFERROR(__xludf.DUMMYFUNCTION("""COMPUTED_VALUE"""),37.0)</f>
        <v>37</v>
      </c>
      <c r="G1905" s="1">
        <f>IFERROR(__xludf.DUMMYFUNCTION("""COMPUTED_VALUE"""),56.0)</f>
        <v>56</v>
      </c>
      <c r="H1905" s="1">
        <f>IFERROR(__xludf.DUMMYFUNCTION("""COMPUTED_VALUE"""),26.0)</f>
        <v>26</v>
      </c>
      <c r="I1905" s="1">
        <f>IFERROR(__xludf.DUMMYFUNCTION("""COMPUTED_VALUE"""),76.0)</f>
        <v>76</v>
      </c>
      <c r="J1905" s="1">
        <f>IFERROR(__xludf.DUMMYFUNCTION("""COMPUTED_VALUE"""),217.0)</f>
        <v>217</v>
      </c>
      <c r="K1905" s="1">
        <f>IFERROR(__xludf.DUMMYFUNCTION("""COMPUTED_VALUE"""),43.4)</f>
        <v>43.4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>
        <f>IFERROR(__xludf.DUMMYFUNCTION("""COMPUTED_VALUE"""),75.0)</f>
        <v>75</v>
      </c>
      <c r="E1906" s="1">
        <f>IFERROR(__xludf.DUMMYFUNCTION("""COMPUTED_VALUE"""),84.0)</f>
        <v>84</v>
      </c>
      <c r="F1906" s="1">
        <f>IFERROR(__xludf.DUMMYFUNCTION("""COMPUTED_VALUE"""),90.0)</f>
        <v>90</v>
      </c>
      <c r="G1906" s="1">
        <f>IFERROR(__xludf.DUMMYFUNCTION("""COMPUTED_VALUE"""),71.0)</f>
        <v>71</v>
      </c>
      <c r="H1906" s="1">
        <f>IFERROR(__xludf.DUMMYFUNCTION("""COMPUTED_VALUE"""),51.0)</f>
        <v>51</v>
      </c>
      <c r="I1906" s="1">
        <f>IFERROR(__xludf.DUMMYFUNCTION("""COMPUTED_VALUE"""),80.0)</f>
        <v>80</v>
      </c>
      <c r="J1906" s="1">
        <f>IFERROR(__xludf.DUMMYFUNCTION("""COMPUTED_VALUE"""),376.0)</f>
        <v>376</v>
      </c>
      <c r="K1906" s="1">
        <f>IFERROR(__xludf.DUMMYFUNCTION("""COMPUTED_VALUE"""),75.2)</f>
        <v>75.2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>
        <f>IFERROR(__xludf.DUMMYFUNCTION("""COMPUTED_VALUE"""),26.0)</f>
        <v>26</v>
      </c>
      <c r="E1907" s="1">
        <f>IFERROR(__xludf.DUMMYFUNCTION("""COMPUTED_VALUE"""),75.0)</f>
        <v>75</v>
      </c>
      <c r="F1907" s="1">
        <f>IFERROR(__xludf.DUMMYFUNCTION("""COMPUTED_VALUE"""),20.0)</f>
        <v>20</v>
      </c>
      <c r="G1907" s="1">
        <f>IFERROR(__xludf.DUMMYFUNCTION("""COMPUTED_VALUE"""),46.0)</f>
        <v>46</v>
      </c>
      <c r="H1907" s="1">
        <f>IFERROR(__xludf.DUMMYFUNCTION("""COMPUTED_VALUE"""),37.0)</f>
        <v>37</v>
      </c>
      <c r="I1907" s="1">
        <f>IFERROR(__xludf.DUMMYFUNCTION("""COMPUTED_VALUE"""),86.0)</f>
        <v>86</v>
      </c>
      <c r="J1907" s="1">
        <f>IFERROR(__xludf.DUMMYFUNCTION("""COMPUTED_VALUE"""),264.0)</f>
        <v>264</v>
      </c>
      <c r="K1907" s="1">
        <f>IFERROR(__xludf.DUMMYFUNCTION("""COMPUTED_VALUE"""),52.800000000000004)</f>
        <v>52.8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>
        <f>IFERROR(__xludf.DUMMYFUNCTION("""COMPUTED_VALUE"""),85.0)</f>
        <v>85</v>
      </c>
      <c r="E1908" s="1">
        <f>IFERROR(__xludf.DUMMYFUNCTION("""COMPUTED_VALUE"""),94.0)</f>
        <v>94</v>
      </c>
      <c r="F1908" s="1">
        <f>IFERROR(__xludf.DUMMYFUNCTION("""COMPUTED_VALUE"""),77.0)</f>
        <v>77</v>
      </c>
      <c r="G1908" s="1">
        <f>IFERROR(__xludf.DUMMYFUNCTION("""COMPUTED_VALUE"""),53.0)</f>
        <v>53</v>
      </c>
      <c r="H1908" s="1">
        <f>IFERROR(__xludf.DUMMYFUNCTION("""COMPUTED_VALUE"""),67.0)</f>
        <v>67</v>
      </c>
      <c r="I1908" s="1">
        <f>IFERROR(__xludf.DUMMYFUNCTION("""COMPUTED_VALUE"""),28.0)</f>
        <v>28</v>
      </c>
      <c r="J1908" s="1">
        <f>IFERROR(__xludf.DUMMYFUNCTION("""COMPUTED_VALUE"""),319.0)</f>
        <v>319</v>
      </c>
      <c r="K1908" s="1">
        <f>IFERROR(__xludf.DUMMYFUNCTION("""COMPUTED_VALUE"""),63.800000000000004)</f>
        <v>63.8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>
        <f>IFERROR(__xludf.DUMMYFUNCTION("""COMPUTED_VALUE"""),71.0)</f>
        <v>71</v>
      </c>
      <c r="E1909" s="1">
        <f>IFERROR(__xludf.DUMMYFUNCTION("""COMPUTED_VALUE"""),44.0)</f>
        <v>44</v>
      </c>
      <c r="F1909" s="1">
        <f>IFERROR(__xludf.DUMMYFUNCTION("""COMPUTED_VALUE"""),44.0)</f>
        <v>44</v>
      </c>
      <c r="G1909" s="1">
        <f>IFERROR(__xludf.DUMMYFUNCTION("""COMPUTED_VALUE"""),78.0)</f>
        <v>78</v>
      </c>
      <c r="H1909" s="1">
        <f>IFERROR(__xludf.DUMMYFUNCTION("""COMPUTED_VALUE"""),84.0)</f>
        <v>84</v>
      </c>
      <c r="I1909" s="1">
        <f>IFERROR(__xludf.DUMMYFUNCTION("""COMPUTED_VALUE"""),40.0)</f>
        <v>40</v>
      </c>
      <c r="J1909" s="1">
        <f>IFERROR(__xludf.DUMMYFUNCTION("""COMPUTED_VALUE"""),290.0)</f>
        <v>290</v>
      </c>
      <c r="K1909" s="1">
        <f>IFERROR(__xludf.DUMMYFUNCTION("""COMPUTED_VALUE"""),57.99999999999999)</f>
        <v>58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>
        <f>IFERROR(__xludf.DUMMYFUNCTION("""COMPUTED_VALUE"""),37.0)</f>
        <v>37</v>
      </c>
      <c r="E1910" s="1">
        <f>IFERROR(__xludf.DUMMYFUNCTION("""COMPUTED_VALUE"""),37.0)</f>
        <v>37</v>
      </c>
      <c r="F1910" s="1">
        <f>IFERROR(__xludf.DUMMYFUNCTION("""COMPUTED_VALUE"""),71.0)</f>
        <v>71</v>
      </c>
      <c r="G1910" s="1">
        <f>IFERROR(__xludf.DUMMYFUNCTION("""COMPUTED_VALUE"""),78.0)</f>
        <v>78</v>
      </c>
      <c r="H1910" s="1">
        <f>IFERROR(__xludf.DUMMYFUNCTION("""COMPUTED_VALUE"""),47.0)</f>
        <v>47</v>
      </c>
      <c r="I1910" s="1">
        <f>IFERROR(__xludf.DUMMYFUNCTION("""COMPUTED_VALUE"""),26.0)</f>
        <v>26</v>
      </c>
      <c r="J1910" s="1">
        <f>IFERROR(__xludf.DUMMYFUNCTION("""COMPUTED_VALUE"""),259.0)</f>
        <v>259</v>
      </c>
      <c r="K1910" s="1">
        <f>IFERROR(__xludf.DUMMYFUNCTION("""COMPUTED_VALUE"""),51.800000000000004)</f>
        <v>51.8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>
        <f>IFERROR(__xludf.DUMMYFUNCTION("""COMPUTED_VALUE"""),71.0)</f>
        <v>71</v>
      </c>
      <c r="E1911" s="1">
        <f>IFERROR(__xludf.DUMMYFUNCTION("""COMPUTED_VALUE"""),81.0)</f>
        <v>81</v>
      </c>
      <c r="F1911" s="1">
        <f>IFERROR(__xludf.DUMMYFUNCTION("""COMPUTED_VALUE"""),73.0)</f>
        <v>73</v>
      </c>
      <c r="G1911" s="1">
        <f>IFERROR(__xludf.DUMMYFUNCTION("""COMPUTED_VALUE"""),61.0)</f>
        <v>61</v>
      </c>
      <c r="H1911" s="1">
        <f>IFERROR(__xludf.DUMMYFUNCTION("""COMPUTED_VALUE"""),73.0)</f>
        <v>73</v>
      </c>
      <c r="I1911" s="1">
        <f>IFERROR(__xludf.DUMMYFUNCTION("""COMPUTED_VALUE"""),25.0)</f>
        <v>25</v>
      </c>
      <c r="J1911" s="1">
        <f>IFERROR(__xludf.DUMMYFUNCTION("""COMPUTED_VALUE"""),313.0)</f>
        <v>313</v>
      </c>
      <c r="K1911" s="1">
        <f>IFERROR(__xludf.DUMMYFUNCTION("""COMPUTED_VALUE"""),62.6)</f>
        <v>62.6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>
        <f>IFERROR(__xludf.DUMMYFUNCTION("""COMPUTED_VALUE"""),50.0)</f>
        <v>50</v>
      </c>
      <c r="E1912" s="1">
        <f>IFERROR(__xludf.DUMMYFUNCTION("""COMPUTED_VALUE"""),62.0)</f>
        <v>62</v>
      </c>
      <c r="F1912" s="1">
        <f>IFERROR(__xludf.DUMMYFUNCTION("""COMPUTED_VALUE"""),34.0)</f>
        <v>34</v>
      </c>
      <c r="G1912" s="1">
        <f>IFERROR(__xludf.DUMMYFUNCTION("""COMPUTED_VALUE"""),27.0)</f>
        <v>27</v>
      </c>
      <c r="H1912" s="1">
        <f>IFERROR(__xludf.DUMMYFUNCTION("""COMPUTED_VALUE"""),22.0)</f>
        <v>22</v>
      </c>
      <c r="I1912" s="1">
        <f>IFERROR(__xludf.DUMMYFUNCTION("""COMPUTED_VALUE"""),86.0)</f>
        <v>86</v>
      </c>
      <c r="J1912" s="1">
        <f>IFERROR(__xludf.DUMMYFUNCTION("""COMPUTED_VALUE"""),231.0)</f>
        <v>231</v>
      </c>
      <c r="K1912" s="1">
        <f>IFERROR(__xludf.DUMMYFUNCTION("""COMPUTED_VALUE"""),46.2)</f>
        <v>46.2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>
        <f>IFERROR(__xludf.DUMMYFUNCTION("""COMPUTED_VALUE"""),30.0)</f>
        <v>30</v>
      </c>
      <c r="E1913" s="1">
        <f>IFERROR(__xludf.DUMMYFUNCTION("""COMPUTED_VALUE"""),34.0)</f>
        <v>34</v>
      </c>
      <c r="F1913" s="1">
        <f>IFERROR(__xludf.DUMMYFUNCTION("""COMPUTED_VALUE"""),34.0)</f>
        <v>34</v>
      </c>
      <c r="G1913" s="1">
        <f>IFERROR(__xludf.DUMMYFUNCTION("""COMPUTED_VALUE"""),85.0)</f>
        <v>85</v>
      </c>
      <c r="H1913" s="1">
        <f>IFERROR(__xludf.DUMMYFUNCTION("""COMPUTED_VALUE"""),24.0)</f>
        <v>24</v>
      </c>
      <c r="I1913" s="1">
        <f>IFERROR(__xludf.DUMMYFUNCTION("""COMPUTED_VALUE"""),57.0)</f>
        <v>57</v>
      </c>
      <c r="J1913" s="1">
        <f>IFERROR(__xludf.DUMMYFUNCTION("""COMPUTED_VALUE"""),234.0)</f>
        <v>234</v>
      </c>
      <c r="K1913" s="1">
        <f>IFERROR(__xludf.DUMMYFUNCTION("""COMPUTED_VALUE"""),46.800000000000004)</f>
        <v>46.8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>
        <f>IFERROR(__xludf.DUMMYFUNCTION("""COMPUTED_VALUE"""),53.0)</f>
        <v>53</v>
      </c>
      <c r="E1914" s="1">
        <f>IFERROR(__xludf.DUMMYFUNCTION("""COMPUTED_VALUE"""),94.0)</f>
        <v>94</v>
      </c>
      <c r="F1914" s="1">
        <f>IFERROR(__xludf.DUMMYFUNCTION("""COMPUTED_VALUE"""),26.0)</f>
        <v>26</v>
      </c>
      <c r="G1914" s="1">
        <f>IFERROR(__xludf.DUMMYFUNCTION("""COMPUTED_VALUE"""),90.0)</f>
        <v>90</v>
      </c>
      <c r="H1914" s="1">
        <f>IFERROR(__xludf.DUMMYFUNCTION("""COMPUTED_VALUE"""),33.0)</f>
        <v>33</v>
      </c>
      <c r="I1914" s="1">
        <f>IFERROR(__xludf.DUMMYFUNCTION("""COMPUTED_VALUE"""),41.0)</f>
        <v>41</v>
      </c>
      <c r="J1914" s="1">
        <f>IFERROR(__xludf.DUMMYFUNCTION("""COMPUTED_VALUE"""),284.0)</f>
        <v>284</v>
      </c>
      <c r="K1914" s="1">
        <f>IFERROR(__xludf.DUMMYFUNCTION("""COMPUTED_VALUE"""),56.8)</f>
        <v>56.8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>
        <f>IFERROR(__xludf.DUMMYFUNCTION("""COMPUTED_VALUE"""),18.0)</f>
        <v>18</v>
      </c>
      <c r="E1915" s="1">
        <f>IFERROR(__xludf.DUMMYFUNCTION("""COMPUTED_VALUE"""),91.0)</f>
        <v>91</v>
      </c>
      <c r="F1915" s="1">
        <f>IFERROR(__xludf.DUMMYFUNCTION("""COMPUTED_VALUE"""),84.0)</f>
        <v>84</v>
      </c>
      <c r="G1915" s="1">
        <f>IFERROR(__xludf.DUMMYFUNCTION("""COMPUTED_VALUE"""),87.0)</f>
        <v>87</v>
      </c>
      <c r="H1915" s="1">
        <f>IFERROR(__xludf.DUMMYFUNCTION("""COMPUTED_VALUE"""),42.0)</f>
        <v>42</v>
      </c>
      <c r="I1915" s="1">
        <f>IFERROR(__xludf.DUMMYFUNCTION("""COMPUTED_VALUE"""),39.0)</f>
        <v>39</v>
      </c>
      <c r="J1915" s="1">
        <f>IFERROR(__xludf.DUMMYFUNCTION("""COMPUTED_VALUE"""),343.0)</f>
        <v>343</v>
      </c>
      <c r="K1915" s="1">
        <f>IFERROR(__xludf.DUMMYFUNCTION("""COMPUTED_VALUE"""),68.60000000000001)</f>
        <v>68.6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>
        <f>IFERROR(__xludf.DUMMYFUNCTION("""COMPUTED_VALUE"""),52.0)</f>
        <v>52</v>
      </c>
      <c r="E1916" s="1">
        <f>IFERROR(__xludf.DUMMYFUNCTION("""COMPUTED_VALUE"""),65.0)</f>
        <v>65</v>
      </c>
      <c r="F1916" s="1">
        <f>IFERROR(__xludf.DUMMYFUNCTION("""COMPUTED_VALUE"""),27.0)</f>
        <v>27</v>
      </c>
      <c r="G1916" s="1">
        <f>IFERROR(__xludf.DUMMYFUNCTION("""COMPUTED_VALUE"""),66.0)</f>
        <v>66</v>
      </c>
      <c r="H1916" s="1">
        <f>IFERROR(__xludf.DUMMYFUNCTION("""COMPUTED_VALUE"""),70.0)</f>
        <v>70</v>
      </c>
      <c r="I1916" s="1">
        <f>IFERROR(__xludf.DUMMYFUNCTION("""COMPUTED_VALUE"""),51.0)</f>
        <v>51</v>
      </c>
      <c r="J1916" s="1">
        <f>IFERROR(__xludf.DUMMYFUNCTION("""COMPUTED_VALUE"""),279.0)</f>
        <v>279</v>
      </c>
      <c r="K1916" s="1">
        <f>IFERROR(__xludf.DUMMYFUNCTION("""COMPUTED_VALUE"""),55.800000000000004)</f>
        <v>55.8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>
        <f>IFERROR(__xludf.DUMMYFUNCTION("""COMPUTED_VALUE"""),37.0)</f>
        <v>37</v>
      </c>
      <c r="E1917" s="1">
        <f>IFERROR(__xludf.DUMMYFUNCTION("""COMPUTED_VALUE"""),51.0)</f>
        <v>51</v>
      </c>
      <c r="F1917" s="1">
        <f>IFERROR(__xludf.DUMMYFUNCTION("""COMPUTED_VALUE"""),82.0)</f>
        <v>82</v>
      </c>
      <c r="G1917" s="1">
        <f>IFERROR(__xludf.DUMMYFUNCTION("""COMPUTED_VALUE"""),63.0)</f>
        <v>63</v>
      </c>
      <c r="H1917" s="1">
        <f>IFERROR(__xludf.DUMMYFUNCTION("""COMPUTED_VALUE"""),58.0)</f>
        <v>58</v>
      </c>
      <c r="I1917" s="1">
        <f>IFERROR(__xludf.DUMMYFUNCTION("""COMPUTED_VALUE"""),84.0)</f>
        <v>84</v>
      </c>
      <c r="J1917" s="1">
        <f>IFERROR(__xludf.DUMMYFUNCTION("""COMPUTED_VALUE"""),338.0)</f>
        <v>338</v>
      </c>
      <c r="K1917" s="1">
        <f>IFERROR(__xludf.DUMMYFUNCTION("""COMPUTED_VALUE"""),67.60000000000001)</f>
        <v>67.6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>
        <f>IFERROR(__xludf.DUMMYFUNCTION("""COMPUTED_VALUE"""),90.0)</f>
        <v>90</v>
      </c>
      <c r="E1918" s="1">
        <f>IFERROR(__xludf.DUMMYFUNCTION("""COMPUTED_VALUE"""),40.0)</f>
        <v>40</v>
      </c>
      <c r="F1918" s="1">
        <f>IFERROR(__xludf.DUMMYFUNCTION("""COMPUTED_VALUE"""),73.0)</f>
        <v>73</v>
      </c>
      <c r="G1918" s="1">
        <f>IFERROR(__xludf.DUMMYFUNCTION("""COMPUTED_VALUE"""),85.0)</f>
        <v>85</v>
      </c>
      <c r="H1918" s="1">
        <f>IFERROR(__xludf.DUMMYFUNCTION("""COMPUTED_VALUE"""),46.0)</f>
        <v>46</v>
      </c>
      <c r="I1918" s="1">
        <f>IFERROR(__xludf.DUMMYFUNCTION("""COMPUTED_VALUE"""),34.0)</f>
        <v>34</v>
      </c>
      <c r="J1918" s="1">
        <f>IFERROR(__xludf.DUMMYFUNCTION("""COMPUTED_VALUE"""),278.0)</f>
        <v>278</v>
      </c>
      <c r="K1918" s="1">
        <f>IFERROR(__xludf.DUMMYFUNCTION("""COMPUTED_VALUE"""),55.60000000000001)</f>
        <v>55.6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>
        <f>IFERROR(__xludf.DUMMYFUNCTION("""COMPUTED_VALUE"""),15.0)</f>
        <v>15</v>
      </c>
      <c r="E1919" s="1">
        <f>IFERROR(__xludf.DUMMYFUNCTION("""COMPUTED_VALUE"""),33.0)</f>
        <v>33</v>
      </c>
      <c r="F1919" s="1">
        <f>IFERROR(__xludf.DUMMYFUNCTION("""COMPUTED_VALUE"""),53.0)</f>
        <v>53</v>
      </c>
      <c r="G1919" s="1">
        <f>IFERROR(__xludf.DUMMYFUNCTION("""COMPUTED_VALUE"""),40.0)</f>
        <v>40</v>
      </c>
      <c r="H1919" s="1">
        <f>IFERROR(__xludf.DUMMYFUNCTION("""COMPUTED_VALUE"""),88.0)</f>
        <v>88</v>
      </c>
      <c r="I1919" s="1">
        <f>IFERROR(__xludf.DUMMYFUNCTION("""COMPUTED_VALUE"""),57.0)</f>
        <v>57</v>
      </c>
      <c r="J1919" s="1">
        <f>IFERROR(__xludf.DUMMYFUNCTION("""COMPUTED_VALUE"""),271.0)</f>
        <v>271</v>
      </c>
      <c r="K1919" s="1">
        <f>IFERROR(__xludf.DUMMYFUNCTION("""COMPUTED_VALUE"""),54.2)</f>
        <v>54.2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>
        <f>IFERROR(__xludf.DUMMYFUNCTION("""COMPUTED_VALUE"""),33.0)</f>
        <v>33</v>
      </c>
      <c r="E1920" s="1">
        <f>IFERROR(__xludf.DUMMYFUNCTION("""COMPUTED_VALUE"""),25.0)</f>
        <v>25</v>
      </c>
      <c r="F1920" s="1">
        <f>IFERROR(__xludf.DUMMYFUNCTION("""COMPUTED_VALUE"""),30.0)</f>
        <v>30</v>
      </c>
      <c r="G1920" s="1">
        <f>IFERROR(__xludf.DUMMYFUNCTION("""COMPUTED_VALUE"""),60.0)</f>
        <v>60</v>
      </c>
      <c r="H1920" s="1">
        <f>IFERROR(__xludf.DUMMYFUNCTION("""COMPUTED_VALUE"""),87.0)</f>
        <v>87</v>
      </c>
      <c r="I1920" s="1">
        <f>IFERROR(__xludf.DUMMYFUNCTION("""COMPUTED_VALUE"""),80.0)</f>
        <v>80</v>
      </c>
      <c r="J1920" s="1">
        <f>IFERROR(__xludf.DUMMYFUNCTION("""COMPUTED_VALUE"""),282.0)</f>
        <v>282</v>
      </c>
      <c r="K1920" s="1">
        <f>IFERROR(__xludf.DUMMYFUNCTION("""COMPUTED_VALUE"""),56.39999999999999)</f>
        <v>56.4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>
        <f>IFERROR(__xludf.DUMMYFUNCTION("""COMPUTED_VALUE"""),61.0)</f>
        <v>61</v>
      </c>
      <c r="E1921" s="1">
        <f>IFERROR(__xludf.DUMMYFUNCTION("""COMPUTED_VALUE"""),37.0)</f>
        <v>37</v>
      </c>
      <c r="F1921" s="1">
        <f>IFERROR(__xludf.DUMMYFUNCTION("""COMPUTED_VALUE"""),74.0)</f>
        <v>74</v>
      </c>
      <c r="G1921" s="1">
        <f>IFERROR(__xludf.DUMMYFUNCTION("""COMPUTED_VALUE"""),74.0)</f>
        <v>74</v>
      </c>
      <c r="H1921" s="1">
        <f>IFERROR(__xludf.DUMMYFUNCTION("""COMPUTED_VALUE"""),55.0)</f>
        <v>55</v>
      </c>
      <c r="I1921" s="1">
        <f>IFERROR(__xludf.DUMMYFUNCTION("""COMPUTED_VALUE"""),96.0)</f>
        <v>96</v>
      </c>
      <c r="J1921" s="1">
        <f>IFERROR(__xludf.DUMMYFUNCTION("""COMPUTED_VALUE"""),336.0)</f>
        <v>336</v>
      </c>
      <c r="K1921" s="1">
        <f>IFERROR(__xludf.DUMMYFUNCTION("""COMPUTED_VALUE"""),67.2)</f>
        <v>67.2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>
        <f>IFERROR(__xludf.DUMMYFUNCTION("""COMPUTED_VALUE"""),43.0)</f>
        <v>43</v>
      </c>
      <c r="E1922" s="1">
        <f>IFERROR(__xludf.DUMMYFUNCTION("""COMPUTED_VALUE"""),38.0)</f>
        <v>38</v>
      </c>
      <c r="F1922" s="1">
        <f>IFERROR(__xludf.DUMMYFUNCTION("""COMPUTED_VALUE"""),46.0)</f>
        <v>46</v>
      </c>
      <c r="G1922" s="1">
        <f>IFERROR(__xludf.DUMMYFUNCTION("""COMPUTED_VALUE"""),48.0)</f>
        <v>48</v>
      </c>
      <c r="H1922" s="1">
        <f>IFERROR(__xludf.DUMMYFUNCTION("""COMPUTED_VALUE"""),99.0)</f>
        <v>99</v>
      </c>
      <c r="I1922" s="1">
        <f>IFERROR(__xludf.DUMMYFUNCTION("""COMPUTED_VALUE"""),35.0)</f>
        <v>35</v>
      </c>
      <c r="J1922" s="1">
        <f>IFERROR(__xludf.DUMMYFUNCTION("""COMPUTED_VALUE"""),266.0)</f>
        <v>266</v>
      </c>
      <c r="K1922" s="1">
        <f>IFERROR(__xludf.DUMMYFUNCTION("""COMPUTED_VALUE"""),53.2)</f>
        <v>53.2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>
        <f>IFERROR(__xludf.DUMMYFUNCTION("""COMPUTED_VALUE"""),10.0)</f>
        <v>10</v>
      </c>
      <c r="E1923" s="1">
        <f>IFERROR(__xludf.DUMMYFUNCTION("""COMPUTED_VALUE"""),60.0)</f>
        <v>60</v>
      </c>
      <c r="F1923" s="1">
        <f>IFERROR(__xludf.DUMMYFUNCTION("""COMPUTED_VALUE"""),82.0)</f>
        <v>82</v>
      </c>
      <c r="G1923" s="1">
        <f>IFERROR(__xludf.DUMMYFUNCTION("""COMPUTED_VALUE"""),40.0)</f>
        <v>40</v>
      </c>
      <c r="H1923" s="1">
        <f>IFERROR(__xludf.DUMMYFUNCTION("""COMPUTED_VALUE"""),66.0)</f>
        <v>66</v>
      </c>
      <c r="I1923" s="1">
        <f>IFERROR(__xludf.DUMMYFUNCTION("""COMPUTED_VALUE"""),77.0)</f>
        <v>77</v>
      </c>
      <c r="J1923" s="1">
        <f>IFERROR(__xludf.DUMMYFUNCTION("""COMPUTED_VALUE"""),325.0)</f>
        <v>325</v>
      </c>
      <c r="K1923" s="1">
        <f>IFERROR(__xludf.DUMMYFUNCTION("""COMPUTED_VALUE"""),65.0)</f>
        <v>65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>
        <f>IFERROR(__xludf.DUMMYFUNCTION("""COMPUTED_VALUE"""),80.0)</f>
        <v>80</v>
      </c>
      <c r="E1924" s="1">
        <f>IFERROR(__xludf.DUMMYFUNCTION("""COMPUTED_VALUE"""),90.0)</f>
        <v>90</v>
      </c>
      <c r="F1924" s="1">
        <f>IFERROR(__xludf.DUMMYFUNCTION("""COMPUTED_VALUE"""),22.0)</f>
        <v>22</v>
      </c>
      <c r="G1924" s="1">
        <f>IFERROR(__xludf.DUMMYFUNCTION("""COMPUTED_VALUE"""),51.0)</f>
        <v>51</v>
      </c>
      <c r="H1924" s="1">
        <f>IFERROR(__xludf.DUMMYFUNCTION("""COMPUTED_VALUE"""),42.0)</f>
        <v>42</v>
      </c>
      <c r="I1924" s="1">
        <f>IFERROR(__xludf.DUMMYFUNCTION("""COMPUTED_VALUE"""),65.0)</f>
        <v>65</v>
      </c>
      <c r="J1924" s="1">
        <f>IFERROR(__xludf.DUMMYFUNCTION("""COMPUTED_VALUE"""),270.0)</f>
        <v>270</v>
      </c>
      <c r="K1924" s="1">
        <f>IFERROR(__xludf.DUMMYFUNCTION("""COMPUTED_VALUE"""),54.0)</f>
        <v>54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>
        <f>IFERROR(__xludf.DUMMYFUNCTION("""COMPUTED_VALUE"""),14.0)</f>
        <v>14</v>
      </c>
      <c r="E1925" s="1">
        <f>IFERROR(__xludf.DUMMYFUNCTION("""COMPUTED_VALUE"""),48.0)</f>
        <v>48</v>
      </c>
      <c r="F1925" s="1">
        <f>IFERROR(__xludf.DUMMYFUNCTION("""COMPUTED_VALUE"""),57.0)</f>
        <v>57</v>
      </c>
      <c r="G1925" s="1">
        <f>IFERROR(__xludf.DUMMYFUNCTION("""COMPUTED_VALUE"""),84.0)</f>
        <v>84</v>
      </c>
      <c r="H1925" s="1">
        <f>IFERROR(__xludf.DUMMYFUNCTION("""COMPUTED_VALUE"""),85.0)</f>
        <v>85</v>
      </c>
      <c r="I1925" s="1">
        <f>IFERROR(__xludf.DUMMYFUNCTION("""COMPUTED_VALUE"""),69.0)</f>
        <v>69</v>
      </c>
      <c r="J1925" s="1">
        <f>IFERROR(__xludf.DUMMYFUNCTION("""COMPUTED_VALUE"""),343.0)</f>
        <v>343</v>
      </c>
      <c r="K1925" s="1">
        <f>IFERROR(__xludf.DUMMYFUNCTION("""COMPUTED_VALUE"""),68.60000000000001)</f>
        <v>68.6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>
        <f>IFERROR(__xludf.DUMMYFUNCTION("""COMPUTED_VALUE"""),15.0)</f>
        <v>15</v>
      </c>
      <c r="E1926" s="1">
        <f>IFERROR(__xludf.DUMMYFUNCTION("""COMPUTED_VALUE"""),83.0)</f>
        <v>83</v>
      </c>
      <c r="F1926" s="1">
        <f>IFERROR(__xludf.DUMMYFUNCTION("""COMPUTED_VALUE"""),54.0)</f>
        <v>54</v>
      </c>
      <c r="G1926" s="1">
        <f>IFERROR(__xludf.DUMMYFUNCTION("""COMPUTED_VALUE"""),94.0)</f>
        <v>94</v>
      </c>
      <c r="H1926" s="1">
        <f>IFERROR(__xludf.DUMMYFUNCTION("""COMPUTED_VALUE"""),35.0)</f>
        <v>35</v>
      </c>
      <c r="I1926" s="1">
        <f>IFERROR(__xludf.DUMMYFUNCTION("""COMPUTED_VALUE"""),73.0)</f>
        <v>73</v>
      </c>
      <c r="J1926" s="1">
        <f>IFERROR(__xludf.DUMMYFUNCTION("""COMPUTED_VALUE"""),339.0)</f>
        <v>339</v>
      </c>
      <c r="K1926" s="1">
        <f>IFERROR(__xludf.DUMMYFUNCTION("""COMPUTED_VALUE"""),67.80000000000001)</f>
        <v>67.8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>
        <f>IFERROR(__xludf.DUMMYFUNCTION("""COMPUTED_VALUE"""),16.0)</f>
        <v>16</v>
      </c>
      <c r="E1927" s="1">
        <f>IFERROR(__xludf.DUMMYFUNCTION("""COMPUTED_VALUE"""),28.0)</f>
        <v>28</v>
      </c>
      <c r="F1927" s="1">
        <f>IFERROR(__xludf.DUMMYFUNCTION("""COMPUTED_VALUE"""),94.0)</f>
        <v>94</v>
      </c>
      <c r="G1927" s="1">
        <f>IFERROR(__xludf.DUMMYFUNCTION("""COMPUTED_VALUE"""),94.0)</f>
        <v>94</v>
      </c>
      <c r="H1927" s="1">
        <f>IFERROR(__xludf.DUMMYFUNCTION("""COMPUTED_VALUE"""),71.0)</f>
        <v>71</v>
      </c>
      <c r="I1927" s="1">
        <f>IFERROR(__xludf.DUMMYFUNCTION("""COMPUTED_VALUE"""),30.0)</f>
        <v>30</v>
      </c>
      <c r="J1927" s="1">
        <f>IFERROR(__xludf.DUMMYFUNCTION("""COMPUTED_VALUE"""),317.0)</f>
        <v>317</v>
      </c>
      <c r="K1927" s="1">
        <f>IFERROR(__xludf.DUMMYFUNCTION("""COMPUTED_VALUE"""),63.4)</f>
        <v>63.4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>
        <f>IFERROR(__xludf.DUMMYFUNCTION("""COMPUTED_VALUE"""),41.0)</f>
        <v>41</v>
      </c>
      <c r="E1928" s="1">
        <f>IFERROR(__xludf.DUMMYFUNCTION("""COMPUTED_VALUE"""),42.0)</f>
        <v>42</v>
      </c>
      <c r="F1928" s="1">
        <f>IFERROR(__xludf.DUMMYFUNCTION("""COMPUTED_VALUE"""),40.0)</f>
        <v>40</v>
      </c>
      <c r="G1928" s="1">
        <f>IFERROR(__xludf.DUMMYFUNCTION("""COMPUTED_VALUE"""),67.0)</f>
        <v>67</v>
      </c>
      <c r="H1928" s="1">
        <f>IFERROR(__xludf.DUMMYFUNCTION("""COMPUTED_VALUE"""),91.0)</f>
        <v>91</v>
      </c>
      <c r="I1928" s="1">
        <f>IFERROR(__xludf.DUMMYFUNCTION("""COMPUTED_VALUE"""),89.0)</f>
        <v>89</v>
      </c>
      <c r="J1928" s="1">
        <f>IFERROR(__xludf.DUMMYFUNCTION("""COMPUTED_VALUE"""),329.0)</f>
        <v>329</v>
      </c>
      <c r="K1928" s="1">
        <f>IFERROR(__xludf.DUMMYFUNCTION("""COMPUTED_VALUE"""),65.8)</f>
        <v>65.8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>
        <f>IFERROR(__xludf.DUMMYFUNCTION("""COMPUTED_VALUE"""),67.0)</f>
        <v>67</v>
      </c>
      <c r="E1929" s="1">
        <f>IFERROR(__xludf.DUMMYFUNCTION("""COMPUTED_VALUE"""),26.0)</f>
        <v>26</v>
      </c>
      <c r="F1929" s="1">
        <f>IFERROR(__xludf.DUMMYFUNCTION("""COMPUTED_VALUE"""),42.0)</f>
        <v>42</v>
      </c>
      <c r="G1929" s="1">
        <f>IFERROR(__xludf.DUMMYFUNCTION("""COMPUTED_VALUE"""),85.0)</f>
        <v>85</v>
      </c>
      <c r="H1929" s="1">
        <f>IFERROR(__xludf.DUMMYFUNCTION("""COMPUTED_VALUE"""),96.0)</f>
        <v>96</v>
      </c>
      <c r="I1929" s="1">
        <f>IFERROR(__xludf.DUMMYFUNCTION("""COMPUTED_VALUE"""),98.0)</f>
        <v>98</v>
      </c>
      <c r="J1929" s="1">
        <f>IFERROR(__xludf.DUMMYFUNCTION("""COMPUTED_VALUE"""),347.0)</f>
        <v>347</v>
      </c>
      <c r="K1929" s="1">
        <f>IFERROR(__xludf.DUMMYFUNCTION("""COMPUTED_VALUE"""),69.39999999999999)</f>
        <v>69.4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>
        <f>IFERROR(__xludf.DUMMYFUNCTION("""COMPUTED_VALUE"""),32.0)</f>
        <v>32</v>
      </c>
      <c r="E1930" s="1">
        <f>IFERROR(__xludf.DUMMYFUNCTION("""COMPUTED_VALUE"""),51.0)</f>
        <v>51</v>
      </c>
      <c r="F1930" s="1">
        <f>IFERROR(__xludf.DUMMYFUNCTION("""COMPUTED_VALUE"""),23.0)</f>
        <v>23</v>
      </c>
      <c r="G1930" s="1">
        <f>IFERROR(__xludf.DUMMYFUNCTION("""COMPUTED_VALUE"""),39.0)</f>
        <v>39</v>
      </c>
      <c r="H1930" s="1">
        <f>IFERROR(__xludf.DUMMYFUNCTION("""COMPUTED_VALUE"""),24.0)</f>
        <v>24</v>
      </c>
      <c r="I1930" s="1">
        <f>IFERROR(__xludf.DUMMYFUNCTION("""COMPUTED_VALUE"""),56.0)</f>
        <v>56</v>
      </c>
      <c r="J1930" s="1">
        <f>IFERROR(__xludf.DUMMYFUNCTION("""COMPUTED_VALUE"""),193.0)</f>
        <v>193</v>
      </c>
      <c r="K1930" s="1">
        <f>IFERROR(__xludf.DUMMYFUNCTION("""COMPUTED_VALUE"""),38.6)</f>
        <v>38.6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>
        <f>IFERROR(__xludf.DUMMYFUNCTION("""COMPUTED_VALUE"""),43.0)</f>
        <v>43</v>
      </c>
      <c r="E1931" s="1">
        <f>IFERROR(__xludf.DUMMYFUNCTION("""COMPUTED_VALUE"""),47.0)</f>
        <v>47</v>
      </c>
      <c r="F1931" s="1">
        <f>IFERROR(__xludf.DUMMYFUNCTION("""COMPUTED_VALUE"""),73.0)</f>
        <v>73</v>
      </c>
      <c r="G1931" s="1">
        <f>IFERROR(__xludf.DUMMYFUNCTION("""COMPUTED_VALUE"""),96.0)</f>
        <v>96</v>
      </c>
      <c r="H1931" s="1">
        <f>IFERROR(__xludf.DUMMYFUNCTION("""COMPUTED_VALUE"""),64.0)</f>
        <v>64</v>
      </c>
      <c r="I1931" s="1">
        <f>IFERROR(__xludf.DUMMYFUNCTION("""COMPUTED_VALUE"""),54.0)</f>
        <v>54</v>
      </c>
      <c r="J1931" s="1">
        <f>IFERROR(__xludf.DUMMYFUNCTION("""COMPUTED_VALUE"""),334.0)</f>
        <v>334</v>
      </c>
      <c r="K1931" s="1">
        <f>IFERROR(__xludf.DUMMYFUNCTION("""COMPUTED_VALUE"""),66.8)</f>
        <v>66.8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>
        <f>IFERROR(__xludf.DUMMYFUNCTION("""COMPUTED_VALUE"""),60.0)</f>
        <v>60</v>
      </c>
      <c r="E1932" s="1">
        <f>IFERROR(__xludf.DUMMYFUNCTION("""COMPUTED_VALUE"""),59.0)</f>
        <v>59</v>
      </c>
      <c r="F1932" s="1">
        <f>IFERROR(__xludf.DUMMYFUNCTION("""COMPUTED_VALUE"""),28.0)</f>
        <v>28</v>
      </c>
      <c r="G1932" s="1">
        <f>IFERROR(__xludf.DUMMYFUNCTION("""COMPUTED_VALUE"""),91.0)</f>
        <v>91</v>
      </c>
      <c r="H1932" s="1">
        <f>IFERROR(__xludf.DUMMYFUNCTION("""COMPUTED_VALUE"""),25.0)</f>
        <v>25</v>
      </c>
      <c r="I1932" s="1">
        <f>IFERROR(__xludf.DUMMYFUNCTION("""COMPUTED_VALUE"""),30.0)</f>
        <v>30</v>
      </c>
      <c r="J1932" s="1">
        <f>IFERROR(__xludf.DUMMYFUNCTION("""COMPUTED_VALUE"""),233.0)</f>
        <v>233</v>
      </c>
      <c r="K1932" s="1">
        <f>IFERROR(__xludf.DUMMYFUNCTION("""COMPUTED_VALUE"""),46.6)</f>
        <v>46.6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>
        <f>IFERROR(__xludf.DUMMYFUNCTION("""COMPUTED_VALUE"""),17.0)</f>
        <v>17</v>
      </c>
      <c r="E1933" s="1">
        <f>IFERROR(__xludf.DUMMYFUNCTION("""COMPUTED_VALUE"""),81.0)</f>
        <v>81</v>
      </c>
      <c r="F1933" s="1">
        <f>IFERROR(__xludf.DUMMYFUNCTION("""COMPUTED_VALUE"""),25.0)</f>
        <v>25</v>
      </c>
      <c r="G1933" s="1">
        <f>IFERROR(__xludf.DUMMYFUNCTION("""COMPUTED_VALUE"""),93.0)</f>
        <v>93</v>
      </c>
      <c r="H1933" s="1">
        <f>IFERROR(__xludf.DUMMYFUNCTION("""COMPUTED_VALUE"""),97.0)</f>
        <v>97</v>
      </c>
      <c r="I1933" s="1">
        <f>IFERROR(__xludf.DUMMYFUNCTION("""COMPUTED_VALUE"""),65.0)</f>
        <v>65</v>
      </c>
      <c r="J1933" s="1">
        <f>IFERROR(__xludf.DUMMYFUNCTION("""COMPUTED_VALUE"""),361.0)</f>
        <v>361</v>
      </c>
      <c r="K1933" s="1">
        <f>IFERROR(__xludf.DUMMYFUNCTION("""COMPUTED_VALUE"""),72.2)</f>
        <v>72.2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>
        <f>IFERROR(__xludf.DUMMYFUNCTION("""COMPUTED_VALUE"""),74.0)</f>
        <v>74</v>
      </c>
      <c r="E1934" s="1">
        <f>IFERROR(__xludf.DUMMYFUNCTION("""COMPUTED_VALUE"""),92.0)</f>
        <v>92</v>
      </c>
      <c r="F1934" s="1">
        <f>IFERROR(__xludf.DUMMYFUNCTION("""COMPUTED_VALUE"""),82.0)</f>
        <v>82</v>
      </c>
      <c r="G1934" s="1">
        <f>IFERROR(__xludf.DUMMYFUNCTION("""COMPUTED_VALUE"""),26.0)</f>
        <v>26</v>
      </c>
      <c r="H1934" s="1">
        <f>IFERROR(__xludf.DUMMYFUNCTION("""COMPUTED_VALUE"""),23.0)</f>
        <v>23</v>
      </c>
      <c r="I1934" s="1">
        <f>IFERROR(__xludf.DUMMYFUNCTION("""COMPUTED_VALUE"""),87.0)</f>
        <v>87</v>
      </c>
      <c r="J1934" s="1">
        <f>IFERROR(__xludf.DUMMYFUNCTION("""COMPUTED_VALUE"""),310.0)</f>
        <v>310</v>
      </c>
      <c r="K1934" s="1">
        <f>IFERROR(__xludf.DUMMYFUNCTION("""COMPUTED_VALUE"""),62.0)</f>
        <v>62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>
        <f>IFERROR(__xludf.DUMMYFUNCTION("""COMPUTED_VALUE"""),98.0)</f>
        <v>98</v>
      </c>
      <c r="E1935" s="1">
        <f>IFERROR(__xludf.DUMMYFUNCTION("""COMPUTED_VALUE"""),64.0)</f>
        <v>64</v>
      </c>
      <c r="F1935" s="1">
        <f>IFERROR(__xludf.DUMMYFUNCTION("""COMPUTED_VALUE"""),58.0)</f>
        <v>58</v>
      </c>
      <c r="G1935" s="1">
        <f>IFERROR(__xludf.DUMMYFUNCTION("""COMPUTED_VALUE"""),78.0)</f>
        <v>78</v>
      </c>
      <c r="H1935" s="1">
        <f>IFERROR(__xludf.DUMMYFUNCTION("""COMPUTED_VALUE"""),39.0)</f>
        <v>39</v>
      </c>
      <c r="I1935" s="1">
        <f>IFERROR(__xludf.DUMMYFUNCTION("""COMPUTED_VALUE"""),52.0)</f>
        <v>52</v>
      </c>
      <c r="J1935" s="1">
        <f>IFERROR(__xludf.DUMMYFUNCTION("""COMPUTED_VALUE"""),291.0)</f>
        <v>291</v>
      </c>
      <c r="K1935" s="1">
        <f>IFERROR(__xludf.DUMMYFUNCTION("""COMPUTED_VALUE"""),58.199999999999996)</f>
        <v>58.2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>
        <f>IFERROR(__xludf.DUMMYFUNCTION("""COMPUTED_VALUE"""),87.0)</f>
        <v>87</v>
      </c>
      <c r="E1936" s="1">
        <f>IFERROR(__xludf.DUMMYFUNCTION("""COMPUTED_VALUE"""),40.0)</f>
        <v>40</v>
      </c>
      <c r="F1936" s="1">
        <f>IFERROR(__xludf.DUMMYFUNCTION("""COMPUTED_VALUE"""),68.0)</f>
        <v>68</v>
      </c>
      <c r="G1936" s="1">
        <f>IFERROR(__xludf.DUMMYFUNCTION("""COMPUTED_VALUE"""),87.0)</f>
        <v>87</v>
      </c>
      <c r="H1936" s="1">
        <f>IFERROR(__xludf.DUMMYFUNCTION("""COMPUTED_VALUE"""),76.0)</f>
        <v>76</v>
      </c>
      <c r="I1936" s="1">
        <f>IFERROR(__xludf.DUMMYFUNCTION("""COMPUTED_VALUE"""),57.0)</f>
        <v>57</v>
      </c>
      <c r="J1936" s="1">
        <f>IFERROR(__xludf.DUMMYFUNCTION("""COMPUTED_VALUE"""),328.0)</f>
        <v>328</v>
      </c>
      <c r="K1936" s="1">
        <f>IFERROR(__xludf.DUMMYFUNCTION("""COMPUTED_VALUE"""),65.60000000000001)</f>
        <v>65.6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>
        <f>IFERROR(__xludf.DUMMYFUNCTION("""COMPUTED_VALUE"""),29.0)</f>
        <v>29</v>
      </c>
      <c r="E1937" s="1">
        <f>IFERROR(__xludf.DUMMYFUNCTION("""COMPUTED_VALUE"""),40.0)</f>
        <v>40</v>
      </c>
      <c r="F1937" s="1">
        <f>IFERROR(__xludf.DUMMYFUNCTION("""COMPUTED_VALUE"""),84.0)</f>
        <v>84</v>
      </c>
      <c r="G1937" s="1">
        <f>IFERROR(__xludf.DUMMYFUNCTION("""COMPUTED_VALUE"""),32.0)</f>
        <v>32</v>
      </c>
      <c r="H1937" s="1">
        <f>IFERROR(__xludf.DUMMYFUNCTION("""COMPUTED_VALUE"""),78.0)</f>
        <v>78</v>
      </c>
      <c r="I1937" s="1">
        <f>IFERROR(__xludf.DUMMYFUNCTION("""COMPUTED_VALUE"""),94.0)</f>
        <v>94</v>
      </c>
      <c r="J1937" s="1">
        <f>IFERROR(__xludf.DUMMYFUNCTION("""COMPUTED_VALUE"""),328.0)</f>
        <v>328</v>
      </c>
      <c r="K1937" s="1">
        <f>IFERROR(__xludf.DUMMYFUNCTION("""COMPUTED_VALUE"""),65.60000000000001)</f>
        <v>65.6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>
        <f>IFERROR(__xludf.DUMMYFUNCTION("""COMPUTED_VALUE"""),72.0)</f>
        <v>72</v>
      </c>
      <c r="E1938" s="1">
        <f>IFERROR(__xludf.DUMMYFUNCTION("""COMPUTED_VALUE"""),32.0)</f>
        <v>32</v>
      </c>
      <c r="F1938" s="1">
        <f>IFERROR(__xludf.DUMMYFUNCTION("""COMPUTED_VALUE"""),82.0)</f>
        <v>82</v>
      </c>
      <c r="G1938" s="1">
        <f>IFERROR(__xludf.DUMMYFUNCTION("""COMPUTED_VALUE"""),49.0)</f>
        <v>49</v>
      </c>
      <c r="H1938" s="1">
        <f>IFERROR(__xludf.DUMMYFUNCTION("""COMPUTED_VALUE"""),94.0)</f>
        <v>94</v>
      </c>
      <c r="I1938" s="1">
        <f>IFERROR(__xludf.DUMMYFUNCTION("""COMPUTED_VALUE"""),54.0)</f>
        <v>54</v>
      </c>
      <c r="J1938" s="1">
        <f>IFERROR(__xludf.DUMMYFUNCTION("""COMPUTED_VALUE"""),311.0)</f>
        <v>311</v>
      </c>
      <c r="K1938" s="1">
        <f>IFERROR(__xludf.DUMMYFUNCTION("""COMPUTED_VALUE"""),62.2)</f>
        <v>62.2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>
        <f>IFERROR(__xludf.DUMMYFUNCTION("""COMPUTED_VALUE"""),48.0)</f>
        <v>48</v>
      </c>
      <c r="E1939" s="1">
        <f>IFERROR(__xludf.DUMMYFUNCTION("""COMPUTED_VALUE"""),86.0)</f>
        <v>86</v>
      </c>
      <c r="F1939" s="1">
        <f>IFERROR(__xludf.DUMMYFUNCTION("""COMPUTED_VALUE"""),93.0)</f>
        <v>93</v>
      </c>
      <c r="G1939" s="1">
        <f>IFERROR(__xludf.DUMMYFUNCTION("""COMPUTED_VALUE"""),82.0)</f>
        <v>82</v>
      </c>
      <c r="H1939" s="1">
        <f>IFERROR(__xludf.DUMMYFUNCTION("""COMPUTED_VALUE"""),93.0)</f>
        <v>93</v>
      </c>
      <c r="I1939" s="1">
        <f>IFERROR(__xludf.DUMMYFUNCTION("""COMPUTED_VALUE"""),60.0)</f>
        <v>60</v>
      </c>
      <c r="J1939" s="1">
        <f>IFERROR(__xludf.DUMMYFUNCTION("""COMPUTED_VALUE"""),414.0)</f>
        <v>414</v>
      </c>
      <c r="K1939" s="1">
        <f>IFERROR(__xludf.DUMMYFUNCTION("""COMPUTED_VALUE"""),82.8)</f>
        <v>82.8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>
        <f>IFERROR(__xludf.DUMMYFUNCTION("""COMPUTED_VALUE"""),82.0)</f>
        <v>82</v>
      </c>
      <c r="E1940" s="1">
        <f>IFERROR(__xludf.DUMMYFUNCTION("""COMPUTED_VALUE"""),86.0)</f>
        <v>86</v>
      </c>
      <c r="F1940" s="1">
        <f>IFERROR(__xludf.DUMMYFUNCTION("""COMPUTED_VALUE"""),38.0)</f>
        <v>38</v>
      </c>
      <c r="G1940" s="1">
        <f>IFERROR(__xludf.DUMMYFUNCTION("""COMPUTED_VALUE"""),59.0)</f>
        <v>59</v>
      </c>
      <c r="H1940" s="1">
        <f>IFERROR(__xludf.DUMMYFUNCTION("""COMPUTED_VALUE"""),56.0)</f>
        <v>56</v>
      </c>
      <c r="I1940" s="1">
        <f>IFERROR(__xludf.DUMMYFUNCTION("""COMPUTED_VALUE"""),51.0)</f>
        <v>51</v>
      </c>
      <c r="J1940" s="1">
        <f>IFERROR(__xludf.DUMMYFUNCTION("""COMPUTED_VALUE"""),290.0)</f>
        <v>290</v>
      </c>
      <c r="K1940" s="1">
        <f>IFERROR(__xludf.DUMMYFUNCTION("""COMPUTED_VALUE"""),57.99999999999999)</f>
        <v>58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>
        <f>IFERROR(__xludf.DUMMYFUNCTION("""COMPUTED_VALUE"""),10.0)</f>
        <v>10</v>
      </c>
      <c r="E1941" s="1">
        <f>IFERROR(__xludf.DUMMYFUNCTION("""COMPUTED_VALUE"""),29.0)</f>
        <v>29</v>
      </c>
      <c r="F1941" s="1">
        <f>IFERROR(__xludf.DUMMYFUNCTION("""COMPUTED_VALUE"""),35.0)</f>
        <v>35</v>
      </c>
      <c r="G1941" s="1">
        <f>IFERROR(__xludf.DUMMYFUNCTION("""COMPUTED_VALUE"""),72.0)</f>
        <v>72</v>
      </c>
      <c r="H1941" s="1">
        <f>IFERROR(__xludf.DUMMYFUNCTION("""COMPUTED_VALUE"""),93.0)</f>
        <v>93</v>
      </c>
      <c r="I1941" s="1">
        <f>IFERROR(__xludf.DUMMYFUNCTION("""COMPUTED_VALUE"""),69.0)</f>
        <v>69</v>
      </c>
      <c r="J1941" s="1">
        <f>IFERROR(__xludf.DUMMYFUNCTION("""COMPUTED_VALUE"""),298.0)</f>
        <v>298</v>
      </c>
      <c r="K1941" s="1">
        <f>IFERROR(__xludf.DUMMYFUNCTION("""COMPUTED_VALUE"""),59.599999999999994)</f>
        <v>59.6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>
        <f>IFERROR(__xludf.DUMMYFUNCTION("""COMPUTED_VALUE"""),83.0)</f>
        <v>83</v>
      </c>
      <c r="E1942" s="1">
        <f>IFERROR(__xludf.DUMMYFUNCTION("""COMPUTED_VALUE"""),81.0)</f>
        <v>81</v>
      </c>
      <c r="F1942" s="1">
        <f>IFERROR(__xludf.DUMMYFUNCTION("""COMPUTED_VALUE"""),59.0)</f>
        <v>59</v>
      </c>
      <c r="G1942" s="1">
        <f>IFERROR(__xludf.DUMMYFUNCTION("""COMPUTED_VALUE"""),96.0)</f>
        <v>96</v>
      </c>
      <c r="H1942" s="1">
        <f>IFERROR(__xludf.DUMMYFUNCTION("""COMPUTED_VALUE"""),43.0)</f>
        <v>43</v>
      </c>
      <c r="I1942" s="1">
        <f>IFERROR(__xludf.DUMMYFUNCTION("""COMPUTED_VALUE"""),98.0)</f>
        <v>98</v>
      </c>
      <c r="J1942" s="1">
        <f>IFERROR(__xludf.DUMMYFUNCTION("""COMPUTED_VALUE"""),377.0)</f>
        <v>377</v>
      </c>
      <c r="K1942" s="1">
        <f>IFERROR(__xludf.DUMMYFUNCTION("""COMPUTED_VALUE"""),75.4)</f>
        <v>75.4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>
        <f>IFERROR(__xludf.DUMMYFUNCTION("""COMPUTED_VALUE"""),12.0)</f>
        <v>12</v>
      </c>
      <c r="E1943" s="1">
        <f>IFERROR(__xludf.DUMMYFUNCTION("""COMPUTED_VALUE"""),59.0)</f>
        <v>59</v>
      </c>
      <c r="F1943" s="1">
        <f>IFERROR(__xludf.DUMMYFUNCTION("""COMPUTED_VALUE"""),63.0)</f>
        <v>63</v>
      </c>
      <c r="G1943" s="1">
        <f>IFERROR(__xludf.DUMMYFUNCTION("""COMPUTED_VALUE"""),49.0)</f>
        <v>49</v>
      </c>
      <c r="H1943" s="1">
        <f>IFERROR(__xludf.DUMMYFUNCTION("""COMPUTED_VALUE"""),78.0)</f>
        <v>78</v>
      </c>
      <c r="I1943" s="1">
        <f>IFERROR(__xludf.DUMMYFUNCTION("""COMPUTED_VALUE"""),56.0)</f>
        <v>56</v>
      </c>
      <c r="J1943" s="1">
        <f>IFERROR(__xludf.DUMMYFUNCTION("""COMPUTED_VALUE"""),305.0)</f>
        <v>305</v>
      </c>
      <c r="K1943" s="1">
        <f>IFERROR(__xludf.DUMMYFUNCTION("""COMPUTED_VALUE"""),61.0)</f>
        <v>61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>
        <f>IFERROR(__xludf.DUMMYFUNCTION("""COMPUTED_VALUE"""),20.0)</f>
        <v>20</v>
      </c>
      <c r="E1944" s="1">
        <f>IFERROR(__xludf.DUMMYFUNCTION("""COMPUTED_VALUE"""),49.0)</f>
        <v>49</v>
      </c>
      <c r="F1944" s="1">
        <f>IFERROR(__xludf.DUMMYFUNCTION("""COMPUTED_VALUE"""),27.0)</f>
        <v>27</v>
      </c>
      <c r="G1944" s="1">
        <f>IFERROR(__xludf.DUMMYFUNCTION("""COMPUTED_VALUE"""),43.0)</f>
        <v>43</v>
      </c>
      <c r="H1944" s="1">
        <f>IFERROR(__xludf.DUMMYFUNCTION("""COMPUTED_VALUE"""),75.0)</f>
        <v>75</v>
      </c>
      <c r="I1944" s="1">
        <f>IFERROR(__xludf.DUMMYFUNCTION("""COMPUTED_VALUE"""),41.0)</f>
        <v>41</v>
      </c>
      <c r="J1944" s="1">
        <f>IFERROR(__xludf.DUMMYFUNCTION("""COMPUTED_VALUE"""),235.0)</f>
        <v>235</v>
      </c>
      <c r="K1944" s="1">
        <f>IFERROR(__xludf.DUMMYFUNCTION("""COMPUTED_VALUE"""),47.0)</f>
        <v>47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>
        <f>IFERROR(__xludf.DUMMYFUNCTION("""COMPUTED_VALUE"""),62.0)</f>
        <v>62</v>
      </c>
      <c r="E1945" s="1">
        <f>IFERROR(__xludf.DUMMYFUNCTION("""COMPUTED_VALUE"""),79.0)</f>
        <v>79</v>
      </c>
      <c r="F1945" s="1">
        <f>IFERROR(__xludf.DUMMYFUNCTION("""COMPUTED_VALUE"""),58.0)</f>
        <v>58</v>
      </c>
      <c r="G1945" s="1">
        <f>IFERROR(__xludf.DUMMYFUNCTION("""COMPUTED_VALUE"""),58.0)</f>
        <v>58</v>
      </c>
      <c r="H1945" s="1">
        <f>IFERROR(__xludf.DUMMYFUNCTION("""COMPUTED_VALUE"""),44.0)</f>
        <v>44</v>
      </c>
      <c r="I1945" s="1">
        <f>IFERROR(__xludf.DUMMYFUNCTION("""COMPUTED_VALUE"""),68.0)</f>
        <v>68</v>
      </c>
      <c r="J1945" s="1">
        <f>IFERROR(__xludf.DUMMYFUNCTION("""COMPUTED_VALUE"""),307.0)</f>
        <v>307</v>
      </c>
      <c r="K1945" s="1">
        <f>IFERROR(__xludf.DUMMYFUNCTION("""COMPUTED_VALUE"""),61.4)</f>
        <v>61.4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>
        <f>IFERROR(__xludf.DUMMYFUNCTION("""COMPUTED_VALUE"""),54.0)</f>
        <v>54</v>
      </c>
      <c r="E1946" s="1">
        <f>IFERROR(__xludf.DUMMYFUNCTION("""COMPUTED_VALUE"""),23.0)</f>
        <v>23</v>
      </c>
      <c r="F1946" s="1">
        <f>IFERROR(__xludf.DUMMYFUNCTION("""COMPUTED_VALUE"""),25.0)</f>
        <v>25</v>
      </c>
      <c r="G1946" s="1">
        <f>IFERROR(__xludf.DUMMYFUNCTION("""COMPUTED_VALUE"""),55.0)</f>
        <v>55</v>
      </c>
      <c r="H1946" s="1">
        <f>IFERROR(__xludf.DUMMYFUNCTION("""COMPUTED_VALUE"""),66.0)</f>
        <v>66</v>
      </c>
      <c r="I1946" s="1">
        <f>IFERROR(__xludf.DUMMYFUNCTION("""COMPUTED_VALUE"""),20.0)</f>
        <v>20</v>
      </c>
      <c r="J1946" s="1">
        <f>IFERROR(__xludf.DUMMYFUNCTION("""COMPUTED_VALUE"""),189.0)</f>
        <v>189</v>
      </c>
      <c r="K1946" s="1">
        <f>IFERROR(__xludf.DUMMYFUNCTION("""COMPUTED_VALUE"""),37.8)</f>
        <v>37.8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>
        <f>IFERROR(__xludf.DUMMYFUNCTION("""COMPUTED_VALUE"""),59.0)</f>
        <v>59</v>
      </c>
      <c r="E1947" s="1">
        <f>IFERROR(__xludf.DUMMYFUNCTION("""COMPUTED_VALUE"""),48.0)</f>
        <v>48</v>
      </c>
      <c r="F1947" s="1">
        <f>IFERROR(__xludf.DUMMYFUNCTION("""COMPUTED_VALUE"""),74.0)</f>
        <v>74</v>
      </c>
      <c r="G1947" s="1">
        <f>IFERROR(__xludf.DUMMYFUNCTION("""COMPUTED_VALUE"""),27.0)</f>
        <v>27</v>
      </c>
      <c r="H1947" s="1">
        <f>IFERROR(__xludf.DUMMYFUNCTION("""COMPUTED_VALUE"""),69.0)</f>
        <v>69</v>
      </c>
      <c r="I1947" s="1">
        <f>IFERROR(__xludf.DUMMYFUNCTION("""COMPUTED_VALUE"""),48.0)</f>
        <v>48</v>
      </c>
      <c r="J1947" s="1">
        <f>IFERROR(__xludf.DUMMYFUNCTION("""COMPUTED_VALUE"""),266.0)</f>
        <v>266</v>
      </c>
      <c r="K1947" s="1">
        <f>IFERROR(__xludf.DUMMYFUNCTION("""COMPUTED_VALUE"""),53.2)</f>
        <v>53.2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>
        <f>IFERROR(__xludf.DUMMYFUNCTION("""COMPUTED_VALUE"""),13.0)</f>
        <v>13</v>
      </c>
      <c r="E1948" s="1">
        <f>IFERROR(__xludf.DUMMYFUNCTION("""COMPUTED_VALUE"""),53.0)</f>
        <v>53</v>
      </c>
      <c r="F1948" s="1">
        <f>IFERROR(__xludf.DUMMYFUNCTION("""COMPUTED_VALUE"""),55.0)</f>
        <v>55</v>
      </c>
      <c r="G1948" s="1">
        <f>IFERROR(__xludf.DUMMYFUNCTION("""COMPUTED_VALUE"""),53.0)</f>
        <v>53</v>
      </c>
      <c r="H1948" s="1">
        <f>IFERROR(__xludf.DUMMYFUNCTION("""COMPUTED_VALUE"""),58.0)</f>
        <v>58</v>
      </c>
      <c r="I1948" s="1">
        <f>IFERROR(__xludf.DUMMYFUNCTION("""COMPUTED_VALUE"""),61.0)</f>
        <v>61</v>
      </c>
      <c r="J1948" s="1">
        <f>IFERROR(__xludf.DUMMYFUNCTION("""COMPUTED_VALUE"""),280.0)</f>
        <v>280</v>
      </c>
      <c r="K1948" s="1">
        <f>IFERROR(__xludf.DUMMYFUNCTION("""COMPUTED_VALUE"""),56.00000000000001)</f>
        <v>56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>
        <f>IFERROR(__xludf.DUMMYFUNCTION("""COMPUTED_VALUE"""),79.0)</f>
        <v>79</v>
      </c>
      <c r="E1949" s="1">
        <f>IFERROR(__xludf.DUMMYFUNCTION("""COMPUTED_VALUE"""),59.0)</f>
        <v>59</v>
      </c>
      <c r="F1949" s="1">
        <f>IFERROR(__xludf.DUMMYFUNCTION("""COMPUTED_VALUE"""),56.0)</f>
        <v>56</v>
      </c>
      <c r="G1949" s="1">
        <f>IFERROR(__xludf.DUMMYFUNCTION("""COMPUTED_VALUE"""),85.0)</f>
        <v>85</v>
      </c>
      <c r="H1949" s="1">
        <f>IFERROR(__xludf.DUMMYFUNCTION("""COMPUTED_VALUE"""),77.0)</f>
        <v>77</v>
      </c>
      <c r="I1949" s="1">
        <f>IFERROR(__xludf.DUMMYFUNCTION("""COMPUTED_VALUE"""),63.0)</f>
        <v>63</v>
      </c>
      <c r="J1949" s="1">
        <f>IFERROR(__xludf.DUMMYFUNCTION("""COMPUTED_VALUE"""),340.0)</f>
        <v>340</v>
      </c>
      <c r="K1949" s="1">
        <f>IFERROR(__xludf.DUMMYFUNCTION("""COMPUTED_VALUE"""),68.0)</f>
        <v>68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>
        <f>IFERROR(__xludf.DUMMYFUNCTION("""COMPUTED_VALUE"""),62.0)</f>
        <v>62</v>
      </c>
      <c r="E1950" s="1">
        <f>IFERROR(__xludf.DUMMYFUNCTION("""COMPUTED_VALUE"""),95.0)</f>
        <v>95</v>
      </c>
      <c r="F1950" s="1">
        <f>IFERROR(__xludf.DUMMYFUNCTION("""COMPUTED_VALUE"""),72.0)</f>
        <v>72</v>
      </c>
      <c r="G1950" s="1">
        <f>IFERROR(__xludf.DUMMYFUNCTION("""COMPUTED_VALUE"""),77.0)</f>
        <v>77</v>
      </c>
      <c r="H1950" s="1">
        <f>IFERROR(__xludf.DUMMYFUNCTION("""COMPUTED_VALUE"""),53.0)</f>
        <v>53</v>
      </c>
      <c r="I1950" s="1">
        <f>IFERROR(__xludf.DUMMYFUNCTION("""COMPUTED_VALUE"""),90.0)</f>
        <v>90</v>
      </c>
      <c r="J1950" s="1">
        <f>IFERROR(__xludf.DUMMYFUNCTION("""COMPUTED_VALUE"""),387.0)</f>
        <v>387</v>
      </c>
      <c r="K1950" s="1">
        <f>IFERROR(__xludf.DUMMYFUNCTION("""COMPUTED_VALUE"""),77.4)</f>
        <v>77.4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>
        <f>IFERROR(__xludf.DUMMYFUNCTION("""COMPUTED_VALUE"""),41.0)</f>
        <v>41</v>
      </c>
      <c r="E1951" s="1">
        <f>IFERROR(__xludf.DUMMYFUNCTION("""COMPUTED_VALUE"""),43.0)</f>
        <v>43</v>
      </c>
      <c r="F1951" s="1">
        <f>IFERROR(__xludf.DUMMYFUNCTION("""COMPUTED_VALUE"""),84.0)</f>
        <v>84</v>
      </c>
      <c r="G1951" s="1">
        <f>IFERROR(__xludf.DUMMYFUNCTION("""COMPUTED_VALUE"""),25.0)</f>
        <v>25</v>
      </c>
      <c r="H1951" s="1">
        <f>IFERROR(__xludf.DUMMYFUNCTION("""COMPUTED_VALUE"""),49.0)</f>
        <v>49</v>
      </c>
      <c r="I1951" s="1">
        <f>IFERROR(__xludf.DUMMYFUNCTION("""COMPUTED_VALUE"""),24.0)</f>
        <v>24</v>
      </c>
      <c r="J1951" s="1">
        <f>IFERROR(__xludf.DUMMYFUNCTION("""COMPUTED_VALUE"""),225.0)</f>
        <v>225</v>
      </c>
      <c r="K1951" s="1">
        <f>IFERROR(__xludf.DUMMYFUNCTION("""COMPUTED_VALUE"""),45.0)</f>
        <v>45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>
        <f>IFERROR(__xludf.DUMMYFUNCTION("""COMPUTED_VALUE"""),88.0)</f>
        <v>88</v>
      </c>
      <c r="E1952" s="1">
        <f>IFERROR(__xludf.DUMMYFUNCTION("""COMPUTED_VALUE"""),36.0)</f>
        <v>36</v>
      </c>
      <c r="F1952" s="1">
        <f>IFERROR(__xludf.DUMMYFUNCTION("""COMPUTED_VALUE"""),78.0)</f>
        <v>78</v>
      </c>
      <c r="G1952" s="1">
        <f>IFERROR(__xludf.DUMMYFUNCTION("""COMPUTED_VALUE"""),54.0)</f>
        <v>54</v>
      </c>
      <c r="H1952" s="1">
        <f>IFERROR(__xludf.DUMMYFUNCTION("""COMPUTED_VALUE"""),68.0)</f>
        <v>68</v>
      </c>
      <c r="I1952" s="1">
        <f>IFERROR(__xludf.DUMMYFUNCTION("""COMPUTED_VALUE"""),60.0)</f>
        <v>60</v>
      </c>
      <c r="J1952" s="1">
        <f>IFERROR(__xludf.DUMMYFUNCTION("""COMPUTED_VALUE"""),296.0)</f>
        <v>296</v>
      </c>
      <c r="K1952" s="1">
        <f>IFERROR(__xludf.DUMMYFUNCTION("""COMPUTED_VALUE"""),59.199999999999996)</f>
        <v>59.2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>
        <f>IFERROR(__xludf.DUMMYFUNCTION("""COMPUTED_VALUE"""),93.0)</f>
        <v>93</v>
      </c>
      <c r="E1953" s="1">
        <f>IFERROR(__xludf.DUMMYFUNCTION("""COMPUTED_VALUE"""),67.0)</f>
        <v>67</v>
      </c>
      <c r="F1953" s="1">
        <f>IFERROR(__xludf.DUMMYFUNCTION("""COMPUTED_VALUE"""),35.0)</f>
        <v>35</v>
      </c>
      <c r="G1953" s="1">
        <f>IFERROR(__xludf.DUMMYFUNCTION("""COMPUTED_VALUE"""),42.0)</f>
        <v>42</v>
      </c>
      <c r="H1953" s="1">
        <f>IFERROR(__xludf.DUMMYFUNCTION("""COMPUTED_VALUE"""),52.0)</f>
        <v>52</v>
      </c>
      <c r="I1953" s="1">
        <f>IFERROR(__xludf.DUMMYFUNCTION("""COMPUTED_VALUE"""),89.0)</f>
        <v>89</v>
      </c>
      <c r="J1953" s="1">
        <f>IFERROR(__xludf.DUMMYFUNCTION("""COMPUTED_VALUE"""),285.0)</f>
        <v>285</v>
      </c>
      <c r="K1953" s="1">
        <f>IFERROR(__xludf.DUMMYFUNCTION("""COMPUTED_VALUE"""),56.99999999999999)</f>
        <v>57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>
        <f>IFERROR(__xludf.DUMMYFUNCTION("""COMPUTED_VALUE"""),62.0)</f>
        <v>62</v>
      </c>
      <c r="E1954" s="1">
        <f>IFERROR(__xludf.DUMMYFUNCTION("""COMPUTED_VALUE"""),46.0)</f>
        <v>46</v>
      </c>
      <c r="F1954" s="1">
        <f>IFERROR(__xludf.DUMMYFUNCTION("""COMPUTED_VALUE"""),63.0)</f>
        <v>63</v>
      </c>
      <c r="G1954" s="1">
        <f>IFERROR(__xludf.DUMMYFUNCTION("""COMPUTED_VALUE"""),60.0)</f>
        <v>60</v>
      </c>
      <c r="H1954" s="1">
        <f>IFERROR(__xludf.DUMMYFUNCTION("""COMPUTED_VALUE"""),95.0)</f>
        <v>95</v>
      </c>
      <c r="I1954" s="1">
        <f>IFERROR(__xludf.DUMMYFUNCTION("""COMPUTED_VALUE"""),64.0)</f>
        <v>64</v>
      </c>
      <c r="J1954" s="1">
        <f>IFERROR(__xludf.DUMMYFUNCTION("""COMPUTED_VALUE"""),328.0)</f>
        <v>328</v>
      </c>
      <c r="K1954" s="1">
        <f>IFERROR(__xludf.DUMMYFUNCTION("""COMPUTED_VALUE"""),65.60000000000001)</f>
        <v>65.6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>
        <f>IFERROR(__xludf.DUMMYFUNCTION("""COMPUTED_VALUE"""),17.0)</f>
        <v>17</v>
      </c>
      <c r="E1955" s="1">
        <f>IFERROR(__xludf.DUMMYFUNCTION("""COMPUTED_VALUE"""),41.0)</f>
        <v>41</v>
      </c>
      <c r="F1955" s="1">
        <f>IFERROR(__xludf.DUMMYFUNCTION("""COMPUTED_VALUE"""),87.0)</f>
        <v>87</v>
      </c>
      <c r="G1955" s="1">
        <f>IFERROR(__xludf.DUMMYFUNCTION("""COMPUTED_VALUE"""),91.0)</f>
        <v>91</v>
      </c>
      <c r="H1955" s="1">
        <f>IFERROR(__xludf.DUMMYFUNCTION("""COMPUTED_VALUE"""),87.0)</f>
        <v>87</v>
      </c>
      <c r="I1955" s="1">
        <f>IFERROR(__xludf.DUMMYFUNCTION("""COMPUTED_VALUE"""),65.0)</f>
        <v>65</v>
      </c>
      <c r="J1955" s="1">
        <f>IFERROR(__xludf.DUMMYFUNCTION("""COMPUTED_VALUE"""),371.0)</f>
        <v>371</v>
      </c>
      <c r="K1955" s="1">
        <f>IFERROR(__xludf.DUMMYFUNCTION("""COMPUTED_VALUE"""),74.2)</f>
        <v>74.2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>
        <f>IFERROR(__xludf.DUMMYFUNCTION("""COMPUTED_VALUE"""),82.0)</f>
        <v>82</v>
      </c>
      <c r="E1956" s="1">
        <f>IFERROR(__xludf.DUMMYFUNCTION("""COMPUTED_VALUE"""),40.0)</f>
        <v>40</v>
      </c>
      <c r="F1956" s="1">
        <f>IFERROR(__xludf.DUMMYFUNCTION("""COMPUTED_VALUE"""),22.0)</f>
        <v>22</v>
      </c>
      <c r="G1956" s="1">
        <f>IFERROR(__xludf.DUMMYFUNCTION("""COMPUTED_VALUE"""),70.0)</f>
        <v>70</v>
      </c>
      <c r="H1956" s="1">
        <f>IFERROR(__xludf.DUMMYFUNCTION("""COMPUTED_VALUE"""),28.0)</f>
        <v>28</v>
      </c>
      <c r="I1956" s="1">
        <f>IFERROR(__xludf.DUMMYFUNCTION("""COMPUTED_VALUE"""),87.0)</f>
        <v>87</v>
      </c>
      <c r="J1956" s="1">
        <f>IFERROR(__xludf.DUMMYFUNCTION("""COMPUTED_VALUE"""),247.0)</f>
        <v>247</v>
      </c>
      <c r="K1956" s="1">
        <f>IFERROR(__xludf.DUMMYFUNCTION("""COMPUTED_VALUE"""),49.4)</f>
        <v>49.4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>
        <f>IFERROR(__xludf.DUMMYFUNCTION("""COMPUTED_VALUE"""),80.0)</f>
        <v>80</v>
      </c>
      <c r="E1957" s="1">
        <f>IFERROR(__xludf.DUMMYFUNCTION("""COMPUTED_VALUE"""),25.0)</f>
        <v>25</v>
      </c>
      <c r="F1957" s="1">
        <f>IFERROR(__xludf.DUMMYFUNCTION("""COMPUTED_VALUE"""),92.0)</f>
        <v>92</v>
      </c>
      <c r="G1957" s="1">
        <f>IFERROR(__xludf.DUMMYFUNCTION("""COMPUTED_VALUE"""),53.0)</f>
        <v>53</v>
      </c>
      <c r="H1957" s="1">
        <f>IFERROR(__xludf.DUMMYFUNCTION("""COMPUTED_VALUE"""),56.0)</f>
        <v>56</v>
      </c>
      <c r="I1957" s="1">
        <f>IFERROR(__xludf.DUMMYFUNCTION("""COMPUTED_VALUE"""),33.0)</f>
        <v>33</v>
      </c>
      <c r="J1957" s="1">
        <f>IFERROR(__xludf.DUMMYFUNCTION("""COMPUTED_VALUE"""),259.0)</f>
        <v>259</v>
      </c>
      <c r="K1957" s="1">
        <f>IFERROR(__xludf.DUMMYFUNCTION("""COMPUTED_VALUE"""),51.800000000000004)</f>
        <v>51.8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>
        <f>IFERROR(__xludf.DUMMYFUNCTION("""COMPUTED_VALUE"""),79.0)</f>
        <v>79</v>
      </c>
      <c r="E1958" s="1">
        <f>IFERROR(__xludf.DUMMYFUNCTION("""COMPUTED_VALUE"""),53.0)</f>
        <v>53</v>
      </c>
      <c r="F1958" s="1">
        <f>IFERROR(__xludf.DUMMYFUNCTION("""COMPUTED_VALUE"""),83.0)</f>
        <v>83</v>
      </c>
      <c r="G1958" s="1">
        <f>IFERROR(__xludf.DUMMYFUNCTION("""COMPUTED_VALUE"""),32.0)</f>
        <v>32</v>
      </c>
      <c r="H1958" s="1">
        <f>IFERROR(__xludf.DUMMYFUNCTION("""COMPUTED_VALUE"""),93.0)</f>
        <v>93</v>
      </c>
      <c r="I1958" s="1">
        <f>IFERROR(__xludf.DUMMYFUNCTION("""COMPUTED_VALUE"""),51.0)</f>
        <v>51</v>
      </c>
      <c r="J1958" s="1">
        <f>IFERROR(__xludf.DUMMYFUNCTION("""COMPUTED_VALUE"""),312.0)</f>
        <v>312</v>
      </c>
      <c r="K1958" s="1">
        <f>IFERROR(__xludf.DUMMYFUNCTION("""COMPUTED_VALUE"""),62.4)</f>
        <v>62.4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>
        <f>IFERROR(__xludf.DUMMYFUNCTION("""COMPUTED_VALUE"""),18.0)</f>
        <v>18</v>
      </c>
      <c r="E1959" s="1">
        <f>IFERROR(__xludf.DUMMYFUNCTION("""COMPUTED_VALUE"""),21.0)</f>
        <v>21</v>
      </c>
      <c r="F1959" s="1">
        <f>IFERROR(__xludf.DUMMYFUNCTION("""COMPUTED_VALUE"""),48.0)</f>
        <v>48</v>
      </c>
      <c r="G1959" s="1">
        <f>IFERROR(__xludf.DUMMYFUNCTION("""COMPUTED_VALUE"""),51.0)</f>
        <v>51</v>
      </c>
      <c r="H1959" s="1">
        <f>IFERROR(__xludf.DUMMYFUNCTION("""COMPUTED_VALUE"""),51.0)</f>
        <v>51</v>
      </c>
      <c r="I1959" s="1">
        <f>IFERROR(__xludf.DUMMYFUNCTION("""COMPUTED_VALUE"""),44.0)</f>
        <v>44</v>
      </c>
      <c r="J1959" s="1">
        <f>IFERROR(__xludf.DUMMYFUNCTION("""COMPUTED_VALUE"""),215.0)</f>
        <v>215</v>
      </c>
      <c r="K1959" s="1">
        <f>IFERROR(__xludf.DUMMYFUNCTION("""COMPUTED_VALUE"""),43.0)</f>
        <v>43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>
        <f>IFERROR(__xludf.DUMMYFUNCTION("""COMPUTED_VALUE"""),76.0)</f>
        <v>76</v>
      </c>
      <c r="E1960" s="1">
        <f>IFERROR(__xludf.DUMMYFUNCTION("""COMPUTED_VALUE"""),24.0)</f>
        <v>24</v>
      </c>
      <c r="F1960" s="1">
        <f>IFERROR(__xludf.DUMMYFUNCTION("""COMPUTED_VALUE"""),93.0)</f>
        <v>93</v>
      </c>
      <c r="G1960" s="1">
        <f>IFERROR(__xludf.DUMMYFUNCTION("""COMPUTED_VALUE"""),24.0)</f>
        <v>24</v>
      </c>
      <c r="H1960" s="1">
        <f>IFERROR(__xludf.DUMMYFUNCTION("""COMPUTED_VALUE"""),39.0)</f>
        <v>39</v>
      </c>
      <c r="I1960" s="1">
        <f>IFERROR(__xludf.DUMMYFUNCTION("""COMPUTED_VALUE"""),41.0)</f>
        <v>41</v>
      </c>
      <c r="J1960" s="1">
        <f>IFERROR(__xludf.DUMMYFUNCTION("""COMPUTED_VALUE"""),221.0)</f>
        <v>221</v>
      </c>
      <c r="K1960" s="1">
        <f>IFERROR(__xludf.DUMMYFUNCTION("""COMPUTED_VALUE"""),44.2)</f>
        <v>44.2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>
        <f>IFERROR(__xludf.DUMMYFUNCTION("""COMPUTED_VALUE"""),85.0)</f>
        <v>85</v>
      </c>
      <c r="E1961" s="1">
        <f>IFERROR(__xludf.DUMMYFUNCTION("""COMPUTED_VALUE"""),75.0)</f>
        <v>75</v>
      </c>
      <c r="F1961" s="1">
        <f>IFERROR(__xludf.DUMMYFUNCTION("""COMPUTED_VALUE"""),79.0)</f>
        <v>79</v>
      </c>
      <c r="G1961" s="1">
        <f>IFERROR(__xludf.DUMMYFUNCTION("""COMPUTED_VALUE"""),80.0)</f>
        <v>80</v>
      </c>
      <c r="H1961" s="1">
        <f>IFERROR(__xludf.DUMMYFUNCTION("""COMPUTED_VALUE"""),69.0)</f>
        <v>69</v>
      </c>
      <c r="I1961" s="1">
        <f>IFERROR(__xludf.DUMMYFUNCTION("""COMPUTED_VALUE"""),41.0)</f>
        <v>41</v>
      </c>
      <c r="J1961" s="1">
        <f>IFERROR(__xludf.DUMMYFUNCTION("""COMPUTED_VALUE"""),344.0)</f>
        <v>344</v>
      </c>
      <c r="K1961" s="1">
        <f>IFERROR(__xludf.DUMMYFUNCTION("""COMPUTED_VALUE"""),68.8)</f>
        <v>68.8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>
        <f>IFERROR(__xludf.DUMMYFUNCTION("""COMPUTED_VALUE"""),70.0)</f>
        <v>70</v>
      </c>
      <c r="E1962" s="1">
        <f>IFERROR(__xludf.DUMMYFUNCTION("""COMPUTED_VALUE"""),53.0)</f>
        <v>53</v>
      </c>
      <c r="F1962" s="1">
        <f>IFERROR(__xludf.DUMMYFUNCTION("""COMPUTED_VALUE"""),66.0)</f>
        <v>66</v>
      </c>
      <c r="G1962" s="1">
        <f>IFERROR(__xludf.DUMMYFUNCTION("""COMPUTED_VALUE"""),50.0)</f>
        <v>50</v>
      </c>
      <c r="H1962" s="1">
        <f>IFERROR(__xludf.DUMMYFUNCTION("""COMPUTED_VALUE"""),72.0)</f>
        <v>72</v>
      </c>
      <c r="I1962" s="1">
        <f>IFERROR(__xludf.DUMMYFUNCTION("""COMPUTED_VALUE"""),24.0)</f>
        <v>24</v>
      </c>
      <c r="J1962" s="1">
        <f>IFERROR(__xludf.DUMMYFUNCTION("""COMPUTED_VALUE"""),265.0)</f>
        <v>265</v>
      </c>
      <c r="K1962" s="1">
        <f>IFERROR(__xludf.DUMMYFUNCTION("""COMPUTED_VALUE"""),53.0)</f>
        <v>53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>
        <f>IFERROR(__xludf.DUMMYFUNCTION("""COMPUTED_VALUE"""),52.0)</f>
        <v>52</v>
      </c>
      <c r="E1963" s="1">
        <f>IFERROR(__xludf.DUMMYFUNCTION("""COMPUTED_VALUE"""),59.0)</f>
        <v>59</v>
      </c>
      <c r="F1963" s="1">
        <f>IFERROR(__xludf.DUMMYFUNCTION("""COMPUTED_VALUE"""),79.0)</f>
        <v>79</v>
      </c>
      <c r="G1963" s="1">
        <f>IFERROR(__xludf.DUMMYFUNCTION("""COMPUTED_VALUE"""),66.0)</f>
        <v>66</v>
      </c>
      <c r="H1963" s="1">
        <f>IFERROR(__xludf.DUMMYFUNCTION("""COMPUTED_VALUE"""),86.0)</f>
        <v>86</v>
      </c>
      <c r="I1963" s="1">
        <f>IFERROR(__xludf.DUMMYFUNCTION("""COMPUTED_VALUE"""),88.0)</f>
        <v>88</v>
      </c>
      <c r="J1963" s="1">
        <f>IFERROR(__xludf.DUMMYFUNCTION("""COMPUTED_VALUE"""),378.0)</f>
        <v>378</v>
      </c>
      <c r="K1963" s="1">
        <f>IFERROR(__xludf.DUMMYFUNCTION("""COMPUTED_VALUE"""),75.6)</f>
        <v>75.6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>
        <f>IFERROR(__xludf.DUMMYFUNCTION("""COMPUTED_VALUE"""),54.0)</f>
        <v>54</v>
      </c>
      <c r="E1964" s="1">
        <f>IFERROR(__xludf.DUMMYFUNCTION("""COMPUTED_VALUE"""),76.0)</f>
        <v>76</v>
      </c>
      <c r="F1964" s="1">
        <f>IFERROR(__xludf.DUMMYFUNCTION("""COMPUTED_VALUE"""),65.0)</f>
        <v>65</v>
      </c>
      <c r="G1964" s="1">
        <f>IFERROR(__xludf.DUMMYFUNCTION("""COMPUTED_VALUE"""),50.0)</f>
        <v>50</v>
      </c>
      <c r="H1964" s="1">
        <f>IFERROR(__xludf.DUMMYFUNCTION("""COMPUTED_VALUE"""),65.0)</f>
        <v>65</v>
      </c>
      <c r="I1964" s="1">
        <f>IFERROR(__xludf.DUMMYFUNCTION("""COMPUTED_VALUE"""),44.0)</f>
        <v>44</v>
      </c>
      <c r="J1964" s="1">
        <f>IFERROR(__xludf.DUMMYFUNCTION("""COMPUTED_VALUE"""),300.0)</f>
        <v>300</v>
      </c>
      <c r="K1964" s="1">
        <f>IFERROR(__xludf.DUMMYFUNCTION("""COMPUTED_VALUE"""),60.0)</f>
        <v>60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>
        <f>IFERROR(__xludf.DUMMYFUNCTION("""COMPUTED_VALUE"""),48.0)</f>
        <v>48</v>
      </c>
      <c r="E1965" s="1">
        <f>IFERROR(__xludf.DUMMYFUNCTION("""COMPUTED_VALUE"""),78.0)</f>
        <v>78</v>
      </c>
      <c r="F1965" s="1">
        <f>IFERROR(__xludf.DUMMYFUNCTION("""COMPUTED_VALUE"""),31.0)</f>
        <v>31</v>
      </c>
      <c r="G1965" s="1">
        <f>IFERROR(__xludf.DUMMYFUNCTION("""COMPUTED_VALUE"""),85.0)</f>
        <v>85</v>
      </c>
      <c r="H1965" s="1">
        <f>IFERROR(__xludf.DUMMYFUNCTION("""COMPUTED_VALUE"""),29.0)</f>
        <v>29</v>
      </c>
      <c r="I1965" s="1">
        <f>IFERROR(__xludf.DUMMYFUNCTION("""COMPUTED_VALUE"""),74.0)</f>
        <v>74</v>
      </c>
      <c r="J1965" s="1">
        <f>IFERROR(__xludf.DUMMYFUNCTION("""COMPUTED_VALUE"""),297.0)</f>
        <v>297</v>
      </c>
      <c r="K1965" s="1">
        <f>IFERROR(__xludf.DUMMYFUNCTION("""COMPUTED_VALUE"""),59.4)</f>
        <v>59.4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>
        <f>IFERROR(__xludf.DUMMYFUNCTION("""COMPUTED_VALUE"""),53.0)</f>
        <v>53</v>
      </c>
      <c r="E1966" s="1">
        <f>IFERROR(__xludf.DUMMYFUNCTION("""COMPUTED_VALUE"""),63.0)</f>
        <v>63</v>
      </c>
      <c r="F1966" s="1">
        <f>IFERROR(__xludf.DUMMYFUNCTION("""COMPUTED_VALUE"""),51.0)</f>
        <v>51</v>
      </c>
      <c r="G1966" s="1">
        <f>IFERROR(__xludf.DUMMYFUNCTION("""COMPUTED_VALUE"""),79.0)</f>
        <v>79</v>
      </c>
      <c r="H1966" s="1">
        <f>IFERROR(__xludf.DUMMYFUNCTION("""COMPUTED_VALUE"""),70.0)</f>
        <v>70</v>
      </c>
      <c r="I1966" s="1">
        <f>IFERROR(__xludf.DUMMYFUNCTION("""COMPUTED_VALUE"""),51.0)</f>
        <v>51</v>
      </c>
      <c r="J1966" s="1">
        <f>IFERROR(__xludf.DUMMYFUNCTION("""COMPUTED_VALUE"""),314.0)</f>
        <v>314</v>
      </c>
      <c r="K1966" s="1">
        <f>IFERROR(__xludf.DUMMYFUNCTION("""COMPUTED_VALUE"""),62.8)</f>
        <v>62.8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>
        <f>IFERROR(__xludf.DUMMYFUNCTION("""COMPUTED_VALUE"""),12.0)</f>
        <v>12</v>
      </c>
      <c r="E1967" s="1">
        <f>IFERROR(__xludf.DUMMYFUNCTION("""COMPUTED_VALUE"""),60.0)</f>
        <v>60</v>
      </c>
      <c r="F1967" s="1">
        <f>IFERROR(__xludf.DUMMYFUNCTION("""COMPUTED_VALUE"""),32.0)</f>
        <v>32</v>
      </c>
      <c r="G1967" s="1">
        <f>IFERROR(__xludf.DUMMYFUNCTION("""COMPUTED_VALUE"""),66.0)</f>
        <v>66</v>
      </c>
      <c r="H1967" s="1">
        <f>IFERROR(__xludf.DUMMYFUNCTION("""COMPUTED_VALUE"""),64.0)</f>
        <v>64</v>
      </c>
      <c r="I1967" s="1">
        <f>IFERROR(__xludf.DUMMYFUNCTION("""COMPUTED_VALUE"""),34.0)</f>
        <v>34</v>
      </c>
      <c r="J1967" s="1">
        <f>IFERROR(__xludf.DUMMYFUNCTION("""COMPUTED_VALUE"""),256.0)</f>
        <v>256</v>
      </c>
      <c r="K1967" s="1">
        <f>IFERROR(__xludf.DUMMYFUNCTION("""COMPUTED_VALUE"""),51.2)</f>
        <v>51.2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>
        <f>IFERROR(__xludf.DUMMYFUNCTION("""COMPUTED_VALUE"""),29.0)</f>
        <v>29</v>
      </c>
      <c r="E1968" s="1">
        <f>IFERROR(__xludf.DUMMYFUNCTION("""COMPUTED_VALUE"""),43.0)</f>
        <v>43</v>
      </c>
      <c r="F1968" s="1">
        <f>IFERROR(__xludf.DUMMYFUNCTION("""COMPUTED_VALUE"""),84.0)</f>
        <v>84</v>
      </c>
      <c r="G1968" s="1">
        <f>IFERROR(__xludf.DUMMYFUNCTION("""COMPUTED_VALUE"""),55.0)</f>
        <v>55</v>
      </c>
      <c r="H1968" s="1">
        <f>IFERROR(__xludf.DUMMYFUNCTION("""COMPUTED_VALUE"""),40.0)</f>
        <v>40</v>
      </c>
      <c r="I1968" s="1">
        <f>IFERROR(__xludf.DUMMYFUNCTION("""COMPUTED_VALUE"""),52.0)</f>
        <v>52</v>
      </c>
      <c r="J1968" s="1">
        <f>IFERROR(__xludf.DUMMYFUNCTION("""COMPUTED_VALUE"""),274.0)</f>
        <v>274</v>
      </c>
      <c r="K1968" s="1">
        <f>IFERROR(__xludf.DUMMYFUNCTION("""COMPUTED_VALUE"""),54.800000000000004)</f>
        <v>54.8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>
        <f>IFERROR(__xludf.DUMMYFUNCTION("""COMPUTED_VALUE"""),38.0)</f>
        <v>38</v>
      </c>
      <c r="E1969" s="1">
        <f>IFERROR(__xludf.DUMMYFUNCTION("""COMPUTED_VALUE"""),59.0)</f>
        <v>59</v>
      </c>
      <c r="F1969" s="1">
        <f>IFERROR(__xludf.DUMMYFUNCTION("""COMPUTED_VALUE"""),34.0)</f>
        <v>34</v>
      </c>
      <c r="G1969" s="1">
        <f>IFERROR(__xludf.DUMMYFUNCTION("""COMPUTED_VALUE"""),86.0)</f>
        <v>86</v>
      </c>
      <c r="H1969" s="1">
        <f>IFERROR(__xludf.DUMMYFUNCTION("""COMPUTED_VALUE"""),31.0)</f>
        <v>31</v>
      </c>
      <c r="I1969" s="1">
        <f>IFERROR(__xludf.DUMMYFUNCTION("""COMPUTED_VALUE"""),41.0)</f>
        <v>41</v>
      </c>
      <c r="J1969" s="1">
        <f>IFERROR(__xludf.DUMMYFUNCTION("""COMPUTED_VALUE"""),251.0)</f>
        <v>251</v>
      </c>
      <c r="K1969" s="1">
        <f>IFERROR(__xludf.DUMMYFUNCTION("""COMPUTED_VALUE"""),50.2)</f>
        <v>50.2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>
        <f>IFERROR(__xludf.DUMMYFUNCTION("""COMPUTED_VALUE"""),99.0)</f>
        <v>99</v>
      </c>
      <c r="E1970" s="1">
        <f>IFERROR(__xludf.DUMMYFUNCTION("""COMPUTED_VALUE"""),35.0)</f>
        <v>35</v>
      </c>
      <c r="F1970" s="1">
        <f>IFERROR(__xludf.DUMMYFUNCTION("""COMPUTED_VALUE"""),44.0)</f>
        <v>44</v>
      </c>
      <c r="G1970" s="1">
        <f>IFERROR(__xludf.DUMMYFUNCTION("""COMPUTED_VALUE"""),59.0)</f>
        <v>59</v>
      </c>
      <c r="H1970" s="1">
        <f>IFERROR(__xludf.DUMMYFUNCTION("""COMPUTED_VALUE"""),82.0)</f>
        <v>82</v>
      </c>
      <c r="I1970" s="1">
        <f>IFERROR(__xludf.DUMMYFUNCTION("""COMPUTED_VALUE"""),81.0)</f>
        <v>81</v>
      </c>
      <c r="J1970" s="1">
        <f>IFERROR(__xludf.DUMMYFUNCTION("""COMPUTED_VALUE"""),301.0)</f>
        <v>301</v>
      </c>
      <c r="K1970" s="1">
        <f>IFERROR(__xludf.DUMMYFUNCTION("""COMPUTED_VALUE"""),60.199999999999996)</f>
        <v>60.2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>
        <f>IFERROR(__xludf.DUMMYFUNCTION("""COMPUTED_VALUE"""),50.0)</f>
        <v>50</v>
      </c>
      <c r="E1971" s="1">
        <f>IFERROR(__xludf.DUMMYFUNCTION("""COMPUTED_VALUE"""),75.0)</f>
        <v>75</v>
      </c>
      <c r="F1971" s="1">
        <f>IFERROR(__xludf.DUMMYFUNCTION("""COMPUTED_VALUE"""),67.0)</f>
        <v>67</v>
      </c>
      <c r="G1971" s="1">
        <f>IFERROR(__xludf.DUMMYFUNCTION("""COMPUTED_VALUE"""),85.0)</f>
        <v>85</v>
      </c>
      <c r="H1971" s="1">
        <f>IFERROR(__xludf.DUMMYFUNCTION("""COMPUTED_VALUE"""),53.0)</f>
        <v>53</v>
      </c>
      <c r="I1971" s="1">
        <f>IFERROR(__xludf.DUMMYFUNCTION("""COMPUTED_VALUE"""),29.0)</f>
        <v>29</v>
      </c>
      <c r="J1971" s="1">
        <f>IFERROR(__xludf.DUMMYFUNCTION("""COMPUTED_VALUE"""),309.0)</f>
        <v>309</v>
      </c>
      <c r="K1971" s="1">
        <f>IFERROR(__xludf.DUMMYFUNCTION("""COMPUTED_VALUE"""),61.8)</f>
        <v>61.8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>
        <f>IFERROR(__xludf.DUMMYFUNCTION("""COMPUTED_VALUE"""),78.0)</f>
        <v>78</v>
      </c>
      <c r="E1972" s="1">
        <f>IFERROR(__xludf.DUMMYFUNCTION("""COMPUTED_VALUE"""),56.0)</f>
        <v>56</v>
      </c>
      <c r="F1972" s="1">
        <f>IFERROR(__xludf.DUMMYFUNCTION("""COMPUTED_VALUE"""),58.0)</f>
        <v>58</v>
      </c>
      <c r="G1972" s="1">
        <f>IFERROR(__xludf.DUMMYFUNCTION("""COMPUTED_VALUE"""),46.0)</f>
        <v>46</v>
      </c>
      <c r="H1972" s="1">
        <f>IFERROR(__xludf.DUMMYFUNCTION("""COMPUTED_VALUE"""),47.0)</f>
        <v>47</v>
      </c>
      <c r="I1972" s="1">
        <f>IFERROR(__xludf.DUMMYFUNCTION("""COMPUTED_VALUE"""),87.0)</f>
        <v>87</v>
      </c>
      <c r="J1972" s="1">
        <f>IFERROR(__xludf.DUMMYFUNCTION("""COMPUTED_VALUE"""),294.0)</f>
        <v>294</v>
      </c>
      <c r="K1972" s="1">
        <f>IFERROR(__xludf.DUMMYFUNCTION("""COMPUTED_VALUE"""),58.8)</f>
        <v>58.8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>
        <f>IFERROR(__xludf.DUMMYFUNCTION("""COMPUTED_VALUE"""),68.0)</f>
        <v>68</v>
      </c>
      <c r="E1973" s="1">
        <f>IFERROR(__xludf.DUMMYFUNCTION("""COMPUTED_VALUE"""),22.0)</f>
        <v>22</v>
      </c>
      <c r="F1973" s="1">
        <f>IFERROR(__xludf.DUMMYFUNCTION("""COMPUTED_VALUE"""),71.0)</f>
        <v>71</v>
      </c>
      <c r="G1973" s="1">
        <f>IFERROR(__xludf.DUMMYFUNCTION("""COMPUTED_VALUE"""),76.0)</f>
        <v>76</v>
      </c>
      <c r="H1973" s="1">
        <f>IFERROR(__xludf.DUMMYFUNCTION("""COMPUTED_VALUE"""),94.0)</f>
        <v>94</v>
      </c>
      <c r="I1973" s="1">
        <f>IFERROR(__xludf.DUMMYFUNCTION("""COMPUTED_VALUE"""),41.0)</f>
        <v>41</v>
      </c>
      <c r="J1973" s="1">
        <f>IFERROR(__xludf.DUMMYFUNCTION("""COMPUTED_VALUE"""),304.0)</f>
        <v>304</v>
      </c>
      <c r="K1973" s="1">
        <f>IFERROR(__xludf.DUMMYFUNCTION("""COMPUTED_VALUE"""),60.8)</f>
        <v>60.8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>
        <f>IFERROR(__xludf.DUMMYFUNCTION("""COMPUTED_VALUE"""),88.0)</f>
        <v>88</v>
      </c>
      <c r="E1974" s="1">
        <f>IFERROR(__xludf.DUMMYFUNCTION("""COMPUTED_VALUE"""),84.0)</f>
        <v>84</v>
      </c>
      <c r="F1974" s="1">
        <f>IFERROR(__xludf.DUMMYFUNCTION("""COMPUTED_VALUE"""),87.0)</f>
        <v>87</v>
      </c>
      <c r="G1974" s="1">
        <f>IFERROR(__xludf.DUMMYFUNCTION("""COMPUTED_VALUE"""),98.0)</f>
        <v>98</v>
      </c>
      <c r="H1974" s="1">
        <f>IFERROR(__xludf.DUMMYFUNCTION("""COMPUTED_VALUE"""),87.0)</f>
        <v>87</v>
      </c>
      <c r="I1974" s="1">
        <f>IFERROR(__xludf.DUMMYFUNCTION("""COMPUTED_VALUE"""),41.0)</f>
        <v>41</v>
      </c>
      <c r="J1974" s="1">
        <f>IFERROR(__xludf.DUMMYFUNCTION("""COMPUTED_VALUE"""),397.0)</f>
        <v>397</v>
      </c>
      <c r="K1974" s="1">
        <f>IFERROR(__xludf.DUMMYFUNCTION("""COMPUTED_VALUE"""),79.4)</f>
        <v>79.4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>
        <f>IFERROR(__xludf.DUMMYFUNCTION("""COMPUTED_VALUE"""),63.0)</f>
        <v>63</v>
      </c>
      <c r="E1975" s="1">
        <f>IFERROR(__xludf.DUMMYFUNCTION("""COMPUTED_VALUE"""),98.0)</f>
        <v>98</v>
      </c>
      <c r="F1975" s="1">
        <f>IFERROR(__xludf.DUMMYFUNCTION("""COMPUTED_VALUE"""),25.0)</f>
        <v>25</v>
      </c>
      <c r="G1975" s="1">
        <f>IFERROR(__xludf.DUMMYFUNCTION("""COMPUTED_VALUE"""),59.0)</f>
        <v>59</v>
      </c>
      <c r="H1975" s="1">
        <f>IFERROR(__xludf.DUMMYFUNCTION("""COMPUTED_VALUE"""),37.0)</f>
        <v>37</v>
      </c>
      <c r="I1975" s="1">
        <f>IFERROR(__xludf.DUMMYFUNCTION("""COMPUTED_VALUE"""),31.0)</f>
        <v>31</v>
      </c>
      <c r="J1975" s="1">
        <f>IFERROR(__xludf.DUMMYFUNCTION("""COMPUTED_VALUE"""),250.0)</f>
        <v>250</v>
      </c>
      <c r="K1975" s="1">
        <f>IFERROR(__xludf.DUMMYFUNCTION("""COMPUTED_VALUE"""),50.0)</f>
        <v>50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>
        <f>IFERROR(__xludf.DUMMYFUNCTION("""COMPUTED_VALUE"""),13.0)</f>
        <v>13</v>
      </c>
      <c r="E1976" s="1">
        <f>IFERROR(__xludf.DUMMYFUNCTION("""COMPUTED_VALUE"""),48.0)</f>
        <v>48</v>
      </c>
      <c r="F1976" s="1">
        <f>IFERROR(__xludf.DUMMYFUNCTION("""COMPUTED_VALUE"""),26.0)</f>
        <v>26</v>
      </c>
      <c r="G1976" s="1">
        <f>IFERROR(__xludf.DUMMYFUNCTION("""COMPUTED_VALUE"""),54.0)</f>
        <v>54</v>
      </c>
      <c r="H1976" s="1">
        <f>IFERROR(__xludf.DUMMYFUNCTION("""COMPUTED_VALUE"""),91.0)</f>
        <v>91</v>
      </c>
      <c r="I1976" s="1">
        <f>IFERROR(__xludf.DUMMYFUNCTION("""COMPUTED_VALUE"""),33.0)</f>
        <v>33</v>
      </c>
      <c r="J1976" s="1">
        <f>IFERROR(__xludf.DUMMYFUNCTION("""COMPUTED_VALUE"""),252.0)</f>
        <v>252</v>
      </c>
      <c r="K1976" s="1">
        <f>IFERROR(__xludf.DUMMYFUNCTION("""COMPUTED_VALUE"""),50.4)</f>
        <v>50.4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>
        <f>IFERROR(__xludf.DUMMYFUNCTION("""COMPUTED_VALUE"""),18.0)</f>
        <v>18</v>
      </c>
      <c r="E1977" s="1">
        <f>IFERROR(__xludf.DUMMYFUNCTION("""COMPUTED_VALUE"""),52.0)</f>
        <v>52</v>
      </c>
      <c r="F1977" s="1">
        <f>IFERROR(__xludf.DUMMYFUNCTION("""COMPUTED_VALUE"""),47.0)</f>
        <v>47</v>
      </c>
      <c r="G1977" s="1">
        <f>IFERROR(__xludf.DUMMYFUNCTION("""COMPUTED_VALUE"""),45.0)</f>
        <v>45</v>
      </c>
      <c r="H1977" s="1">
        <f>IFERROR(__xludf.DUMMYFUNCTION("""COMPUTED_VALUE"""),53.0)</f>
        <v>53</v>
      </c>
      <c r="I1977" s="1">
        <f>IFERROR(__xludf.DUMMYFUNCTION("""COMPUTED_VALUE"""),53.0)</f>
        <v>53</v>
      </c>
      <c r="J1977" s="1">
        <f>IFERROR(__xludf.DUMMYFUNCTION("""COMPUTED_VALUE"""),250.0)</f>
        <v>250</v>
      </c>
      <c r="K1977" s="1">
        <f>IFERROR(__xludf.DUMMYFUNCTION("""COMPUTED_VALUE"""),50.0)</f>
        <v>50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>
        <f>IFERROR(__xludf.DUMMYFUNCTION("""COMPUTED_VALUE"""),94.0)</f>
        <v>94</v>
      </c>
      <c r="E1978" s="1">
        <f>IFERROR(__xludf.DUMMYFUNCTION("""COMPUTED_VALUE"""),21.0)</f>
        <v>21</v>
      </c>
      <c r="F1978" s="1">
        <f>IFERROR(__xludf.DUMMYFUNCTION("""COMPUTED_VALUE"""),68.0)</f>
        <v>68</v>
      </c>
      <c r="G1978" s="1">
        <f>IFERROR(__xludf.DUMMYFUNCTION("""COMPUTED_VALUE"""),93.0)</f>
        <v>93</v>
      </c>
      <c r="H1978" s="1">
        <f>IFERROR(__xludf.DUMMYFUNCTION("""COMPUTED_VALUE"""),44.0)</f>
        <v>44</v>
      </c>
      <c r="I1978" s="1">
        <f>IFERROR(__xludf.DUMMYFUNCTION("""COMPUTED_VALUE"""),79.0)</f>
        <v>79</v>
      </c>
      <c r="J1978" s="1">
        <f>IFERROR(__xludf.DUMMYFUNCTION("""COMPUTED_VALUE"""),305.0)</f>
        <v>305</v>
      </c>
      <c r="K1978" s="1">
        <f>IFERROR(__xludf.DUMMYFUNCTION("""COMPUTED_VALUE"""),61.0)</f>
        <v>61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>
        <f>IFERROR(__xludf.DUMMYFUNCTION("""COMPUTED_VALUE"""),19.0)</f>
        <v>19</v>
      </c>
      <c r="E1979" s="1">
        <f>IFERROR(__xludf.DUMMYFUNCTION("""COMPUTED_VALUE"""),71.0)</f>
        <v>71</v>
      </c>
      <c r="F1979" s="1">
        <f>IFERROR(__xludf.DUMMYFUNCTION("""COMPUTED_VALUE"""),37.0)</f>
        <v>37</v>
      </c>
      <c r="G1979" s="1">
        <f>IFERROR(__xludf.DUMMYFUNCTION("""COMPUTED_VALUE"""),90.0)</f>
        <v>90</v>
      </c>
      <c r="H1979" s="1">
        <f>IFERROR(__xludf.DUMMYFUNCTION("""COMPUTED_VALUE"""),84.0)</f>
        <v>84</v>
      </c>
      <c r="I1979" s="1">
        <f>IFERROR(__xludf.DUMMYFUNCTION("""COMPUTED_VALUE"""),24.0)</f>
        <v>24</v>
      </c>
      <c r="J1979" s="1">
        <f>IFERROR(__xludf.DUMMYFUNCTION("""COMPUTED_VALUE"""),306.0)</f>
        <v>306</v>
      </c>
      <c r="K1979" s="1">
        <f>IFERROR(__xludf.DUMMYFUNCTION("""COMPUTED_VALUE"""),61.199999999999996)</f>
        <v>61.2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>
        <f>IFERROR(__xludf.DUMMYFUNCTION("""COMPUTED_VALUE"""),23.0)</f>
        <v>23</v>
      </c>
      <c r="E1980" s="1">
        <f>IFERROR(__xludf.DUMMYFUNCTION("""COMPUTED_VALUE"""),86.0)</f>
        <v>86</v>
      </c>
      <c r="F1980" s="1">
        <f>IFERROR(__xludf.DUMMYFUNCTION("""COMPUTED_VALUE"""),22.0)</f>
        <v>22</v>
      </c>
      <c r="G1980" s="1">
        <f>IFERROR(__xludf.DUMMYFUNCTION("""COMPUTED_VALUE"""),80.0)</f>
        <v>80</v>
      </c>
      <c r="H1980" s="1">
        <f>IFERROR(__xludf.DUMMYFUNCTION("""COMPUTED_VALUE"""),57.0)</f>
        <v>57</v>
      </c>
      <c r="I1980" s="1">
        <f>IFERROR(__xludf.DUMMYFUNCTION("""COMPUTED_VALUE"""),93.0)</f>
        <v>93</v>
      </c>
      <c r="J1980" s="1">
        <f>IFERROR(__xludf.DUMMYFUNCTION("""COMPUTED_VALUE"""),338.0)</f>
        <v>338</v>
      </c>
      <c r="K1980" s="1">
        <f>IFERROR(__xludf.DUMMYFUNCTION("""COMPUTED_VALUE"""),67.60000000000001)</f>
        <v>67.6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>
        <f>IFERROR(__xludf.DUMMYFUNCTION("""COMPUTED_VALUE"""),60.0)</f>
        <v>60</v>
      </c>
      <c r="E1981" s="1">
        <f>IFERROR(__xludf.DUMMYFUNCTION("""COMPUTED_VALUE"""),97.0)</f>
        <v>97</v>
      </c>
      <c r="F1981" s="1">
        <f>IFERROR(__xludf.DUMMYFUNCTION("""COMPUTED_VALUE"""),74.0)</f>
        <v>74</v>
      </c>
      <c r="G1981" s="1">
        <f>IFERROR(__xludf.DUMMYFUNCTION("""COMPUTED_VALUE"""),75.0)</f>
        <v>75</v>
      </c>
      <c r="H1981" s="1">
        <f>IFERROR(__xludf.DUMMYFUNCTION("""COMPUTED_VALUE"""),25.0)</f>
        <v>25</v>
      </c>
      <c r="I1981" s="1">
        <f>IFERROR(__xludf.DUMMYFUNCTION("""COMPUTED_VALUE"""),44.0)</f>
        <v>44</v>
      </c>
      <c r="J1981" s="1">
        <f>IFERROR(__xludf.DUMMYFUNCTION("""COMPUTED_VALUE"""),315.0)</f>
        <v>315</v>
      </c>
      <c r="K1981" s="1">
        <f>IFERROR(__xludf.DUMMYFUNCTION("""COMPUTED_VALUE"""),63.0)</f>
        <v>63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>
        <f>IFERROR(__xludf.DUMMYFUNCTION("""COMPUTED_VALUE"""),41.0)</f>
        <v>41</v>
      </c>
      <c r="E1982" s="1">
        <f>IFERROR(__xludf.DUMMYFUNCTION("""COMPUTED_VALUE"""),79.0)</f>
        <v>79</v>
      </c>
      <c r="F1982" s="1">
        <f>IFERROR(__xludf.DUMMYFUNCTION("""COMPUTED_VALUE"""),27.0)</f>
        <v>27</v>
      </c>
      <c r="G1982" s="1">
        <f>IFERROR(__xludf.DUMMYFUNCTION("""COMPUTED_VALUE"""),93.0)</f>
        <v>93</v>
      </c>
      <c r="H1982" s="1">
        <f>IFERROR(__xludf.DUMMYFUNCTION("""COMPUTED_VALUE"""),77.0)</f>
        <v>77</v>
      </c>
      <c r="I1982" s="1">
        <f>IFERROR(__xludf.DUMMYFUNCTION("""COMPUTED_VALUE"""),21.0)</f>
        <v>21</v>
      </c>
      <c r="J1982" s="1">
        <f>IFERROR(__xludf.DUMMYFUNCTION("""COMPUTED_VALUE"""),297.0)</f>
        <v>297</v>
      </c>
      <c r="K1982" s="1">
        <f>IFERROR(__xludf.DUMMYFUNCTION("""COMPUTED_VALUE"""),59.4)</f>
        <v>59.4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>
        <f>IFERROR(__xludf.DUMMYFUNCTION("""COMPUTED_VALUE"""),48.0)</f>
        <v>48</v>
      </c>
      <c r="E1983" s="1">
        <f>IFERROR(__xludf.DUMMYFUNCTION("""COMPUTED_VALUE"""),43.0)</f>
        <v>43</v>
      </c>
      <c r="F1983" s="1">
        <f>IFERROR(__xludf.DUMMYFUNCTION("""COMPUTED_VALUE"""),93.0)</f>
        <v>93</v>
      </c>
      <c r="G1983" s="1">
        <f>IFERROR(__xludf.DUMMYFUNCTION("""COMPUTED_VALUE"""),36.0)</f>
        <v>36</v>
      </c>
      <c r="H1983" s="1">
        <f>IFERROR(__xludf.DUMMYFUNCTION("""COMPUTED_VALUE"""),57.0)</f>
        <v>57</v>
      </c>
      <c r="I1983" s="1">
        <f>IFERROR(__xludf.DUMMYFUNCTION("""COMPUTED_VALUE"""),36.0)</f>
        <v>36</v>
      </c>
      <c r="J1983" s="1">
        <f>IFERROR(__xludf.DUMMYFUNCTION("""COMPUTED_VALUE"""),265.0)</f>
        <v>265</v>
      </c>
      <c r="K1983" s="1">
        <f>IFERROR(__xludf.DUMMYFUNCTION("""COMPUTED_VALUE"""),53.0)</f>
        <v>53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>
        <f>IFERROR(__xludf.DUMMYFUNCTION("""COMPUTED_VALUE"""),94.0)</f>
        <v>94</v>
      </c>
      <c r="E1984" s="1">
        <f>IFERROR(__xludf.DUMMYFUNCTION("""COMPUTED_VALUE"""),84.0)</f>
        <v>84</v>
      </c>
      <c r="F1984" s="1">
        <f>IFERROR(__xludf.DUMMYFUNCTION("""COMPUTED_VALUE"""),74.0)</f>
        <v>74</v>
      </c>
      <c r="G1984" s="1">
        <f>IFERROR(__xludf.DUMMYFUNCTION("""COMPUTED_VALUE"""),20.0)</f>
        <v>20</v>
      </c>
      <c r="H1984" s="1">
        <f>IFERROR(__xludf.DUMMYFUNCTION("""COMPUTED_VALUE"""),37.0)</f>
        <v>37</v>
      </c>
      <c r="I1984" s="1">
        <f>IFERROR(__xludf.DUMMYFUNCTION("""COMPUTED_VALUE"""),97.0)</f>
        <v>97</v>
      </c>
      <c r="J1984" s="1">
        <f>IFERROR(__xludf.DUMMYFUNCTION("""COMPUTED_VALUE"""),312.0)</f>
        <v>312</v>
      </c>
      <c r="K1984" s="1">
        <f>IFERROR(__xludf.DUMMYFUNCTION("""COMPUTED_VALUE"""),62.4)</f>
        <v>62.4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>
        <f>IFERROR(__xludf.DUMMYFUNCTION("""COMPUTED_VALUE"""),64.0)</f>
        <v>64</v>
      </c>
      <c r="E1985" s="1">
        <f>IFERROR(__xludf.DUMMYFUNCTION("""COMPUTED_VALUE"""),72.0)</f>
        <v>72</v>
      </c>
      <c r="F1985" s="1">
        <f>IFERROR(__xludf.DUMMYFUNCTION("""COMPUTED_VALUE"""),69.0)</f>
        <v>69</v>
      </c>
      <c r="G1985" s="1">
        <f>IFERROR(__xludf.DUMMYFUNCTION("""COMPUTED_VALUE"""),37.0)</f>
        <v>37</v>
      </c>
      <c r="H1985" s="1">
        <f>IFERROR(__xludf.DUMMYFUNCTION("""COMPUTED_VALUE"""),89.0)</f>
        <v>89</v>
      </c>
      <c r="I1985" s="1">
        <f>IFERROR(__xludf.DUMMYFUNCTION("""COMPUTED_VALUE"""),82.0)</f>
        <v>82</v>
      </c>
      <c r="J1985" s="1">
        <f>IFERROR(__xludf.DUMMYFUNCTION("""COMPUTED_VALUE"""),349.0)</f>
        <v>349</v>
      </c>
      <c r="K1985" s="1">
        <f>IFERROR(__xludf.DUMMYFUNCTION("""COMPUTED_VALUE"""),69.8)</f>
        <v>69.8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>
        <f>IFERROR(__xludf.DUMMYFUNCTION("""COMPUTED_VALUE"""),65.0)</f>
        <v>65</v>
      </c>
      <c r="E1986" s="1">
        <f>IFERROR(__xludf.DUMMYFUNCTION("""COMPUTED_VALUE"""),46.0)</f>
        <v>46</v>
      </c>
      <c r="F1986" s="1">
        <f>IFERROR(__xludf.DUMMYFUNCTION("""COMPUTED_VALUE"""),58.0)</f>
        <v>58</v>
      </c>
      <c r="G1986" s="1">
        <f>IFERROR(__xludf.DUMMYFUNCTION("""COMPUTED_VALUE"""),34.0)</f>
        <v>34</v>
      </c>
      <c r="H1986" s="1">
        <f>IFERROR(__xludf.DUMMYFUNCTION("""COMPUTED_VALUE"""),88.0)</f>
        <v>88</v>
      </c>
      <c r="I1986" s="1">
        <f>IFERROR(__xludf.DUMMYFUNCTION("""COMPUTED_VALUE"""),59.0)</f>
        <v>59</v>
      </c>
      <c r="J1986" s="1">
        <f>IFERROR(__xludf.DUMMYFUNCTION("""COMPUTED_VALUE"""),285.0)</f>
        <v>285</v>
      </c>
      <c r="K1986" s="1">
        <f>IFERROR(__xludf.DUMMYFUNCTION("""COMPUTED_VALUE"""),56.99999999999999)</f>
        <v>57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>
        <f>IFERROR(__xludf.DUMMYFUNCTION("""COMPUTED_VALUE"""),10.0)</f>
        <v>10</v>
      </c>
      <c r="E1987" s="1">
        <f>IFERROR(__xludf.DUMMYFUNCTION("""COMPUTED_VALUE"""),40.0)</f>
        <v>40</v>
      </c>
      <c r="F1987" s="1">
        <f>IFERROR(__xludf.DUMMYFUNCTION("""COMPUTED_VALUE"""),54.0)</f>
        <v>54</v>
      </c>
      <c r="G1987" s="1">
        <f>IFERROR(__xludf.DUMMYFUNCTION("""COMPUTED_VALUE"""),35.0)</f>
        <v>35</v>
      </c>
      <c r="H1987" s="1">
        <f>IFERROR(__xludf.DUMMYFUNCTION("""COMPUTED_VALUE"""),85.0)</f>
        <v>85</v>
      </c>
      <c r="I1987" s="1">
        <f>IFERROR(__xludf.DUMMYFUNCTION("""COMPUTED_VALUE"""),79.0)</f>
        <v>79</v>
      </c>
      <c r="J1987" s="1">
        <f>IFERROR(__xludf.DUMMYFUNCTION("""COMPUTED_VALUE"""),293.0)</f>
        <v>293</v>
      </c>
      <c r="K1987" s="1">
        <f>IFERROR(__xludf.DUMMYFUNCTION("""COMPUTED_VALUE"""),58.599999999999994)</f>
        <v>58.6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>
        <f>IFERROR(__xludf.DUMMYFUNCTION("""COMPUTED_VALUE"""),10.0)</f>
        <v>10</v>
      </c>
      <c r="E1988" s="1">
        <f>IFERROR(__xludf.DUMMYFUNCTION("""COMPUTED_VALUE"""),81.0)</f>
        <v>81</v>
      </c>
      <c r="F1988" s="1">
        <f>IFERROR(__xludf.DUMMYFUNCTION("""COMPUTED_VALUE"""),75.0)</f>
        <v>75</v>
      </c>
      <c r="G1988" s="1">
        <f>IFERROR(__xludf.DUMMYFUNCTION("""COMPUTED_VALUE"""),40.0)</f>
        <v>40</v>
      </c>
      <c r="H1988" s="1">
        <f>IFERROR(__xludf.DUMMYFUNCTION("""COMPUTED_VALUE"""),61.0)</f>
        <v>61</v>
      </c>
      <c r="I1988" s="1">
        <f>IFERROR(__xludf.DUMMYFUNCTION("""COMPUTED_VALUE"""),55.0)</f>
        <v>55</v>
      </c>
      <c r="J1988" s="1">
        <f>IFERROR(__xludf.DUMMYFUNCTION("""COMPUTED_VALUE"""),312.0)</f>
        <v>312</v>
      </c>
      <c r="K1988" s="1">
        <f>IFERROR(__xludf.DUMMYFUNCTION("""COMPUTED_VALUE"""),62.4)</f>
        <v>62.4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>
        <f>IFERROR(__xludf.DUMMYFUNCTION("""COMPUTED_VALUE"""),28.0)</f>
        <v>28</v>
      </c>
      <c r="E1989" s="1">
        <f>IFERROR(__xludf.DUMMYFUNCTION("""COMPUTED_VALUE"""),76.0)</f>
        <v>76</v>
      </c>
      <c r="F1989" s="1">
        <f>IFERROR(__xludf.DUMMYFUNCTION("""COMPUTED_VALUE"""),59.0)</f>
        <v>59</v>
      </c>
      <c r="G1989" s="1">
        <f>IFERROR(__xludf.DUMMYFUNCTION("""COMPUTED_VALUE"""),47.0)</f>
        <v>47</v>
      </c>
      <c r="H1989" s="1">
        <f>IFERROR(__xludf.DUMMYFUNCTION("""COMPUTED_VALUE"""),72.0)</f>
        <v>72</v>
      </c>
      <c r="I1989" s="1">
        <f>IFERROR(__xludf.DUMMYFUNCTION("""COMPUTED_VALUE"""),82.0)</f>
        <v>82</v>
      </c>
      <c r="J1989" s="1">
        <f>IFERROR(__xludf.DUMMYFUNCTION("""COMPUTED_VALUE"""),336.0)</f>
        <v>336</v>
      </c>
      <c r="K1989" s="1">
        <f>IFERROR(__xludf.DUMMYFUNCTION("""COMPUTED_VALUE"""),67.2)</f>
        <v>67.2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>
        <f>IFERROR(__xludf.DUMMYFUNCTION("""COMPUTED_VALUE"""),91.0)</f>
        <v>91</v>
      </c>
      <c r="E1990" s="1">
        <f>IFERROR(__xludf.DUMMYFUNCTION("""COMPUTED_VALUE"""),31.0)</f>
        <v>31</v>
      </c>
      <c r="F1990" s="1">
        <f>IFERROR(__xludf.DUMMYFUNCTION("""COMPUTED_VALUE"""),75.0)</f>
        <v>75</v>
      </c>
      <c r="G1990" s="1">
        <f>IFERROR(__xludf.DUMMYFUNCTION("""COMPUTED_VALUE"""),92.0)</f>
        <v>92</v>
      </c>
      <c r="H1990" s="1">
        <f>IFERROR(__xludf.DUMMYFUNCTION("""COMPUTED_VALUE"""),35.0)</f>
        <v>35</v>
      </c>
      <c r="I1990" s="1">
        <f>IFERROR(__xludf.DUMMYFUNCTION("""COMPUTED_VALUE"""),93.0)</f>
        <v>93</v>
      </c>
      <c r="J1990" s="1">
        <f>IFERROR(__xludf.DUMMYFUNCTION("""COMPUTED_VALUE"""),326.0)</f>
        <v>326</v>
      </c>
      <c r="K1990" s="1">
        <f>IFERROR(__xludf.DUMMYFUNCTION("""COMPUTED_VALUE"""),65.2)</f>
        <v>65.2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>
        <f>IFERROR(__xludf.DUMMYFUNCTION("""COMPUTED_VALUE"""),16.0)</f>
        <v>16</v>
      </c>
      <c r="E1991" s="1">
        <f>IFERROR(__xludf.DUMMYFUNCTION("""COMPUTED_VALUE"""),67.0)</f>
        <v>67</v>
      </c>
      <c r="F1991" s="1">
        <f>IFERROR(__xludf.DUMMYFUNCTION("""COMPUTED_VALUE"""),35.0)</f>
        <v>35</v>
      </c>
      <c r="G1991" s="1">
        <f>IFERROR(__xludf.DUMMYFUNCTION("""COMPUTED_VALUE"""),43.0)</f>
        <v>43</v>
      </c>
      <c r="H1991" s="1">
        <f>IFERROR(__xludf.DUMMYFUNCTION("""COMPUTED_VALUE"""),85.0)</f>
        <v>85</v>
      </c>
      <c r="I1991" s="1">
        <f>IFERROR(__xludf.DUMMYFUNCTION("""COMPUTED_VALUE"""),90.0)</f>
        <v>90</v>
      </c>
      <c r="J1991" s="1">
        <f>IFERROR(__xludf.DUMMYFUNCTION("""COMPUTED_VALUE"""),320.0)</f>
        <v>320</v>
      </c>
      <c r="K1991" s="1">
        <f>IFERROR(__xludf.DUMMYFUNCTION("""COMPUTED_VALUE"""),64.0)</f>
        <v>64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>
        <f>IFERROR(__xludf.DUMMYFUNCTION("""COMPUTED_VALUE"""),56.0)</f>
        <v>56</v>
      </c>
      <c r="E1992" s="1">
        <f>IFERROR(__xludf.DUMMYFUNCTION("""COMPUTED_VALUE"""),71.0)</f>
        <v>71</v>
      </c>
      <c r="F1992" s="1">
        <f>IFERROR(__xludf.DUMMYFUNCTION("""COMPUTED_VALUE"""),72.0)</f>
        <v>72</v>
      </c>
      <c r="G1992" s="1">
        <f>IFERROR(__xludf.DUMMYFUNCTION("""COMPUTED_VALUE"""),42.0)</f>
        <v>42</v>
      </c>
      <c r="H1992" s="1">
        <f>IFERROR(__xludf.DUMMYFUNCTION("""COMPUTED_VALUE"""),50.0)</f>
        <v>50</v>
      </c>
      <c r="I1992" s="1">
        <f>IFERROR(__xludf.DUMMYFUNCTION("""COMPUTED_VALUE"""),96.0)</f>
        <v>96</v>
      </c>
      <c r="J1992" s="1">
        <f>IFERROR(__xludf.DUMMYFUNCTION("""COMPUTED_VALUE"""),331.0)</f>
        <v>331</v>
      </c>
      <c r="K1992" s="1">
        <f>IFERROR(__xludf.DUMMYFUNCTION("""COMPUTED_VALUE"""),66.2)</f>
        <v>66.2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>
        <f>IFERROR(__xludf.DUMMYFUNCTION("""COMPUTED_VALUE"""),90.0)</f>
        <v>90</v>
      </c>
      <c r="E1993" s="1">
        <f>IFERROR(__xludf.DUMMYFUNCTION("""COMPUTED_VALUE"""),62.0)</f>
        <v>62</v>
      </c>
      <c r="F1993" s="1">
        <f>IFERROR(__xludf.DUMMYFUNCTION("""COMPUTED_VALUE"""),59.0)</f>
        <v>59</v>
      </c>
      <c r="G1993" s="1">
        <f>IFERROR(__xludf.DUMMYFUNCTION("""COMPUTED_VALUE"""),80.0)</f>
        <v>80</v>
      </c>
      <c r="H1993" s="1">
        <f>IFERROR(__xludf.DUMMYFUNCTION("""COMPUTED_VALUE"""),57.0)</f>
        <v>57</v>
      </c>
      <c r="I1993" s="1">
        <f>IFERROR(__xludf.DUMMYFUNCTION("""COMPUTED_VALUE"""),59.0)</f>
        <v>59</v>
      </c>
      <c r="J1993" s="1">
        <f>IFERROR(__xludf.DUMMYFUNCTION("""COMPUTED_VALUE"""),317.0)</f>
        <v>317</v>
      </c>
      <c r="K1993" s="1">
        <f>IFERROR(__xludf.DUMMYFUNCTION("""COMPUTED_VALUE"""),63.4)</f>
        <v>63.4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>
        <f>IFERROR(__xludf.DUMMYFUNCTION("""COMPUTED_VALUE"""),47.0)</f>
        <v>47</v>
      </c>
      <c r="E1994" s="1">
        <f>IFERROR(__xludf.DUMMYFUNCTION("""COMPUTED_VALUE"""),41.0)</f>
        <v>41</v>
      </c>
      <c r="F1994" s="1">
        <f>IFERROR(__xludf.DUMMYFUNCTION("""COMPUTED_VALUE"""),96.0)</f>
        <v>96</v>
      </c>
      <c r="G1994" s="1">
        <f>IFERROR(__xludf.DUMMYFUNCTION("""COMPUTED_VALUE"""),96.0)</f>
        <v>96</v>
      </c>
      <c r="H1994" s="1">
        <f>IFERROR(__xludf.DUMMYFUNCTION("""COMPUTED_VALUE"""),27.0)</f>
        <v>27</v>
      </c>
      <c r="I1994" s="1">
        <f>IFERROR(__xludf.DUMMYFUNCTION("""COMPUTED_VALUE"""),70.0)</f>
        <v>70</v>
      </c>
      <c r="J1994" s="1">
        <f>IFERROR(__xludf.DUMMYFUNCTION("""COMPUTED_VALUE"""),330.0)</f>
        <v>330</v>
      </c>
      <c r="K1994" s="1">
        <f>IFERROR(__xludf.DUMMYFUNCTION("""COMPUTED_VALUE"""),66.0)</f>
        <v>66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>
        <f>IFERROR(__xludf.DUMMYFUNCTION("""COMPUTED_VALUE"""),90.0)</f>
        <v>90</v>
      </c>
      <c r="E1995" s="1">
        <f>IFERROR(__xludf.DUMMYFUNCTION("""COMPUTED_VALUE"""),57.0)</f>
        <v>57</v>
      </c>
      <c r="F1995" s="1">
        <f>IFERROR(__xludf.DUMMYFUNCTION("""COMPUTED_VALUE"""),37.0)</f>
        <v>37</v>
      </c>
      <c r="G1995" s="1">
        <f>IFERROR(__xludf.DUMMYFUNCTION("""COMPUTED_VALUE"""),62.0)</f>
        <v>62</v>
      </c>
      <c r="H1995" s="1">
        <f>IFERROR(__xludf.DUMMYFUNCTION("""COMPUTED_VALUE"""),54.0)</f>
        <v>54</v>
      </c>
      <c r="I1995" s="1">
        <f>IFERROR(__xludf.DUMMYFUNCTION("""COMPUTED_VALUE"""),52.0)</f>
        <v>52</v>
      </c>
      <c r="J1995" s="1">
        <f>IFERROR(__xludf.DUMMYFUNCTION("""COMPUTED_VALUE"""),262.0)</f>
        <v>262</v>
      </c>
      <c r="K1995" s="1">
        <f>IFERROR(__xludf.DUMMYFUNCTION("""COMPUTED_VALUE"""),52.400000000000006)</f>
        <v>52.4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>
        <f>IFERROR(__xludf.DUMMYFUNCTION("""COMPUTED_VALUE"""),67.0)</f>
        <v>67</v>
      </c>
      <c r="E1996" s="1">
        <f>IFERROR(__xludf.DUMMYFUNCTION("""COMPUTED_VALUE"""),32.0)</f>
        <v>32</v>
      </c>
      <c r="F1996" s="1">
        <f>IFERROR(__xludf.DUMMYFUNCTION("""COMPUTED_VALUE"""),73.0)</f>
        <v>73</v>
      </c>
      <c r="G1996" s="1">
        <f>IFERROR(__xludf.DUMMYFUNCTION("""COMPUTED_VALUE"""),36.0)</f>
        <v>36</v>
      </c>
      <c r="H1996" s="1">
        <f>IFERROR(__xludf.DUMMYFUNCTION("""COMPUTED_VALUE"""),52.0)</f>
        <v>52</v>
      </c>
      <c r="I1996" s="1">
        <f>IFERROR(__xludf.DUMMYFUNCTION("""COMPUTED_VALUE"""),96.0)</f>
        <v>96</v>
      </c>
      <c r="J1996" s="1">
        <f>IFERROR(__xludf.DUMMYFUNCTION("""COMPUTED_VALUE"""),289.0)</f>
        <v>289</v>
      </c>
      <c r="K1996" s="1">
        <f>IFERROR(__xludf.DUMMYFUNCTION("""COMPUTED_VALUE"""),57.8)</f>
        <v>57.8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>
        <f>IFERROR(__xludf.DUMMYFUNCTION("""COMPUTED_VALUE"""),67.0)</f>
        <v>67</v>
      </c>
      <c r="E1997" s="1">
        <f>IFERROR(__xludf.DUMMYFUNCTION("""COMPUTED_VALUE"""),53.0)</f>
        <v>53</v>
      </c>
      <c r="F1997" s="1">
        <f>IFERROR(__xludf.DUMMYFUNCTION("""COMPUTED_VALUE"""),91.0)</f>
        <v>91</v>
      </c>
      <c r="G1997" s="1">
        <f>IFERROR(__xludf.DUMMYFUNCTION("""COMPUTED_VALUE"""),46.0)</f>
        <v>46</v>
      </c>
      <c r="H1997" s="1">
        <f>IFERROR(__xludf.DUMMYFUNCTION("""COMPUTED_VALUE"""),52.0)</f>
        <v>52</v>
      </c>
      <c r="I1997" s="1">
        <f>IFERROR(__xludf.DUMMYFUNCTION("""COMPUTED_VALUE"""),24.0)</f>
        <v>24</v>
      </c>
      <c r="J1997" s="1">
        <f>IFERROR(__xludf.DUMMYFUNCTION("""COMPUTED_VALUE"""),266.0)</f>
        <v>266</v>
      </c>
      <c r="K1997" s="1">
        <f>IFERROR(__xludf.DUMMYFUNCTION("""COMPUTED_VALUE"""),53.2)</f>
        <v>53.2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>
        <f>IFERROR(__xludf.DUMMYFUNCTION("""COMPUTED_VALUE"""),27.0)</f>
        <v>27</v>
      </c>
      <c r="E1998" s="1">
        <f>IFERROR(__xludf.DUMMYFUNCTION("""COMPUTED_VALUE"""),24.0)</f>
        <v>24</v>
      </c>
      <c r="F1998" s="1">
        <f>IFERROR(__xludf.DUMMYFUNCTION("""COMPUTED_VALUE"""),57.0)</f>
        <v>57</v>
      </c>
      <c r="G1998" s="1">
        <f>IFERROR(__xludf.DUMMYFUNCTION("""COMPUTED_VALUE"""),33.0)</f>
        <v>33</v>
      </c>
      <c r="H1998" s="1">
        <f>IFERROR(__xludf.DUMMYFUNCTION("""COMPUTED_VALUE"""),33.0)</f>
        <v>33</v>
      </c>
      <c r="I1998" s="1">
        <f>IFERROR(__xludf.DUMMYFUNCTION("""COMPUTED_VALUE"""),67.0)</f>
        <v>67</v>
      </c>
      <c r="J1998" s="1">
        <f>IFERROR(__xludf.DUMMYFUNCTION("""COMPUTED_VALUE"""),214.0)</f>
        <v>214</v>
      </c>
      <c r="K1998" s="1">
        <f>IFERROR(__xludf.DUMMYFUNCTION("""COMPUTED_VALUE"""),42.8)</f>
        <v>42.8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>
        <f>IFERROR(__xludf.DUMMYFUNCTION("""COMPUTED_VALUE"""),80.0)</f>
        <v>80</v>
      </c>
      <c r="E1999" s="1">
        <f>IFERROR(__xludf.DUMMYFUNCTION("""COMPUTED_VALUE"""),49.0)</f>
        <v>49</v>
      </c>
      <c r="F1999" s="1">
        <f>IFERROR(__xludf.DUMMYFUNCTION("""COMPUTED_VALUE"""),53.0)</f>
        <v>53</v>
      </c>
      <c r="G1999" s="1">
        <f>IFERROR(__xludf.DUMMYFUNCTION("""COMPUTED_VALUE"""),43.0)</f>
        <v>43</v>
      </c>
      <c r="H1999" s="1">
        <f>IFERROR(__xludf.DUMMYFUNCTION("""COMPUTED_VALUE"""),40.0)</f>
        <v>40</v>
      </c>
      <c r="I1999" s="1">
        <f>IFERROR(__xludf.DUMMYFUNCTION("""COMPUTED_VALUE"""),84.0)</f>
        <v>84</v>
      </c>
      <c r="J1999" s="1">
        <f>IFERROR(__xludf.DUMMYFUNCTION("""COMPUTED_VALUE"""),269.0)</f>
        <v>269</v>
      </c>
      <c r="K1999" s="1">
        <f>IFERROR(__xludf.DUMMYFUNCTION("""COMPUTED_VALUE"""),53.800000000000004)</f>
        <v>53.8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>
        <f>IFERROR(__xludf.DUMMYFUNCTION("""COMPUTED_VALUE"""),36.0)</f>
        <v>36</v>
      </c>
      <c r="E2000" s="1">
        <f>IFERROR(__xludf.DUMMYFUNCTION("""COMPUTED_VALUE"""),81.0)</f>
        <v>81</v>
      </c>
      <c r="F2000" s="1">
        <f>IFERROR(__xludf.DUMMYFUNCTION("""COMPUTED_VALUE"""),95.0)</f>
        <v>95</v>
      </c>
      <c r="G2000" s="1">
        <f>IFERROR(__xludf.DUMMYFUNCTION("""COMPUTED_VALUE"""),88.0)</f>
        <v>88</v>
      </c>
      <c r="H2000" s="1">
        <f>IFERROR(__xludf.DUMMYFUNCTION("""COMPUTED_VALUE"""),43.0)</f>
        <v>43</v>
      </c>
      <c r="I2000" s="1">
        <f>IFERROR(__xludf.DUMMYFUNCTION("""COMPUTED_VALUE"""),51.0)</f>
        <v>51</v>
      </c>
      <c r="J2000" s="1">
        <f>IFERROR(__xludf.DUMMYFUNCTION("""COMPUTED_VALUE"""),358.0)</f>
        <v>358</v>
      </c>
      <c r="K2000" s="1">
        <f>IFERROR(__xludf.DUMMYFUNCTION("""COMPUTED_VALUE"""),71.6)</f>
        <v>71.6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>
        <f>IFERROR(__xludf.DUMMYFUNCTION("""COMPUTED_VALUE"""),52.0)</f>
        <v>52</v>
      </c>
      <c r="E2001" s="1">
        <f>IFERROR(__xludf.DUMMYFUNCTION("""COMPUTED_VALUE"""),42.0)</f>
        <v>42</v>
      </c>
      <c r="F2001" s="1">
        <f>IFERROR(__xludf.DUMMYFUNCTION("""COMPUTED_VALUE"""),60.0)</f>
        <v>60</v>
      </c>
      <c r="G2001" s="1">
        <f>IFERROR(__xludf.DUMMYFUNCTION("""COMPUTED_VALUE"""),59.0)</f>
        <v>59</v>
      </c>
      <c r="H2001" s="1">
        <f>IFERROR(__xludf.DUMMYFUNCTION("""COMPUTED_VALUE"""),79.0)</f>
        <v>79</v>
      </c>
      <c r="I2001" s="1">
        <f>IFERROR(__xludf.DUMMYFUNCTION("""COMPUTED_VALUE"""),88.0)</f>
        <v>88</v>
      </c>
      <c r="J2001" s="1">
        <f>IFERROR(__xludf.DUMMYFUNCTION("""COMPUTED_VALUE"""),328.0)</f>
        <v>328</v>
      </c>
      <c r="K2001" s="1">
        <f>IFERROR(__xludf.DUMMYFUNCTION("""COMPUTED_VALUE"""),65.60000000000001)</f>
        <v>65.6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75"/>
  </cols>
  <sheetData>
    <row r="1">
      <c r="A1" s="1" t="str">
        <f>IFERROR(__xludf.DUMMYFUNCTION("query(Sheet2!A1:J2001,
""SELECT Col1,Col2,Col4,Col5
WHERE Col3=10"",1) 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IFERROR(__xludf.DUMMYFUNCTION("""COMPUTED_VALUE"""),"Section")</f>
        <v>Section</v>
      </c>
      <c r="D1" s="1" t="str">
        <f>IFERROR(__xludf.DUMMYFUNCTION("""COMPUTED_VALUE"""),"Attendance (%)")</f>
        <v>Attendance (%)</v>
      </c>
      <c r="E1" s="2" t="s">
        <v>0</v>
      </c>
      <c r="F1" s="2" t="s">
        <v>1</v>
      </c>
    </row>
    <row r="2">
      <c r="A2" s="1" t="str">
        <f>IFERROR(__xludf.DUMMYFUNCTION("""COMPUTED_VALUE"""),"S0030")</f>
        <v>S0030</v>
      </c>
      <c r="B2" s="1" t="str">
        <f>IFERROR(__xludf.DUMMYFUNCTION("""COMPUTED_VALUE"""),"Neha Jha")</f>
        <v>Neha Jha</v>
      </c>
      <c r="C2" s="1" t="str">
        <f>IFERROR(__xludf.DUMMYFUNCTION("""COMPUTED_VALUE"""),"A")</f>
        <v>A</v>
      </c>
      <c r="D2" s="1">
        <f>IFERROR(__xludf.DUMMYFUNCTION("""COMPUTED_VALUE"""),44.0)</f>
        <v>44</v>
      </c>
      <c r="E2" s="1">
        <f t="array" ref="E2:E2501">if(isblank(A2:A2501),"",XLOOKUP(A2:A2501,Marksheet!A:A,Marksheet!J:J,"Absent",0))</f>
        <v>315</v>
      </c>
      <c r="F2" s="1">
        <f t="array" ref="F2:F2501">if(isblank(A2:A2501),"",XLOOKUP(A2:A2501,Marksheet!A:A,Marksheet!K:K,"Absent",0))</f>
        <v>63</v>
      </c>
    </row>
    <row r="3">
      <c r="A3" s="1" t="str">
        <f>IFERROR(__xludf.DUMMYFUNCTION("""COMPUTED_VALUE"""),"S0039")</f>
        <v>S0039</v>
      </c>
      <c r="B3" s="1" t="str">
        <f>IFERROR(__xludf.DUMMYFUNCTION("""COMPUTED_VALUE"""),"Pooja Gupta")</f>
        <v>Pooja Gupta</v>
      </c>
      <c r="C3" s="1" t="str">
        <f>IFERROR(__xludf.DUMMYFUNCTION("""COMPUTED_VALUE"""),"A")</f>
        <v>A</v>
      </c>
      <c r="D3" s="1">
        <f>IFERROR(__xludf.DUMMYFUNCTION("""COMPUTED_VALUE"""),93.0)</f>
        <v>93</v>
      </c>
      <c r="E3" s="1">
        <v>304.0</v>
      </c>
      <c r="F3" s="1">
        <v>60.8</v>
      </c>
    </row>
    <row r="4">
      <c r="A4" s="1" t="str">
        <f>IFERROR(__xludf.DUMMYFUNCTION("""COMPUTED_VALUE"""),"S0056")</f>
        <v>S0056</v>
      </c>
      <c r="B4" s="1" t="str">
        <f>IFERROR(__xludf.DUMMYFUNCTION("""COMPUTED_VALUE"""),"Deepak Pandey")</f>
        <v>Deepak Pandey</v>
      </c>
      <c r="C4" s="1" t="str">
        <f>IFERROR(__xludf.DUMMYFUNCTION("""COMPUTED_VALUE"""),"C")</f>
        <v>C</v>
      </c>
      <c r="D4" s="1">
        <f>IFERROR(__xludf.DUMMYFUNCTION("""COMPUTED_VALUE"""),98.0)</f>
        <v>98</v>
      </c>
      <c r="E4" s="1">
        <v>293.0</v>
      </c>
      <c r="F4" s="1">
        <v>58.599999999999994</v>
      </c>
    </row>
    <row r="5">
      <c r="A5" s="1" t="str">
        <f>IFERROR(__xludf.DUMMYFUNCTION("""COMPUTED_VALUE"""),"S0061")</f>
        <v>S0061</v>
      </c>
      <c r="B5" s="1" t="str">
        <f>IFERROR(__xludf.DUMMYFUNCTION("""COMPUTED_VALUE"""),"Saurabh Pandey")</f>
        <v>Saurabh Pandey</v>
      </c>
      <c r="C5" s="1" t="str">
        <f>IFERROR(__xludf.DUMMYFUNCTION("""COMPUTED_VALUE"""),"C")</f>
        <v>C</v>
      </c>
      <c r="D5" s="1">
        <f>IFERROR(__xludf.DUMMYFUNCTION("""COMPUTED_VALUE"""),64.0)</f>
        <v>64</v>
      </c>
      <c r="E5" s="1">
        <v>264.0</v>
      </c>
      <c r="F5" s="1">
        <v>52.800000000000004</v>
      </c>
    </row>
    <row r="6">
      <c r="A6" s="1" t="str">
        <f>IFERROR(__xludf.DUMMYFUNCTION("""COMPUTED_VALUE"""),"S0065")</f>
        <v>S0065</v>
      </c>
      <c r="B6" s="1" t="str">
        <f>IFERROR(__xludf.DUMMYFUNCTION("""COMPUTED_VALUE"""),"Ritu Kumar")</f>
        <v>Ritu Kumar</v>
      </c>
      <c r="C6" s="1" t="str">
        <f>IFERROR(__xludf.DUMMYFUNCTION("""COMPUTED_VALUE"""),"B")</f>
        <v>B</v>
      </c>
      <c r="D6" s="1">
        <f>IFERROR(__xludf.DUMMYFUNCTION("""COMPUTED_VALUE"""),54.0)</f>
        <v>54</v>
      </c>
      <c r="E6" s="1">
        <v>373.0</v>
      </c>
      <c r="F6" s="1">
        <v>74.6</v>
      </c>
    </row>
    <row r="7">
      <c r="A7" s="1" t="str">
        <f>IFERROR(__xludf.DUMMYFUNCTION("""COMPUTED_VALUE"""),"S0076")</f>
        <v>S0076</v>
      </c>
      <c r="B7" s="1" t="str">
        <f>IFERROR(__xludf.DUMMYFUNCTION("""COMPUTED_VALUE"""),"Ankit Bansal")</f>
        <v>Ankit Bansal</v>
      </c>
      <c r="C7" s="1" t="str">
        <f>IFERROR(__xludf.DUMMYFUNCTION("""COMPUTED_VALUE"""),"A")</f>
        <v>A</v>
      </c>
      <c r="D7" s="1">
        <f>IFERROR(__xludf.DUMMYFUNCTION("""COMPUTED_VALUE"""),71.0)</f>
        <v>71</v>
      </c>
      <c r="E7" s="1">
        <v>363.0</v>
      </c>
      <c r="F7" s="1">
        <v>72.6</v>
      </c>
    </row>
    <row r="8">
      <c r="A8" s="1" t="str">
        <f>IFERROR(__xludf.DUMMYFUNCTION("""COMPUTED_VALUE"""),"S0079")</f>
        <v>S0079</v>
      </c>
      <c r="B8" s="1" t="str">
        <f>IFERROR(__xludf.DUMMYFUNCTION("""COMPUTED_VALUE"""),"Kavita Kumar")</f>
        <v>Kavita Kumar</v>
      </c>
      <c r="C8" s="1" t="str">
        <f>IFERROR(__xludf.DUMMYFUNCTION("""COMPUTED_VALUE"""),"A")</f>
        <v>A</v>
      </c>
      <c r="D8" s="1">
        <f>IFERROR(__xludf.DUMMYFUNCTION("""COMPUTED_VALUE"""),79.0)</f>
        <v>79</v>
      </c>
      <c r="E8" s="1">
        <v>224.0</v>
      </c>
      <c r="F8" s="1">
        <v>44.800000000000004</v>
      </c>
    </row>
    <row r="9">
      <c r="A9" s="1" t="str">
        <f>IFERROR(__xludf.DUMMYFUNCTION("""COMPUTED_VALUE"""),"S0095")</f>
        <v>S0095</v>
      </c>
      <c r="B9" s="1" t="str">
        <f>IFERROR(__xludf.DUMMYFUNCTION("""COMPUTED_VALUE"""),"Kavita Verma")</f>
        <v>Kavita Verma</v>
      </c>
      <c r="C9" s="1" t="str">
        <f>IFERROR(__xludf.DUMMYFUNCTION("""COMPUTED_VALUE"""),"D")</f>
        <v>D</v>
      </c>
      <c r="D9" s="1">
        <f>IFERROR(__xludf.DUMMYFUNCTION("""COMPUTED_VALUE"""),24.0)</f>
        <v>24</v>
      </c>
      <c r="E9" s="1">
        <v>254.0</v>
      </c>
      <c r="F9" s="1">
        <v>50.8</v>
      </c>
    </row>
    <row r="10">
      <c r="A10" s="1" t="str">
        <f>IFERROR(__xludf.DUMMYFUNCTION("""COMPUTED_VALUE"""),"S0100")</f>
        <v>S0100</v>
      </c>
      <c r="B10" s="1" t="str">
        <f>IFERROR(__xludf.DUMMYFUNCTION("""COMPUTED_VALUE"""),"Kavita Saxena")</f>
        <v>Kavita Saxena</v>
      </c>
      <c r="C10" s="1" t="str">
        <f>IFERROR(__xludf.DUMMYFUNCTION("""COMPUTED_VALUE"""),"A")</f>
        <v>A</v>
      </c>
      <c r="D10" s="1">
        <f>IFERROR(__xludf.DUMMYFUNCTION("""COMPUTED_VALUE"""),78.0)</f>
        <v>78</v>
      </c>
      <c r="E10" s="1">
        <v>270.0</v>
      </c>
      <c r="F10" s="1">
        <v>54.0</v>
      </c>
    </row>
    <row r="11">
      <c r="A11" s="1" t="str">
        <f>IFERROR(__xludf.DUMMYFUNCTION("""COMPUTED_VALUE"""),"S0101")</f>
        <v>S0101</v>
      </c>
      <c r="B11" s="1" t="str">
        <f>IFERROR(__xludf.DUMMYFUNCTION("""COMPUTED_VALUE"""),"Kunal Jha")</f>
        <v>Kunal Jha</v>
      </c>
      <c r="C11" s="1" t="str">
        <f>IFERROR(__xludf.DUMMYFUNCTION("""COMPUTED_VALUE"""),"D")</f>
        <v>D</v>
      </c>
      <c r="D11" s="1">
        <f>IFERROR(__xludf.DUMMYFUNCTION("""COMPUTED_VALUE"""),44.0)</f>
        <v>44</v>
      </c>
      <c r="E11" s="1">
        <v>234.0</v>
      </c>
      <c r="F11" s="1">
        <v>46.800000000000004</v>
      </c>
    </row>
    <row r="12">
      <c r="A12" s="1" t="str">
        <f>IFERROR(__xludf.DUMMYFUNCTION("""COMPUTED_VALUE"""),"S0120")</f>
        <v>S0120</v>
      </c>
      <c r="B12" s="1" t="str">
        <f>IFERROR(__xludf.DUMMYFUNCTION("""COMPUTED_VALUE"""),"Preeti Pandey")</f>
        <v>Preeti Pandey</v>
      </c>
      <c r="C12" s="1" t="str">
        <f>IFERROR(__xludf.DUMMYFUNCTION("""COMPUTED_VALUE"""),"B")</f>
        <v>B</v>
      </c>
      <c r="D12" s="1">
        <f>IFERROR(__xludf.DUMMYFUNCTION("""COMPUTED_VALUE"""),14.0)</f>
        <v>14</v>
      </c>
      <c r="E12" s="1">
        <v>311.0</v>
      </c>
      <c r="F12" s="1">
        <v>62.2</v>
      </c>
    </row>
    <row r="13">
      <c r="A13" s="1" t="str">
        <f>IFERROR(__xludf.DUMMYFUNCTION("""COMPUTED_VALUE"""),"S0121")</f>
        <v>S0121</v>
      </c>
      <c r="B13" s="1" t="str">
        <f>IFERROR(__xludf.DUMMYFUNCTION("""COMPUTED_VALUE"""),"Rohit Jha")</f>
        <v>Rohit Jha</v>
      </c>
      <c r="C13" s="1" t="str">
        <f>IFERROR(__xludf.DUMMYFUNCTION("""COMPUTED_VALUE"""),"A")</f>
        <v>A</v>
      </c>
      <c r="D13" s="1">
        <f>IFERROR(__xludf.DUMMYFUNCTION("""COMPUTED_VALUE"""),63.0)</f>
        <v>63</v>
      </c>
      <c r="E13" s="1">
        <v>380.0</v>
      </c>
      <c r="F13" s="1">
        <v>76.0</v>
      </c>
    </row>
    <row r="14">
      <c r="A14" s="1" t="str">
        <f>IFERROR(__xludf.DUMMYFUNCTION("""COMPUTED_VALUE"""),"S0123")</f>
        <v>S0123</v>
      </c>
      <c r="B14" s="1" t="str">
        <f>IFERROR(__xludf.DUMMYFUNCTION("""COMPUTED_VALUE"""),"Pooja Dubey")</f>
        <v>Pooja Dubey</v>
      </c>
      <c r="C14" s="1" t="str">
        <f>IFERROR(__xludf.DUMMYFUNCTION("""COMPUTED_VALUE"""),"D")</f>
        <v>D</v>
      </c>
      <c r="D14" s="1">
        <f>IFERROR(__xludf.DUMMYFUNCTION("""COMPUTED_VALUE"""),46.0)</f>
        <v>46</v>
      </c>
      <c r="E14" s="1">
        <v>229.0</v>
      </c>
      <c r="F14" s="1">
        <v>45.800000000000004</v>
      </c>
    </row>
    <row r="15">
      <c r="A15" s="1" t="str">
        <f>IFERROR(__xludf.DUMMYFUNCTION("""COMPUTED_VALUE"""),"S0128")</f>
        <v>S0128</v>
      </c>
      <c r="B15" s="1" t="str">
        <f>IFERROR(__xludf.DUMMYFUNCTION("""COMPUTED_VALUE"""),"Nitin Pandey")</f>
        <v>Nitin Pandey</v>
      </c>
      <c r="C15" s="1" t="str">
        <f>IFERROR(__xludf.DUMMYFUNCTION("""COMPUTED_VALUE"""),"C")</f>
        <v>C</v>
      </c>
      <c r="D15" s="1">
        <f>IFERROR(__xludf.DUMMYFUNCTION("""COMPUTED_VALUE"""),64.0)</f>
        <v>64</v>
      </c>
      <c r="E15" s="1">
        <v>246.0</v>
      </c>
      <c r="F15" s="1">
        <v>49.2</v>
      </c>
    </row>
    <row r="16">
      <c r="A16" s="1" t="str">
        <f>IFERROR(__xludf.DUMMYFUNCTION("""COMPUTED_VALUE"""),"S0134")</f>
        <v>S0134</v>
      </c>
      <c r="B16" s="1" t="str">
        <f>IFERROR(__xludf.DUMMYFUNCTION("""COMPUTED_VALUE"""),"Kavita Kumar")</f>
        <v>Kavita Kumar</v>
      </c>
      <c r="C16" s="1" t="str">
        <f>IFERROR(__xludf.DUMMYFUNCTION("""COMPUTED_VALUE"""),"C")</f>
        <v>C</v>
      </c>
      <c r="D16" s="1">
        <f>IFERROR(__xludf.DUMMYFUNCTION("""COMPUTED_VALUE"""),29.0)</f>
        <v>29</v>
      </c>
      <c r="E16" s="1">
        <v>306.0</v>
      </c>
      <c r="F16" s="1">
        <v>61.199999999999996</v>
      </c>
    </row>
    <row r="17">
      <c r="A17" s="1" t="str">
        <f>IFERROR(__xludf.DUMMYFUNCTION("""COMPUTED_VALUE"""),"S0140")</f>
        <v>S0140</v>
      </c>
      <c r="B17" s="1" t="str">
        <f>IFERROR(__xludf.DUMMYFUNCTION("""COMPUTED_VALUE"""),"Rohit Tiwari")</f>
        <v>Rohit Tiwari</v>
      </c>
      <c r="C17" s="1" t="str">
        <f>IFERROR(__xludf.DUMMYFUNCTION("""COMPUTED_VALUE"""),"A")</f>
        <v>A</v>
      </c>
      <c r="D17" s="1">
        <f>IFERROR(__xludf.DUMMYFUNCTION("""COMPUTED_VALUE"""),80.0)</f>
        <v>80</v>
      </c>
      <c r="E17" s="1">
        <v>332.0</v>
      </c>
      <c r="F17" s="1">
        <v>66.4</v>
      </c>
    </row>
    <row r="18">
      <c r="A18" s="1" t="str">
        <f>IFERROR(__xludf.DUMMYFUNCTION("""COMPUTED_VALUE"""),"S0144")</f>
        <v>S0144</v>
      </c>
      <c r="B18" s="1" t="str">
        <f>IFERROR(__xludf.DUMMYFUNCTION("""COMPUTED_VALUE"""),"Rohit Dubey")</f>
        <v>Rohit Dubey</v>
      </c>
      <c r="C18" s="1" t="str">
        <f>IFERROR(__xludf.DUMMYFUNCTION("""COMPUTED_VALUE"""),"A")</f>
        <v>A</v>
      </c>
      <c r="D18" s="1">
        <f>IFERROR(__xludf.DUMMYFUNCTION("""COMPUTED_VALUE"""),51.0)</f>
        <v>51</v>
      </c>
      <c r="E18" s="1">
        <v>359.0</v>
      </c>
      <c r="F18" s="1">
        <v>71.8</v>
      </c>
    </row>
    <row r="19">
      <c r="A19" s="1" t="str">
        <f>IFERROR(__xludf.DUMMYFUNCTION("""COMPUTED_VALUE"""),"S0150")</f>
        <v>S0150</v>
      </c>
      <c r="B19" s="1" t="str">
        <f>IFERROR(__xludf.DUMMYFUNCTION("""COMPUTED_VALUE"""),"Rohit Bansal")</f>
        <v>Rohit Bansal</v>
      </c>
      <c r="C19" s="1" t="str">
        <f>IFERROR(__xludf.DUMMYFUNCTION("""COMPUTED_VALUE"""),"D")</f>
        <v>D</v>
      </c>
      <c r="D19" s="1">
        <f>IFERROR(__xludf.DUMMYFUNCTION("""COMPUTED_VALUE"""),91.0)</f>
        <v>91</v>
      </c>
      <c r="E19" s="1">
        <v>416.0</v>
      </c>
      <c r="F19" s="1">
        <v>83.2</v>
      </c>
    </row>
    <row r="20">
      <c r="A20" s="1" t="str">
        <f>IFERROR(__xludf.DUMMYFUNCTION("""COMPUTED_VALUE"""),"S0152")</f>
        <v>S0152</v>
      </c>
      <c r="B20" s="1" t="str">
        <f>IFERROR(__xludf.DUMMYFUNCTION("""COMPUTED_VALUE"""),"Rahul Thakur")</f>
        <v>Rahul Thakur</v>
      </c>
      <c r="C20" s="1" t="str">
        <f>IFERROR(__xludf.DUMMYFUNCTION("""COMPUTED_VALUE"""),"B")</f>
        <v>B</v>
      </c>
      <c r="D20" s="1">
        <f>IFERROR(__xludf.DUMMYFUNCTION("""COMPUTED_VALUE"""),25.0)</f>
        <v>25</v>
      </c>
      <c r="E20" s="1">
        <v>355.0</v>
      </c>
      <c r="F20" s="1">
        <v>71.0</v>
      </c>
    </row>
    <row r="21">
      <c r="A21" s="1" t="str">
        <f>IFERROR(__xludf.DUMMYFUNCTION("""COMPUTED_VALUE"""),"S0155")</f>
        <v>S0155</v>
      </c>
      <c r="B21" s="1" t="str">
        <f>IFERROR(__xludf.DUMMYFUNCTION("""COMPUTED_VALUE"""),"Vikas Thakur")</f>
        <v>Vikas Thakur</v>
      </c>
      <c r="C21" s="1" t="str">
        <f>IFERROR(__xludf.DUMMYFUNCTION("""COMPUTED_VALUE"""),"B")</f>
        <v>B</v>
      </c>
      <c r="D21" s="1">
        <f>IFERROR(__xludf.DUMMYFUNCTION("""COMPUTED_VALUE"""),47.0)</f>
        <v>47</v>
      </c>
      <c r="E21" s="1">
        <v>208.0</v>
      </c>
      <c r="F21" s="1">
        <v>41.6</v>
      </c>
    </row>
    <row r="22">
      <c r="A22" s="1" t="str">
        <f>IFERROR(__xludf.DUMMYFUNCTION("""COMPUTED_VALUE"""),"S0167")</f>
        <v>S0167</v>
      </c>
      <c r="B22" s="1" t="str">
        <f>IFERROR(__xludf.DUMMYFUNCTION("""COMPUTED_VALUE"""),"Ankit Srivastava")</f>
        <v>Ankit Srivastava</v>
      </c>
      <c r="C22" s="1" t="str">
        <f>IFERROR(__xludf.DUMMYFUNCTION("""COMPUTED_VALUE"""),"C")</f>
        <v>C</v>
      </c>
      <c r="D22" s="1">
        <f>IFERROR(__xludf.DUMMYFUNCTION("""COMPUTED_VALUE"""),24.0)</f>
        <v>24</v>
      </c>
      <c r="E22" s="1">
        <v>331.0</v>
      </c>
      <c r="F22" s="1">
        <v>66.2</v>
      </c>
    </row>
    <row r="23">
      <c r="A23" s="1" t="str">
        <f>IFERROR(__xludf.DUMMYFUNCTION("""COMPUTED_VALUE"""),"S0181")</f>
        <v>S0181</v>
      </c>
      <c r="B23" s="1" t="str">
        <f>IFERROR(__xludf.DUMMYFUNCTION("""COMPUTED_VALUE"""),"Saurabh Bansal")</f>
        <v>Saurabh Bansal</v>
      </c>
      <c r="C23" s="1" t="str">
        <f>IFERROR(__xludf.DUMMYFUNCTION("""COMPUTED_VALUE"""),"C")</f>
        <v>C</v>
      </c>
      <c r="D23" s="1">
        <f>IFERROR(__xludf.DUMMYFUNCTION("""COMPUTED_VALUE"""),38.0)</f>
        <v>38</v>
      </c>
      <c r="E23" s="1">
        <v>318.0</v>
      </c>
      <c r="F23" s="1">
        <v>63.6</v>
      </c>
    </row>
    <row r="24">
      <c r="A24" s="1" t="str">
        <f>IFERROR(__xludf.DUMMYFUNCTION("""COMPUTED_VALUE"""),"S0182")</f>
        <v>S0182</v>
      </c>
      <c r="B24" s="1" t="str">
        <f>IFERROR(__xludf.DUMMYFUNCTION("""COMPUTED_VALUE"""),"Pooja Thakur")</f>
        <v>Pooja Thakur</v>
      </c>
      <c r="C24" s="1" t="str">
        <f>IFERROR(__xludf.DUMMYFUNCTION("""COMPUTED_VALUE"""),"D")</f>
        <v>D</v>
      </c>
      <c r="D24" s="1">
        <f>IFERROR(__xludf.DUMMYFUNCTION("""COMPUTED_VALUE"""),21.0)</f>
        <v>21</v>
      </c>
      <c r="E24" s="1">
        <v>339.0</v>
      </c>
      <c r="F24" s="1">
        <v>67.80000000000001</v>
      </c>
    </row>
    <row r="25">
      <c r="A25" s="1" t="str">
        <f>IFERROR(__xludf.DUMMYFUNCTION("""COMPUTED_VALUE"""),"S0199")</f>
        <v>S0199</v>
      </c>
      <c r="B25" s="1" t="str">
        <f>IFERROR(__xludf.DUMMYFUNCTION("""COMPUTED_VALUE"""),"Rohit Sharma")</f>
        <v>Rohit Sharma</v>
      </c>
      <c r="C25" s="1" t="str">
        <f>IFERROR(__xludf.DUMMYFUNCTION("""COMPUTED_VALUE"""),"C")</f>
        <v>C</v>
      </c>
      <c r="D25" s="1">
        <f>IFERROR(__xludf.DUMMYFUNCTION("""COMPUTED_VALUE"""),99.0)</f>
        <v>99</v>
      </c>
      <c r="E25" s="1">
        <v>296.0</v>
      </c>
      <c r="F25" s="1">
        <v>59.199999999999996</v>
      </c>
    </row>
    <row r="26">
      <c r="A26" s="1" t="str">
        <f>IFERROR(__xludf.DUMMYFUNCTION("""COMPUTED_VALUE"""),"S0203")</f>
        <v>S0203</v>
      </c>
      <c r="B26" s="1" t="str">
        <f>IFERROR(__xludf.DUMMYFUNCTION("""COMPUTED_VALUE"""),"Rohit Yadav")</f>
        <v>Rohit Yadav</v>
      </c>
      <c r="C26" s="1" t="str">
        <f>IFERROR(__xludf.DUMMYFUNCTION("""COMPUTED_VALUE"""),"D")</f>
        <v>D</v>
      </c>
      <c r="D26" s="1">
        <f>IFERROR(__xludf.DUMMYFUNCTION("""COMPUTED_VALUE"""),71.0)</f>
        <v>71</v>
      </c>
      <c r="E26" s="1">
        <v>332.0</v>
      </c>
      <c r="F26" s="1">
        <v>66.4</v>
      </c>
    </row>
    <row r="27">
      <c r="A27" s="1" t="str">
        <f>IFERROR(__xludf.DUMMYFUNCTION("""COMPUTED_VALUE"""),"S0204")</f>
        <v>S0204</v>
      </c>
      <c r="B27" s="1" t="str">
        <f>IFERROR(__xludf.DUMMYFUNCTION("""COMPUTED_VALUE"""),"Kunal Thakur")</f>
        <v>Kunal Thakur</v>
      </c>
      <c r="C27" s="1" t="str">
        <f>IFERROR(__xludf.DUMMYFUNCTION("""COMPUTED_VALUE"""),"D")</f>
        <v>D</v>
      </c>
      <c r="D27" s="1">
        <f>IFERROR(__xludf.DUMMYFUNCTION("""COMPUTED_VALUE"""),29.0)</f>
        <v>29</v>
      </c>
      <c r="E27" s="1">
        <v>274.0</v>
      </c>
      <c r="F27" s="1">
        <v>54.800000000000004</v>
      </c>
    </row>
    <row r="28">
      <c r="A28" s="1" t="str">
        <f>IFERROR(__xludf.DUMMYFUNCTION("""COMPUTED_VALUE"""),"S0210")</f>
        <v>S0210</v>
      </c>
      <c r="B28" s="1" t="str">
        <f>IFERROR(__xludf.DUMMYFUNCTION("""COMPUTED_VALUE"""),"Kavita Thakur")</f>
        <v>Kavita Thakur</v>
      </c>
      <c r="C28" s="1" t="str">
        <f>IFERROR(__xludf.DUMMYFUNCTION("""COMPUTED_VALUE"""),"B")</f>
        <v>B</v>
      </c>
      <c r="D28" s="1">
        <f>IFERROR(__xludf.DUMMYFUNCTION("""COMPUTED_VALUE"""),78.0)</f>
        <v>78</v>
      </c>
      <c r="E28" s="1">
        <v>246.0</v>
      </c>
      <c r="F28" s="1">
        <v>49.2</v>
      </c>
    </row>
    <row r="29">
      <c r="A29" s="1" t="str">
        <f>IFERROR(__xludf.DUMMYFUNCTION("""COMPUTED_VALUE"""),"S0213")</f>
        <v>S0213</v>
      </c>
      <c r="B29" s="1" t="str">
        <f>IFERROR(__xludf.DUMMYFUNCTION("""COMPUTED_VALUE"""),"Kavita Sharma")</f>
        <v>Kavita Sharma</v>
      </c>
      <c r="C29" s="1" t="str">
        <f>IFERROR(__xludf.DUMMYFUNCTION("""COMPUTED_VALUE"""),"C")</f>
        <v>C</v>
      </c>
      <c r="D29" s="1">
        <f>IFERROR(__xludf.DUMMYFUNCTION("""COMPUTED_VALUE"""),96.0)</f>
        <v>96</v>
      </c>
      <c r="E29" s="1">
        <v>247.0</v>
      </c>
      <c r="F29" s="1">
        <v>49.4</v>
      </c>
    </row>
    <row r="30">
      <c r="A30" s="1" t="str">
        <f>IFERROR(__xludf.DUMMYFUNCTION("""COMPUTED_VALUE"""),"S0219")</f>
        <v>S0219</v>
      </c>
      <c r="B30" s="1" t="str">
        <f>IFERROR(__xludf.DUMMYFUNCTION("""COMPUTED_VALUE"""),"Rahul Dubey")</f>
        <v>Rahul Dubey</v>
      </c>
      <c r="C30" s="1" t="str">
        <f>IFERROR(__xludf.DUMMYFUNCTION("""COMPUTED_VALUE"""),"C")</f>
        <v>C</v>
      </c>
      <c r="D30" s="1">
        <f>IFERROR(__xludf.DUMMYFUNCTION("""COMPUTED_VALUE"""),53.0)</f>
        <v>53</v>
      </c>
      <c r="E30" s="1">
        <v>328.0</v>
      </c>
      <c r="F30" s="1">
        <v>65.60000000000001</v>
      </c>
    </row>
    <row r="31">
      <c r="A31" s="1" t="str">
        <f>IFERROR(__xludf.DUMMYFUNCTION("""COMPUTED_VALUE"""),"S0226")</f>
        <v>S0226</v>
      </c>
      <c r="B31" s="1" t="str">
        <f>IFERROR(__xludf.DUMMYFUNCTION("""COMPUTED_VALUE"""),"Shweta Kumar")</f>
        <v>Shweta Kumar</v>
      </c>
      <c r="C31" s="1" t="str">
        <f>IFERROR(__xludf.DUMMYFUNCTION("""COMPUTED_VALUE"""),"C")</f>
        <v>C</v>
      </c>
      <c r="D31" s="1">
        <f>IFERROR(__xludf.DUMMYFUNCTION("""COMPUTED_VALUE"""),45.0)</f>
        <v>45</v>
      </c>
      <c r="E31" s="1">
        <v>429.0</v>
      </c>
      <c r="F31" s="1">
        <v>85.8</v>
      </c>
    </row>
    <row r="32">
      <c r="A32" s="1" t="str">
        <f>IFERROR(__xludf.DUMMYFUNCTION("""COMPUTED_VALUE"""),"S0247")</f>
        <v>S0247</v>
      </c>
      <c r="B32" s="1" t="str">
        <f>IFERROR(__xludf.DUMMYFUNCTION("""COMPUTED_VALUE"""),"Shweta Agarwal")</f>
        <v>Shweta Agarwal</v>
      </c>
      <c r="C32" s="1" t="str">
        <f>IFERROR(__xludf.DUMMYFUNCTION("""COMPUTED_VALUE"""),"C")</f>
        <v>C</v>
      </c>
      <c r="D32" s="1">
        <f>IFERROR(__xludf.DUMMYFUNCTION("""COMPUTED_VALUE"""),43.0)</f>
        <v>43</v>
      </c>
      <c r="E32" s="1">
        <v>330.0</v>
      </c>
      <c r="F32" s="1">
        <v>66.0</v>
      </c>
    </row>
    <row r="33">
      <c r="A33" s="1" t="str">
        <f>IFERROR(__xludf.DUMMYFUNCTION("""COMPUTED_VALUE"""),"S0254")</f>
        <v>S0254</v>
      </c>
      <c r="B33" s="1" t="str">
        <f>IFERROR(__xludf.DUMMYFUNCTION("""COMPUTED_VALUE"""),"Nitin Tiwari")</f>
        <v>Nitin Tiwari</v>
      </c>
      <c r="C33" s="1" t="str">
        <f>IFERROR(__xludf.DUMMYFUNCTION("""COMPUTED_VALUE"""),"A")</f>
        <v>A</v>
      </c>
      <c r="D33" s="1">
        <f>IFERROR(__xludf.DUMMYFUNCTION("""COMPUTED_VALUE"""),97.0)</f>
        <v>97</v>
      </c>
      <c r="E33" s="1">
        <v>214.0</v>
      </c>
      <c r="F33" s="1">
        <v>42.8</v>
      </c>
    </row>
    <row r="34">
      <c r="A34" s="1" t="str">
        <f>IFERROR(__xludf.DUMMYFUNCTION("""COMPUTED_VALUE"""),"S0298")</f>
        <v>S0298</v>
      </c>
      <c r="B34" s="1" t="str">
        <f>IFERROR(__xludf.DUMMYFUNCTION("""COMPUTED_VALUE"""),"Rahul Mishra")</f>
        <v>Rahul Mishra</v>
      </c>
      <c r="C34" s="1" t="str">
        <f>IFERROR(__xludf.DUMMYFUNCTION("""COMPUTED_VALUE"""),"A")</f>
        <v>A</v>
      </c>
      <c r="D34" s="1">
        <f>IFERROR(__xludf.DUMMYFUNCTION("""COMPUTED_VALUE"""),23.0)</f>
        <v>23</v>
      </c>
      <c r="E34" s="1">
        <v>346.0</v>
      </c>
      <c r="F34" s="1">
        <v>69.19999999999999</v>
      </c>
    </row>
    <row r="35">
      <c r="A35" s="1" t="str">
        <f>IFERROR(__xludf.DUMMYFUNCTION("""COMPUTED_VALUE"""),"S0304")</f>
        <v>S0304</v>
      </c>
      <c r="B35" s="1" t="str">
        <f>IFERROR(__xludf.DUMMYFUNCTION("""COMPUTED_VALUE"""),"Ankit Saxena")</f>
        <v>Ankit Saxena</v>
      </c>
      <c r="C35" s="1" t="str">
        <f>IFERROR(__xludf.DUMMYFUNCTION("""COMPUTED_VALUE"""),"C")</f>
        <v>C</v>
      </c>
      <c r="D35" s="1">
        <f>IFERROR(__xludf.DUMMYFUNCTION("""COMPUTED_VALUE"""),22.0)</f>
        <v>22</v>
      </c>
      <c r="E35" s="1">
        <v>329.0</v>
      </c>
      <c r="F35" s="1">
        <v>65.8</v>
      </c>
    </row>
    <row r="36">
      <c r="A36" s="1" t="str">
        <f>IFERROR(__xludf.DUMMYFUNCTION("""COMPUTED_VALUE"""),"S0307")</f>
        <v>S0307</v>
      </c>
      <c r="B36" s="1" t="str">
        <f>IFERROR(__xludf.DUMMYFUNCTION("""COMPUTED_VALUE"""),"Saurabh Tiwari")</f>
        <v>Saurabh Tiwari</v>
      </c>
      <c r="C36" s="1" t="str">
        <f>IFERROR(__xludf.DUMMYFUNCTION("""COMPUTED_VALUE"""),"D")</f>
        <v>D</v>
      </c>
      <c r="D36" s="1">
        <f>IFERROR(__xludf.DUMMYFUNCTION("""COMPUTED_VALUE"""),77.0)</f>
        <v>77</v>
      </c>
      <c r="E36" s="1">
        <v>189.0</v>
      </c>
      <c r="F36" s="1">
        <v>37.8</v>
      </c>
    </row>
    <row r="37">
      <c r="A37" s="1" t="str">
        <f>IFERROR(__xludf.DUMMYFUNCTION("""COMPUTED_VALUE"""),"S0323")</f>
        <v>S0323</v>
      </c>
      <c r="B37" s="1" t="str">
        <f>IFERROR(__xludf.DUMMYFUNCTION("""COMPUTED_VALUE"""),"Neha Joshi")</f>
        <v>Neha Joshi</v>
      </c>
      <c r="C37" s="1" t="str">
        <f>IFERROR(__xludf.DUMMYFUNCTION("""COMPUTED_VALUE"""),"C")</f>
        <v>C</v>
      </c>
      <c r="D37" s="1">
        <f>IFERROR(__xludf.DUMMYFUNCTION("""COMPUTED_VALUE"""),85.0)</f>
        <v>85</v>
      </c>
      <c r="E37" s="1">
        <v>252.0</v>
      </c>
      <c r="F37" s="1">
        <v>50.4</v>
      </c>
    </row>
    <row r="38">
      <c r="A38" s="1" t="str">
        <f>IFERROR(__xludf.DUMMYFUNCTION("""COMPUTED_VALUE"""),"S0324")</f>
        <v>S0324</v>
      </c>
      <c r="B38" s="1" t="str">
        <f>IFERROR(__xludf.DUMMYFUNCTION("""COMPUTED_VALUE"""),"Kunal Tripathi")</f>
        <v>Kunal Tripathi</v>
      </c>
      <c r="C38" s="1" t="str">
        <f>IFERROR(__xludf.DUMMYFUNCTION("""COMPUTED_VALUE"""),"C")</f>
        <v>C</v>
      </c>
      <c r="D38" s="1">
        <f>IFERROR(__xludf.DUMMYFUNCTION("""COMPUTED_VALUE"""),76.0)</f>
        <v>76</v>
      </c>
      <c r="E38" s="1">
        <v>149.0</v>
      </c>
      <c r="F38" s="1">
        <v>29.799999999999997</v>
      </c>
    </row>
    <row r="39">
      <c r="A39" s="1" t="str">
        <f>IFERROR(__xludf.DUMMYFUNCTION("""COMPUTED_VALUE"""),"S0335")</f>
        <v>S0335</v>
      </c>
      <c r="B39" s="1" t="str">
        <f>IFERROR(__xludf.DUMMYFUNCTION("""COMPUTED_VALUE"""),"Sneha Sharma")</f>
        <v>Sneha Sharma</v>
      </c>
      <c r="C39" s="1" t="str">
        <f>IFERROR(__xludf.DUMMYFUNCTION("""COMPUTED_VALUE"""),"D")</f>
        <v>D</v>
      </c>
      <c r="D39" s="1">
        <f>IFERROR(__xludf.DUMMYFUNCTION("""COMPUTED_VALUE"""),18.0)</f>
        <v>18</v>
      </c>
      <c r="E39" s="1">
        <v>311.0</v>
      </c>
      <c r="F39" s="1">
        <v>62.2</v>
      </c>
    </row>
    <row r="40">
      <c r="A40" s="1" t="str">
        <f>IFERROR(__xludf.DUMMYFUNCTION("""COMPUTED_VALUE"""),"S0337")</f>
        <v>S0337</v>
      </c>
      <c r="B40" s="1" t="str">
        <f>IFERROR(__xludf.DUMMYFUNCTION("""COMPUTED_VALUE"""),"Vikas Gupta")</f>
        <v>Vikas Gupta</v>
      </c>
      <c r="C40" s="1" t="str">
        <f>IFERROR(__xludf.DUMMYFUNCTION("""COMPUTED_VALUE"""),"C")</f>
        <v>C</v>
      </c>
      <c r="D40" s="1">
        <f>IFERROR(__xludf.DUMMYFUNCTION("""COMPUTED_VALUE"""),43.0)</f>
        <v>43</v>
      </c>
      <c r="E40" s="1">
        <v>221.0</v>
      </c>
      <c r="F40" s="1">
        <v>44.2</v>
      </c>
    </row>
    <row r="41">
      <c r="A41" s="1" t="str">
        <f>IFERROR(__xludf.DUMMYFUNCTION("""COMPUTED_VALUE"""),"S0338")</f>
        <v>S0338</v>
      </c>
      <c r="B41" s="1" t="str">
        <f>IFERROR(__xludf.DUMMYFUNCTION("""COMPUTED_VALUE"""),"Anjali Gupta")</f>
        <v>Anjali Gupta</v>
      </c>
      <c r="C41" s="1" t="str">
        <f>IFERROR(__xludf.DUMMYFUNCTION("""COMPUTED_VALUE"""),"B")</f>
        <v>B</v>
      </c>
      <c r="D41" s="1">
        <f>IFERROR(__xludf.DUMMYFUNCTION("""COMPUTED_VALUE"""),41.0)</f>
        <v>41</v>
      </c>
      <c r="E41" s="1">
        <v>306.0</v>
      </c>
      <c r="F41" s="1">
        <v>61.199999999999996</v>
      </c>
    </row>
    <row r="42">
      <c r="A42" s="1" t="str">
        <f>IFERROR(__xludf.DUMMYFUNCTION("""COMPUTED_VALUE"""),"S0356")</f>
        <v>S0356</v>
      </c>
      <c r="B42" s="1" t="str">
        <f>IFERROR(__xludf.DUMMYFUNCTION("""COMPUTED_VALUE"""),"Deepak Tripathi")</f>
        <v>Deepak Tripathi</v>
      </c>
      <c r="C42" s="1" t="str">
        <f>IFERROR(__xludf.DUMMYFUNCTION("""COMPUTED_VALUE"""),"D")</f>
        <v>D</v>
      </c>
      <c r="D42" s="1">
        <f>IFERROR(__xludf.DUMMYFUNCTION("""COMPUTED_VALUE"""),11.0)</f>
        <v>11</v>
      </c>
      <c r="E42" s="1">
        <v>402.0</v>
      </c>
      <c r="F42" s="1">
        <v>80.4</v>
      </c>
    </row>
    <row r="43">
      <c r="A43" s="1" t="str">
        <f>IFERROR(__xludf.DUMMYFUNCTION("""COMPUTED_VALUE"""),"S0362")</f>
        <v>S0362</v>
      </c>
      <c r="B43" s="1" t="str">
        <f>IFERROR(__xludf.DUMMYFUNCTION("""COMPUTED_VALUE"""),"Ritu Yadav")</f>
        <v>Ritu Yadav</v>
      </c>
      <c r="C43" s="1" t="str">
        <f>IFERROR(__xludf.DUMMYFUNCTION("""COMPUTED_VALUE"""),"C")</f>
        <v>C</v>
      </c>
      <c r="D43" s="1">
        <f>IFERROR(__xludf.DUMMYFUNCTION("""COMPUTED_VALUE"""),86.0)</f>
        <v>86</v>
      </c>
      <c r="E43" s="1">
        <v>277.0</v>
      </c>
      <c r="F43" s="1">
        <v>55.400000000000006</v>
      </c>
    </row>
    <row r="44">
      <c r="A44" s="1" t="str">
        <f>IFERROR(__xludf.DUMMYFUNCTION("""COMPUTED_VALUE"""),"S0370")</f>
        <v>S0370</v>
      </c>
      <c r="B44" s="1" t="str">
        <f>IFERROR(__xludf.DUMMYFUNCTION("""COMPUTED_VALUE"""),"Preeti Dubey")</f>
        <v>Preeti Dubey</v>
      </c>
      <c r="C44" s="1" t="str">
        <f>IFERROR(__xludf.DUMMYFUNCTION("""COMPUTED_VALUE"""),"B")</f>
        <v>B</v>
      </c>
      <c r="D44" s="1">
        <f>IFERROR(__xludf.DUMMYFUNCTION("""COMPUTED_VALUE"""),96.0)</f>
        <v>96</v>
      </c>
      <c r="E44" s="1">
        <v>271.0</v>
      </c>
      <c r="F44" s="1">
        <v>54.2</v>
      </c>
    </row>
    <row r="45">
      <c r="A45" s="1" t="str">
        <f>IFERROR(__xludf.DUMMYFUNCTION("""COMPUTED_VALUE"""),"S0374")</f>
        <v>S0374</v>
      </c>
      <c r="B45" s="1" t="str">
        <f>IFERROR(__xludf.DUMMYFUNCTION("""COMPUTED_VALUE"""),"Sneha Srivastava")</f>
        <v>Sneha Srivastava</v>
      </c>
      <c r="C45" s="1" t="str">
        <f>IFERROR(__xludf.DUMMYFUNCTION("""COMPUTED_VALUE"""),"A")</f>
        <v>A</v>
      </c>
      <c r="D45" s="1">
        <f>IFERROR(__xludf.DUMMYFUNCTION("""COMPUTED_VALUE"""),34.0)</f>
        <v>34</v>
      </c>
      <c r="E45" s="1">
        <v>277.0</v>
      </c>
      <c r="F45" s="1">
        <v>55.400000000000006</v>
      </c>
    </row>
    <row r="46">
      <c r="A46" s="1" t="str">
        <f>IFERROR(__xludf.DUMMYFUNCTION("""COMPUTED_VALUE"""),"S0377")</f>
        <v>S0377</v>
      </c>
      <c r="B46" s="1" t="str">
        <f>IFERROR(__xludf.DUMMYFUNCTION("""COMPUTED_VALUE"""),"Anjali Kumar")</f>
        <v>Anjali Kumar</v>
      </c>
      <c r="C46" s="1" t="str">
        <f>IFERROR(__xludf.DUMMYFUNCTION("""COMPUTED_VALUE"""),"C")</f>
        <v>C</v>
      </c>
      <c r="D46" s="1">
        <f>IFERROR(__xludf.DUMMYFUNCTION("""COMPUTED_VALUE"""),48.0)</f>
        <v>48</v>
      </c>
      <c r="E46" s="1">
        <v>391.0</v>
      </c>
      <c r="F46" s="1">
        <v>78.2</v>
      </c>
    </row>
    <row r="47">
      <c r="A47" s="1" t="str">
        <f>IFERROR(__xludf.DUMMYFUNCTION("""COMPUTED_VALUE"""),"S0400")</f>
        <v>S0400</v>
      </c>
      <c r="B47" s="1" t="str">
        <f>IFERROR(__xludf.DUMMYFUNCTION("""COMPUTED_VALUE"""),"Saurabh Sharma")</f>
        <v>Saurabh Sharma</v>
      </c>
      <c r="C47" s="1" t="str">
        <f>IFERROR(__xludf.DUMMYFUNCTION("""COMPUTED_VALUE"""),"D")</f>
        <v>D</v>
      </c>
      <c r="D47" s="1">
        <f>IFERROR(__xludf.DUMMYFUNCTION("""COMPUTED_VALUE"""),74.0)</f>
        <v>74</v>
      </c>
      <c r="E47" s="1">
        <v>330.0</v>
      </c>
      <c r="F47" s="1">
        <v>66.0</v>
      </c>
    </row>
    <row r="48">
      <c r="A48" s="1" t="str">
        <f>IFERROR(__xludf.DUMMYFUNCTION("""COMPUTED_VALUE"""),"S0410")</f>
        <v>S0410</v>
      </c>
      <c r="B48" s="1" t="str">
        <f>IFERROR(__xludf.DUMMYFUNCTION("""COMPUTED_VALUE"""),"Anjali Kumar")</f>
        <v>Anjali Kumar</v>
      </c>
      <c r="C48" s="1" t="str">
        <f>IFERROR(__xludf.DUMMYFUNCTION("""COMPUTED_VALUE"""),"D")</f>
        <v>D</v>
      </c>
      <c r="D48" s="1">
        <f>IFERROR(__xludf.DUMMYFUNCTION("""COMPUTED_VALUE"""),39.0)</f>
        <v>39</v>
      </c>
      <c r="E48" s="1">
        <v>353.0</v>
      </c>
      <c r="F48" s="1">
        <v>70.6</v>
      </c>
    </row>
    <row r="49">
      <c r="A49" s="1" t="str">
        <f>IFERROR(__xludf.DUMMYFUNCTION("""COMPUTED_VALUE"""),"S0413")</f>
        <v>S0413</v>
      </c>
      <c r="B49" s="1" t="str">
        <f>IFERROR(__xludf.DUMMYFUNCTION("""COMPUTED_VALUE"""),"Meena Pandey")</f>
        <v>Meena Pandey</v>
      </c>
      <c r="C49" s="1" t="str">
        <f>IFERROR(__xludf.DUMMYFUNCTION("""COMPUTED_VALUE"""),"B")</f>
        <v>B</v>
      </c>
      <c r="D49" s="1">
        <f>IFERROR(__xludf.DUMMYFUNCTION("""COMPUTED_VALUE"""),18.0)</f>
        <v>18</v>
      </c>
      <c r="E49" s="1">
        <v>374.0</v>
      </c>
      <c r="F49" s="1">
        <v>74.8</v>
      </c>
    </row>
    <row r="50">
      <c r="A50" s="1" t="str">
        <f>IFERROR(__xludf.DUMMYFUNCTION("""COMPUTED_VALUE"""),"S0415")</f>
        <v>S0415</v>
      </c>
      <c r="B50" s="1" t="str">
        <f>IFERROR(__xludf.DUMMYFUNCTION("""COMPUTED_VALUE"""),"Nitin Thakur")</f>
        <v>Nitin Thakur</v>
      </c>
      <c r="C50" s="1" t="str">
        <f>IFERROR(__xludf.DUMMYFUNCTION("""COMPUTED_VALUE"""),"C")</f>
        <v>C</v>
      </c>
      <c r="D50" s="1">
        <f>IFERROR(__xludf.DUMMYFUNCTION("""COMPUTED_VALUE"""),47.0)</f>
        <v>47</v>
      </c>
      <c r="E50" s="1">
        <v>341.0</v>
      </c>
      <c r="F50" s="1">
        <v>68.2</v>
      </c>
    </row>
    <row r="51">
      <c r="A51" s="1" t="str">
        <f>IFERROR(__xludf.DUMMYFUNCTION("""COMPUTED_VALUE"""),"S0424")</f>
        <v>S0424</v>
      </c>
      <c r="B51" s="1" t="str">
        <f>IFERROR(__xludf.DUMMYFUNCTION("""COMPUTED_VALUE"""),"Neha Yadav")</f>
        <v>Neha Yadav</v>
      </c>
      <c r="C51" s="1" t="str">
        <f>IFERROR(__xludf.DUMMYFUNCTION("""COMPUTED_VALUE"""),"C")</f>
        <v>C</v>
      </c>
      <c r="D51" s="1">
        <f>IFERROR(__xludf.DUMMYFUNCTION("""COMPUTED_VALUE"""),41.0)</f>
        <v>41</v>
      </c>
      <c r="E51" s="1">
        <v>305.0</v>
      </c>
      <c r="F51" s="1">
        <v>61.0</v>
      </c>
    </row>
    <row r="52">
      <c r="A52" s="1" t="str">
        <f>IFERROR(__xludf.DUMMYFUNCTION("""COMPUTED_VALUE"""),"S0429")</f>
        <v>S0429</v>
      </c>
      <c r="B52" s="1" t="str">
        <f>IFERROR(__xludf.DUMMYFUNCTION("""COMPUTED_VALUE"""),"Vikas Verma")</f>
        <v>Vikas Verma</v>
      </c>
      <c r="C52" s="1" t="str">
        <f>IFERROR(__xludf.DUMMYFUNCTION("""COMPUTED_VALUE"""),"A")</f>
        <v>A</v>
      </c>
      <c r="D52" s="1">
        <f>IFERROR(__xludf.DUMMYFUNCTION("""COMPUTED_VALUE"""),47.0)</f>
        <v>47</v>
      </c>
      <c r="E52" s="1">
        <v>332.0</v>
      </c>
      <c r="F52" s="1">
        <v>66.4</v>
      </c>
    </row>
    <row r="53">
      <c r="A53" s="1" t="str">
        <f>IFERROR(__xludf.DUMMYFUNCTION("""COMPUTED_VALUE"""),"S0431")</f>
        <v>S0431</v>
      </c>
      <c r="B53" s="1" t="str">
        <f>IFERROR(__xludf.DUMMYFUNCTION("""COMPUTED_VALUE"""),"Ankit Thakur")</f>
        <v>Ankit Thakur</v>
      </c>
      <c r="C53" s="1" t="str">
        <f>IFERROR(__xludf.DUMMYFUNCTION("""COMPUTED_VALUE"""),"B")</f>
        <v>B</v>
      </c>
      <c r="D53" s="1">
        <f>IFERROR(__xludf.DUMMYFUNCTION("""COMPUTED_VALUE"""),38.0)</f>
        <v>38</v>
      </c>
      <c r="E53" s="1">
        <v>378.0</v>
      </c>
      <c r="F53" s="1">
        <v>75.6</v>
      </c>
    </row>
    <row r="54">
      <c r="A54" s="1" t="str">
        <f>IFERROR(__xludf.DUMMYFUNCTION("""COMPUTED_VALUE"""),"S0434")</f>
        <v>S0434</v>
      </c>
      <c r="B54" s="1" t="str">
        <f>IFERROR(__xludf.DUMMYFUNCTION("""COMPUTED_VALUE"""),"Kavita Chauhan")</f>
        <v>Kavita Chauhan</v>
      </c>
      <c r="C54" s="1" t="str">
        <f>IFERROR(__xludf.DUMMYFUNCTION("""COMPUTED_VALUE"""),"A")</f>
        <v>A</v>
      </c>
      <c r="D54" s="1">
        <f>IFERROR(__xludf.DUMMYFUNCTION("""COMPUTED_VALUE"""),60.0)</f>
        <v>60</v>
      </c>
      <c r="E54" s="1">
        <v>221.0</v>
      </c>
      <c r="F54" s="1">
        <v>44.2</v>
      </c>
    </row>
    <row r="55">
      <c r="A55" s="1" t="str">
        <f>IFERROR(__xludf.DUMMYFUNCTION("""COMPUTED_VALUE"""),"S0442")</f>
        <v>S0442</v>
      </c>
      <c r="B55" s="1" t="str">
        <f>IFERROR(__xludf.DUMMYFUNCTION("""COMPUTED_VALUE"""),"Deepak Singh")</f>
        <v>Deepak Singh</v>
      </c>
      <c r="C55" s="1" t="str">
        <f>IFERROR(__xludf.DUMMYFUNCTION("""COMPUTED_VALUE"""),"C")</f>
        <v>C</v>
      </c>
      <c r="D55" s="1">
        <f>IFERROR(__xludf.DUMMYFUNCTION("""COMPUTED_VALUE"""),88.0)</f>
        <v>88</v>
      </c>
      <c r="E55" s="1">
        <v>413.0</v>
      </c>
      <c r="F55" s="1">
        <v>82.6</v>
      </c>
    </row>
    <row r="56">
      <c r="A56" s="1" t="str">
        <f>IFERROR(__xludf.DUMMYFUNCTION("""COMPUTED_VALUE"""),"S0451")</f>
        <v>S0451</v>
      </c>
      <c r="B56" s="1" t="str">
        <f>IFERROR(__xludf.DUMMYFUNCTION("""COMPUTED_VALUE"""),"Meena Tiwari")</f>
        <v>Meena Tiwari</v>
      </c>
      <c r="C56" s="1" t="str">
        <f>IFERROR(__xludf.DUMMYFUNCTION("""COMPUTED_VALUE"""),"B")</f>
        <v>B</v>
      </c>
      <c r="D56" s="1">
        <f>IFERROR(__xludf.DUMMYFUNCTION("""COMPUTED_VALUE"""),87.0)</f>
        <v>87</v>
      </c>
      <c r="E56" s="1">
        <v>261.0</v>
      </c>
      <c r="F56" s="1">
        <v>52.2</v>
      </c>
    </row>
    <row r="57">
      <c r="A57" s="1" t="str">
        <f>IFERROR(__xludf.DUMMYFUNCTION("""COMPUTED_VALUE"""),"S0452")</f>
        <v>S0452</v>
      </c>
      <c r="B57" s="1" t="str">
        <f>IFERROR(__xludf.DUMMYFUNCTION("""COMPUTED_VALUE"""),"Ankit Saxena")</f>
        <v>Ankit Saxena</v>
      </c>
      <c r="C57" s="1" t="str">
        <f>IFERROR(__xludf.DUMMYFUNCTION("""COMPUTED_VALUE"""),"B")</f>
        <v>B</v>
      </c>
      <c r="D57" s="1">
        <f>IFERROR(__xludf.DUMMYFUNCTION("""COMPUTED_VALUE"""),98.0)</f>
        <v>98</v>
      </c>
      <c r="E57" s="1">
        <v>176.0</v>
      </c>
      <c r="F57" s="1">
        <v>35.199999999999996</v>
      </c>
    </row>
    <row r="58">
      <c r="A58" s="1" t="str">
        <f>IFERROR(__xludf.DUMMYFUNCTION("""COMPUTED_VALUE"""),"S0461")</f>
        <v>S0461</v>
      </c>
      <c r="B58" s="1" t="str">
        <f>IFERROR(__xludf.DUMMYFUNCTION("""COMPUTED_VALUE"""),"Anjali Yadav")</f>
        <v>Anjali Yadav</v>
      </c>
      <c r="C58" s="1" t="str">
        <f>IFERROR(__xludf.DUMMYFUNCTION("""COMPUTED_VALUE"""),"C")</f>
        <v>C</v>
      </c>
      <c r="D58" s="1">
        <f>IFERROR(__xludf.DUMMYFUNCTION("""COMPUTED_VALUE"""),54.0)</f>
        <v>54</v>
      </c>
      <c r="E58" s="1">
        <v>228.0</v>
      </c>
      <c r="F58" s="1">
        <v>45.6</v>
      </c>
    </row>
    <row r="59">
      <c r="A59" s="1" t="str">
        <f>IFERROR(__xludf.DUMMYFUNCTION("""COMPUTED_VALUE"""),"S0474")</f>
        <v>S0474</v>
      </c>
      <c r="B59" s="1" t="str">
        <f>IFERROR(__xludf.DUMMYFUNCTION("""COMPUTED_VALUE"""),"Pooja Sharma")</f>
        <v>Pooja Sharma</v>
      </c>
      <c r="C59" s="1" t="str">
        <f>IFERROR(__xludf.DUMMYFUNCTION("""COMPUTED_VALUE"""),"C")</f>
        <v>C</v>
      </c>
      <c r="D59" s="1">
        <f>IFERROR(__xludf.DUMMYFUNCTION("""COMPUTED_VALUE"""),42.0)</f>
        <v>42</v>
      </c>
      <c r="E59" s="1">
        <v>267.0</v>
      </c>
      <c r="F59" s="1">
        <v>53.400000000000006</v>
      </c>
    </row>
    <row r="60">
      <c r="A60" s="1" t="str">
        <f>IFERROR(__xludf.DUMMYFUNCTION("""COMPUTED_VALUE"""),"S0476")</f>
        <v>S0476</v>
      </c>
      <c r="B60" s="1" t="str">
        <f>IFERROR(__xludf.DUMMYFUNCTION("""COMPUTED_VALUE"""),"Pooja Agarwal")</f>
        <v>Pooja Agarwal</v>
      </c>
      <c r="C60" s="1" t="str">
        <f>IFERROR(__xludf.DUMMYFUNCTION("""COMPUTED_VALUE"""),"A")</f>
        <v>A</v>
      </c>
      <c r="D60" s="1">
        <f>IFERROR(__xludf.DUMMYFUNCTION("""COMPUTED_VALUE"""),14.0)</f>
        <v>14</v>
      </c>
      <c r="E60" s="1">
        <v>327.0</v>
      </c>
      <c r="F60" s="1">
        <v>65.4</v>
      </c>
    </row>
    <row r="61">
      <c r="A61" s="1" t="str">
        <f>IFERROR(__xludf.DUMMYFUNCTION("""COMPUTED_VALUE"""),"S0482")</f>
        <v>S0482</v>
      </c>
      <c r="B61" s="1" t="str">
        <f>IFERROR(__xludf.DUMMYFUNCTION("""COMPUTED_VALUE"""),"Saurabh Srivastava")</f>
        <v>Saurabh Srivastava</v>
      </c>
      <c r="C61" s="1" t="str">
        <f>IFERROR(__xludf.DUMMYFUNCTION("""COMPUTED_VALUE"""),"D")</f>
        <v>D</v>
      </c>
      <c r="D61" s="1">
        <f>IFERROR(__xludf.DUMMYFUNCTION("""COMPUTED_VALUE"""),35.0)</f>
        <v>35</v>
      </c>
      <c r="E61" s="1">
        <v>296.0</v>
      </c>
      <c r="F61" s="1">
        <v>59.199999999999996</v>
      </c>
    </row>
    <row r="62">
      <c r="A62" s="1" t="str">
        <f>IFERROR(__xludf.DUMMYFUNCTION("""COMPUTED_VALUE"""),"S0495")</f>
        <v>S0495</v>
      </c>
      <c r="B62" s="1" t="str">
        <f>IFERROR(__xludf.DUMMYFUNCTION("""COMPUTED_VALUE"""),"Preeti Tiwari")</f>
        <v>Preeti Tiwari</v>
      </c>
      <c r="C62" s="1" t="str">
        <f>IFERROR(__xludf.DUMMYFUNCTION("""COMPUTED_VALUE"""),"C")</f>
        <v>C</v>
      </c>
      <c r="D62" s="1">
        <f>IFERROR(__xludf.DUMMYFUNCTION("""COMPUTED_VALUE"""),69.0)</f>
        <v>69</v>
      </c>
      <c r="E62" s="1">
        <v>294.0</v>
      </c>
      <c r="F62" s="1">
        <v>58.8</v>
      </c>
    </row>
    <row r="63">
      <c r="A63" s="1" t="str">
        <f>IFERROR(__xludf.DUMMYFUNCTION("""COMPUTED_VALUE"""),"S0497")</f>
        <v>S0497</v>
      </c>
      <c r="B63" s="1" t="str">
        <f>IFERROR(__xludf.DUMMYFUNCTION("""COMPUTED_VALUE"""),"Amit Singh")</f>
        <v>Amit Singh</v>
      </c>
      <c r="C63" s="1" t="str">
        <f>IFERROR(__xludf.DUMMYFUNCTION("""COMPUTED_VALUE"""),"A")</f>
        <v>A</v>
      </c>
      <c r="D63" s="1">
        <f>IFERROR(__xludf.DUMMYFUNCTION("""COMPUTED_VALUE"""),23.0)</f>
        <v>23</v>
      </c>
      <c r="E63" s="1">
        <v>250.0</v>
      </c>
      <c r="F63" s="1">
        <v>50.0</v>
      </c>
    </row>
    <row r="64">
      <c r="A64" s="1" t="str">
        <f>IFERROR(__xludf.DUMMYFUNCTION("""COMPUTED_VALUE"""),"S0499")</f>
        <v>S0499</v>
      </c>
      <c r="B64" s="1" t="str">
        <f>IFERROR(__xludf.DUMMYFUNCTION("""COMPUTED_VALUE"""),"Rahul Agarwal")</f>
        <v>Rahul Agarwal</v>
      </c>
      <c r="C64" s="1" t="str">
        <f>IFERROR(__xludf.DUMMYFUNCTION("""COMPUTED_VALUE"""),"C")</f>
        <v>C</v>
      </c>
      <c r="D64" s="1">
        <f>IFERROR(__xludf.DUMMYFUNCTION("""COMPUTED_VALUE"""),11.0)</f>
        <v>11</v>
      </c>
      <c r="E64" s="1">
        <v>343.0</v>
      </c>
      <c r="F64" s="1">
        <v>68.60000000000001</v>
      </c>
    </row>
    <row r="65">
      <c r="A65" s="1" t="str">
        <f>IFERROR(__xludf.DUMMYFUNCTION("""COMPUTED_VALUE"""),"S0503")</f>
        <v>S0503</v>
      </c>
      <c r="B65" s="1" t="str">
        <f>IFERROR(__xludf.DUMMYFUNCTION("""COMPUTED_VALUE"""),"Priya Jha")</f>
        <v>Priya Jha</v>
      </c>
      <c r="C65" s="1" t="str">
        <f>IFERROR(__xludf.DUMMYFUNCTION("""COMPUTED_VALUE"""),"C")</f>
        <v>C</v>
      </c>
      <c r="D65" s="1">
        <f>IFERROR(__xludf.DUMMYFUNCTION("""COMPUTED_VALUE"""),56.0)</f>
        <v>56</v>
      </c>
      <c r="E65" s="1">
        <v>344.0</v>
      </c>
      <c r="F65" s="1">
        <v>68.8</v>
      </c>
    </row>
    <row r="66">
      <c r="A66" s="1" t="str">
        <f>IFERROR(__xludf.DUMMYFUNCTION("""COMPUTED_VALUE"""),"S0505")</f>
        <v>S0505</v>
      </c>
      <c r="B66" s="1" t="str">
        <f>IFERROR(__xludf.DUMMYFUNCTION("""COMPUTED_VALUE"""),"Kavita Saxena")</f>
        <v>Kavita Saxena</v>
      </c>
      <c r="C66" s="1" t="str">
        <f>IFERROR(__xludf.DUMMYFUNCTION("""COMPUTED_VALUE"""),"C")</f>
        <v>C</v>
      </c>
      <c r="D66" s="1">
        <f>IFERROR(__xludf.DUMMYFUNCTION("""COMPUTED_VALUE"""),77.0)</f>
        <v>77</v>
      </c>
      <c r="E66" s="1">
        <v>278.0</v>
      </c>
      <c r="F66" s="1">
        <v>55.60000000000001</v>
      </c>
    </row>
    <row r="67">
      <c r="A67" s="1" t="str">
        <f>IFERROR(__xludf.DUMMYFUNCTION("""COMPUTED_VALUE"""),"S0519")</f>
        <v>S0519</v>
      </c>
      <c r="B67" s="1" t="str">
        <f>IFERROR(__xludf.DUMMYFUNCTION("""COMPUTED_VALUE"""),"Vikas Sharma")</f>
        <v>Vikas Sharma</v>
      </c>
      <c r="C67" s="1" t="str">
        <f>IFERROR(__xludf.DUMMYFUNCTION("""COMPUTED_VALUE"""),"A")</f>
        <v>A</v>
      </c>
      <c r="D67" s="1">
        <f>IFERROR(__xludf.DUMMYFUNCTION("""COMPUTED_VALUE"""),75.0)</f>
        <v>75</v>
      </c>
      <c r="E67" s="1">
        <v>374.0</v>
      </c>
      <c r="F67" s="1">
        <v>74.8</v>
      </c>
    </row>
    <row r="68">
      <c r="A68" s="1" t="str">
        <f>IFERROR(__xludf.DUMMYFUNCTION("""COMPUTED_VALUE"""),"S0520")</f>
        <v>S0520</v>
      </c>
      <c r="B68" s="1" t="str">
        <f>IFERROR(__xludf.DUMMYFUNCTION("""COMPUTED_VALUE"""),"Anjali Srivastava")</f>
        <v>Anjali Srivastava</v>
      </c>
      <c r="C68" s="1" t="str">
        <f>IFERROR(__xludf.DUMMYFUNCTION("""COMPUTED_VALUE"""),"D")</f>
        <v>D</v>
      </c>
      <c r="D68" s="1">
        <f>IFERROR(__xludf.DUMMYFUNCTION("""COMPUTED_VALUE"""),80.0)</f>
        <v>80</v>
      </c>
      <c r="E68" s="1">
        <v>355.0</v>
      </c>
      <c r="F68" s="1">
        <v>71.0</v>
      </c>
    </row>
    <row r="69">
      <c r="A69" s="1" t="str">
        <f>IFERROR(__xludf.DUMMYFUNCTION("""COMPUTED_VALUE"""),"S0534")</f>
        <v>S0534</v>
      </c>
      <c r="B69" s="1" t="str">
        <f>IFERROR(__xludf.DUMMYFUNCTION("""COMPUTED_VALUE"""),"Rahul Verma")</f>
        <v>Rahul Verma</v>
      </c>
      <c r="C69" s="1" t="str">
        <f>IFERROR(__xludf.DUMMYFUNCTION("""COMPUTED_VALUE"""),"B")</f>
        <v>B</v>
      </c>
      <c r="D69" s="1">
        <f>IFERROR(__xludf.DUMMYFUNCTION("""COMPUTED_VALUE"""),55.0)</f>
        <v>55</v>
      </c>
      <c r="E69" s="1">
        <v>356.0</v>
      </c>
      <c r="F69" s="1">
        <v>71.2</v>
      </c>
    </row>
    <row r="70">
      <c r="A70" s="1" t="str">
        <f>IFERROR(__xludf.DUMMYFUNCTION("""COMPUTED_VALUE"""),"S0542")</f>
        <v>S0542</v>
      </c>
      <c r="B70" s="1" t="str">
        <f>IFERROR(__xludf.DUMMYFUNCTION("""COMPUTED_VALUE"""),"Aman Verma")</f>
        <v>Aman Verma</v>
      </c>
      <c r="C70" s="1" t="str">
        <f>IFERROR(__xludf.DUMMYFUNCTION("""COMPUTED_VALUE"""),"C")</f>
        <v>C</v>
      </c>
      <c r="D70" s="1">
        <f>IFERROR(__xludf.DUMMYFUNCTION("""COMPUTED_VALUE"""),87.0)</f>
        <v>87</v>
      </c>
      <c r="E70" s="1">
        <v>357.0</v>
      </c>
      <c r="F70" s="1">
        <v>71.39999999999999</v>
      </c>
    </row>
    <row r="71">
      <c r="A71" s="1" t="str">
        <f>IFERROR(__xludf.DUMMYFUNCTION("""COMPUTED_VALUE"""),"S0558")</f>
        <v>S0558</v>
      </c>
      <c r="B71" s="1" t="str">
        <f>IFERROR(__xludf.DUMMYFUNCTION("""COMPUTED_VALUE"""),"Vikas Yadav")</f>
        <v>Vikas Yadav</v>
      </c>
      <c r="C71" s="1" t="str">
        <f>IFERROR(__xludf.DUMMYFUNCTION("""COMPUTED_VALUE"""),"A")</f>
        <v>A</v>
      </c>
      <c r="D71" s="1">
        <f>IFERROR(__xludf.DUMMYFUNCTION("""COMPUTED_VALUE"""),83.0)</f>
        <v>83</v>
      </c>
      <c r="E71" s="1">
        <v>280.0</v>
      </c>
      <c r="F71" s="1">
        <v>56.00000000000001</v>
      </c>
    </row>
    <row r="72">
      <c r="A72" s="1" t="str">
        <f>IFERROR(__xludf.DUMMYFUNCTION("""COMPUTED_VALUE"""),"S0571")</f>
        <v>S0571</v>
      </c>
      <c r="B72" s="1" t="str">
        <f>IFERROR(__xludf.DUMMYFUNCTION("""COMPUTED_VALUE"""),"Vikas Dubey")</f>
        <v>Vikas Dubey</v>
      </c>
      <c r="C72" s="1" t="str">
        <f>IFERROR(__xludf.DUMMYFUNCTION("""COMPUTED_VALUE"""),"C")</f>
        <v>C</v>
      </c>
      <c r="D72" s="1">
        <f>IFERROR(__xludf.DUMMYFUNCTION("""COMPUTED_VALUE"""),67.0)</f>
        <v>67</v>
      </c>
      <c r="E72" s="1">
        <v>328.0</v>
      </c>
      <c r="F72" s="1">
        <v>65.60000000000001</v>
      </c>
    </row>
    <row r="73">
      <c r="A73" s="1" t="str">
        <f>IFERROR(__xludf.DUMMYFUNCTION("""COMPUTED_VALUE"""),"S0576")</f>
        <v>S0576</v>
      </c>
      <c r="B73" s="1" t="str">
        <f>IFERROR(__xludf.DUMMYFUNCTION("""COMPUTED_VALUE"""),"Aman Bansal")</f>
        <v>Aman Bansal</v>
      </c>
      <c r="C73" s="1" t="str">
        <f>IFERROR(__xludf.DUMMYFUNCTION("""COMPUTED_VALUE"""),"A")</f>
        <v>A</v>
      </c>
      <c r="D73" s="1">
        <f>IFERROR(__xludf.DUMMYFUNCTION("""COMPUTED_VALUE"""),62.0)</f>
        <v>62</v>
      </c>
      <c r="E73" s="1">
        <v>348.0</v>
      </c>
      <c r="F73" s="1">
        <v>69.6</v>
      </c>
    </row>
    <row r="74">
      <c r="A74" s="1" t="str">
        <f>IFERROR(__xludf.DUMMYFUNCTION("""COMPUTED_VALUE"""),"S0580")</f>
        <v>S0580</v>
      </c>
      <c r="B74" s="1" t="str">
        <f>IFERROR(__xludf.DUMMYFUNCTION("""COMPUTED_VALUE"""),"Priya Tripathi")</f>
        <v>Priya Tripathi</v>
      </c>
      <c r="C74" s="1" t="str">
        <f>IFERROR(__xludf.DUMMYFUNCTION("""COMPUTED_VALUE"""),"D")</f>
        <v>D</v>
      </c>
      <c r="D74" s="1">
        <f>IFERROR(__xludf.DUMMYFUNCTION("""COMPUTED_VALUE"""),80.0)</f>
        <v>80</v>
      </c>
      <c r="E74" s="1">
        <v>243.0</v>
      </c>
      <c r="F74" s="1">
        <v>48.6</v>
      </c>
    </row>
    <row r="75">
      <c r="A75" s="1" t="str">
        <f>IFERROR(__xludf.DUMMYFUNCTION("""COMPUTED_VALUE"""),"S0586")</f>
        <v>S0586</v>
      </c>
      <c r="B75" s="1" t="str">
        <f>IFERROR(__xludf.DUMMYFUNCTION("""COMPUTED_VALUE"""),"Ankit Verma")</f>
        <v>Ankit Verma</v>
      </c>
      <c r="C75" s="1" t="str">
        <f>IFERROR(__xludf.DUMMYFUNCTION("""COMPUTED_VALUE"""),"A")</f>
        <v>A</v>
      </c>
      <c r="D75" s="1">
        <f>IFERROR(__xludf.DUMMYFUNCTION("""COMPUTED_VALUE"""),21.0)</f>
        <v>21</v>
      </c>
      <c r="E75" s="1">
        <v>268.0</v>
      </c>
      <c r="F75" s="1">
        <v>53.6</v>
      </c>
    </row>
    <row r="76">
      <c r="A76" s="1" t="str">
        <f>IFERROR(__xludf.DUMMYFUNCTION("""COMPUTED_VALUE"""),"S0589")</f>
        <v>S0589</v>
      </c>
      <c r="B76" s="1" t="str">
        <f>IFERROR(__xludf.DUMMYFUNCTION("""COMPUTED_VALUE"""),"Saurabh Thakur")</f>
        <v>Saurabh Thakur</v>
      </c>
      <c r="C76" s="1" t="str">
        <f>IFERROR(__xludf.DUMMYFUNCTION("""COMPUTED_VALUE"""),"D")</f>
        <v>D</v>
      </c>
      <c r="D76" s="1">
        <f>IFERROR(__xludf.DUMMYFUNCTION("""COMPUTED_VALUE"""),68.0)</f>
        <v>68</v>
      </c>
      <c r="E76" s="1">
        <v>345.0</v>
      </c>
      <c r="F76" s="1">
        <v>69.0</v>
      </c>
    </row>
    <row r="77">
      <c r="A77" s="1" t="str">
        <f>IFERROR(__xludf.DUMMYFUNCTION("""COMPUTED_VALUE"""),"S0590")</f>
        <v>S0590</v>
      </c>
      <c r="B77" s="1" t="str">
        <f>IFERROR(__xludf.DUMMYFUNCTION("""COMPUTED_VALUE"""),"Vikas Thakur")</f>
        <v>Vikas Thakur</v>
      </c>
      <c r="C77" s="1" t="str">
        <f>IFERROR(__xludf.DUMMYFUNCTION("""COMPUTED_VALUE"""),"B")</f>
        <v>B</v>
      </c>
      <c r="D77" s="1">
        <f>IFERROR(__xludf.DUMMYFUNCTION("""COMPUTED_VALUE"""),70.0)</f>
        <v>70</v>
      </c>
      <c r="E77" s="1">
        <v>400.0</v>
      </c>
      <c r="F77" s="1">
        <v>80.0</v>
      </c>
    </row>
    <row r="78">
      <c r="A78" s="1" t="str">
        <f>IFERROR(__xludf.DUMMYFUNCTION("""COMPUTED_VALUE"""),"S0593")</f>
        <v>S0593</v>
      </c>
      <c r="B78" s="1" t="str">
        <f>IFERROR(__xludf.DUMMYFUNCTION("""COMPUTED_VALUE"""),"Kavita Kumar")</f>
        <v>Kavita Kumar</v>
      </c>
      <c r="C78" s="1" t="str">
        <f>IFERROR(__xludf.DUMMYFUNCTION("""COMPUTED_VALUE"""),"D")</f>
        <v>D</v>
      </c>
      <c r="D78" s="1">
        <f>IFERROR(__xludf.DUMMYFUNCTION("""COMPUTED_VALUE"""),38.0)</f>
        <v>38</v>
      </c>
      <c r="E78" s="1">
        <v>291.0</v>
      </c>
      <c r="F78" s="1">
        <v>58.199999999999996</v>
      </c>
    </row>
    <row r="79">
      <c r="A79" s="1" t="str">
        <f>IFERROR(__xludf.DUMMYFUNCTION("""COMPUTED_VALUE"""),"S0599")</f>
        <v>S0599</v>
      </c>
      <c r="B79" s="1" t="str">
        <f>IFERROR(__xludf.DUMMYFUNCTION("""COMPUTED_VALUE"""),"Rahul Verma")</f>
        <v>Rahul Verma</v>
      </c>
      <c r="C79" s="1" t="str">
        <f>IFERROR(__xludf.DUMMYFUNCTION("""COMPUTED_VALUE"""),"C")</f>
        <v>C</v>
      </c>
      <c r="D79" s="1">
        <f>IFERROR(__xludf.DUMMYFUNCTION("""COMPUTED_VALUE"""),76.0)</f>
        <v>76</v>
      </c>
      <c r="E79" s="1">
        <v>265.0</v>
      </c>
      <c r="F79" s="1">
        <v>53.0</v>
      </c>
    </row>
    <row r="80">
      <c r="A80" s="1" t="str">
        <f>IFERROR(__xludf.DUMMYFUNCTION("""COMPUTED_VALUE"""),"S0609")</f>
        <v>S0609</v>
      </c>
      <c r="B80" s="1" t="str">
        <f>IFERROR(__xludf.DUMMYFUNCTION("""COMPUTED_VALUE"""),"Anjali Singh")</f>
        <v>Anjali Singh</v>
      </c>
      <c r="C80" s="1" t="str">
        <f>IFERROR(__xludf.DUMMYFUNCTION("""COMPUTED_VALUE"""),"B")</f>
        <v>B</v>
      </c>
      <c r="D80" s="1">
        <f>IFERROR(__xludf.DUMMYFUNCTION("""COMPUTED_VALUE"""),78.0)</f>
        <v>78</v>
      </c>
      <c r="E80" s="1">
        <v>156.0</v>
      </c>
      <c r="F80" s="1">
        <v>31.2</v>
      </c>
    </row>
    <row r="81">
      <c r="A81" s="1" t="str">
        <f>IFERROR(__xludf.DUMMYFUNCTION("""COMPUTED_VALUE"""),"S0623")</f>
        <v>S0623</v>
      </c>
      <c r="B81" s="1" t="str">
        <f>IFERROR(__xludf.DUMMYFUNCTION("""COMPUTED_VALUE"""),"Amit Mishra")</f>
        <v>Amit Mishra</v>
      </c>
      <c r="C81" s="1" t="str">
        <f>IFERROR(__xludf.DUMMYFUNCTION("""COMPUTED_VALUE"""),"A")</f>
        <v>A</v>
      </c>
      <c r="D81" s="1">
        <f>IFERROR(__xludf.DUMMYFUNCTION("""COMPUTED_VALUE"""),10.0)</f>
        <v>10</v>
      </c>
      <c r="E81" s="1">
        <v>219.0</v>
      </c>
      <c r="F81" s="1">
        <v>43.8</v>
      </c>
    </row>
    <row r="82">
      <c r="A82" s="1" t="str">
        <f>IFERROR(__xludf.DUMMYFUNCTION("""COMPUTED_VALUE"""),"S0624")</f>
        <v>S0624</v>
      </c>
      <c r="B82" s="1" t="str">
        <f>IFERROR(__xludf.DUMMYFUNCTION("""COMPUTED_VALUE"""),"Sneha Kumar")</f>
        <v>Sneha Kumar</v>
      </c>
      <c r="C82" s="1" t="str">
        <f>IFERROR(__xludf.DUMMYFUNCTION("""COMPUTED_VALUE"""),"D")</f>
        <v>D</v>
      </c>
      <c r="D82" s="1">
        <f>IFERROR(__xludf.DUMMYFUNCTION("""COMPUTED_VALUE"""),74.0)</f>
        <v>74</v>
      </c>
      <c r="E82" s="1">
        <v>281.0</v>
      </c>
      <c r="F82" s="1">
        <v>56.2</v>
      </c>
    </row>
    <row r="83">
      <c r="A83" s="1" t="str">
        <f>IFERROR(__xludf.DUMMYFUNCTION("""COMPUTED_VALUE"""),"S0630")</f>
        <v>S0630</v>
      </c>
      <c r="B83" s="1" t="str">
        <f>IFERROR(__xludf.DUMMYFUNCTION("""COMPUTED_VALUE"""),"Kunal Joshi")</f>
        <v>Kunal Joshi</v>
      </c>
      <c r="C83" s="1" t="str">
        <f>IFERROR(__xludf.DUMMYFUNCTION("""COMPUTED_VALUE"""),"C")</f>
        <v>C</v>
      </c>
      <c r="D83" s="1">
        <f>IFERROR(__xludf.DUMMYFUNCTION("""COMPUTED_VALUE"""),68.0)</f>
        <v>68</v>
      </c>
      <c r="E83" s="1">
        <v>313.0</v>
      </c>
      <c r="F83" s="1">
        <v>62.6</v>
      </c>
    </row>
    <row r="84">
      <c r="A84" s="1" t="str">
        <f>IFERROR(__xludf.DUMMYFUNCTION("""COMPUTED_VALUE"""),"S0638")</f>
        <v>S0638</v>
      </c>
      <c r="B84" s="1" t="str">
        <f>IFERROR(__xludf.DUMMYFUNCTION("""COMPUTED_VALUE"""),"Saurabh Dubey")</f>
        <v>Saurabh Dubey</v>
      </c>
      <c r="C84" s="1" t="str">
        <f>IFERROR(__xludf.DUMMYFUNCTION("""COMPUTED_VALUE"""),"A")</f>
        <v>A</v>
      </c>
      <c r="D84" s="1">
        <f>IFERROR(__xludf.DUMMYFUNCTION("""COMPUTED_VALUE"""),75.0)</f>
        <v>75</v>
      </c>
      <c r="E84" s="1">
        <v>294.0</v>
      </c>
      <c r="F84" s="1">
        <v>58.8</v>
      </c>
    </row>
    <row r="85">
      <c r="A85" s="1" t="str">
        <f>IFERROR(__xludf.DUMMYFUNCTION("""COMPUTED_VALUE"""),"S0654")</f>
        <v>S0654</v>
      </c>
      <c r="B85" s="1" t="str">
        <f>IFERROR(__xludf.DUMMYFUNCTION("""COMPUTED_VALUE"""),"Anjali Joshi")</f>
        <v>Anjali Joshi</v>
      </c>
      <c r="C85" s="1" t="str">
        <f>IFERROR(__xludf.DUMMYFUNCTION("""COMPUTED_VALUE"""),"C")</f>
        <v>C</v>
      </c>
      <c r="D85" s="1">
        <f>IFERROR(__xludf.DUMMYFUNCTION("""COMPUTED_VALUE"""),52.0)</f>
        <v>52</v>
      </c>
      <c r="E85" s="1">
        <v>361.0</v>
      </c>
      <c r="F85" s="1">
        <v>72.2</v>
      </c>
    </row>
    <row r="86">
      <c r="A86" s="1" t="str">
        <f>IFERROR(__xludf.DUMMYFUNCTION("""COMPUTED_VALUE"""),"S0662")</f>
        <v>S0662</v>
      </c>
      <c r="B86" s="1" t="str">
        <f>IFERROR(__xludf.DUMMYFUNCTION("""COMPUTED_VALUE"""),"Ankit Thakur")</f>
        <v>Ankit Thakur</v>
      </c>
      <c r="C86" s="1" t="str">
        <f>IFERROR(__xludf.DUMMYFUNCTION("""COMPUTED_VALUE"""),"C")</f>
        <v>C</v>
      </c>
      <c r="D86" s="1">
        <f>IFERROR(__xludf.DUMMYFUNCTION("""COMPUTED_VALUE"""),72.0)</f>
        <v>72</v>
      </c>
      <c r="E86" s="1">
        <v>276.0</v>
      </c>
      <c r="F86" s="1">
        <v>55.2</v>
      </c>
    </row>
    <row r="87">
      <c r="A87" s="1" t="str">
        <f>IFERROR(__xludf.DUMMYFUNCTION("""COMPUTED_VALUE"""),"S0663")</f>
        <v>S0663</v>
      </c>
      <c r="B87" s="1" t="str">
        <f>IFERROR(__xludf.DUMMYFUNCTION("""COMPUTED_VALUE"""),"Deepak Gupta")</f>
        <v>Deepak Gupta</v>
      </c>
      <c r="C87" s="1" t="str">
        <f>IFERROR(__xludf.DUMMYFUNCTION("""COMPUTED_VALUE"""),"C")</f>
        <v>C</v>
      </c>
      <c r="D87" s="1">
        <f>IFERROR(__xludf.DUMMYFUNCTION("""COMPUTED_VALUE"""),43.0)</f>
        <v>43</v>
      </c>
      <c r="E87" s="1">
        <v>363.0</v>
      </c>
      <c r="F87" s="1">
        <v>72.6</v>
      </c>
    </row>
    <row r="88">
      <c r="A88" s="1" t="str">
        <f>IFERROR(__xludf.DUMMYFUNCTION("""COMPUTED_VALUE"""),"S0674")</f>
        <v>S0674</v>
      </c>
      <c r="B88" s="1" t="str">
        <f>IFERROR(__xludf.DUMMYFUNCTION("""COMPUTED_VALUE"""),"Priya Saxena")</f>
        <v>Priya Saxena</v>
      </c>
      <c r="C88" s="1" t="str">
        <f>IFERROR(__xludf.DUMMYFUNCTION("""COMPUTED_VALUE"""),"C")</f>
        <v>C</v>
      </c>
      <c r="D88" s="1">
        <f>IFERROR(__xludf.DUMMYFUNCTION("""COMPUTED_VALUE"""),75.0)</f>
        <v>75</v>
      </c>
      <c r="E88" s="1">
        <v>358.0</v>
      </c>
      <c r="F88" s="1">
        <v>71.6</v>
      </c>
    </row>
    <row r="89">
      <c r="A89" s="1" t="str">
        <f>IFERROR(__xludf.DUMMYFUNCTION("""COMPUTED_VALUE"""),"S0676")</f>
        <v>S0676</v>
      </c>
      <c r="B89" s="1" t="str">
        <f>IFERROR(__xludf.DUMMYFUNCTION("""COMPUTED_VALUE"""),"Deepak Mishra")</f>
        <v>Deepak Mishra</v>
      </c>
      <c r="C89" s="1" t="str">
        <f>IFERROR(__xludf.DUMMYFUNCTION("""COMPUTED_VALUE"""),"D")</f>
        <v>D</v>
      </c>
      <c r="D89" s="1">
        <f>IFERROR(__xludf.DUMMYFUNCTION("""COMPUTED_VALUE"""),93.0)</f>
        <v>93</v>
      </c>
      <c r="E89" s="1">
        <v>238.0</v>
      </c>
      <c r="F89" s="1">
        <v>47.599999999999994</v>
      </c>
    </row>
    <row r="90">
      <c r="A90" s="1" t="str">
        <f>IFERROR(__xludf.DUMMYFUNCTION("""COMPUTED_VALUE"""),"S0679")</f>
        <v>S0679</v>
      </c>
      <c r="B90" s="1" t="str">
        <f>IFERROR(__xludf.DUMMYFUNCTION("""COMPUTED_VALUE"""),"Sneha Verma")</f>
        <v>Sneha Verma</v>
      </c>
      <c r="C90" s="1" t="str">
        <f>IFERROR(__xludf.DUMMYFUNCTION("""COMPUTED_VALUE"""),"A")</f>
        <v>A</v>
      </c>
      <c r="D90" s="1">
        <f>IFERROR(__xludf.DUMMYFUNCTION("""COMPUTED_VALUE"""),53.0)</f>
        <v>53</v>
      </c>
      <c r="E90" s="1">
        <v>238.0</v>
      </c>
      <c r="F90" s="1">
        <v>47.599999999999994</v>
      </c>
    </row>
    <row r="91">
      <c r="A91" s="1" t="str">
        <f>IFERROR(__xludf.DUMMYFUNCTION("""COMPUTED_VALUE"""),"S0686")</f>
        <v>S0686</v>
      </c>
      <c r="B91" s="1" t="str">
        <f>IFERROR(__xludf.DUMMYFUNCTION("""COMPUTED_VALUE"""),"Vikas Dubey")</f>
        <v>Vikas Dubey</v>
      </c>
      <c r="C91" s="1" t="str">
        <f>IFERROR(__xludf.DUMMYFUNCTION("""COMPUTED_VALUE"""),"B")</f>
        <v>B</v>
      </c>
      <c r="D91" s="1">
        <f>IFERROR(__xludf.DUMMYFUNCTION("""COMPUTED_VALUE"""),53.0)</f>
        <v>53</v>
      </c>
      <c r="E91" s="1">
        <v>209.0</v>
      </c>
      <c r="F91" s="1">
        <v>41.8</v>
      </c>
    </row>
    <row r="92">
      <c r="A92" s="1" t="str">
        <f>IFERROR(__xludf.DUMMYFUNCTION("""COMPUTED_VALUE"""),"S0690")</f>
        <v>S0690</v>
      </c>
      <c r="B92" s="1" t="str">
        <f>IFERROR(__xludf.DUMMYFUNCTION("""COMPUTED_VALUE"""),"Rohit Saxena")</f>
        <v>Rohit Saxena</v>
      </c>
      <c r="C92" s="1" t="str">
        <f>IFERROR(__xludf.DUMMYFUNCTION("""COMPUTED_VALUE"""),"D")</f>
        <v>D</v>
      </c>
      <c r="D92" s="1">
        <f>IFERROR(__xludf.DUMMYFUNCTION("""COMPUTED_VALUE"""),79.0)</f>
        <v>79</v>
      </c>
      <c r="E92" s="1">
        <v>377.0</v>
      </c>
      <c r="F92" s="1">
        <v>75.4</v>
      </c>
    </row>
    <row r="93">
      <c r="A93" s="1" t="str">
        <f>IFERROR(__xludf.DUMMYFUNCTION("""COMPUTED_VALUE"""),"S0692")</f>
        <v>S0692</v>
      </c>
      <c r="B93" s="1" t="str">
        <f>IFERROR(__xludf.DUMMYFUNCTION("""COMPUTED_VALUE"""),"Sneha Tiwari")</f>
        <v>Sneha Tiwari</v>
      </c>
      <c r="C93" s="1" t="str">
        <f>IFERROR(__xludf.DUMMYFUNCTION("""COMPUTED_VALUE"""),"B")</f>
        <v>B</v>
      </c>
      <c r="D93" s="1">
        <f>IFERROR(__xludf.DUMMYFUNCTION("""COMPUTED_VALUE"""),55.0)</f>
        <v>55</v>
      </c>
      <c r="E93" s="1">
        <v>229.0</v>
      </c>
      <c r="F93" s="1">
        <v>45.800000000000004</v>
      </c>
    </row>
    <row r="94">
      <c r="A94" s="1" t="str">
        <f>IFERROR(__xludf.DUMMYFUNCTION("""COMPUTED_VALUE"""),"S0696")</f>
        <v>S0696</v>
      </c>
      <c r="B94" s="1" t="str">
        <f>IFERROR(__xludf.DUMMYFUNCTION("""COMPUTED_VALUE"""),"Nitin Jha")</f>
        <v>Nitin Jha</v>
      </c>
      <c r="C94" s="1" t="str">
        <f>IFERROR(__xludf.DUMMYFUNCTION("""COMPUTED_VALUE"""),"C")</f>
        <v>C</v>
      </c>
      <c r="D94" s="1">
        <f>IFERROR(__xludf.DUMMYFUNCTION("""COMPUTED_VALUE"""),97.0)</f>
        <v>97</v>
      </c>
      <c r="E94" s="1">
        <v>317.0</v>
      </c>
      <c r="F94" s="1">
        <v>63.4</v>
      </c>
    </row>
    <row r="95">
      <c r="A95" s="1" t="str">
        <f>IFERROR(__xludf.DUMMYFUNCTION("""COMPUTED_VALUE"""),"S0702")</f>
        <v>S0702</v>
      </c>
      <c r="B95" s="1" t="str">
        <f>IFERROR(__xludf.DUMMYFUNCTION("""COMPUTED_VALUE"""),"Ritu Verma")</f>
        <v>Ritu Verma</v>
      </c>
      <c r="C95" s="1" t="str">
        <f>IFERROR(__xludf.DUMMYFUNCTION("""COMPUTED_VALUE"""),"C")</f>
        <v>C</v>
      </c>
      <c r="D95" s="1">
        <f>IFERROR(__xludf.DUMMYFUNCTION("""COMPUTED_VALUE"""),63.0)</f>
        <v>63</v>
      </c>
      <c r="E95" s="1">
        <v>315.0</v>
      </c>
      <c r="F95" s="1">
        <v>63.0</v>
      </c>
    </row>
    <row r="96">
      <c r="A96" s="1" t="str">
        <f>IFERROR(__xludf.DUMMYFUNCTION("""COMPUTED_VALUE"""),"S0706")</f>
        <v>S0706</v>
      </c>
      <c r="B96" s="1" t="str">
        <f>IFERROR(__xludf.DUMMYFUNCTION("""COMPUTED_VALUE"""),"Rahul Saxena")</f>
        <v>Rahul Saxena</v>
      </c>
      <c r="C96" s="1" t="str">
        <f>IFERROR(__xludf.DUMMYFUNCTION("""COMPUTED_VALUE"""),"B")</f>
        <v>B</v>
      </c>
      <c r="D96" s="1">
        <f>IFERROR(__xludf.DUMMYFUNCTION("""COMPUTED_VALUE"""),14.0)</f>
        <v>14</v>
      </c>
      <c r="E96" s="1">
        <v>297.0</v>
      </c>
      <c r="F96" s="1">
        <v>59.4</v>
      </c>
    </row>
    <row r="97">
      <c r="A97" s="1" t="str">
        <f>IFERROR(__xludf.DUMMYFUNCTION("""COMPUTED_VALUE"""),"S0709")</f>
        <v>S0709</v>
      </c>
      <c r="B97" s="1" t="str">
        <f>IFERROR(__xludf.DUMMYFUNCTION("""COMPUTED_VALUE"""),"Priya Thakur")</f>
        <v>Priya Thakur</v>
      </c>
      <c r="C97" s="1" t="str">
        <f>IFERROR(__xludf.DUMMYFUNCTION("""COMPUTED_VALUE"""),"D")</f>
        <v>D</v>
      </c>
      <c r="D97" s="1">
        <f>IFERROR(__xludf.DUMMYFUNCTION("""COMPUTED_VALUE"""),50.0)</f>
        <v>50</v>
      </c>
      <c r="E97" s="1">
        <v>301.0</v>
      </c>
      <c r="F97" s="1">
        <v>60.199999999999996</v>
      </c>
    </row>
    <row r="98">
      <c r="A98" s="1" t="str">
        <f>IFERROR(__xludf.DUMMYFUNCTION("""COMPUTED_VALUE"""),"S0723")</f>
        <v>S0723</v>
      </c>
      <c r="B98" s="1" t="str">
        <f>IFERROR(__xludf.DUMMYFUNCTION("""COMPUTED_VALUE"""),"Meena Kumar")</f>
        <v>Meena Kumar</v>
      </c>
      <c r="C98" s="1" t="str">
        <f>IFERROR(__xludf.DUMMYFUNCTION("""COMPUTED_VALUE"""),"D")</f>
        <v>D</v>
      </c>
      <c r="D98" s="1">
        <f>IFERROR(__xludf.DUMMYFUNCTION("""COMPUTED_VALUE"""),69.0)</f>
        <v>69</v>
      </c>
      <c r="E98" s="1">
        <v>273.0</v>
      </c>
      <c r="F98" s="1">
        <v>54.6</v>
      </c>
    </row>
    <row r="99">
      <c r="A99" s="1" t="str">
        <f>IFERROR(__xludf.DUMMYFUNCTION("""COMPUTED_VALUE"""),"S0729")</f>
        <v>S0729</v>
      </c>
      <c r="B99" s="1" t="str">
        <f>IFERROR(__xludf.DUMMYFUNCTION("""COMPUTED_VALUE"""),"Rohit Agarwal")</f>
        <v>Rohit Agarwal</v>
      </c>
      <c r="C99" s="1" t="str">
        <f>IFERROR(__xludf.DUMMYFUNCTION("""COMPUTED_VALUE"""),"A")</f>
        <v>A</v>
      </c>
      <c r="D99" s="1">
        <f>IFERROR(__xludf.DUMMYFUNCTION("""COMPUTED_VALUE"""),94.0)</f>
        <v>94</v>
      </c>
      <c r="E99" s="1">
        <v>304.0</v>
      </c>
      <c r="F99" s="1">
        <v>60.8</v>
      </c>
    </row>
    <row r="100">
      <c r="A100" s="1" t="str">
        <f>IFERROR(__xludf.DUMMYFUNCTION("""COMPUTED_VALUE"""),"S0731")</f>
        <v>S0731</v>
      </c>
      <c r="B100" s="1" t="str">
        <f>IFERROR(__xludf.DUMMYFUNCTION("""COMPUTED_VALUE"""),"Shweta Mishra")</f>
        <v>Shweta Mishra</v>
      </c>
      <c r="C100" s="1" t="str">
        <f>IFERROR(__xludf.DUMMYFUNCTION("""COMPUTED_VALUE"""),"A")</f>
        <v>A</v>
      </c>
      <c r="D100" s="1">
        <f>IFERROR(__xludf.DUMMYFUNCTION("""COMPUTED_VALUE"""),12.0)</f>
        <v>12</v>
      </c>
      <c r="E100" s="1">
        <v>311.0</v>
      </c>
      <c r="F100" s="1">
        <v>62.2</v>
      </c>
    </row>
    <row r="101">
      <c r="A101" s="1" t="str">
        <f>IFERROR(__xludf.DUMMYFUNCTION("""COMPUTED_VALUE"""),"S0734")</f>
        <v>S0734</v>
      </c>
      <c r="B101" s="1" t="str">
        <f>IFERROR(__xludf.DUMMYFUNCTION("""COMPUTED_VALUE"""),"Sneha Singh")</f>
        <v>Sneha Singh</v>
      </c>
      <c r="C101" s="1" t="str">
        <f>IFERROR(__xludf.DUMMYFUNCTION("""COMPUTED_VALUE"""),"D")</f>
        <v>D</v>
      </c>
      <c r="D101" s="1">
        <f>IFERROR(__xludf.DUMMYFUNCTION("""COMPUTED_VALUE"""),39.0)</f>
        <v>39</v>
      </c>
      <c r="E101" s="1">
        <v>197.0</v>
      </c>
      <c r="F101" s="1">
        <v>39.4</v>
      </c>
    </row>
    <row r="102">
      <c r="A102" s="1" t="str">
        <f>IFERROR(__xludf.DUMMYFUNCTION("""COMPUTED_VALUE"""),"S0735")</f>
        <v>S0735</v>
      </c>
      <c r="B102" s="1" t="str">
        <f>IFERROR(__xludf.DUMMYFUNCTION("""COMPUTED_VALUE"""),"Preeti Singh")</f>
        <v>Preeti Singh</v>
      </c>
      <c r="C102" s="1" t="str">
        <f>IFERROR(__xludf.DUMMYFUNCTION("""COMPUTED_VALUE"""),"B")</f>
        <v>B</v>
      </c>
      <c r="D102" s="1">
        <f>IFERROR(__xludf.DUMMYFUNCTION("""COMPUTED_VALUE"""),58.0)</f>
        <v>58</v>
      </c>
      <c r="E102" s="1">
        <v>354.0</v>
      </c>
      <c r="F102" s="1">
        <v>70.8</v>
      </c>
    </row>
    <row r="103">
      <c r="A103" s="1" t="str">
        <f>IFERROR(__xludf.DUMMYFUNCTION("""COMPUTED_VALUE"""),"S0741")</f>
        <v>S0741</v>
      </c>
      <c r="B103" s="1" t="str">
        <f>IFERROR(__xludf.DUMMYFUNCTION("""COMPUTED_VALUE"""),"Vikas Joshi")</f>
        <v>Vikas Joshi</v>
      </c>
      <c r="C103" s="1" t="str">
        <f>IFERROR(__xludf.DUMMYFUNCTION("""COMPUTED_VALUE"""),"C")</f>
        <v>C</v>
      </c>
      <c r="D103" s="1">
        <f>IFERROR(__xludf.DUMMYFUNCTION("""COMPUTED_VALUE"""),17.0)</f>
        <v>17</v>
      </c>
      <c r="E103" s="1">
        <v>220.0</v>
      </c>
      <c r="F103" s="1">
        <v>44.0</v>
      </c>
    </row>
    <row r="104">
      <c r="A104" s="1" t="str">
        <f>IFERROR(__xludf.DUMMYFUNCTION("""COMPUTED_VALUE"""),"S0747")</f>
        <v>S0747</v>
      </c>
      <c r="B104" s="1" t="str">
        <f>IFERROR(__xludf.DUMMYFUNCTION("""COMPUTED_VALUE"""),"Neha Saxena")</f>
        <v>Neha Saxena</v>
      </c>
      <c r="C104" s="1" t="str">
        <f>IFERROR(__xludf.DUMMYFUNCTION("""COMPUTED_VALUE"""),"D")</f>
        <v>D</v>
      </c>
      <c r="D104" s="1">
        <f>IFERROR(__xludf.DUMMYFUNCTION("""COMPUTED_VALUE"""),66.0)</f>
        <v>66</v>
      </c>
      <c r="E104" s="1">
        <v>403.0</v>
      </c>
      <c r="F104" s="1">
        <v>80.60000000000001</v>
      </c>
    </row>
    <row r="105">
      <c r="A105" s="1" t="str">
        <f>IFERROR(__xludf.DUMMYFUNCTION("""COMPUTED_VALUE"""),"S0753")</f>
        <v>S0753</v>
      </c>
      <c r="B105" s="1" t="str">
        <f>IFERROR(__xludf.DUMMYFUNCTION("""COMPUTED_VALUE"""),"Nitin Joshi")</f>
        <v>Nitin Joshi</v>
      </c>
      <c r="C105" s="1" t="str">
        <f>IFERROR(__xludf.DUMMYFUNCTION("""COMPUTED_VALUE"""),"D")</f>
        <v>D</v>
      </c>
      <c r="D105" s="1">
        <f>IFERROR(__xludf.DUMMYFUNCTION("""COMPUTED_VALUE"""),38.0)</f>
        <v>38</v>
      </c>
      <c r="E105" s="1">
        <v>217.0</v>
      </c>
      <c r="F105" s="1">
        <v>43.4</v>
      </c>
    </row>
    <row r="106">
      <c r="A106" s="1" t="str">
        <f>IFERROR(__xludf.DUMMYFUNCTION("""COMPUTED_VALUE"""),"S0756")</f>
        <v>S0756</v>
      </c>
      <c r="B106" s="1" t="str">
        <f>IFERROR(__xludf.DUMMYFUNCTION("""COMPUTED_VALUE"""),"Anjali Saxena")</f>
        <v>Anjali Saxena</v>
      </c>
      <c r="C106" s="1" t="str">
        <f>IFERROR(__xludf.DUMMYFUNCTION("""COMPUTED_VALUE"""),"B")</f>
        <v>B</v>
      </c>
      <c r="D106" s="1">
        <f>IFERROR(__xludf.DUMMYFUNCTION("""COMPUTED_VALUE"""),27.0)</f>
        <v>27</v>
      </c>
      <c r="E106" s="1">
        <v>350.0</v>
      </c>
      <c r="F106" s="1">
        <v>70.0</v>
      </c>
    </row>
    <row r="107">
      <c r="A107" s="1" t="str">
        <f>IFERROR(__xludf.DUMMYFUNCTION("""COMPUTED_VALUE"""),"S0773")</f>
        <v>S0773</v>
      </c>
      <c r="B107" s="1" t="str">
        <f>IFERROR(__xludf.DUMMYFUNCTION("""COMPUTED_VALUE"""),"Shweta Thakur")</f>
        <v>Shweta Thakur</v>
      </c>
      <c r="C107" s="1" t="str">
        <f>IFERROR(__xludf.DUMMYFUNCTION("""COMPUTED_VALUE"""),"A")</f>
        <v>A</v>
      </c>
      <c r="D107" s="1">
        <f>IFERROR(__xludf.DUMMYFUNCTION("""COMPUTED_VALUE"""),92.0)</f>
        <v>92</v>
      </c>
      <c r="E107" s="1">
        <v>321.0</v>
      </c>
      <c r="F107" s="1">
        <v>64.2</v>
      </c>
    </row>
    <row r="108">
      <c r="A108" s="1" t="str">
        <f>IFERROR(__xludf.DUMMYFUNCTION("""COMPUTED_VALUE"""),"S0776")</f>
        <v>S0776</v>
      </c>
      <c r="B108" s="1" t="str">
        <f>IFERROR(__xludf.DUMMYFUNCTION("""COMPUTED_VALUE"""),"Meena Singh")</f>
        <v>Meena Singh</v>
      </c>
      <c r="C108" s="1" t="str">
        <f>IFERROR(__xludf.DUMMYFUNCTION("""COMPUTED_VALUE"""),"A")</f>
        <v>A</v>
      </c>
      <c r="D108" s="1">
        <f>IFERROR(__xludf.DUMMYFUNCTION("""COMPUTED_VALUE"""),47.0)</f>
        <v>47</v>
      </c>
      <c r="E108" s="1">
        <v>328.0</v>
      </c>
      <c r="F108" s="1">
        <v>65.60000000000001</v>
      </c>
    </row>
    <row r="109">
      <c r="A109" s="1" t="str">
        <f>IFERROR(__xludf.DUMMYFUNCTION("""COMPUTED_VALUE"""),"S0779")</f>
        <v>S0779</v>
      </c>
      <c r="B109" s="1" t="str">
        <f>IFERROR(__xludf.DUMMYFUNCTION("""COMPUTED_VALUE"""),"Rohit Dubey")</f>
        <v>Rohit Dubey</v>
      </c>
      <c r="C109" s="1" t="str">
        <f>IFERROR(__xludf.DUMMYFUNCTION("""COMPUTED_VALUE"""),"B")</f>
        <v>B</v>
      </c>
      <c r="D109" s="1">
        <f>IFERROR(__xludf.DUMMYFUNCTION("""COMPUTED_VALUE"""),92.0)</f>
        <v>92</v>
      </c>
      <c r="E109" s="1">
        <v>264.0</v>
      </c>
      <c r="F109" s="1">
        <v>52.800000000000004</v>
      </c>
    </row>
    <row r="110">
      <c r="A110" s="1" t="str">
        <f>IFERROR(__xludf.DUMMYFUNCTION("""COMPUTED_VALUE"""),"S0785")</f>
        <v>S0785</v>
      </c>
      <c r="B110" s="1" t="str">
        <f>IFERROR(__xludf.DUMMYFUNCTION("""COMPUTED_VALUE"""),"Shweta Sharma")</f>
        <v>Shweta Sharma</v>
      </c>
      <c r="C110" s="1" t="str">
        <f>IFERROR(__xludf.DUMMYFUNCTION("""COMPUTED_VALUE"""),"B")</f>
        <v>B</v>
      </c>
      <c r="D110" s="1">
        <f>IFERROR(__xludf.DUMMYFUNCTION("""COMPUTED_VALUE"""),55.0)</f>
        <v>55</v>
      </c>
      <c r="E110" s="1">
        <v>268.0</v>
      </c>
      <c r="F110" s="1">
        <v>53.6</v>
      </c>
    </row>
    <row r="111">
      <c r="A111" s="1" t="str">
        <f>IFERROR(__xludf.DUMMYFUNCTION("""COMPUTED_VALUE"""),"S0786")</f>
        <v>S0786</v>
      </c>
      <c r="B111" s="1" t="str">
        <f>IFERROR(__xludf.DUMMYFUNCTION("""COMPUTED_VALUE"""),"Sneha Joshi")</f>
        <v>Sneha Joshi</v>
      </c>
      <c r="C111" s="1" t="str">
        <f>IFERROR(__xludf.DUMMYFUNCTION("""COMPUTED_VALUE"""),"B")</f>
        <v>B</v>
      </c>
      <c r="D111" s="1">
        <f>IFERROR(__xludf.DUMMYFUNCTION("""COMPUTED_VALUE"""),94.0)</f>
        <v>94</v>
      </c>
      <c r="E111" s="1">
        <v>236.0</v>
      </c>
      <c r="F111" s="1">
        <v>47.199999999999996</v>
      </c>
    </row>
    <row r="112">
      <c r="A112" s="1" t="str">
        <f>IFERROR(__xludf.DUMMYFUNCTION("""COMPUTED_VALUE"""),"S0797")</f>
        <v>S0797</v>
      </c>
      <c r="B112" s="1" t="str">
        <f>IFERROR(__xludf.DUMMYFUNCTION("""COMPUTED_VALUE"""),"Meena Verma")</f>
        <v>Meena Verma</v>
      </c>
      <c r="C112" s="1" t="str">
        <f>IFERROR(__xludf.DUMMYFUNCTION("""COMPUTED_VALUE"""),"B")</f>
        <v>B</v>
      </c>
      <c r="D112" s="1">
        <f>IFERROR(__xludf.DUMMYFUNCTION("""COMPUTED_VALUE"""),88.0)</f>
        <v>88</v>
      </c>
      <c r="E112" s="1">
        <v>230.0</v>
      </c>
      <c r="F112" s="1">
        <v>46.0</v>
      </c>
    </row>
    <row r="113">
      <c r="A113" s="1" t="str">
        <f>IFERROR(__xludf.DUMMYFUNCTION("""COMPUTED_VALUE"""),"S0803")</f>
        <v>S0803</v>
      </c>
      <c r="B113" s="1" t="str">
        <f>IFERROR(__xludf.DUMMYFUNCTION("""COMPUTED_VALUE"""),"Preeti Kumar")</f>
        <v>Preeti Kumar</v>
      </c>
      <c r="C113" s="1" t="str">
        <f>IFERROR(__xludf.DUMMYFUNCTION("""COMPUTED_VALUE"""),"B")</f>
        <v>B</v>
      </c>
      <c r="D113" s="1">
        <f>IFERROR(__xludf.DUMMYFUNCTION("""COMPUTED_VALUE"""),27.0)</f>
        <v>27</v>
      </c>
      <c r="E113" s="1">
        <v>323.0</v>
      </c>
      <c r="F113" s="1">
        <v>64.60000000000001</v>
      </c>
    </row>
    <row r="114">
      <c r="A114" s="1" t="str">
        <f>IFERROR(__xludf.DUMMYFUNCTION("""COMPUTED_VALUE"""),"S0811")</f>
        <v>S0811</v>
      </c>
      <c r="B114" s="1" t="str">
        <f>IFERROR(__xludf.DUMMYFUNCTION("""COMPUTED_VALUE"""),"Meena Pandey")</f>
        <v>Meena Pandey</v>
      </c>
      <c r="C114" s="1" t="str">
        <f>IFERROR(__xludf.DUMMYFUNCTION("""COMPUTED_VALUE"""),"D")</f>
        <v>D</v>
      </c>
      <c r="D114" s="1">
        <f>IFERROR(__xludf.DUMMYFUNCTION("""COMPUTED_VALUE"""),71.0)</f>
        <v>71</v>
      </c>
      <c r="E114" s="1">
        <v>250.0</v>
      </c>
      <c r="F114" s="1">
        <v>50.0</v>
      </c>
    </row>
    <row r="115">
      <c r="A115" s="1" t="str">
        <f>IFERROR(__xludf.DUMMYFUNCTION("""COMPUTED_VALUE"""),"S0816")</f>
        <v>S0816</v>
      </c>
      <c r="B115" s="1" t="str">
        <f>IFERROR(__xludf.DUMMYFUNCTION("""COMPUTED_VALUE"""),"Shweta Gupta")</f>
        <v>Shweta Gupta</v>
      </c>
      <c r="C115" s="1" t="str">
        <f>IFERROR(__xludf.DUMMYFUNCTION("""COMPUTED_VALUE"""),"A")</f>
        <v>A</v>
      </c>
      <c r="D115" s="1">
        <f>IFERROR(__xludf.DUMMYFUNCTION("""COMPUTED_VALUE"""),100.0)</f>
        <v>100</v>
      </c>
      <c r="E115" s="1">
        <v>341.0</v>
      </c>
      <c r="F115" s="1">
        <v>68.2</v>
      </c>
    </row>
    <row r="116">
      <c r="A116" s="1" t="str">
        <f>IFERROR(__xludf.DUMMYFUNCTION("""COMPUTED_VALUE"""),"S0827")</f>
        <v>S0827</v>
      </c>
      <c r="B116" s="1" t="str">
        <f>IFERROR(__xludf.DUMMYFUNCTION("""COMPUTED_VALUE"""),"Amit Gupta")</f>
        <v>Amit Gupta</v>
      </c>
      <c r="C116" s="1" t="str">
        <f>IFERROR(__xludf.DUMMYFUNCTION("""COMPUTED_VALUE"""),"D")</f>
        <v>D</v>
      </c>
      <c r="D116" s="1">
        <f>IFERROR(__xludf.DUMMYFUNCTION("""COMPUTED_VALUE"""),54.0)</f>
        <v>54</v>
      </c>
      <c r="E116" s="1">
        <v>255.0</v>
      </c>
      <c r="F116" s="1">
        <v>51.0</v>
      </c>
    </row>
    <row r="117">
      <c r="A117" s="1" t="str">
        <f>IFERROR(__xludf.DUMMYFUNCTION("""COMPUTED_VALUE"""),"S0830")</f>
        <v>S0830</v>
      </c>
      <c r="B117" s="1" t="str">
        <f>IFERROR(__xludf.DUMMYFUNCTION("""COMPUTED_VALUE"""),"Ankit Verma")</f>
        <v>Ankit Verma</v>
      </c>
      <c r="C117" s="1" t="str">
        <f>IFERROR(__xludf.DUMMYFUNCTION("""COMPUTED_VALUE"""),"B")</f>
        <v>B</v>
      </c>
      <c r="D117" s="1">
        <f>IFERROR(__xludf.DUMMYFUNCTION("""COMPUTED_VALUE"""),49.0)</f>
        <v>49</v>
      </c>
      <c r="E117" s="1">
        <v>337.0</v>
      </c>
      <c r="F117" s="1">
        <v>67.4</v>
      </c>
    </row>
    <row r="118">
      <c r="A118" s="1" t="str">
        <f>IFERROR(__xludf.DUMMYFUNCTION("""COMPUTED_VALUE"""),"S0837")</f>
        <v>S0837</v>
      </c>
      <c r="B118" s="1" t="str">
        <f>IFERROR(__xludf.DUMMYFUNCTION("""COMPUTED_VALUE"""),"Anjali Yadav")</f>
        <v>Anjali Yadav</v>
      </c>
      <c r="C118" s="1" t="str">
        <f>IFERROR(__xludf.DUMMYFUNCTION("""COMPUTED_VALUE"""),"A")</f>
        <v>A</v>
      </c>
      <c r="D118" s="1">
        <f>IFERROR(__xludf.DUMMYFUNCTION("""COMPUTED_VALUE"""),18.0)</f>
        <v>18</v>
      </c>
      <c r="E118" s="1">
        <v>390.0</v>
      </c>
      <c r="F118" s="1">
        <v>78.0</v>
      </c>
    </row>
    <row r="119">
      <c r="A119" s="1" t="str">
        <f>IFERROR(__xludf.DUMMYFUNCTION("""COMPUTED_VALUE"""),"S0840")</f>
        <v>S0840</v>
      </c>
      <c r="B119" s="1" t="str">
        <f>IFERROR(__xludf.DUMMYFUNCTION("""COMPUTED_VALUE"""),"Rahul Joshi")</f>
        <v>Rahul Joshi</v>
      </c>
      <c r="C119" s="1" t="str">
        <f>IFERROR(__xludf.DUMMYFUNCTION("""COMPUTED_VALUE"""),"C")</f>
        <v>C</v>
      </c>
      <c r="D119" s="1">
        <f>IFERROR(__xludf.DUMMYFUNCTION("""COMPUTED_VALUE"""),45.0)</f>
        <v>45</v>
      </c>
      <c r="E119" s="1">
        <v>298.0</v>
      </c>
      <c r="F119" s="1">
        <v>59.599999999999994</v>
      </c>
    </row>
    <row r="120">
      <c r="A120" s="1" t="str">
        <f>IFERROR(__xludf.DUMMYFUNCTION("""COMPUTED_VALUE"""),"S0842")</f>
        <v>S0842</v>
      </c>
      <c r="B120" s="1" t="str">
        <f>IFERROR(__xludf.DUMMYFUNCTION("""COMPUTED_VALUE"""),"Priya Tiwari")</f>
        <v>Priya Tiwari</v>
      </c>
      <c r="C120" s="1" t="str">
        <f>IFERROR(__xludf.DUMMYFUNCTION("""COMPUTED_VALUE"""),"A")</f>
        <v>A</v>
      </c>
      <c r="D120" s="1">
        <f>IFERROR(__xludf.DUMMYFUNCTION("""COMPUTED_VALUE"""),59.0)</f>
        <v>59</v>
      </c>
      <c r="E120" s="1">
        <v>336.0</v>
      </c>
      <c r="F120" s="1">
        <v>67.2</v>
      </c>
    </row>
    <row r="121">
      <c r="A121" s="1" t="str">
        <f>IFERROR(__xludf.DUMMYFUNCTION("""COMPUTED_VALUE"""),"S0843")</f>
        <v>S0843</v>
      </c>
      <c r="B121" s="1" t="str">
        <f>IFERROR(__xludf.DUMMYFUNCTION("""COMPUTED_VALUE"""),"Ritu Thakur")</f>
        <v>Ritu Thakur</v>
      </c>
      <c r="C121" s="1" t="str">
        <f>IFERROR(__xludf.DUMMYFUNCTION("""COMPUTED_VALUE"""),"A")</f>
        <v>A</v>
      </c>
      <c r="D121" s="1">
        <f>IFERROR(__xludf.DUMMYFUNCTION("""COMPUTED_VALUE"""),95.0)</f>
        <v>95</v>
      </c>
      <c r="E121" s="1">
        <v>357.0</v>
      </c>
      <c r="F121" s="1">
        <v>71.39999999999999</v>
      </c>
    </row>
    <row r="122">
      <c r="A122" s="1" t="str">
        <f>IFERROR(__xludf.DUMMYFUNCTION("""COMPUTED_VALUE"""),"S0854")</f>
        <v>S0854</v>
      </c>
      <c r="B122" s="1" t="str">
        <f>IFERROR(__xludf.DUMMYFUNCTION("""COMPUTED_VALUE"""),"Kavita Tiwari")</f>
        <v>Kavita Tiwari</v>
      </c>
      <c r="C122" s="1" t="str">
        <f>IFERROR(__xludf.DUMMYFUNCTION("""COMPUTED_VALUE"""),"B")</f>
        <v>B</v>
      </c>
      <c r="D122" s="1">
        <f>IFERROR(__xludf.DUMMYFUNCTION("""COMPUTED_VALUE"""),67.0)</f>
        <v>67</v>
      </c>
      <c r="E122" s="1">
        <v>270.0</v>
      </c>
      <c r="F122" s="1">
        <v>54.0</v>
      </c>
    </row>
    <row r="123">
      <c r="A123" s="1" t="str">
        <f>IFERROR(__xludf.DUMMYFUNCTION("""COMPUTED_VALUE"""),"S0861")</f>
        <v>S0861</v>
      </c>
      <c r="B123" s="1" t="str">
        <f>IFERROR(__xludf.DUMMYFUNCTION("""COMPUTED_VALUE"""),"Ritu Saxena")</f>
        <v>Ritu Saxena</v>
      </c>
      <c r="C123" s="1" t="str">
        <f>IFERROR(__xludf.DUMMYFUNCTION("""COMPUTED_VALUE"""),"B")</f>
        <v>B</v>
      </c>
      <c r="D123" s="1">
        <f>IFERROR(__xludf.DUMMYFUNCTION("""COMPUTED_VALUE"""),22.0)</f>
        <v>22</v>
      </c>
      <c r="E123" s="1">
        <v>261.0</v>
      </c>
      <c r="F123" s="1">
        <v>52.2</v>
      </c>
    </row>
    <row r="124">
      <c r="A124" s="1" t="str">
        <f>IFERROR(__xludf.DUMMYFUNCTION("""COMPUTED_VALUE"""),"S0863")</f>
        <v>S0863</v>
      </c>
      <c r="B124" s="1" t="str">
        <f>IFERROR(__xludf.DUMMYFUNCTION("""COMPUTED_VALUE"""),"Rohit Saxena")</f>
        <v>Rohit Saxena</v>
      </c>
      <c r="C124" s="1" t="str">
        <f>IFERROR(__xludf.DUMMYFUNCTION("""COMPUTED_VALUE"""),"B")</f>
        <v>B</v>
      </c>
      <c r="D124" s="1">
        <f>IFERROR(__xludf.DUMMYFUNCTION("""COMPUTED_VALUE"""),47.0)</f>
        <v>47</v>
      </c>
      <c r="E124" s="1">
        <v>289.0</v>
      </c>
      <c r="F124" s="1">
        <v>57.8</v>
      </c>
    </row>
    <row r="125">
      <c r="A125" s="1" t="str">
        <f>IFERROR(__xludf.DUMMYFUNCTION("""COMPUTED_VALUE"""),"S0877")</f>
        <v>S0877</v>
      </c>
      <c r="B125" s="1" t="str">
        <f>IFERROR(__xludf.DUMMYFUNCTION("""COMPUTED_VALUE"""),"Ritu Singh")</f>
        <v>Ritu Singh</v>
      </c>
      <c r="C125" s="1" t="str">
        <f>IFERROR(__xludf.DUMMYFUNCTION("""COMPUTED_VALUE"""),"C")</f>
        <v>C</v>
      </c>
      <c r="D125" s="1">
        <f>IFERROR(__xludf.DUMMYFUNCTION("""COMPUTED_VALUE"""),14.0)</f>
        <v>14</v>
      </c>
      <c r="E125" s="1">
        <v>335.0</v>
      </c>
      <c r="F125" s="1">
        <v>67.0</v>
      </c>
    </row>
    <row r="126">
      <c r="A126" s="1" t="str">
        <f>IFERROR(__xludf.DUMMYFUNCTION("""COMPUTED_VALUE"""),"S0891")</f>
        <v>S0891</v>
      </c>
      <c r="B126" s="1" t="str">
        <f>IFERROR(__xludf.DUMMYFUNCTION("""COMPUTED_VALUE"""),"Kunal Jha")</f>
        <v>Kunal Jha</v>
      </c>
      <c r="C126" s="1" t="str">
        <f>IFERROR(__xludf.DUMMYFUNCTION("""COMPUTED_VALUE"""),"C")</f>
        <v>C</v>
      </c>
      <c r="D126" s="1">
        <f>IFERROR(__xludf.DUMMYFUNCTION("""COMPUTED_VALUE"""),40.0)</f>
        <v>40</v>
      </c>
      <c r="E126" s="1">
        <v>249.0</v>
      </c>
      <c r="F126" s="1">
        <v>49.8</v>
      </c>
    </row>
    <row r="127">
      <c r="A127" s="1" t="str">
        <f>IFERROR(__xludf.DUMMYFUNCTION("""COMPUTED_VALUE"""),"S0893")</f>
        <v>S0893</v>
      </c>
      <c r="B127" s="1" t="str">
        <f>IFERROR(__xludf.DUMMYFUNCTION("""COMPUTED_VALUE"""),"Saurabh Saxena")</f>
        <v>Saurabh Saxena</v>
      </c>
      <c r="C127" s="1" t="str">
        <f>IFERROR(__xludf.DUMMYFUNCTION("""COMPUTED_VALUE"""),"A")</f>
        <v>A</v>
      </c>
      <c r="D127" s="1">
        <f>IFERROR(__xludf.DUMMYFUNCTION("""COMPUTED_VALUE"""),45.0)</f>
        <v>45</v>
      </c>
      <c r="E127" s="1">
        <v>294.0</v>
      </c>
      <c r="F127" s="1">
        <v>58.8</v>
      </c>
    </row>
    <row r="128">
      <c r="A128" s="1" t="str">
        <f>IFERROR(__xludf.DUMMYFUNCTION("""COMPUTED_VALUE"""),"S0894")</f>
        <v>S0894</v>
      </c>
      <c r="B128" s="1" t="str">
        <f>IFERROR(__xludf.DUMMYFUNCTION("""COMPUTED_VALUE"""),"Meena Tripathi")</f>
        <v>Meena Tripathi</v>
      </c>
      <c r="C128" s="1" t="str">
        <f>IFERROR(__xludf.DUMMYFUNCTION("""COMPUTED_VALUE"""),"C")</f>
        <v>C</v>
      </c>
      <c r="D128" s="1">
        <f>IFERROR(__xludf.DUMMYFUNCTION("""COMPUTED_VALUE"""),30.0)</f>
        <v>30</v>
      </c>
      <c r="E128" s="1">
        <v>370.0</v>
      </c>
      <c r="F128" s="1">
        <v>74.0</v>
      </c>
    </row>
    <row r="129">
      <c r="A129" s="1" t="str">
        <f>IFERROR(__xludf.DUMMYFUNCTION("""COMPUTED_VALUE"""),"S0911")</f>
        <v>S0911</v>
      </c>
      <c r="B129" s="1" t="str">
        <f>IFERROR(__xludf.DUMMYFUNCTION("""COMPUTED_VALUE"""),"Aman Pandey")</f>
        <v>Aman Pandey</v>
      </c>
      <c r="C129" s="1" t="str">
        <f>IFERROR(__xludf.DUMMYFUNCTION("""COMPUTED_VALUE"""),"D")</f>
        <v>D</v>
      </c>
      <c r="D129" s="1">
        <f>IFERROR(__xludf.DUMMYFUNCTION("""COMPUTED_VALUE"""),84.0)</f>
        <v>84</v>
      </c>
      <c r="E129" s="1">
        <v>333.0</v>
      </c>
      <c r="F129" s="1">
        <v>66.60000000000001</v>
      </c>
    </row>
    <row r="130">
      <c r="A130" s="1" t="str">
        <f>IFERROR(__xludf.DUMMYFUNCTION("""COMPUTED_VALUE"""),"S0922")</f>
        <v>S0922</v>
      </c>
      <c r="B130" s="1" t="str">
        <f>IFERROR(__xludf.DUMMYFUNCTION("""COMPUTED_VALUE"""),"Kavita Pandey")</f>
        <v>Kavita Pandey</v>
      </c>
      <c r="C130" s="1" t="str">
        <f>IFERROR(__xludf.DUMMYFUNCTION("""COMPUTED_VALUE"""),"B")</f>
        <v>B</v>
      </c>
      <c r="D130" s="1">
        <f>IFERROR(__xludf.DUMMYFUNCTION("""COMPUTED_VALUE"""),70.0)</f>
        <v>70</v>
      </c>
      <c r="E130" s="1">
        <v>281.0</v>
      </c>
      <c r="F130" s="1">
        <v>56.2</v>
      </c>
    </row>
    <row r="131">
      <c r="A131" s="1" t="str">
        <f>IFERROR(__xludf.DUMMYFUNCTION("""COMPUTED_VALUE"""),"S0938")</f>
        <v>S0938</v>
      </c>
      <c r="B131" s="1" t="str">
        <f>IFERROR(__xludf.DUMMYFUNCTION("""COMPUTED_VALUE"""),"Vikas Pandey")</f>
        <v>Vikas Pandey</v>
      </c>
      <c r="C131" s="1" t="str">
        <f>IFERROR(__xludf.DUMMYFUNCTION("""COMPUTED_VALUE"""),"A")</f>
        <v>A</v>
      </c>
      <c r="D131" s="1">
        <f>IFERROR(__xludf.DUMMYFUNCTION("""COMPUTED_VALUE"""),42.0)</f>
        <v>42</v>
      </c>
      <c r="E131" s="1">
        <v>258.0</v>
      </c>
      <c r="F131" s="1">
        <v>51.6</v>
      </c>
    </row>
    <row r="132">
      <c r="A132" s="1" t="str">
        <f>IFERROR(__xludf.DUMMYFUNCTION("""COMPUTED_VALUE"""),"S0940")</f>
        <v>S0940</v>
      </c>
      <c r="B132" s="1" t="str">
        <f>IFERROR(__xludf.DUMMYFUNCTION("""COMPUTED_VALUE"""),"Nitin Chauhan")</f>
        <v>Nitin Chauhan</v>
      </c>
      <c r="C132" s="1" t="str">
        <f>IFERROR(__xludf.DUMMYFUNCTION("""COMPUTED_VALUE"""),"C")</f>
        <v>C</v>
      </c>
      <c r="D132" s="1">
        <f>IFERROR(__xludf.DUMMYFUNCTION("""COMPUTED_VALUE"""),16.0)</f>
        <v>16</v>
      </c>
      <c r="E132" s="1">
        <v>324.0</v>
      </c>
      <c r="F132" s="1">
        <v>64.8</v>
      </c>
    </row>
    <row r="133">
      <c r="A133" s="1" t="str">
        <f>IFERROR(__xludf.DUMMYFUNCTION("""COMPUTED_VALUE"""),"S0946")</f>
        <v>S0946</v>
      </c>
      <c r="B133" s="1" t="str">
        <f>IFERROR(__xludf.DUMMYFUNCTION("""COMPUTED_VALUE"""),"Rohit Srivastava")</f>
        <v>Rohit Srivastava</v>
      </c>
      <c r="C133" s="1" t="str">
        <f>IFERROR(__xludf.DUMMYFUNCTION("""COMPUTED_VALUE"""),"A")</f>
        <v>A</v>
      </c>
      <c r="D133" s="1">
        <f>IFERROR(__xludf.DUMMYFUNCTION("""COMPUTED_VALUE"""),38.0)</f>
        <v>38</v>
      </c>
      <c r="E133" s="1">
        <v>300.0</v>
      </c>
      <c r="F133" s="1">
        <v>60.0</v>
      </c>
    </row>
    <row r="134">
      <c r="A134" s="1" t="str">
        <f>IFERROR(__xludf.DUMMYFUNCTION("""COMPUTED_VALUE"""),"S0956")</f>
        <v>S0956</v>
      </c>
      <c r="B134" s="1" t="str">
        <f>IFERROR(__xludf.DUMMYFUNCTION("""COMPUTED_VALUE"""),"Rohit Bansal")</f>
        <v>Rohit Bansal</v>
      </c>
      <c r="C134" s="1" t="str">
        <f>IFERROR(__xludf.DUMMYFUNCTION("""COMPUTED_VALUE"""),"A")</f>
        <v>A</v>
      </c>
      <c r="D134" s="1">
        <f>IFERROR(__xludf.DUMMYFUNCTION("""COMPUTED_VALUE"""),35.0)</f>
        <v>35</v>
      </c>
      <c r="E134" s="1">
        <v>220.0</v>
      </c>
      <c r="F134" s="1">
        <v>44.0</v>
      </c>
    </row>
    <row r="135">
      <c r="A135" s="1" t="str">
        <f>IFERROR(__xludf.DUMMYFUNCTION("""COMPUTED_VALUE"""),"S0959")</f>
        <v>S0959</v>
      </c>
      <c r="B135" s="1" t="str">
        <f>IFERROR(__xludf.DUMMYFUNCTION("""COMPUTED_VALUE"""),"Kunal Jha")</f>
        <v>Kunal Jha</v>
      </c>
      <c r="C135" s="1" t="str">
        <f>IFERROR(__xludf.DUMMYFUNCTION("""COMPUTED_VALUE"""),"B")</f>
        <v>B</v>
      </c>
      <c r="D135" s="1">
        <f>IFERROR(__xludf.DUMMYFUNCTION("""COMPUTED_VALUE"""),64.0)</f>
        <v>64</v>
      </c>
      <c r="E135" s="1">
        <v>328.0</v>
      </c>
      <c r="F135" s="1">
        <v>65.60000000000001</v>
      </c>
    </row>
    <row r="136">
      <c r="A136" s="1" t="str">
        <f>IFERROR(__xludf.DUMMYFUNCTION("""COMPUTED_VALUE"""),"S0967")</f>
        <v>S0967</v>
      </c>
      <c r="B136" s="1" t="str">
        <f>IFERROR(__xludf.DUMMYFUNCTION("""COMPUTED_VALUE"""),"Ritu Joshi")</f>
        <v>Ritu Joshi</v>
      </c>
      <c r="C136" s="1" t="str">
        <f>IFERROR(__xludf.DUMMYFUNCTION("""COMPUTED_VALUE"""),"A")</f>
        <v>A</v>
      </c>
      <c r="D136" s="1">
        <f>IFERROR(__xludf.DUMMYFUNCTION("""COMPUTED_VALUE"""),85.0)</f>
        <v>85</v>
      </c>
      <c r="E136" s="1">
        <v>262.0</v>
      </c>
      <c r="F136" s="1">
        <v>52.400000000000006</v>
      </c>
    </row>
    <row r="137">
      <c r="A137" s="1" t="str">
        <f>IFERROR(__xludf.DUMMYFUNCTION("""COMPUTED_VALUE"""),"S0977")</f>
        <v>S0977</v>
      </c>
      <c r="B137" s="1" t="str">
        <f>IFERROR(__xludf.DUMMYFUNCTION("""COMPUTED_VALUE"""),"Saurabh Singh")</f>
        <v>Saurabh Singh</v>
      </c>
      <c r="C137" s="1" t="str">
        <f>IFERROR(__xludf.DUMMYFUNCTION("""COMPUTED_VALUE"""),"C")</f>
        <v>C</v>
      </c>
      <c r="D137" s="1">
        <f>IFERROR(__xludf.DUMMYFUNCTION("""COMPUTED_VALUE"""),26.0)</f>
        <v>26</v>
      </c>
      <c r="E137" s="1">
        <v>239.0</v>
      </c>
      <c r="F137" s="1">
        <v>47.8</v>
      </c>
    </row>
    <row r="138">
      <c r="A138" s="1" t="str">
        <f>IFERROR(__xludf.DUMMYFUNCTION("""COMPUTED_VALUE"""),"S0978")</f>
        <v>S0978</v>
      </c>
      <c r="B138" s="1" t="str">
        <f>IFERROR(__xludf.DUMMYFUNCTION("""COMPUTED_VALUE"""),"Meena Joshi")</f>
        <v>Meena Joshi</v>
      </c>
      <c r="C138" s="1" t="str">
        <f>IFERROR(__xludf.DUMMYFUNCTION("""COMPUTED_VALUE"""),"A")</f>
        <v>A</v>
      </c>
      <c r="D138" s="1">
        <f>IFERROR(__xludf.DUMMYFUNCTION("""COMPUTED_VALUE"""),41.0)</f>
        <v>41</v>
      </c>
      <c r="E138" s="1">
        <v>343.0</v>
      </c>
      <c r="F138" s="1">
        <v>68.60000000000001</v>
      </c>
    </row>
    <row r="139">
      <c r="A139" s="1" t="str">
        <f>IFERROR(__xludf.DUMMYFUNCTION("""COMPUTED_VALUE"""),"S0979")</f>
        <v>S0979</v>
      </c>
      <c r="B139" s="1" t="str">
        <f>IFERROR(__xludf.DUMMYFUNCTION("""COMPUTED_VALUE"""),"Preeti Dubey")</f>
        <v>Preeti Dubey</v>
      </c>
      <c r="C139" s="1" t="str">
        <f>IFERROR(__xludf.DUMMYFUNCTION("""COMPUTED_VALUE"""),"D")</f>
        <v>D</v>
      </c>
      <c r="D139" s="1">
        <f>IFERROR(__xludf.DUMMYFUNCTION("""COMPUTED_VALUE"""),24.0)</f>
        <v>24</v>
      </c>
      <c r="E139" s="1">
        <v>333.0</v>
      </c>
      <c r="F139" s="1">
        <v>66.60000000000001</v>
      </c>
    </row>
    <row r="140">
      <c r="A140" s="1" t="str">
        <f>IFERROR(__xludf.DUMMYFUNCTION("""COMPUTED_VALUE"""),"S0987")</f>
        <v>S0987</v>
      </c>
      <c r="B140" s="1" t="str">
        <f>IFERROR(__xludf.DUMMYFUNCTION("""COMPUTED_VALUE"""),"Deepak Agarwal")</f>
        <v>Deepak Agarwal</v>
      </c>
      <c r="C140" s="1" t="str">
        <f>IFERROR(__xludf.DUMMYFUNCTION("""COMPUTED_VALUE"""),"D")</f>
        <v>D</v>
      </c>
      <c r="D140" s="1">
        <f>IFERROR(__xludf.DUMMYFUNCTION("""COMPUTED_VALUE"""),96.0)</f>
        <v>96</v>
      </c>
      <c r="E140" s="1">
        <v>299.0</v>
      </c>
      <c r="F140" s="1">
        <v>59.8</v>
      </c>
    </row>
    <row r="141">
      <c r="A141" s="1" t="str">
        <f>IFERROR(__xludf.DUMMYFUNCTION("""COMPUTED_VALUE"""),"S1003")</f>
        <v>S1003</v>
      </c>
      <c r="B141" s="1" t="str">
        <f>IFERROR(__xludf.DUMMYFUNCTION("""COMPUTED_VALUE"""),"Priya Mishra")</f>
        <v>Priya Mishra</v>
      </c>
      <c r="C141" s="1" t="str">
        <f>IFERROR(__xludf.DUMMYFUNCTION("""COMPUTED_VALUE"""),"A")</f>
        <v>A</v>
      </c>
      <c r="D141" s="1">
        <f>IFERROR(__xludf.DUMMYFUNCTION("""COMPUTED_VALUE"""),70.0)</f>
        <v>70</v>
      </c>
      <c r="E141" s="1">
        <v>295.0</v>
      </c>
      <c r="F141" s="1">
        <v>59.0</v>
      </c>
    </row>
    <row r="142">
      <c r="A142" s="1" t="str">
        <f>IFERROR(__xludf.DUMMYFUNCTION("""COMPUTED_VALUE"""),"S1005")</f>
        <v>S1005</v>
      </c>
      <c r="B142" s="1" t="str">
        <f>IFERROR(__xludf.DUMMYFUNCTION("""COMPUTED_VALUE"""),"Sneha Agarwal")</f>
        <v>Sneha Agarwal</v>
      </c>
      <c r="C142" s="1" t="str">
        <f>IFERROR(__xludf.DUMMYFUNCTION("""COMPUTED_VALUE"""),"A")</f>
        <v>A</v>
      </c>
      <c r="D142" s="1">
        <f>IFERROR(__xludf.DUMMYFUNCTION("""COMPUTED_VALUE"""),20.0)</f>
        <v>20</v>
      </c>
      <c r="E142" s="1">
        <v>384.0</v>
      </c>
      <c r="F142" s="1">
        <v>76.8</v>
      </c>
    </row>
    <row r="143">
      <c r="A143" s="1" t="str">
        <f>IFERROR(__xludf.DUMMYFUNCTION("""COMPUTED_VALUE"""),"S1007")</f>
        <v>S1007</v>
      </c>
      <c r="B143" s="1" t="str">
        <f>IFERROR(__xludf.DUMMYFUNCTION("""COMPUTED_VALUE"""),"Ankit Tiwari")</f>
        <v>Ankit Tiwari</v>
      </c>
      <c r="C143" s="1" t="str">
        <f>IFERROR(__xludf.DUMMYFUNCTION("""COMPUTED_VALUE"""),"A")</f>
        <v>A</v>
      </c>
      <c r="D143" s="1">
        <f>IFERROR(__xludf.DUMMYFUNCTION("""COMPUTED_VALUE"""),66.0)</f>
        <v>66</v>
      </c>
      <c r="E143" s="1">
        <v>286.0</v>
      </c>
      <c r="F143" s="1">
        <v>57.199999999999996</v>
      </c>
    </row>
    <row r="144">
      <c r="A144" s="1" t="str">
        <f>IFERROR(__xludf.DUMMYFUNCTION("""COMPUTED_VALUE"""),"S1009")</f>
        <v>S1009</v>
      </c>
      <c r="B144" s="1" t="str">
        <f>IFERROR(__xludf.DUMMYFUNCTION("""COMPUTED_VALUE"""),"Rohit Gupta")</f>
        <v>Rohit Gupta</v>
      </c>
      <c r="C144" s="1" t="str">
        <f>IFERROR(__xludf.DUMMYFUNCTION("""COMPUTED_VALUE"""),"D")</f>
        <v>D</v>
      </c>
      <c r="D144" s="1">
        <f>IFERROR(__xludf.DUMMYFUNCTION("""COMPUTED_VALUE"""),28.0)</f>
        <v>28</v>
      </c>
      <c r="E144" s="1">
        <v>277.0</v>
      </c>
      <c r="F144" s="1">
        <v>55.400000000000006</v>
      </c>
    </row>
    <row r="145">
      <c r="A145" s="1" t="str">
        <f>IFERROR(__xludf.DUMMYFUNCTION("""COMPUTED_VALUE"""),"S1010")</f>
        <v>S1010</v>
      </c>
      <c r="B145" s="1" t="str">
        <f>IFERROR(__xludf.DUMMYFUNCTION("""COMPUTED_VALUE"""),"Ritu Tiwari")</f>
        <v>Ritu Tiwari</v>
      </c>
      <c r="C145" s="1" t="str">
        <f>IFERROR(__xludf.DUMMYFUNCTION("""COMPUTED_VALUE"""),"A")</f>
        <v>A</v>
      </c>
      <c r="D145" s="1">
        <f>IFERROR(__xludf.DUMMYFUNCTION("""COMPUTED_VALUE"""),82.0)</f>
        <v>82</v>
      </c>
      <c r="E145" s="1">
        <v>356.0</v>
      </c>
      <c r="F145" s="1">
        <v>71.2</v>
      </c>
    </row>
    <row r="146">
      <c r="A146" s="1" t="str">
        <f>IFERROR(__xludf.DUMMYFUNCTION("""COMPUTED_VALUE"""),"S1012")</f>
        <v>S1012</v>
      </c>
      <c r="B146" s="1" t="str">
        <f>IFERROR(__xludf.DUMMYFUNCTION("""COMPUTED_VALUE"""),"Shweta Kumar")</f>
        <v>Shweta Kumar</v>
      </c>
      <c r="C146" s="1" t="str">
        <f>IFERROR(__xludf.DUMMYFUNCTION("""COMPUTED_VALUE"""),"B")</f>
        <v>B</v>
      </c>
      <c r="D146" s="1">
        <f>IFERROR(__xludf.DUMMYFUNCTION("""COMPUTED_VALUE"""),94.0)</f>
        <v>94</v>
      </c>
      <c r="E146" s="1">
        <v>263.0</v>
      </c>
      <c r="F146" s="1">
        <v>52.6</v>
      </c>
    </row>
    <row r="147">
      <c r="A147" s="1" t="str">
        <f>IFERROR(__xludf.DUMMYFUNCTION("""COMPUTED_VALUE"""),"S1014")</f>
        <v>S1014</v>
      </c>
      <c r="B147" s="1" t="str">
        <f>IFERROR(__xludf.DUMMYFUNCTION("""COMPUTED_VALUE"""),"Pooja Kumar")</f>
        <v>Pooja Kumar</v>
      </c>
      <c r="C147" s="1" t="str">
        <f>IFERROR(__xludf.DUMMYFUNCTION("""COMPUTED_VALUE"""),"C")</f>
        <v>C</v>
      </c>
      <c r="D147" s="1">
        <f>IFERROR(__xludf.DUMMYFUNCTION("""COMPUTED_VALUE"""),52.0)</f>
        <v>52</v>
      </c>
      <c r="E147" s="1">
        <v>340.0</v>
      </c>
      <c r="F147" s="1">
        <v>68.0</v>
      </c>
    </row>
    <row r="148">
      <c r="A148" s="1" t="str">
        <f>IFERROR(__xludf.DUMMYFUNCTION("""COMPUTED_VALUE"""),"S1015")</f>
        <v>S1015</v>
      </c>
      <c r="B148" s="1" t="str">
        <f>IFERROR(__xludf.DUMMYFUNCTION("""COMPUTED_VALUE"""),"Meena Verma")</f>
        <v>Meena Verma</v>
      </c>
      <c r="C148" s="1" t="str">
        <f>IFERROR(__xludf.DUMMYFUNCTION("""COMPUTED_VALUE"""),"B")</f>
        <v>B</v>
      </c>
      <c r="D148" s="1">
        <f>IFERROR(__xludf.DUMMYFUNCTION("""COMPUTED_VALUE"""),85.0)</f>
        <v>85</v>
      </c>
      <c r="E148" s="1">
        <v>300.0</v>
      </c>
      <c r="F148" s="1">
        <v>60.0</v>
      </c>
    </row>
    <row r="149">
      <c r="A149" s="1" t="str">
        <f>IFERROR(__xludf.DUMMYFUNCTION("""COMPUTED_VALUE"""),"S1022")</f>
        <v>S1022</v>
      </c>
      <c r="B149" s="1" t="str">
        <f>IFERROR(__xludf.DUMMYFUNCTION("""COMPUTED_VALUE"""),"Shweta Agarwal")</f>
        <v>Shweta Agarwal</v>
      </c>
      <c r="C149" s="1" t="str">
        <f>IFERROR(__xludf.DUMMYFUNCTION("""COMPUTED_VALUE"""),"C")</f>
        <v>C</v>
      </c>
      <c r="D149" s="1">
        <f>IFERROR(__xludf.DUMMYFUNCTION("""COMPUTED_VALUE"""),71.0)</f>
        <v>71</v>
      </c>
      <c r="E149" s="1">
        <v>298.0</v>
      </c>
      <c r="F149" s="1">
        <v>59.599999999999994</v>
      </c>
    </row>
    <row r="150">
      <c r="A150" s="1" t="str">
        <f>IFERROR(__xludf.DUMMYFUNCTION("""COMPUTED_VALUE"""),"S1025")</f>
        <v>S1025</v>
      </c>
      <c r="B150" s="1" t="str">
        <f>IFERROR(__xludf.DUMMYFUNCTION("""COMPUTED_VALUE"""),"Neha Jha")</f>
        <v>Neha Jha</v>
      </c>
      <c r="C150" s="1" t="str">
        <f>IFERROR(__xludf.DUMMYFUNCTION("""COMPUTED_VALUE"""),"D")</f>
        <v>D</v>
      </c>
      <c r="D150" s="1">
        <f>IFERROR(__xludf.DUMMYFUNCTION("""COMPUTED_VALUE"""),58.0)</f>
        <v>58</v>
      </c>
      <c r="E150" s="1">
        <v>273.0</v>
      </c>
      <c r="F150" s="1">
        <v>54.6</v>
      </c>
    </row>
    <row r="151">
      <c r="A151" s="1" t="str">
        <f>IFERROR(__xludf.DUMMYFUNCTION("""COMPUTED_VALUE"""),"S1026")</f>
        <v>S1026</v>
      </c>
      <c r="B151" s="1" t="str">
        <f>IFERROR(__xludf.DUMMYFUNCTION("""COMPUTED_VALUE"""),"Pooja Jha")</f>
        <v>Pooja Jha</v>
      </c>
      <c r="C151" s="1" t="str">
        <f>IFERROR(__xludf.DUMMYFUNCTION("""COMPUTED_VALUE"""),"B")</f>
        <v>B</v>
      </c>
      <c r="D151" s="1">
        <f>IFERROR(__xludf.DUMMYFUNCTION("""COMPUTED_VALUE"""),73.0)</f>
        <v>73</v>
      </c>
      <c r="E151" s="1">
        <v>325.0</v>
      </c>
      <c r="F151" s="1">
        <v>65.0</v>
      </c>
    </row>
    <row r="152">
      <c r="A152" s="1" t="str">
        <f>IFERROR(__xludf.DUMMYFUNCTION("""COMPUTED_VALUE"""),"S1028")</f>
        <v>S1028</v>
      </c>
      <c r="B152" s="1" t="str">
        <f>IFERROR(__xludf.DUMMYFUNCTION("""COMPUTED_VALUE"""),"Pooja Gupta")</f>
        <v>Pooja Gupta</v>
      </c>
      <c r="C152" s="1" t="str">
        <f>IFERROR(__xludf.DUMMYFUNCTION("""COMPUTED_VALUE"""),"C")</f>
        <v>C</v>
      </c>
      <c r="D152" s="1">
        <f>IFERROR(__xludf.DUMMYFUNCTION("""COMPUTED_VALUE"""),60.0)</f>
        <v>60</v>
      </c>
      <c r="E152" s="1">
        <v>301.0</v>
      </c>
      <c r="F152" s="1">
        <v>60.199999999999996</v>
      </c>
    </row>
    <row r="153">
      <c r="A153" s="1" t="str">
        <f>IFERROR(__xludf.DUMMYFUNCTION("""COMPUTED_VALUE"""),"S1029")</f>
        <v>S1029</v>
      </c>
      <c r="B153" s="1" t="str">
        <f>IFERROR(__xludf.DUMMYFUNCTION("""COMPUTED_VALUE"""),"Amit Verma")</f>
        <v>Amit Verma</v>
      </c>
      <c r="C153" s="1" t="str">
        <f>IFERROR(__xludf.DUMMYFUNCTION("""COMPUTED_VALUE"""),"B")</f>
        <v>B</v>
      </c>
      <c r="D153" s="1">
        <f>IFERROR(__xludf.DUMMYFUNCTION("""COMPUTED_VALUE"""),53.0)</f>
        <v>53</v>
      </c>
      <c r="E153" s="1">
        <v>270.0</v>
      </c>
      <c r="F153" s="1">
        <v>54.0</v>
      </c>
    </row>
    <row r="154">
      <c r="A154" s="1" t="str">
        <f>IFERROR(__xludf.DUMMYFUNCTION("""COMPUTED_VALUE"""),"S1035")</f>
        <v>S1035</v>
      </c>
      <c r="B154" s="1" t="str">
        <f>IFERROR(__xludf.DUMMYFUNCTION("""COMPUTED_VALUE"""),"Anjali Kumar")</f>
        <v>Anjali Kumar</v>
      </c>
      <c r="C154" s="1" t="str">
        <f>IFERROR(__xludf.DUMMYFUNCTION("""COMPUTED_VALUE"""),"A")</f>
        <v>A</v>
      </c>
      <c r="D154" s="1">
        <f>IFERROR(__xludf.DUMMYFUNCTION("""COMPUTED_VALUE"""),99.0)</f>
        <v>99</v>
      </c>
      <c r="E154" s="1">
        <v>245.0</v>
      </c>
      <c r="F154" s="1">
        <v>49.0</v>
      </c>
    </row>
    <row r="155">
      <c r="A155" s="1" t="str">
        <f>IFERROR(__xludf.DUMMYFUNCTION("""COMPUTED_VALUE"""),"S1036")</f>
        <v>S1036</v>
      </c>
      <c r="B155" s="1" t="str">
        <f>IFERROR(__xludf.DUMMYFUNCTION("""COMPUTED_VALUE"""),"Nitin Sharma")</f>
        <v>Nitin Sharma</v>
      </c>
      <c r="C155" s="1" t="str">
        <f>IFERROR(__xludf.DUMMYFUNCTION("""COMPUTED_VALUE"""),"A")</f>
        <v>A</v>
      </c>
      <c r="D155" s="1">
        <f>IFERROR(__xludf.DUMMYFUNCTION("""COMPUTED_VALUE"""),81.0)</f>
        <v>81</v>
      </c>
      <c r="E155" s="1">
        <v>337.0</v>
      </c>
      <c r="F155" s="1">
        <v>67.4</v>
      </c>
    </row>
    <row r="156">
      <c r="A156" s="1" t="str">
        <f>IFERROR(__xludf.DUMMYFUNCTION("""COMPUTED_VALUE"""),"S1038")</f>
        <v>S1038</v>
      </c>
      <c r="B156" s="1" t="str">
        <f>IFERROR(__xludf.DUMMYFUNCTION("""COMPUTED_VALUE"""),"Priya Gupta")</f>
        <v>Priya Gupta</v>
      </c>
      <c r="C156" s="1" t="str">
        <f>IFERROR(__xludf.DUMMYFUNCTION("""COMPUTED_VALUE"""),"A")</f>
        <v>A</v>
      </c>
      <c r="D156" s="1">
        <f>IFERROR(__xludf.DUMMYFUNCTION("""COMPUTED_VALUE"""),46.0)</f>
        <v>46</v>
      </c>
      <c r="E156" s="1">
        <v>247.0</v>
      </c>
      <c r="F156" s="1">
        <v>49.4</v>
      </c>
    </row>
    <row r="157">
      <c r="A157" s="1" t="str">
        <f>IFERROR(__xludf.DUMMYFUNCTION("""COMPUTED_VALUE"""),"S1042")</f>
        <v>S1042</v>
      </c>
      <c r="B157" s="1" t="str">
        <f>IFERROR(__xludf.DUMMYFUNCTION("""COMPUTED_VALUE"""),"Sneha Yadav")</f>
        <v>Sneha Yadav</v>
      </c>
      <c r="C157" s="1" t="str">
        <f>IFERROR(__xludf.DUMMYFUNCTION("""COMPUTED_VALUE"""),"A")</f>
        <v>A</v>
      </c>
      <c r="D157" s="1">
        <f>IFERROR(__xludf.DUMMYFUNCTION("""COMPUTED_VALUE"""),95.0)</f>
        <v>95</v>
      </c>
      <c r="E157" s="1">
        <v>249.0</v>
      </c>
      <c r="F157" s="1">
        <v>49.8</v>
      </c>
    </row>
    <row r="158">
      <c r="A158" s="1" t="str">
        <f>IFERROR(__xludf.DUMMYFUNCTION("""COMPUTED_VALUE"""),"S1054")</f>
        <v>S1054</v>
      </c>
      <c r="B158" s="1" t="str">
        <f>IFERROR(__xludf.DUMMYFUNCTION("""COMPUTED_VALUE"""),"Saurabh Kumar")</f>
        <v>Saurabh Kumar</v>
      </c>
      <c r="C158" s="1" t="str">
        <f>IFERROR(__xludf.DUMMYFUNCTION("""COMPUTED_VALUE"""),"B")</f>
        <v>B</v>
      </c>
      <c r="D158" s="1">
        <f>IFERROR(__xludf.DUMMYFUNCTION("""COMPUTED_VALUE"""),84.0)</f>
        <v>84</v>
      </c>
      <c r="E158" s="1">
        <v>220.0</v>
      </c>
      <c r="F158" s="1">
        <v>44.0</v>
      </c>
    </row>
    <row r="159">
      <c r="A159" s="1" t="str">
        <f>IFERROR(__xludf.DUMMYFUNCTION("""COMPUTED_VALUE"""),"S1060")</f>
        <v>S1060</v>
      </c>
      <c r="B159" s="1" t="str">
        <f>IFERROR(__xludf.DUMMYFUNCTION("""COMPUTED_VALUE"""),"Amit Thakur")</f>
        <v>Amit Thakur</v>
      </c>
      <c r="C159" s="1" t="str">
        <f>IFERROR(__xludf.DUMMYFUNCTION("""COMPUTED_VALUE"""),"D")</f>
        <v>D</v>
      </c>
      <c r="D159" s="1">
        <f>IFERROR(__xludf.DUMMYFUNCTION("""COMPUTED_VALUE"""),57.0)</f>
        <v>57</v>
      </c>
      <c r="E159" s="1">
        <v>258.0</v>
      </c>
      <c r="F159" s="1">
        <v>51.6</v>
      </c>
    </row>
    <row r="160">
      <c r="A160" s="1" t="str">
        <f>IFERROR(__xludf.DUMMYFUNCTION("""COMPUTED_VALUE"""),"S1065")</f>
        <v>S1065</v>
      </c>
      <c r="B160" s="1" t="str">
        <f>IFERROR(__xludf.DUMMYFUNCTION("""COMPUTED_VALUE"""),"Vikas Saxena")</f>
        <v>Vikas Saxena</v>
      </c>
      <c r="C160" s="1" t="str">
        <f>IFERROR(__xludf.DUMMYFUNCTION("""COMPUTED_VALUE"""),"A")</f>
        <v>A</v>
      </c>
      <c r="D160" s="1">
        <f>IFERROR(__xludf.DUMMYFUNCTION("""COMPUTED_VALUE"""),85.0)</f>
        <v>85</v>
      </c>
      <c r="E160" s="1">
        <v>252.0</v>
      </c>
      <c r="F160" s="1">
        <v>50.4</v>
      </c>
    </row>
    <row r="161">
      <c r="A161" s="1" t="str">
        <f>IFERROR(__xludf.DUMMYFUNCTION("""COMPUTED_VALUE"""),"S1078")</f>
        <v>S1078</v>
      </c>
      <c r="B161" s="1" t="str">
        <f>IFERROR(__xludf.DUMMYFUNCTION("""COMPUTED_VALUE"""),"Nitin Bansal")</f>
        <v>Nitin Bansal</v>
      </c>
      <c r="C161" s="1" t="str">
        <f>IFERROR(__xludf.DUMMYFUNCTION("""COMPUTED_VALUE"""),"A")</f>
        <v>A</v>
      </c>
      <c r="D161" s="1">
        <f>IFERROR(__xludf.DUMMYFUNCTION("""COMPUTED_VALUE"""),79.0)</f>
        <v>79</v>
      </c>
      <c r="E161" s="1">
        <v>357.0</v>
      </c>
      <c r="F161" s="1">
        <v>71.39999999999999</v>
      </c>
    </row>
    <row r="162">
      <c r="A162" s="1" t="str">
        <f>IFERROR(__xludf.DUMMYFUNCTION("""COMPUTED_VALUE"""),"S1086")</f>
        <v>S1086</v>
      </c>
      <c r="B162" s="1" t="str">
        <f>IFERROR(__xludf.DUMMYFUNCTION("""COMPUTED_VALUE"""),"Kavita Verma")</f>
        <v>Kavita Verma</v>
      </c>
      <c r="C162" s="1" t="str">
        <f>IFERROR(__xludf.DUMMYFUNCTION("""COMPUTED_VALUE"""),"A")</f>
        <v>A</v>
      </c>
      <c r="D162" s="1">
        <f>IFERROR(__xludf.DUMMYFUNCTION("""COMPUTED_VALUE"""),66.0)</f>
        <v>66</v>
      </c>
      <c r="E162" s="1">
        <v>240.0</v>
      </c>
      <c r="F162" s="1">
        <v>48.0</v>
      </c>
    </row>
    <row r="163">
      <c r="A163" s="1" t="str">
        <f>IFERROR(__xludf.DUMMYFUNCTION("""COMPUTED_VALUE"""),"S1091")</f>
        <v>S1091</v>
      </c>
      <c r="B163" s="1" t="str">
        <f>IFERROR(__xludf.DUMMYFUNCTION("""COMPUTED_VALUE"""),"Vikas Gupta")</f>
        <v>Vikas Gupta</v>
      </c>
      <c r="C163" s="1" t="str">
        <f>IFERROR(__xludf.DUMMYFUNCTION("""COMPUTED_VALUE"""),"C")</f>
        <v>C</v>
      </c>
      <c r="D163" s="1">
        <f>IFERROR(__xludf.DUMMYFUNCTION("""COMPUTED_VALUE"""),77.0)</f>
        <v>77</v>
      </c>
      <c r="E163" s="1">
        <v>263.0</v>
      </c>
      <c r="F163" s="1">
        <v>52.6</v>
      </c>
    </row>
    <row r="164">
      <c r="A164" s="1" t="str">
        <f>IFERROR(__xludf.DUMMYFUNCTION("""COMPUTED_VALUE"""),"S1108")</f>
        <v>S1108</v>
      </c>
      <c r="B164" s="1" t="str">
        <f>IFERROR(__xludf.DUMMYFUNCTION("""COMPUTED_VALUE"""),"Kavita Srivastava")</f>
        <v>Kavita Srivastava</v>
      </c>
      <c r="C164" s="1" t="str">
        <f>IFERROR(__xludf.DUMMYFUNCTION("""COMPUTED_VALUE"""),"A")</f>
        <v>A</v>
      </c>
      <c r="D164" s="1">
        <f>IFERROR(__xludf.DUMMYFUNCTION("""COMPUTED_VALUE"""),48.0)</f>
        <v>48</v>
      </c>
      <c r="E164" s="1">
        <v>346.0</v>
      </c>
      <c r="F164" s="1">
        <v>69.19999999999999</v>
      </c>
    </row>
    <row r="165">
      <c r="A165" s="1" t="str">
        <f>IFERROR(__xludf.DUMMYFUNCTION("""COMPUTED_VALUE"""),"S1111")</f>
        <v>S1111</v>
      </c>
      <c r="B165" s="1" t="str">
        <f>IFERROR(__xludf.DUMMYFUNCTION("""COMPUTED_VALUE"""),"Rohit Mishra")</f>
        <v>Rohit Mishra</v>
      </c>
      <c r="C165" s="1" t="str">
        <f>IFERROR(__xludf.DUMMYFUNCTION("""COMPUTED_VALUE"""),"B")</f>
        <v>B</v>
      </c>
      <c r="D165" s="1">
        <f>IFERROR(__xludf.DUMMYFUNCTION("""COMPUTED_VALUE"""),88.0)</f>
        <v>88</v>
      </c>
      <c r="E165" s="1">
        <v>315.0</v>
      </c>
      <c r="F165" s="1">
        <v>63.0</v>
      </c>
    </row>
    <row r="166">
      <c r="A166" s="1" t="str">
        <f>IFERROR(__xludf.DUMMYFUNCTION("""COMPUTED_VALUE"""),"S1118")</f>
        <v>S1118</v>
      </c>
      <c r="B166" s="1" t="str">
        <f>IFERROR(__xludf.DUMMYFUNCTION("""COMPUTED_VALUE"""),"Sneha Srivastava")</f>
        <v>Sneha Srivastava</v>
      </c>
      <c r="C166" s="1" t="str">
        <f>IFERROR(__xludf.DUMMYFUNCTION("""COMPUTED_VALUE"""),"B")</f>
        <v>B</v>
      </c>
      <c r="D166" s="1">
        <f>IFERROR(__xludf.DUMMYFUNCTION("""COMPUTED_VALUE"""),77.0)</f>
        <v>77</v>
      </c>
      <c r="E166" s="1">
        <v>287.0</v>
      </c>
      <c r="F166" s="1">
        <v>57.4</v>
      </c>
    </row>
    <row r="167">
      <c r="A167" s="1" t="str">
        <f>IFERROR(__xludf.DUMMYFUNCTION("""COMPUTED_VALUE"""),"S1131")</f>
        <v>S1131</v>
      </c>
      <c r="B167" s="1" t="str">
        <f>IFERROR(__xludf.DUMMYFUNCTION("""COMPUTED_VALUE"""),"Priya Joshi")</f>
        <v>Priya Joshi</v>
      </c>
      <c r="C167" s="1" t="str">
        <f>IFERROR(__xludf.DUMMYFUNCTION("""COMPUTED_VALUE"""),"A")</f>
        <v>A</v>
      </c>
      <c r="D167" s="1">
        <f>IFERROR(__xludf.DUMMYFUNCTION("""COMPUTED_VALUE"""),84.0)</f>
        <v>84</v>
      </c>
      <c r="E167" s="1">
        <v>286.0</v>
      </c>
      <c r="F167" s="1">
        <v>57.199999999999996</v>
      </c>
    </row>
    <row r="168">
      <c r="A168" s="1" t="str">
        <f>IFERROR(__xludf.DUMMYFUNCTION("""COMPUTED_VALUE"""),"S1135")</f>
        <v>S1135</v>
      </c>
      <c r="B168" s="1" t="str">
        <f>IFERROR(__xludf.DUMMYFUNCTION("""COMPUTED_VALUE"""),"Shweta Thakur")</f>
        <v>Shweta Thakur</v>
      </c>
      <c r="C168" s="1" t="str">
        <f>IFERROR(__xludf.DUMMYFUNCTION("""COMPUTED_VALUE"""),"D")</f>
        <v>D</v>
      </c>
      <c r="D168" s="1">
        <f>IFERROR(__xludf.DUMMYFUNCTION("""COMPUTED_VALUE"""),22.0)</f>
        <v>22</v>
      </c>
      <c r="E168" s="1">
        <v>232.0</v>
      </c>
      <c r="F168" s="1">
        <v>46.400000000000006</v>
      </c>
    </row>
    <row r="169">
      <c r="A169" s="1" t="str">
        <f>IFERROR(__xludf.DUMMYFUNCTION("""COMPUTED_VALUE"""),"S1142")</f>
        <v>S1142</v>
      </c>
      <c r="B169" s="1" t="str">
        <f>IFERROR(__xludf.DUMMYFUNCTION("""COMPUTED_VALUE"""),"Shweta Dubey")</f>
        <v>Shweta Dubey</v>
      </c>
      <c r="C169" s="1" t="str">
        <f>IFERROR(__xludf.DUMMYFUNCTION("""COMPUTED_VALUE"""),"D")</f>
        <v>D</v>
      </c>
      <c r="D169" s="1">
        <f>IFERROR(__xludf.DUMMYFUNCTION("""COMPUTED_VALUE"""),42.0)</f>
        <v>42</v>
      </c>
      <c r="E169" s="1">
        <v>343.0</v>
      </c>
      <c r="F169" s="1">
        <v>68.60000000000001</v>
      </c>
    </row>
    <row r="170">
      <c r="A170" s="1" t="str">
        <f>IFERROR(__xludf.DUMMYFUNCTION("""COMPUTED_VALUE"""),"S1148")</f>
        <v>S1148</v>
      </c>
      <c r="B170" s="1" t="str">
        <f>IFERROR(__xludf.DUMMYFUNCTION("""COMPUTED_VALUE"""),"Amit Mishra")</f>
        <v>Amit Mishra</v>
      </c>
      <c r="C170" s="1" t="str">
        <f>IFERROR(__xludf.DUMMYFUNCTION("""COMPUTED_VALUE"""),"B")</f>
        <v>B</v>
      </c>
      <c r="D170" s="1">
        <f>IFERROR(__xludf.DUMMYFUNCTION("""COMPUTED_VALUE"""),61.0)</f>
        <v>61</v>
      </c>
      <c r="E170" s="1">
        <v>289.0</v>
      </c>
      <c r="F170" s="1">
        <v>57.8</v>
      </c>
    </row>
    <row r="171">
      <c r="A171" s="1" t="str">
        <f>IFERROR(__xludf.DUMMYFUNCTION("""COMPUTED_VALUE"""),"S1154")</f>
        <v>S1154</v>
      </c>
      <c r="B171" s="1" t="str">
        <f>IFERROR(__xludf.DUMMYFUNCTION("""COMPUTED_VALUE"""),"Ankit Saxena")</f>
        <v>Ankit Saxena</v>
      </c>
      <c r="C171" s="1" t="str">
        <f>IFERROR(__xludf.DUMMYFUNCTION("""COMPUTED_VALUE"""),"C")</f>
        <v>C</v>
      </c>
      <c r="D171" s="1">
        <f>IFERROR(__xludf.DUMMYFUNCTION("""COMPUTED_VALUE"""),30.0)</f>
        <v>30</v>
      </c>
      <c r="E171" s="1">
        <v>274.0</v>
      </c>
      <c r="F171" s="1">
        <v>54.800000000000004</v>
      </c>
    </row>
    <row r="172">
      <c r="A172" s="1" t="str">
        <f>IFERROR(__xludf.DUMMYFUNCTION("""COMPUTED_VALUE"""),"S1167")</f>
        <v>S1167</v>
      </c>
      <c r="B172" s="1" t="str">
        <f>IFERROR(__xludf.DUMMYFUNCTION("""COMPUTED_VALUE"""),"Shweta Saxena")</f>
        <v>Shweta Saxena</v>
      </c>
      <c r="C172" s="1" t="str">
        <f>IFERROR(__xludf.DUMMYFUNCTION("""COMPUTED_VALUE"""),"A")</f>
        <v>A</v>
      </c>
      <c r="D172" s="1">
        <f>IFERROR(__xludf.DUMMYFUNCTION("""COMPUTED_VALUE"""),59.0)</f>
        <v>59</v>
      </c>
      <c r="E172" s="1">
        <v>295.0</v>
      </c>
      <c r="F172" s="1">
        <v>59.0</v>
      </c>
    </row>
    <row r="173">
      <c r="A173" s="1" t="str">
        <f>IFERROR(__xludf.DUMMYFUNCTION("""COMPUTED_VALUE"""),"S1182")</f>
        <v>S1182</v>
      </c>
      <c r="B173" s="1" t="str">
        <f>IFERROR(__xludf.DUMMYFUNCTION("""COMPUTED_VALUE"""),"Rahul Sharma")</f>
        <v>Rahul Sharma</v>
      </c>
      <c r="C173" s="1" t="str">
        <f>IFERROR(__xludf.DUMMYFUNCTION("""COMPUTED_VALUE"""),"B")</f>
        <v>B</v>
      </c>
      <c r="D173" s="1">
        <f>IFERROR(__xludf.DUMMYFUNCTION("""COMPUTED_VALUE"""),19.0)</f>
        <v>19</v>
      </c>
      <c r="E173" s="1">
        <v>308.0</v>
      </c>
      <c r="F173" s="1">
        <v>61.6</v>
      </c>
    </row>
    <row r="174">
      <c r="A174" s="1" t="str">
        <f>IFERROR(__xludf.DUMMYFUNCTION("""COMPUTED_VALUE"""),"S1185")</f>
        <v>S1185</v>
      </c>
      <c r="B174" s="1" t="str">
        <f>IFERROR(__xludf.DUMMYFUNCTION("""COMPUTED_VALUE"""),"Saurabh Tripathi")</f>
        <v>Saurabh Tripathi</v>
      </c>
      <c r="C174" s="1" t="str">
        <f>IFERROR(__xludf.DUMMYFUNCTION("""COMPUTED_VALUE"""),"A")</f>
        <v>A</v>
      </c>
      <c r="D174" s="1">
        <f>IFERROR(__xludf.DUMMYFUNCTION("""COMPUTED_VALUE"""),21.0)</f>
        <v>21</v>
      </c>
      <c r="E174" s="1">
        <v>300.0</v>
      </c>
      <c r="F174" s="1">
        <v>60.0</v>
      </c>
    </row>
    <row r="175">
      <c r="A175" s="1" t="str">
        <f>IFERROR(__xludf.DUMMYFUNCTION("""COMPUTED_VALUE"""),"S1187")</f>
        <v>S1187</v>
      </c>
      <c r="B175" s="1" t="str">
        <f>IFERROR(__xludf.DUMMYFUNCTION("""COMPUTED_VALUE"""),"Neha Verma")</f>
        <v>Neha Verma</v>
      </c>
      <c r="C175" s="1" t="str">
        <f>IFERROR(__xludf.DUMMYFUNCTION("""COMPUTED_VALUE"""),"D")</f>
        <v>D</v>
      </c>
      <c r="D175" s="1">
        <f>IFERROR(__xludf.DUMMYFUNCTION("""COMPUTED_VALUE"""),58.0)</f>
        <v>58</v>
      </c>
      <c r="E175" s="1">
        <v>260.0</v>
      </c>
      <c r="F175" s="1">
        <v>52.0</v>
      </c>
    </row>
    <row r="176">
      <c r="A176" s="1" t="str">
        <f>IFERROR(__xludf.DUMMYFUNCTION("""COMPUTED_VALUE"""),"S1192")</f>
        <v>S1192</v>
      </c>
      <c r="B176" s="1" t="str">
        <f>IFERROR(__xludf.DUMMYFUNCTION("""COMPUTED_VALUE"""),"Kavita Tripathi")</f>
        <v>Kavita Tripathi</v>
      </c>
      <c r="C176" s="1" t="str">
        <f>IFERROR(__xludf.DUMMYFUNCTION("""COMPUTED_VALUE"""),"C")</f>
        <v>C</v>
      </c>
      <c r="D176" s="1">
        <f>IFERROR(__xludf.DUMMYFUNCTION("""COMPUTED_VALUE"""),82.0)</f>
        <v>82</v>
      </c>
      <c r="E176" s="1">
        <v>289.0</v>
      </c>
      <c r="F176" s="1">
        <v>57.8</v>
      </c>
    </row>
    <row r="177">
      <c r="A177" s="1" t="str">
        <f>IFERROR(__xludf.DUMMYFUNCTION("""COMPUTED_VALUE"""),"S1195")</f>
        <v>S1195</v>
      </c>
      <c r="B177" s="1" t="str">
        <f>IFERROR(__xludf.DUMMYFUNCTION("""COMPUTED_VALUE"""),"Kunal Pandey")</f>
        <v>Kunal Pandey</v>
      </c>
      <c r="C177" s="1" t="str">
        <f>IFERROR(__xludf.DUMMYFUNCTION("""COMPUTED_VALUE"""),"B")</f>
        <v>B</v>
      </c>
      <c r="D177" s="1">
        <f>IFERROR(__xludf.DUMMYFUNCTION("""COMPUTED_VALUE"""),36.0)</f>
        <v>36</v>
      </c>
      <c r="E177" s="1">
        <v>271.0</v>
      </c>
      <c r="F177" s="1">
        <v>54.2</v>
      </c>
    </row>
    <row r="178">
      <c r="A178" s="1" t="str">
        <f>IFERROR(__xludf.DUMMYFUNCTION("""COMPUTED_VALUE"""),"S1197")</f>
        <v>S1197</v>
      </c>
      <c r="B178" s="1" t="str">
        <f>IFERROR(__xludf.DUMMYFUNCTION("""COMPUTED_VALUE"""),"Sneha Yadav")</f>
        <v>Sneha Yadav</v>
      </c>
      <c r="C178" s="1" t="str">
        <f>IFERROR(__xludf.DUMMYFUNCTION("""COMPUTED_VALUE"""),"A")</f>
        <v>A</v>
      </c>
      <c r="D178" s="1">
        <f>IFERROR(__xludf.DUMMYFUNCTION("""COMPUTED_VALUE"""),77.0)</f>
        <v>77</v>
      </c>
      <c r="E178" s="1">
        <v>348.0</v>
      </c>
      <c r="F178" s="1">
        <v>69.6</v>
      </c>
    </row>
    <row r="179">
      <c r="A179" s="1" t="str">
        <f>IFERROR(__xludf.DUMMYFUNCTION("""COMPUTED_VALUE"""),"S1201")</f>
        <v>S1201</v>
      </c>
      <c r="B179" s="1" t="str">
        <f>IFERROR(__xludf.DUMMYFUNCTION("""COMPUTED_VALUE"""),"Deepak Bansal")</f>
        <v>Deepak Bansal</v>
      </c>
      <c r="C179" s="1" t="str">
        <f>IFERROR(__xludf.DUMMYFUNCTION("""COMPUTED_VALUE"""),"D")</f>
        <v>D</v>
      </c>
      <c r="D179" s="1">
        <f>IFERROR(__xludf.DUMMYFUNCTION("""COMPUTED_VALUE"""),23.0)</f>
        <v>23</v>
      </c>
      <c r="E179" s="1">
        <v>297.0</v>
      </c>
      <c r="F179" s="1">
        <v>59.4</v>
      </c>
    </row>
    <row r="180">
      <c r="A180" s="1" t="str">
        <f>IFERROR(__xludf.DUMMYFUNCTION("""COMPUTED_VALUE"""),"S1210")</f>
        <v>S1210</v>
      </c>
      <c r="B180" s="1" t="str">
        <f>IFERROR(__xludf.DUMMYFUNCTION("""COMPUTED_VALUE"""),"Rahul Verma")</f>
        <v>Rahul Verma</v>
      </c>
      <c r="C180" s="1" t="str">
        <f>IFERROR(__xludf.DUMMYFUNCTION("""COMPUTED_VALUE"""),"A")</f>
        <v>A</v>
      </c>
      <c r="D180" s="1">
        <f>IFERROR(__xludf.DUMMYFUNCTION("""COMPUTED_VALUE"""),14.0)</f>
        <v>14</v>
      </c>
      <c r="E180" s="1">
        <v>279.0</v>
      </c>
      <c r="F180" s="1">
        <v>55.800000000000004</v>
      </c>
    </row>
    <row r="181">
      <c r="A181" s="1" t="str">
        <f>IFERROR(__xludf.DUMMYFUNCTION("""COMPUTED_VALUE"""),"S1216")</f>
        <v>S1216</v>
      </c>
      <c r="B181" s="1" t="str">
        <f>IFERROR(__xludf.DUMMYFUNCTION("""COMPUTED_VALUE"""),"Ritu Gupta")</f>
        <v>Ritu Gupta</v>
      </c>
      <c r="C181" s="1" t="str">
        <f>IFERROR(__xludf.DUMMYFUNCTION("""COMPUTED_VALUE"""),"C")</f>
        <v>C</v>
      </c>
      <c r="D181" s="1">
        <f>IFERROR(__xludf.DUMMYFUNCTION("""COMPUTED_VALUE"""),65.0)</f>
        <v>65</v>
      </c>
      <c r="E181" s="1">
        <v>278.0</v>
      </c>
      <c r="F181" s="1">
        <v>55.60000000000001</v>
      </c>
    </row>
    <row r="182">
      <c r="A182" s="1" t="str">
        <f>IFERROR(__xludf.DUMMYFUNCTION("""COMPUTED_VALUE"""),"S1221")</f>
        <v>S1221</v>
      </c>
      <c r="B182" s="1" t="str">
        <f>IFERROR(__xludf.DUMMYFUNCTION("""COMPUTED_VALUE"""),"Neha Pandey")</f>
        <v>Neha Pandey</v>
      </c>
      <c r="C182" s="1" t="str">
        <f>IFERROR(__xludf.DUMMYFUNCTION("""COMPUTED_VALUE"""),"B")</f>
        <v>B</v>
      </c>
      <c r="D182" s="1">
        <f>IFERROR(__xludf.DUMMYFUNCTION("""COMPUTED_VALUE"""),15.0)</f>
        <v>15</v>
      </c>
      <c r="E182" s="1">
        <v>294.0</v>
      </c>
      <c r="F182" s="1">
        <v>58.8</v>
      </c>
    </row>
    <row r="183">
      <c r="A183" s="1" t="str">
        <f>IFERROR(__xludf.DUMMYFUNCTION("""COMPUTED_VALUE"""),"S1228")</f>
        <v>S1228</v>
      </c>
      <c r="B183" s="1" t="str">
        <f>IFERROR(__xludf.DUMMYFUNCTION("""COMPUTED_VALUE"""),"Neha Gupta")</f>
        <v>Neha Gupta</v>
      </c>
      <c r="C183" s="1" t="str">
        <f>IFERROR(__xludf.DUMMYFUNCTION("""COMPUTED_VALUE"""),"C")</f>
        <v>C</v>
      </c>
      <c r="D183" s="1">
        <f>IFERROR(__xludf.DUMMYFUNCTION("""COMPUTED_VALUE"""),19.0)</f>
        <v>19</v>
      </c>
      <c r="E183" s="1">
        <v>298.0</v>
      </c>
      <c r="F183" s="1">
        <v>59.599999999999994</v>
      </c>
    </row>
    <row r="184">
      <c r="A184" s="1" t="str">
        <f>IFERROR(__xludf.DUMMYFUNCTION("""COMPUTED_VALUE"""),"S1229")</f>
        <v>S1229</v>
      </c>
      <c r="B184" s="1" t="str">
        <f>IFERROR(__xludf.DUMMYFUNCTION("""COMPUTED_VALUE"""),"Saurabh Tiwari")</f>
        <v>Saurabh Tiwari</v>
      </c>
      <c r="C184" s="1" t="str">
        <f>IFERROR(__xludf.DUMMYFUNCTION("""COMPUTED_VALUE"""),"A")</f>
        <v>A</v>
      </c>
      <c r="D184" s="1">
        <f>IFERROR(__xludf.DUMMYFUNCTION("""COMPUTED_VALUE"""),28.0)</f>
        <v>28</v>
      </c>
      <c r="E184" s="1">
        <v>199.0</v>
      </c>
      <c r="F184" s="1">
        <v>39.800000000000004</v>
      </c>
    </row>
    <row r="185">
      <c r="A185" s="1" t="str">
        <f>IFERROR(__xludf.DUMMYFUNCTION("""COMPUTED_VALUE"""),"S1232")</f>
        <v>S1232</v>
      </c>
      <c r="B185" s="1" t="str">
        <f>IFERROR(__xludf.DUMMYFUNCTION("""COMPUTED_VALUE"""),"Neha Verma")</f>
        <v>Neha Verma</v>
      </c>
      <c r="C185" s="1" t="str">
        <f>IFERROR(__xludf.DUMMYFUNCTION("""COMPUTED_VALUE"""),"B")</f>
        <v>B</v>
      </c>
      <c r="D185" s="1">
        <f>IFERROR(__xludf.DUMMYFUNCTION("""COMPUTED_VALUE"""),20.0)</f>
        <v>20</v>
      </c>
      <c r="E185" s="1">
        <v>289.0</v>
      </c>
      <c r="F185" s="1">
        <v>57.8</v>
      </c>
    </row>
    <row r="186">
      <c r="A186" s="1" t="str">
        <f>IFERROR(__xludf.DUMMYFUNCTION("""COMPUTED_VALUE"""),"S1236")</f>
        <v>S1236</v>
      </c>
      <c r="B186" s="1" t="str">
        <f>IFERROR(__xludf.DUMMYFUNCTION("""COMPUTED_VALUE"""),"Deepak Srivastava")</f>
        <v>Deepak Srivastava</v>
      </c>
      <c r="C186" s="1" t="str">
        <f>IFERROR(__xludf.DUMMYFUNCTION("""COMPUTED_VALUE"""),"C")</f>
        <v>C</v>
      </c>
      <c r="D186" s="1">
        <f>IFERROR(__xludf.DUMMYFUNCTION("""COMPUTED_VALUE"""),95.0)</f>
        <v>95</v>
      </c>
      <c r="E186" s="1">
        <v>312.0</v>
      </c>
      <c r="F186" s="1">
        <v>62.4</v>
      </c>
    </row>
    <row r="187">
      <c r="A187" s="1" t="str">
        <f>IFERROR(__xludf.DUMMYFUNCTION("""COMPUTED_VALUE"""),"S1237")</f>
        <v>S1237</v>
      </c>
      <c r="B187" s="1" t="str">
        <f>IFERROR(__xludf.DUMMYFUNCTION("""COMPUTED_VALUE"""),"Shweta Kumar")</f>
        <v>Shweta Kumar</v>
      </c>
      <c r="C187" s="1" t="str">
        <f>IFERROR(__xludf.DUMMYFUNCTION("""COMPUTED_VALUE"""),"D")</f>
        <v>D</v>
      </c>
      <c r="D187" s="1">
        <f>IFERROR(__xludf.DUMMYFUNCTION("""COMPUTED_VALUE"""),40.0)</f>
        <v>40</v>
      </c>
      <c r="E187" s="1">
        <v>234.0</v>
      </c>
      <c r="F187" s="1">
        <v>46.800000000000004</v>
      </c>
    </row>
    <row r="188">
      <c r="A188" s="1" t="str">
        <f>IFERROR(__xludf.DUMMYFUNCTION("""COMPUTED_VALUE"""),"S1238")</f>
        <v>S1238</v>
      </c>
      <c r="B188" s="1" t="str">
        <f>IFERROR(__xludf.DUMMYFUNCTION("""COMPUTED_VALUE"""),"Preeti Jha")</f>
        <v>Preeti Jha</v>
      </c>
      <c r="C188" s="1" t="str">
        <f>IFERROR(__xludf.DUMMYFUNCTION("""COMPUTED_VALUE"""),"D")</f>
        <v>D</v>
      </c>
      <c r="D188" s="1">
        <f>IFERROR(__xludf.DUMMYFUNCTION("""COMPUTED_VALUE"""),16.0)</f>
        <v>16</v>
      </c>
      <c r="E188" s="1">
        <v>355.0</v>
      </c>
      <c r="F188" s="1">
        <v>71.0</v>
      </c>
    </row>
    <row r="189">
      <c r="A189" s="1" t="str">
        <f>IFERROR(__xludf.DUMMYFUNCTION("""COMPUTED_VALUE"""),"S1242")</f>
        <v>S1242</v>
      </c>
      <c r="B189" s="1" t="str">
        <f>IFERROR(__xludf.DUMMYFUNCTION("""COMPUTED_VALUE"""),"Shweta Mishra")</f>
        <v>Shweta Mishra</v>
      </c>
      <c r="C189" s="1" t="str">
        <f>IFERROR(__xludf.DUMMYFUNCTION("""COMPUTED_VALUE"""),"A")</f>
        <v>A</v>
      </c>
      <c r="D189" s="1">
        <f>IFERROR(__xludf.DUMMYFUNCTION("""COMPUTED_VALUE"""),85.0)</f>
        <v>85</v>
      </c>
      <c r="E189" s="1">
        <v>317.0</v>
      </c>
      <c r="F189" s="1">
        <v>63.4</v>
      </c>
    </row>
    <row r="190">
      <c r="A190" s="1" t="str">
        <f>IFERROR(__xludf.DUMMYFUNCTION("""COMPUTED_VALUE"""),"S1246")</f>
        <v>S1246</v>
      </c>
      <c r="B190" s="1" t="str">
        <f>IFERROR(__xludf.DUMMYFUNCTION("""COMPUTED_VALUE"""),"Preeti Dubey")</f>
        <v>Preeti Dubey</v>
      </c>
      <c r="C190" s="1" t="str">
        <f>IFERROR(__xludf.DUMMYFUNCTION("""COMPUTED_VALUE"""),"C")</f>
        <v>C</v>
      </c>
      <c r="D190" s="1">
        <f>IFERROR(__xludf.DUMMYFUNCTION("""COMPUTED_VALUE"""),67.0)</f>
        <v>67</v>
      </c>
      <c r="E190" s="1">
        <v>302.0</v>
      </c>
      <c r="F190" s="1">
        <v>60.4</v>
      </c>
    </row>
    <row r="191">
      <c r="A191" s="1" t="str">
        <f>IFERROR(__xludf.DUMMYFUNCTION("""COMPUTED_VALUE"""),"S1254")</f>
        <v>S1254</v>
      </c>
      <c r="B191" s="1" t="str">
        <f>IFERROR(__xludf.DUMMYFUNCTION("""COMPUTED_VALUE"""),"Priya Tiwari")</f>
        <v>Priya Tiwari</v>
      </c>
      <c r="C191" s="1" t="str">
        <f>IFERROR(__xludf.DUMMYFUNCTION("""COMPUTED_VALUE"""),"B")</f>
        <v>B</v>
      </c>
      <c r="D191" s="1">
        <f>IFERROR(__xludf.DUMMYFUNCTION("""COMPUTED_VALUE"""),15.0)</f>
        <v>15</v>
      </c>
      <c r="E191" s="1">
        <v>291.0</v>
      </c>
      <c r="F191" s="1">
        <v>58.199999999999996</v>
      </c>
    </row>
    <row r="192">
      <c r="A192" s="1" t="str">
        <f>IFERROR(__xludf.DUMMYFUNCTION("""COMPUTED_VALUE"""),"S1263")</f>
        <v>S1263</v>
      </c>
      <c r="B192" s="1" t="str">
        <f>IFERROR(__xludf.DUMMYFUNCTION("""COMPUTED_VALUE"""),"Amit Saxena")</f>
        <v>Amit Saxena</v>
      </c>
      <c r="C192" s="1" t="str">
        <f>IFERROR(__xludf.DUMMYFUNCTION("""COMPUTED_VALUE"""),"B")</f>
        <v>B</v>
      </c>
      <c r="D192" s="1">
        <f>IFERROR(__xludf.DUMMYFUNCTION("""COMPUTED_VALUE"""),20.0)</f>
        <v>20</v>
      </c>
      <c r="E192" s="1">
        <v>245.0</v>
      </c>
      <c r="F192" s="1">
        <v>49.0</v>
      </c>
    </row>
    <row r="193">
      <c r="A193" s="1" t="str">
        <f>IFERROR(__xludf.DUMMYFUNCTION("""COMPUTED_VALUE"""),"S1267")</f>
        <v>S1267</v>
      </c>
      <c r="B193" s="1" t="str">
        <f>IFERROR(__xludf.DUMMYFUNCTION("""COMPUTED_VALUE"""),"Anjali Chauhan")</f>
        <v>Anjali Chauhan</v>
      </c>
      <c r="C193" s="1" t="str">
        <f>IFERROR(__xludf.DUMMYFUNCTION("""COMPUTED_VALUE"""),"B")</f>
        <v>B</v>
      </c>
      <c r="D193" s="1">
        <f>IFERROR(__xludf.DUMMYFUNCTION("""COMPUTED_VALUE"""),84.0)</f>
        <v>84</v>
      </c>
      <c r="E193" s="1">
        <v>316.0</v>
      </c>
      <c r="F193" s="1">
        <v>63.2</v>
      </c>
    </row>
    <row r="194">
      <c r="A194" s="1" t="str">
        <f>IFERROR(__xludf.DUMMYFUNCTION("""COMPUTED_VALUE"""),"S1269")</f>
        <v>S1269</v>
      </c>
      <c r="B194" s="1" t="str">
        <f>IFERROR(__xludf.DUMMYFUNCTION("""COMPUTED_VALUE"""),"Amit Saxena")</f>
        <v>Amit Saxena</v>
      </c>
      <c r="C194" s="1" t="str">
        <f>IFERROR(__xludf.DUMMYFUNCTION("""COMPUTED_VALUE"""),"D")</f>
        <v>D</v>
      </c>
      <c r="D194" s="1">
        <f>IFERROR(__xludf.DUMMYFUNCTION("""COMPUTED_VALUE"""),18.0)</f>
        <v>18</v>
      </c>
      <c r="E194" s="1">
        <v>273.0</v>
      </c>
      <c r="F194" s="1">
        <v>54.6</v>
      </c>
    </row>
    <row r="195">
      <c r="A195" s="1" t="str">
        <f>IFERROR(__xludf.DUMMYFUNCTION("""COMPUTED_VALUE"""),"S1270")</f>
        <v>S1270</v>
      </c>
      <c r="B195" s="1" t="str">
        <f>IFERROR(__xludf.DUMMYFUNCTION("""COMPUTED_VALUE"""),"Kunal Mishra")</f>
        <v>Kunal Mishra</v>
      </c>
      <c r="C195" s="1" t="str">
        <f>IFERROR(__xludf.DUMMYFUNCTION("""COMPUTED_VALUE"""),"C")</f>
        <v>C</v>
      </c>
      <c r="D195" s="1">
        <f>IFERROR(__xludf.DUMMYFUNCTION("""COMPUTED_VALUE"""),25.0)</f>
        <v>25</v>
      </c>
      <c r="E195" s="1">
        <v>196.0</v>
      </c>
      <c r="F195" s="1">
        <v>39.2</v>
      </c>
    </row>
    <row r="196">
      <c r="A196" s="1" t="str">
        <f>IFERROR(__xludf.DUMMYFUNCTION("""COMPUTED_VALUE"""),"S1279")</f>
        <v>S1279</v>
      </c>
      <c r="B196" s="1" t="str">
        <f>IFERROR(__xludf.DUMMYFUNCTION("""COMPUTED_VALUE"""),"Meena Jha")</f>
        <v>Meena Jha</v>
      </c>
      <c r="C196" s="1" t="str">
        <f>IFERROR(__xludf.DUMMYFUNCTION("""COMPUTED_VALUE"""),"B")</f>
        <v>B</v>
      </c>
      <c r="D196" s="1">
        <f>IFERROR(__xludf.DUMMYFUNCTION("""COMPUTED_VALUE"""),34.0)</f>
        <v>34</v>
      </c>
      <c r="E196" s="1">
        <v>228.0</v>
      </c>
      <c r="F196" s="1">
        <v>45.6</v>
      </c>
    </row>
    <row r="197">
      <c r="A197" s="1" t="str">
        <f>IFERROR(__xludf.DUMMYFUNCTION("""COMPUTED_VALUE"""),"S1283")</f>
        <v>S1283</v>
      </c>
      <c r="B197" s="1" t="str">
        <f>IFERROR(__xludf.DUMMYFUNCTION("""COMPUTED_VALUE"""),"Priya Yadav")</f>
        <v>Priya Yadav</v>
      </c>
      <c r="C197" s="1" t="str">
        <f>IFERROR(__xludf.DUMMYFUNCTION("""COMPUTED_VALUE"""),"A")</f>
        <v>A</v>
      </c>
      <c r="D197" s="1">
        <f>IFERROR(__xludf.DUMMYFUNCTION("""COMPUTED_VALUE"""),73.0)</f>
        <v>73</v>
      </c>
      <c r="E197" s="1">
        <v>345.0</v>
      </c>
      <c r="F197" s="1">
        <v>69.0</v>
      </c>
    </row>
    <row r="198">
      <c r="A198" s="1" t="str">
        <f>IFERROR(__xludf.DUMMYFUNCTION("""COMPUTED_VALUE"""),"S1289")</f>
        <v>S1289</v>
      </c>
      <c r="B198" s="1" t="str">
        <f>IFERROR(__xludf.DUMMYFUNCTION("""COMPUTED_VALUE"""),"Rahul Verma")</f>
        <v>Rahul Verma</v>
      </c>
      <c r="C198" s="1" t="str">
        <f>IFERROR(__xludf.DUMMYFUNCTION("""COMPUTED_VALUE"""),"D")</f>
        <v>D</v>
      </c>
      <c r="D198" s="1">
        <f>IFERROR(__xludf.DUMMYFUNCTION("""COMPUTED_VALUE"""),24.0)</f>
        <v>24</v>
      </c>
      <c r="E198" s="1">
        <v>269.0</v>
      </c>
      <c r="F198" s="1">
        <v>53.800000000000004</v>
      </c>
    </row>
    <row r="199">
      <c r="A199" s="1" t="str">
        <f>IFERROR(__xludf.DUMMYFUNCTION("""COMPUTED_VALUE"""),"S1290")</f>
        <v>S1290</v>
      </c>
      <c r="B199" s="1" t="str">
        <f>IFERROR(__xludf.DUMMYFUNCTION("""COMPUTED_VALUE"""),"Sneha Jha")</f>
        <v>Sneha Jha</v>
      </c>
      <c r="C199" s="1" t="str">
        <f>IFERROR(__xludf.DUMMYFUNCTION("""COMPUTED_VALUE"""),"A")</f>
        <v>A</v>
      </c>
      <c r="D199" s="1">
        <f>IFERROR(__xludf.DUMMYFUNCTION("""COMPUTED_VALUE"""),99.0)</f>
        <v>99</v>
      </c>
      <c r="E199" s="1">
        <v>312.0</v>
      </c>
      <c r="F199" s="1">
        <v>62.4</v>
      </c>
    </row>
    <row r="200">
      <c r="A200" s="1" t="str">
        <f>IFERROR(__xludf.DUMMYFUNCTION("""COMPUTED_VALUE"""),"S1291")</f>
        <v>S1291</v>
      </c>
      <c r="B200" s="1" t="str">
        <f>IFERROR(__xludf.DUMMYFUNCTION("""COMPUTED_VALUE"""),"Deepak Srivastava")</f>
        <v>Deepak Srivastava</v>
      </c>
      <c r="C200" s="1" t="str">
        <f>IFERROR(__xludf.DUMMYFUNCTION("""COMPUTED_VALUE"""),"C")</f>
        <v>C</v>
      </c>
      <c r="D200" s="1">
        <f>IFERROR(__xludf.DUMMYFUNCTION("""COMPUTED_VALUE"""),57.0)</f>
        <v>57</v>
      </c>
      <c r="E200" s="1">
        <v>351.0</v>
      </c>
      <c r="F200" s="1">
        <v>70.19999999999999</v>
      </c>
    </row>
    <row r="201">
      <c r="A201" s="1" t="str">
        <f>IFERROR(__xludf.DUMMYFUNCTION("""COMPUTED_VALUE"""),"S1300")</f>
        <v>S1300</v>
      </c>
      <c r="B201" s="1" t="str">
        <f>IFERROR(__xludf.DUMMYFUNCTION("""COMPUTED_VALUE"""),"Saurabh Tiwari")</f>
        <v>Saurabh Tiwari</v>
      </c>
      <c r="C201" s="1" t="str">
        <f>IFERROR(__xludf.DUMMYFUNCTION("""COMPUTED_VALUE"""),"A")</f>
        <v>A</v>
      </c>
      <c r="D201" s="1">
        <f>IFERROR(__xludf.DUMMYFUNCTION("""COMPUTED_VALUE"""),20.0)</f>
        <v>20</v>
      </c>
      <c r="E201" s="1">
        <v>234.0</v>
      </c>
      <c r="F201" s="1">
        <v>46.800000000000004</v>
      </c>
    </row>
    <row r="202">
      <c r="A202" s="1" t="str">
        <f>IFERROR(__xludf.DUMMYFUNCTION("""COMPUTED_VALUE"""),"S1302")</f>
        <v>S1302</v>
      </c>
      <c r="B202" s="1" t="str">
        <f>IFERROR(__xludf.DUMMYFUNCTION("""COMPUTED_VALUE"""),"Ritu Mishra")</f>
        <v>Ritu Mishra</v>
      </c>
      <c r="C202" s="1" t="str">
        <f>IFERROR(__xludf.DUMMYFUNCTION("""COMPUTED_VALUE"""),"C")</f>
        <v>C</v>
      </c>
      <c r="D202" s="1">
        <f>IFERROR(__xludf.DUMMYFUNCTION("""COMPUTED_VALUE"""),34.0)</f>
        <v>34</v>
      </c>
      <c r="E202" s="1">
        <v>340.0</v>
      </c>
      <c r="F202" s="1">
        <v>68.0</v>
      </c>
    </row>
    <row r="203">
      <c r="A203" s="1" t="str">
        <f>IFERROR(__xludf.DUMMYFUNCTION("""COMPUTED_VALUE"""),"S1304")</f>
        <v>S1304</v>
      </c>
      <c r="B203" s="1" t="str">
        <f>IFERROR(__xludf.DUMMYFUNCTION("""COMPUTED_VALUE"""),"Rohit Tiwari")</f>
        <v>Rohit Tiwari</v>
      </c>
      <c r="C203" s="1" t="str">
        <f>IFERROR(__xludf.DUMMYFUNCTION("""COMPUTED_VALUE"""),"C")</f>
        <v>C</v>
      </c>
      <c r="D203" s="1">
        <f>IFERROR(__xludf.DUMMYFUNCTION("""COMPUTED_VALUE"""),93.0)</f>
        <v>93</v>
      </c>
      <c r="E203" s="1">
        <v>283.0</v>
      </c>
      <c r="F203" s="1">
        <v>56.599999999999994</v>
      </c>
    </row>
    <row r="204">
      <c r="A204" s="1" t="str">
        <f>IFERROR(__xludf.DUMMYFUNCTION("""COMPUTED_VALUE"""),"S1353")</f>
        <v>S1353</v>
      </c>
      <c r="B204" s="1" t="str">
        <f>IFERROR(__xludf.DUMMYFUNCTION("""COMPUTED_VALUE"""),"Neha Chauhan")</f>
        <v>Neha Chauhan</v>
      </c>
      <c r="C204" s="1" t="str">
        <f>IFERROR(__xludf.DUMMYFUNCTION("""COMPUTED_VALUE"""),"A")</f>
        <v>A</v>
      </c>
      <c r="D204" s="1">
        <f>IFERROR(__xludf.DUMMYFUNCTION("""COMPUTED_VALUE"""),34.0)</f>
        <v>34</v>
      </c>
      <c r="E204" s="1">
        <v>349.0</v>
      </c>
      <c r="F204" s="1">
        <v>69.8</v>
      </c>
    </row>
    <row r="205">
      <c r="A205" s="1" t="str">
        <f>IFERROR(__xludf.DUMMYFUNCTION("""COMPUTED_VALUE"""),"S1355")</f>
        <v>S1355</v>
      </c>
      <c r="B205" s="1" t="str">
        <f>IFERROR(__xludf.DUMMYFUNCTION("""COMPUTED_VALUE"""),"Ritu Pandey")</f>
        <v>Ritu Pandey</v>
      </c>
      <c r="C205" s="1" t="str">
        <f>IFERROR(__xludf.DUMMYFUNCTION("""COMPUTED_VALUE"""),"B")</f>
        <v>B</v>
      </c>
      <c r="D205" s="1">
        <f>IFERROR(__xludf.DUMMYFUNCTION("""COMPUTED_VALUE"""),94.0)</f>
        <v>94</v>
      </c>
      <c r="E205" s="1">
        <v>240.0</v>
      </c>
      <c r="F205" s="1">
        <v>48.0</v>
      </c>
    </row>
    <row r="206">
      <c r="A206" s="1" t="str">
        <f>IFERROR(__xludf.DUMMYFUNCTION("""COMPUTED_VALUE"""),"S1359")</f>
        <v>S1359</v>
      </c>
      <c r="B206" s="1" t="str">
        <f>IFERROR(__xludf.DUMMYFUNCTION("""COMPUTED_VALUE"""),"Nitin Sharma")</f>
        <v>Nitin Sharma</v>
      </c>
      <c r="C206" s="1" t="str">
        <f>IFERROR(__xludf.DUMMYFUNCTION("""COMPUTED_VALUE"""),"D")</f>
        <v>D</v>
      </c>
      <c r="D206" s="1">
        <f>IFERROR(__xludf.DUMMYFUNCTION("""COMPUTED_VALUE"""),14.0)</f>
        <v>14</v>
      </c>
      <c r="E206" s="1">
        <v>399.0</v>
      </c>
      <c r="F206" s="1">
        <v>79.80000000000001</v>
      </c>
    </row>
    <row r="207">
      <c r="A207" s="1" t="str">
        <f>IFERROR(__xludf.DUMMYFUNCTION("""COMPUTED_VALUE"""),"S1362")</f>
        <v>S1362</v>
      </c>
      <c r="B207" s="1" t="str">
        <f>IFERROR(__xludf.DUMMYFUNCTION("""COMPUTED_VALUE"""),"Neha Joshi")</f>
        <v>Neha Joshi</v>
      </c>
      <c r="C207" s="1" t="str">
        <f>IFERROR(__xludf.DUMMYFUNCTION("""COMPUTED_VALUE"""),"B")</f>
        <v>B</v>
      </c>
      <c r="D207" s="1">
        <f>IFERROR(__xludf.DUMMYFUNCTION("""COMPUTED_VALUE"""),49.0)</f>
        <v>49</v>
      </c>
      <c r="E207" s="1">
        <v>201.0</v>
      </c>
      <c r="F207" s="1">
        <v>40.2</v>
      </c>
    </row>
    <row r="208">
      <c r="A208" s="1" t="str">
        <f>IFERROR(__xludf.DUMMYFUNCTION("""COMPUTED_VALUE"""),"S1365")</f>
        <v>S1365</v>
      </c>
      <c r="B208" s="1" t="str">
        <f>IFERROR(__xludf.DUMMYFUNCTION("""COMPUTED_VALUE"""),"Anjali Gupta")</f>
        <v>Anjali Gupta</v>
      </c>
      <c r="C208" s="1" t="str">
        <f>IFERROR(__xludf.DUMMYFUNCTION("""COMPUTED_VALUE"""),"A")</f>
        <v>A</v>
      </c>
      <c r="D208" s="1">
        <f>IFERROR(__xludf.DUMMYFUNCTION("""COMPUTED_VALUE"""),73.0)</f>
        <v>73</v>
      </c>
      <c r="E208" s="1">
        <v>252.0</v>
      </c>
      <c r="F208" s="1">
        <v>50.4</v>
      </c>
    </row>
    <row r="209">
      <c r="A209" s="1" t="str">
        <f>IFERROR(__xludf.DUMMYFUNCTION("""COMPUTED_VALUE"""),"S1366")</f>
        <v>S1366</v>
      </c>
      <c r="B209" s="1" t="str">
        <f>IFERROR(__xludf.DUMMYFUNCTION("""COMPUTED_VALUE"""),"Ankit Jha")</f>
        <v>Ankit Jha</v>
      </c>
      <c r="C209" s="1" t="str">
        <f>IFERROR(__xludf.DUMMYFUNCTION("""COMPUTED_VALUE"""),"C")</f>
        <v>C</v>
      </c>
      <c r="D209" s="1">
        <f>IFERROR(__xludf.DUMMYFUNCTION("""COMPUTED_VALUE"""),83.0)</f>
        <v>83</v>
      </c>
      <c r="E209" s="1">
        <v>315.0</v>
      </c>
      <c r="F209" s="1">
        <v>63.0</v>
      </c>
    </row>
    <row r="210">
      <c r="A210" s="1" t="str">
        <f>IFERROR(__xludf.DUMMYFUNCTION("""COMPUTED_VALUE"""),"S1367")</f>
        <v>S1367</v>
      </c>
      <c r="B210" s="1" t="str">
        <f>IFERROR(__xludf.DUMMYFUNCTION("""COMPUTED_VALUE"""),"Anjali Tripathi")</f>
        <v>Anjali Tripathi</v>
      </c>
      <c r="C210" s="1" t="str">
        <f>IFERROR(__xludf.DUMMYFUNCTION("""COMPUTED_VALUE"""),"D")</f>
        <v>D</v>
      </c>
      <c r="D210" s="1">
        <f>IFERROR(__xludf.DUMMYFUNCTION("""COMPUTED_VALUE"""),22.0)</f>
        <v>22</v>
      </c>
      <c r="E210" s="1">
        <v>182.0</v>
      </c>
      <c r="F210" s="1">
        <v>36.4</v>
      </c>
    </row>
    <row r="211">
      <c r="A211" s="1" t="str">
        <f>IFERROR(__xludf.DUMMYFUNCTION("""COMPUTED_VALUE"""),"S1371")</f>
        <v>S1371</v>
      </c>
      <c r="B211" s="1" t="str">
        <f>IFERROR(__xludf.DUMMYFUNCTION("""COMPUTED_VALUE"""),"Ankit Dubey")</f>
        <v>Ankit Dubey</v>
      </c>
      <c r="C211" s="1" t="str">
        <f>IFERROR(__xludf.DUMMYFUNCTION("""COMPUTED_VALUE"""),"D")</f>
        <v>D</v>
      </c>
      <c r="D211" s="1">
        <f>IFERROR(__xludf.DUMMYFUNCTION("""COMPUTED_VALUE"""),97.0)</f>
        <v>97</v>
      </c>
      <c r="E211" s="1">
        <v>395.0</v>
      </c>
      <c r="F211" s="1">
        <v>79.0</v>
      </c>
    </row>
    <row r="212">
      <c r="A212" s="1" t="str">
        <f>IFERROR(__xludf.DUMMYFUNCTION("""COMPUTED_VALUE"""),"S1376")</f>
        <v>S1376</v>
      </c>
      <c r="B212" s="1" t="str">
        <f>IFERROR(__xludf.DUMMYFUNCTION("""COMPUTED_VALUE"""),"Neha Mishra")</f>
        <v>Neha Mishra</v>
      </c>
      <c r="C212" s="1" t="str">
        <f>IFERROR(__xludf.DUMMYFUNCTION("""COMPUTED_VALUE"""),"B")</f>
        <v>B</v>
      </c>
      <c r="D212" s="1">
        <f>IFERROR(__xludf.DUMMYFUNCTION("""COMPUTED_VALUE"""),79.0)</f>
        <v>79</v>
      </c>
      <c r="E212" s="1">
        <v>198.0</v>
      </c>
      <c r="F212" s="1">
        <v>39.6</v>
      </c>
    </row>
    <row r="213">
      <c r="A213" s="1" t="str">
        <f>IFERROR(__xludf.DUMMYFUNCTION("""COMPUTED_VALUE"""),"S1378")</f>
        <v>S1378</v>
      </c>
      <c r="B213" s="1" t="str">
        <f>IFERROR(__xludf.DUMMYFUNCTION("""COMPUTED_VALUE"""),"Saurabh Kumar")</f>
        <v>Saurabh Kumar</v>
      </c>
      <c r="C213" s="1" t="str">
        <f>IFERROR(__xludf.DUMMYFUNCTION("""COMPUTED_VALUE"""),"B")</f>
        <v>B</v>
      </c>
      <c r="D213" s="1">
        <f>IFERROR(__xludf.DUMMYFUNCTION("""COMPUTED_VALUE"""),48.0)</f>
        <v>48</v>
      </c>
      <c r="E213" s="1">
        <v>298.0</v>
      </c>
      <c r="F213" s="1">
        <v>59.599999999999994</v>
      </c>
    </row>
    <row r="214">
      <c r="A214" s="1" t="str">
        <f>IFERROR(__xludf.DUMMYFUNCTION("""COMPUTED_VALUE"""),"S1381")</f>
        <v>S1381</v>
      </c>
      <c r="B214" s="1" t="str">
        <f>IFERROR(__xludf.DUMMYFUNCTION("""COMPUTED_VALUE"""),"Amit Verma")</f>
        <v>Amit Verma</v>
      </c>
      <c r="C214" s="1" t="str">
        <f>IFERROR(__xludf.DUMMYFUNCTION("""COMPUTED_VALUE"""),"A")</f>
        <v>A</v>
      </c>
      <c r="D214" s="1">
        <f>IFERROR(__xludf.DUMMYFUNCTION("""COMPUTED_VALUE"""),39.0)</f>
        <v>39</v>
      </c>
      <c r="E214" s="1">
        <v>410.0</v>
      </c>
      <c r="F214" s="1">
        <v>82.0</v>
      </c>
    </row>
    <row r="215">
      <c r="A215" s="1" t="str">
        <f>IFERROR(__xludf.DUMMYFUNCTION("""COMPUTED_VALUE"""),"S1390")</f>
        <v>S1390</v>
      </c>
      <c r="B215" s="1" t="str">
        <f>IFERROR(__xludf.DUMMYFUNCTION("""COMPUTED_VALUE"""),"Anjali Agarwal")</f>
        <v>Anjali Agarwal</v>
      </c>
      <c r="C215" s="1" t="str">
        <f>IFERROR(__xludf.DUMMYFUNCTION("""COMPUTED_VALUE"""),"A")</f>
        <v>A</v>
      </c>
      <c r="D215" s="1">
        <f>IFERROR(__xludf.DUMMYFUNCTION("""COMPUTED_VALUE"""),80.0)</f>
        <v>80</v>
      </c>
      <c r="E215" s="1">
        <v>278.0</v>
      </c>
      <c r="F215" s="1">
        <v>55.60000000000001</v>
      </c>
    </row>
    <row r="216">
      <c r="A216" s="1" t="str">
        <f>IFERROR(__xludf.DUMMYFUNCTION("""COMPUTED_VALUE"""),"S1398")</f>
        <v>S1398</v>
      </c>
      <c r="B216" s="1" t="str">
        <f>IFERROR(__xludf.DUMMYFUNCTION("""COMPUTED_VALUE"""),"Ankit Tiwari")</f>
        <v>Ankit Tiwari</v>
      </c>
      <c r="C216" s="1" t="str">
        <f>IFERROR(__xludf.DUMMYFUNCTION("""COMPUTED_VALUE"""),"B")</f>
        <v>B</v>
      </c>
      <c r="D216" s="1">
        <f>IFERROR(__xludf.DUMMYFUNCTION("""COMPUTED_VALUE"""),12.0)</f>
        <v>12</v>
      </c>
      <c r="E216" s="1">
        <v>247.0</v>
      </c>
      <c r="F216" s="1">
        <v>49.4</v>
      </c>
    </row>
    <row r="217">
      <c r="A217" s="1" t="str">
        <f>IFERROR(__xludf.DUMMYFUNCTION("""COMPUTED_VALUE"""),"S1400")</f>
        <v>S1400</v>
      </c>
      <c r="B217" s="1" t="str">
        <f>IFERROR(__xludf.DUMMYFUNCTION("""COMPUTED_VALUE"""),"Anjali Pandey")</f>
        <v>Anjali Pandey</v>
      </c>
      <c r="C217" s="1" t="str">
        <f>IFERROR(__xludf.DUMMYFUNCTION("""COMPUTED_VALUE"""),"B")</f>
        <v>B</v>
      </c>
      <c r="D217" s="1">
        <f>IFERROR(__xludf.DUMMYFUNCTION("""COMPUTED_VALUE"""),22.0)</f>
        <v>22</v>
      </c>
      <c r="E217" s="1">
        <v>215.0</v>
      </c>
      <c r="F217" s="1">
        <v>43.0</v>
      </c>
    </row>
    <row r="218">
      <c r="A218" s="1" t="str">
        <f>IFERROR(__xludf.DUMMYFUNCTION("""COMPUTED_VALUE"""),"S1405")</f>
        <v>S1405</v>
      </c>
      <c r="B218" s="1" t="str">
        <f>IFERROR(__xludf.DUMMYFUNCTION("""COMPUTED_VALUE"""),"Rohit Singh")</f>
        <v>Rohit Singh</v>
      </c>
      <c r="C218" s="1" t="str">
        <f>IFERROR(__xludf.DUMMYFUNCTION("""COMPUTED_VALUE"""),"A")</f>
        <v>A</v>
      </c>
      <c r="D218" s="1">
        <f>IFERROR(__xludf.DUMMYFUNCTION("""COMPUTED_VALUE"""),17.0)</f>
        <v>17</v>
      </c>
      <c r="E218" s="1">
        <v>350.0</v>
      </c>
      <c r="F218" s="1">
        <v>70.0</v>
      </c>
    </row>
    <row r="219">
      <c r="A219" s="1" t="str">
        <f>IFERROR(__xludf.DUMMYFUNCTION("""COMPUTED_VALUE"""),"S1426")</f>
        <v>S1426</v>
      </c>
      <c r="B219" s="1" t="str">
        <f>IFERROR(__xludf.DUMMYFUNCTION("""COMPUTED_VALUE"""),"Neha Dubey")</f>
        <v>Neha Dubey</v>
      </c>
      <c r="C219" s="1" t="str">
        <f>IFERROR(__xludf.DUMMYFUNCTION("""COMPUTED_VALUE"""),"C")</f>
        <v>C</v>
      </c>
      <c r="D219" s="1">
        <f>IFERROR(__xludf.DUMMYFUNCTION("""COMPUTED_VALUE"""),60.0)</f>
        <v>60</v>
      </c>
      <c r="E219" s="1">
        <v>267.0</v>
      </c>
      <c r="F219" s="1">
        <v>53.400000000000006</v>
      </c>
    </row>
    <row r="220">
      <c r="A220" s="1" t="str">
        <f>IFERROR(__xludf.DUMMYFUNCTION("""COMPUTED_VALUE"""),"S1446")</f>
        <v>S1446</v>
      </c>
      <c r="B220" s="1" t="str">
        <f>IFERROR(__xludf.DUMMYFUNCTION("""COMPUTED_VALUE"""),"Sneha Dubey")</f>
        <v>Sneha Dubey</v>
      </c>
      <c r="C220" s="1" t="str">
        <f>IFERROR(__xludf.DUMMYFUNCTION("""COMPUTED_VALUE"""),"A")</f>
        <v>A</v>
      </c>
      <c r="D220" s="1">
        <f>IFERROR(__xludf.DUMMYFUNCTION("""COMPUTED_VALUE"""),41.0)</f>
        <v>41</v>
      </c>
      <c r="E220" s="1">
        <v>265.0</v>
      </c>
      <c r="F220" s="1">
        <v>53.0</v>
      </c>
    </row>
    <row r="221">
      <c r="A221" s="1" t="str">
        <f>IFERROR(__xludf.DUMMYFUNCTION("""COMPUTED_VALUE"""),"S1452")</f>
        <v>S1452</v>
      </c>
      <c r="B221" s="1" t="str">
        <f>IFERROR(__xludf.DUMMYFUNCTION("""COMPUTED_VALUE"""),"Neha Singh")</f>
        <v>Neha Singh</v>
      </c>
      <c r="C221" s="1" t="str">
        <f>IFERROR(__xludf.DUMMYFUNCTION("""COMPUTED_VALUE"""),"C")</f>
        <v>C</v>
      </c>
      <c r="D221" s="1">
        <f>IFERROR(__xludf.DUMMYFUNCTION("""COMPUTED_VALUE"""),68.0)</f>
        <v>68</v>
      </c>
      <c r="E221" s="1">
        <v>220.0</v>
      </c>
      <c r="F221" s="1">
        <v>44.0</v>
      </c>
    </row>
    <row r="222">
      <c r="A222" s="1" t="str">
        <f>IFERROR(__xludf.DUMMYFUNCTION("""COMPUTED_VALUE"""),"S1463")</f>
        <v>S1463</v>
      </c>
      <c r="B222" s="1" t="str">
        <f>IFERROR(__xludf.DUMMYFUNCTION("""COMPUTED_VALUE"""),"Nitin Saxena")</f>
        <v>Nitin Saxena</v>
      </c>
      <c r="C222" s="1" t="str">
        <f>IFERROR(__xludf.DUMMYFUNCTION("""COMPUTED_VALUE"""),"B")</f>
        <v>B</v>
      </c>
      <c r="D222" s="1">
        <f>IFERROR(__xludf.DUMMYFUNCTION("""COMPUTED_VALUE"""),72.0)</f>
        <v>72</v>
      </c>
      <c r="E222" s="1">
        <v>299.0</v>
      </c>
      <c r="F222" s="1">
        <v>59.8</v>
      </c>
    </row>
    <row r="223">
      <c r="A223" s="1" t="str">
        <f>IFERROR(__xludf.DUMMYFUNCTION("""COMPUTED_VALUE"""),"S1487")</f>
        <v>S1487</v>
      </c>
      <c r="B223" s="1" t="str">
        <f>IFERROR(__xludf.DUMMYFUNCTION("""COMPUTED_VALUE"""),"Preeti Singh")</f>
        <v>Preeti Singh</v>
      </c>
      <c r="C223" s="1" t="str">
        <f>IFERROR(__xludf.DUMMYFUNCTION("""COMPUTED_VALUE"""),"B")</f>
        <v>B</v>
      </c>
      <c r="D223" s="1">
        <f>IFERROR(__xludf.DUMMYFUNCTION("""COMPUTED_VALUE"""),92.0)</f>
        <v>92</v>
      </c>
      <c r="E223" s="1">
        <v>308.0</v>
      </c>
      <c r="F223" s="1">
        <v>61.6</v>
      </c>
    </row>
    <row r="224">
      <c r="A224" s="1" t="str">
        <f>IFERROR(__xludf.DUMMYFUNCTION("""COMPUTED_VALUE"""),"S1496")</f>
        <v>S1496</v>
      </c>
      <c r="B224" s="1" t="str">
        <f>IFERROR(__xludf.DUMMYFUNCTION("""COMPUTED_VALUE"""),"Sneha Saxena")</f>
        <v>Sneha Saxena</v>
      </c>
      <c r="C224" s="1" t="str">
        <f>IFERROR(__xludf.DUMMYFUNCTION("""COMPUTED_VALUE"""),"A")</f>
        <v>A</v>
      </c>
      <c r="D224" s="1">
        <f>IFERROR(__xludf.DUMMYFUNCTION("""COMPUTED_VALUE"""),72.0)</f>
        <v>72</v>
      </c>
      <c r="E224" s="1">
        <v>302.0</v>
      </c>
      <c r="F224" s="1">
        <v>60.4</v>
      </c>
    </row>
    <row r="225">
      <c r="A225" s="1" t="str">
        <f>IFERROR(__xludf.DUMMYFUNCTION("""COMPUTED_VALUE"""),"S1503")</f>
        <v>S1503</v>
      </c>
      <c r="B225" s="1" t="str">
        <f>IFERROR(__xludf.DUMMYFUNCTION("""COMPUTED_VALUE"""),"Anjali Yadav")</f>
        <v>Anjali Yadav</v>
      </c>
      <c r="C225" s="1" t="str">
        <f>IFERROR(__xludf.DUMMYFUNCTION("""COMPUTED_VALUE"""),"B")</f>
        <v>B</v>
      </c>
      <c r="D225" s="1">
        <f>IFERROR(__xludf.DUMMYFUNCTION("""COMPUTED_VALUE"""),31.0)</f>
        <v>31</v>
      </c>
      <c r="E225" s="1">
        <v>273.0</v>
      </c>
      <c r="F225" s="1">
        <v>54.6</v>
      </c>
    </row>
    <row r="226">
      <c r="A226" s="1" t="str">
        <f>IFERROR(__xludf.DUMMYFUNCTION("""COMPUTED_VALUE"""),"S1514")</f>
        <v>S1514</v>
      </c>
      <c r="B226" s="1" t="str">
        <f>IFERROR(__xludf.DUMMYFUNCTION("""COMPUTED_VALUE"""),"Neha Kumar")</f>
        <v>Neha Kumar</v>
      </c>
      <c r="C226" s="1" t="str">
        <f>IFERROR(__xludf.DUMMYFUNCTION("""COMPUTED_VALUE"""),"D")</f>
        <v>D</v>
      </c>
      <c r="D226" s="1">
        <f>IFERROR(__xludf.DUMMYFUNCTION("""COMPUTED_VALUE"""),83.0)</f>
        <v>83</v>
      </c>
      <c r="E226" s="1">
        <v>342.0</v>
      </c>
      <c r="F226" s="1">
        <v>68.4</v>
      </c>
    </row>
    <row r="227">
      <c r="A227" s="1" t="str">
        <f>IFERROR(__xludf.DUMMYFUNCTION("""COMPUTED_VALUE"""),"S1516")</f>
        <v>S1516</v>
      </c>
      <c r="B227" s="1" t="str">
        <f>IFERROR(__xludf.DUMMYFUNCTION("""COMPUTED_VALUE"""),"Neha Joshi")</f>
        <v>Neha Joshi</v>
      </c>
      <c r="C227" s="1" t="str">
        <f>IFERROR(__xludf.DUMMYFUNCTION("""COMPUTED_VALUE"""),"A")</f>
        <v>A</v>
      </c>
      <c r="D227" s="1">
        <f>IFERROR(__xludf.DUMMYFUNCTION("""COMPUTED_VALUE"""),26.0)</f>
        <v>26</v>
      </c>
      <c r="E227" s="1">
        <v>339.0</v>
      </c>
      <c r="F227" s="1">
        <v>67.80000000000001</v>
      </c>
    </row>
    <row r="228">
      <c r="A228" s="1" t="str">
        <f>IFERROR(__xludf.DUMMYFUNCTION("""COMPUTED_VALUE"""),"S1525")</f>
        <v>S1525</v>
      </c>
      <c r="B228" s="1" t="str">
        <f>IFERROR(__xludf.DUMMYFUNCTION("""COMPUTED_VALUE"""),"Rahul Gupta")</f>
        <v>Rahul Gupta</v>
      </c>
      <c r="C228" s="1" t="str">
        <f>IFERROR(__xludf.DUMMYFUNCTION("""COMPUTED_VALUE"""),"B")</f>
        <v>B</v>
      </c>
      <c r="D228" s="1">
        <f>IFERROR(__xludf.DUMMYFUNCTION("""COMPUTED_VALUE"""),29.0)</f>
        <v>29</v>
      </c>
      <c r="E228" s="1">
        <v>275.0</v>
      </c>
      <c r="F228" s="1">
        <v>55.00000000000001</v>
      </c>
    </row>
    <row r="229">
      <c r="A229" s="1" t="str">
        <f>IFERROR(__xludf.DUMMYFUNCTION("""COMPUTED_VALUE"""),"S1526")</f>
        <v>S1526</v>
      </c>
      <c r="B229" s="1" t="str">
        <f>IFERROR(__xludf.DUMMYFUNCTION("""COMPUTED_VALUE"""),"Meena Kumar")</f>
        <v>Meena Kumar</v>
      </c>
      <c r="C229" s="1" t="str">
        <f>IFERROR(__xludf.DUMMYFUNCTION("""COMPUTED_VALUE"""),"B")</f>
        <v>B</v>
      </c>
      <c r="D229" s="1">
        <f>IFERROR(__xludf.DUMMYFUNCTION("""COMPUTED_VALUE"""),20.0)</f>
        <v>20</v>
      </c>
      <c r="E229" s="1">
        <v>326.0</v>
      </c>
      <c r="F229" s="1">
        <v>65.2</v>
      </c>
    </row>
    <row r="230">
      <c r="A230" s="1" t="str">
        <f>IFERROR(__xludf.DUMMYFUNCTION("""COMPUTED_VALUE"""),"S1529")</f>
        <v>S1529</v>
      </c>
      <c r="B230" s="1" t="str">
        <f>IFERROR(__xludf.DUMMYFUNCTION("""COMPUTED_VALUE"""),"Kunal Bansal")</f>
        <v>Kunal Bansal</v>
      </c>
      <c r="C230" s="1" t="str">
        <f>IFERROR(__xludf.DUMMYFUNCTION("""COMPUTED_VALUE"""),"D")</f>
        <v>D</v>
      </c>
      <c r="D230" s="1">
        <f>IFERROR(__xludf.DUMMYFUNCTION("""COMPUTED_VALUE"""),47.0)</f>
        <v>47</v>
      </c>
      <c r="E230" s="1">
        <v>227.0</v>
      </c>
      <c r="F230" s="1">
        <v>45.4</v>
      </c>
    </row>
    <row r="231">
      <c r="A231" s="1" t="str">
        <f>IFERROR(__xludf.DUMMYFUNCTION("""COMPUTED_VALUE"""),"S1534")</f>
        <v>S1534</v>
      </c>
      <c r="B231" s="1" t="str">
        <f>IFERROR(__xludf.DUMMYFUNCTION("""COMPUTED_VALUE"""),"Ankit Thakur")</f>
        <v>Ankit Thakur</v>
      </c>
      <c r="C231" s="1" t="str">
        <f>IFERROR(__xludf.DUMMYFUNCTION("""COMPUTED_VALUE"""),"B")</f>
        <v>B</v>
      </c>
      <c r="D231" s="1">
        <f>IFERROR(__xludf.DUMMYFUNCTION("""COMPUTED_VALUE"""),36.0)</f>
        <v>36</v>
      </c>
      <c r="E231" s="1">
        <v>302.0</v>
      </c>
      <c r="F231" s="1">
        <v>60.4</v>
      </c>
    </row>
    <row r="232">
      <c r="A232" s="1" t="str">
        <f>IFERROR(__xludf.DUMMYFUNCTION("""COMPUTED_VALUE"""),"S1535")</f>
        <v>S1535</v>
      </c>
      <c r="B232" s="1" t="str">
        <f>IFERROR(__xludf.DUMMYFUNCTION("""COMPUTED_VALUE"""),"Pooja Bansal")</f>
        <v>Pooja Bansal</v>
      </c>
      <c r="C232" s="1" t="str">
        <f>IFERROR(__xludf.DUMMYFUNCTION("""COMPUTED_VALUE"""),"C")</f>
        <v>C</v>
      </c>
      <c r="D232" s="1">
        <f>IFERROR(__xludf.DUMMYFUNCTION("""COMPUTED_VALUE"""),96.0)</f>
        <v>96</v>
      </c>
      <c r="E232" s="1">
        <v>257.0</v>
      </c>
      <c r="F232" s="1">
        <v>51.4</v>
      </c>
    </row>
    <row r="233">
      <c r="A233" s="1" t="str">
        <f>IFERROR(__xludf.DUMMYFUNCTION("""COMPUTED_VALUE"""),"S1539")</f>
        <v>S1539</v>
      </c>
      <c r="B233" s="1" t="str">
        <f>IFERROR(__xludf.DUMMYFUNCTION("""COMPUTED_VALUE"""),"Kavita Srivastava")</f>
        <v>Kavita Srivastava</v>
      </c>
      <c r="C233" s="1" t="str">
        <f>IFERROR(__xludf.DUMMYFUNCTION("""COMPUTED_VALUE"""),"B")</f>
        <v>B</v>
      </c>
      <c r="D233" s="1">
        <f>IFERROR(__xludf.DUMMYFUNCTION("""COMPUTED_VALUE"""),21.0)</f>
        <v>21</v>
      </c>
      <c r="E233" s="1">
        <v>322.0</v>
      </c>
      <c r="F233" s="1">
        <v>64.4</v>
      </c>
    </row>
    <row r="234">
      <c r="A234" s="1" t="str">
        <f>IFERROR(__xludf.DUMMYFUNCTION("""COMPUTED_VALUE"""),"S1546")</f>
        <v>S1546</v>
      </c>
      <c r="B234" s="1" t="str">
        <f>IFERROR(__xludf.DUMMYFUNCTION("""COMPUTED_VALUE"""),"Meena Saxena")</f>
        <v>Meena Saxena</v>
      </c>
      <c r="C234" s="1" t="str">
        <f>IFERROR(__xludf.DUMMYFUNCTION("""COMPUTED_VALUE"""),"D")</f>
        <v>D</v>
      </c>
      <c r="D234" s="1">
        <f>IFERROR(__xludf.DUMMYFUNCTION("""COMPUTED_VALUE"""),60.0)</f>
        <v>60</v>
      </c>
      <c r="E234" s="1">
        <v>271.0</v>
      </c>
      <c r="F234" s="1">
        <v>54.2</v>
      </c>
    </row>
    <row r="235">
      <c r="A235" s="1" t="str">
        <f>IFERROR(__xludf.DUMMYFUNCTION("""COMPUTED_VALUE"""),"S1549")</f>
        <v>S1549</v>
      </c>
      <c r="B235" s="1" t="str">
        <f>IFERROR(__xludf.DUMMYFUNCTION("""COMPUTED_VALUE"""),"Deepak Tiwari")</f>
        <v>Deepak Tiwari</v>
      </c>
      <c r="C235" s="1" t="str">
        <f>IFERROR(__xludf.DUMMYFUNCTION("""COMPUTED_VALUE"""),"D")</f>
        <v>D</v>
      </c>
      <c r="D235" s="1">
        <f>IFERROR(__xludf.DUMMYFUNCTION("""COMPUTED_VALUE"""),98.0)</f>
        <v>98</v>
      </c>
      <c r="E235" s="1">
        <v>311.0</v>
      </c>
      <c r="F235" s="1">
        <v>62.2</v>
      </c>
    </row>
    <row r="236">
      <c r="A236" s="1" t="str">
        <f>IFERROR(__xludf.DUMMYFUNCTION("""COMPUTED_VALUE"""),"S1553")</f>
        <v>S1553</v>
      </c>
      <c r="B236" s="1" t="str">
        <f>IFERROR(__xludf.DUMMYFUNCTION("""COMPUTED_VALUE"""),"Saurabh Mishra")</f>
        <v>Saurabh Mishra</v>
      </c>
      <c r="C236" s="1" t="str">
        <f>IFERROR(__xludf.DUMMYFUNCTION("""COMPUTED_VALUE"""),"D")</f>
        <v>D</v>
      </c>
      <c r="D236" s="1">
        <f>IFERROR(__xludf.DUMMYFUNCTION("""COMPUTED_VALUE"""),96.0)</f>
        <v>96</v>
      </c>
      <c r="E236" s="1">
        <v>366.0</v>
      </c>
      <c r="F236" s="1">
        <v>73.2</v>
      </c>
    </row>
    <row r="237">
      <c r="A237" s="1" t="str">
        <f>IFERROR(__xludf.DUMMYFUNCTION("""COMPUTED_VALUE"""),"S1562")</f>
        <v>S1562</v>
      </c>
      <c r="B237" s="1" t="str">
        <f>IFERROR(__xludf.DUMMYFUNCTION("""COMPUTED_VALUE"""),"Rahul Yadav")</f>
        <v>Rahul Yadav</v>
      </c>
      <c r="C237" s="1" t="str">
        <f>IFERROR(__xludf.DUMMYFUNCTION("""COMPUTED_VALUE"""),"A")</f>
        <v>A</v>
      </c>
      <c r="D237" s="1">
        <f>IFERROR(__xludf.DUMMYFUNCTION("""COMPUTED_VALUE"""),59.0)</f>
        <v>59</v>
      </c>
      <c r="E237" s="1">
        <v>319.0</v>
      </c>
      <c r="F237" s="1">
        <v>63.800000000000004</v>
      </c>
    </row>
    <row r="238">
      <c r="A238" s="1" t="str">
        <f>IFERROR(__xludf.DUMMYFUNCTION("""COMPUTED_VALUE"""),"S1569")</f>
        <v>S1569</v>
      </c>
      <c r="B238" s="1" t="str">
        <f>IFERROR(__xludf.DUMMYFUNCTION("""COMPUTED_VALUE"""),"Shweta Dubey")</f>
        <v>Shweta Dubey</v>
      </c>
      <c r="C238" s="1" t="str">
        <f>IFERROR(__xludf.DUMMYFUNCTION("""COMPUTED_VALUE"""),"B")</f>
        <v>B</v>
      </c>
      <c r="D238" s="1">
        <f>IFERROR(__xludf.DUMMYFUNCTION("""COMPUTED_VALUE"""),34.0)</f>
        <v>34</v>
      </c>
      <c r="E238" s="1">
        <v>333.0</v>
      </c>
      <c r="F238" s="1">
        <v>66.60000000000001</v>
      </c>
    </row>
    <row r="239">
      <c r="A239" s="1" t="str">
        <f>IFERROR(__xludf.DUMMYFUNCTION("""COMPUTED_VALUE"""),"S1576")</f>
        <v>S1576</v>
      </c>
      <c r="B239" s="1" t="str">
        <f>IFERROR(__xludf.DUMMYFUNCTION("""COMPUTED_VALUE"""),"Kavita Bansal")</f>
        <v>Kavita Bansal</v>
      </c>
      <c r="C239" s="1" t="str">
        <f>IFERROR(__xludf.DUMMYFUNCTION("""COMPUTED_VALUE"""),"A")</f>
        <v>A</v>
      </c>
      <c r="D239" s="1">
        <f>IFERROR(__xludf.DUMMYFUNCTION("""COMPUTED_VALUE"""),60.0)</f>
        <v>60</v>
      </c>
      <c r="E239" s="1">
        <v>289.0</v>
      </c>
      <c r="F239" s="1">
        <v>57.8</v>
      </c>
    </row>
    <row r="240">
      <c r="A240" s="1" t="str">
        <f>IFERROR(__xludf.DUMMYFUNCTION("""COMPUTED_VALUE"""),"S1577")</f>
        <v>S1577</v>
      </c>
      <c r="B240" s="1" t="str">
        <f>IFERROR(__xludf.DUMMYFUNCTION("""COMPUTED_VALUE"""),"Priya Gupta")</f>
        <v>Priya Gupta</v>
      </c>
      <c r="C240" s="1" t="str">
        <f>IFERROR(__xludf.DUMMYFUNCTION("""COMPUTED_VALUE"""),"C")</f>
        <v>C</v>
      </c>
      <c r="D240" s="1">
        <f>IFERROR(__xludf.DUMMYFUNCTION("""COMPUTED_VALUE"""),82.0)</f>
        <v>82</v>
      </c>
      <c r="E240" s="1">
        <v>339.0</v>
      </c>
      <c r="F240" s="1">
        <v>67.80000000000001</v>
      </c>
    </row>
    <row r="241">
      <c r="A241" s="1" t="str">
        <f>IFERROR(__xludf.DUMMYFUNCTION("""COMPUTED_VALUE"""),"S1580")</f>
        <v>S1580</v>
      </c>
      <c r="B241" s="1" t="str">
        <f>IFERROR(__xludf.DUMMYFUNCTION("""COMPUTED_VALUE"""),"Shweta Yadav")</f>
        <v>Shweta Yadav</v>
      </c>
      <c r="C241" s="1" t="str">
        <f>IFERROR(__xludf.DUMMYFUNCTION("""COMPUTED_VALUE"""),"B")</f>
        <v>B</v>
      </c>
      <c r="D241" s="1">
        <f>IFERROR(__xludf.DUMMYFUNCTION("""COMPUTED_VALUE"""),67.0)</f>
        <v>67</v>
      </c>
      <c r="E241" s="1">
        <v>322.0</v>
      </c>
      <c r="F241" s="1">
        <v>64.4</v>
      </c>
    </row>
    <row r="242">
      <c r="A242" s="1" t="str">
        <f>IFERROR(__xludf.DUMMYFUNCTION("""COMPUTED_VALUE"""),"S1584")</f>
        <v>S1584</v>
      </c>
      <c r="B242" s="1" t="str">
        <f>IFERROR(__xludf.DUMMYFUNCTION("""COMPUTED_VALUE"""),"Nitin Thakur")</f>
        <v>Nitin Thakur</v>
      </c>
      <c r="C242" s="1" t="str">
        <f>IFERROR(__xludf.DUMMYFUNCTION("""COMPUTED_VALUE"""),"C")</f>
        <v>C</v>
      </c>
      <c r="D242" s="1">
        <f>IFERROR(__xludf.DUMMYFUNCTION("""COMPUTED_VALUE"""),16.0)</f>
        <v>16</v>
      </c>
      <c r="E242" s="1">
        <v>301.0</v>
      </c>
      <c r="F242" s="1">
        <v>60.199999999999996</v>
      </c>
    </row>
    <row r="243">
      <c r="A243" s="1" t="str">
        <f>IFERROR(__xludf.DUMMYFUNCTION("""COMPUTED_VALUE"""),"S1612")</f>
        <v>S1612</v>
      </c>
      <c r="B243" s="1" t="str">
        <f>IFERROR(__xludf.DUMMYFUNCTION("""COMPUTED_VALUE"""),"Ankit Gupta")</f>
        <v>Ankit Gupta</v>
      </c>
      <c r="C243" s="1" t="str">
        <f>IFERROR(__xludf.DUMMYFUNCTION("""COMPUTED_VALUE"""),"B")</f>
        <v>B</v>
      </c>
      <c r="D243" s="1">
        <f>IFERROR(__xludf.DUMMYFUNCTION("""COMPUTED_VALUE"""),27.0)</f>
        <v>27</v>
      </c>
      <c r="E243" s="1">
        <v>319.0</v>
      </c>
      <c r="F243" s="1">
        <v>63.800000000000004</v>
      </c>
    </row>
    <row r="244">
      <c r="A244" s="1" t="str">
        <f>IFERROR(__xludf.DUMMYFUNCTION("""COMPUTED_VALUE"""),"S1622")</f>
        <v>S1622</v>
      </c>
      <c r="B244" s="1" t="str">
        <f>IFERROR(__xludf.DUMMYFUNCTION("""COMPUTED_VALUE"""),"Anjali Bansal")</f>
        <v>Anjali Bansal</v>
      </c>
      <c r="C244" s="1" t="str">
        <f>IFERROR(__xludf.DUMMYFUNCTION("""COMPUTED_VALUE"""),"B")</f>
        <v>B</v>
      </c>
      <c r="D244" s="1">
        <f>IFERROR(__xludf.DUMMYFUNCTION("""COMPUTED_VALUE"""),81.0)</f>
        <v>81</v>
      </c>
      <c r="E244" s="1">
        <v>294.0</v>
      </c>
      <c r="F244" s="1">
        <v>58.8</v>
      </c>
    </row>
    <row r="245">
      <c r="A245" s="1" t="str">
        <f>IFERROR(__xludf.DUMMYFUNCTION("""COMPUTED_VALUE"""),"S1626")</f>
        <v>S1626</v>
      </c>
      <c r="B245" s="1" t="str">
        <f>IFERROR(__xludf.DUMMYFUNCTION("""COMPUTED_VALUE"""),"Saurabh Bansal")</f>
        <v>Saurabh Bansal</v>
      </c>
      <c r="C245" s="1" t="str">
        <f>IFERROR(__xludf.DUMMYFUNCTION("""COMPUTED_VALUE"""),"C")</f>
        <v>C</v>
      </c>
      <c r="D245" s="1">
        <f>IFERROR(__xludf.DUMMYFUNCTION("""COMPUTED_VALUE"""),65.0)</f>
        <v>65</v>
      </c>
      <c r="E245" s="1">
        <v>322.0</v>
      </c>
      <c r="F245" s="1">
        <v>64.4</v>
      </c>
    </row>
    <row r="246">
      <c r="A246" s="1" t="str">
        <f>IFERROR(__xludf.DUMMYFUNCTION("""COMPUTED_VALUE"""),"S1627")</f>
        <v>S1627</v>
      </c>
      <c r="B246" s="1" t="str">
        <f>IFERROR(__xludf.DUMMYFUNCTION("""COMPUTED_VALUE"""),"Amit Agarwal")</f>
        <v>Amit Agarwal</v>
      </c>
      <c r="C246" s="1" t="str">
        <f>IFERROR(__xludf.DUMMYFUNCTION("""COMPUTED_VALUE"""),"B")</f>
        <v>B</v>
      </c>
      <c r="D246" s="1">
        <f>IFERROR(__xludf.DUMMYFUNCTION("""COMPUTED_VALUE"""),93.0)</f>
        <v>93</v>
      </c>
      <c r="E246" s="1">
        <v>272.0</v>
      </c>
      <c r="F246" s="1">
        <v>54.400000000000006</v>
      </c>
    </row>
    <row r="247">
      <c r="A247" s="1" t="str">
        <f>IFERROR(__xludf.DUMMYFUNCTION("""COMPUTED_VALUE"""),"S1639")</f>
        <v>S1639</v>
      </c>
      <c r="B247" s="1" t="str">
        <f>IFERROR(__xludf.DUMMYFUNCTION("""COMPUTED_VALUE"""),"Deepak Sharma")</f>
        <v>Deepak Sharma</v>
      </c>
      <c r="C247" s="1" t="str">
        <f>IFERROR(__xludf.DUMMYFUNCTION("""COMPUTED_VALUE"""),"A")</f>
        <v>A</v>
      </c>
      <c r="D247" s="1">
        <f>IFERROR(__xludf.DUMMYFUNCTION("""COMPUTED_VALUE"""),33.0)</f>
        <v>33</v>
      </c>
      <c r="E247" s="1">
        <v>304.0</v>
      </c>
      <c r="F247" s="1">
        <v>60.8</v>
      </c>
    </row>
    <row r="248">
      <c r="A248" s="1" t="str">
        <f>IFERROR(__xludf.DUMMYFUNCTION("""COMPUTED_VALUE"""),"S1644")</f>
        <v>S1644</v>
      </c>
      <c r="B248" s="1" t="str">
        <f>IFERROR(__xludf.DUMMYFUNCTION("""COMPUTED_VALUE"""),"Preeti Chauhan")</f>
        <v>Preeti Chauhan</v>
      </c>
      <c r="C248" s="1" t="str">
        <f>IFERROR(__xludf.DUMMYFUNCTION("""COMPUTED_VALUE"""),"A")</f>
        <v>A</v>
      </c>
      <c r="D248" s="1">
        <f>IFERROR(__xludf.DUMMYFUNCTION("""COMPUTED_VALUE"""),57.0)</f>
        <v>57</v>
      </c>
      <c r="E248" s="1">
        <v>252.0</v>
      </c>
      <c r="F248" s="1">
        <v>50.4</v>
      </c>
    </row>
    <row r="249">
      <c r="A249" s="1" t="str">
        <f>IFERROR(__xludf.DUMMYFUNCTION("""COMPUTED_VALUE"""),"S1653")</f>
        <v>S1653</v>
      </c>
      <c r="B249" s="1" t="str">
        <f>IFERROR(__xludf.DUMMYFUNCTION("""COMPUTED_VALUE"""),"Kunal Jha")</f>
        <v>Kunal Jha</v>
      </c>
      <c r="C249" s="1" t="str">
        <f>IFERROR(__xludf.DUMMYFUNCTION("""COMPUTED_VALUE"""),"A")</f>
        <v>A</v>
      </c>
      <c r="D249" s="1">
        <f>IFERROR(__xludf.DUMMYFUNCTION("""COMPUTED_VALUE"""),35.0)</f>
        <v>35</v>
      </c>
      <c r="E249" s="1">
        <v>272.0</v>
      </c>
      <c r="F249" s="1">
        <v>54.400000000000006</v>
      </c>
    </row>
    <row r="250">
      <c r="A250" s="1" t="str">
        <f>IFERROR(__xludf.DUMMYFUNCTION("""COMPUTED_VALUE"""),"S1655")</f>
        <v>S1655</v>
      </c>
      <c r="B250" s="1" t="str">
        <f>IFERROR(__xludf.DUMMYFUNCTION("""COMPUTED_VALUE"""),"Rahul Yadav")</f>
        <v>Rahul Yadav</v>
      </c>
      <c r="C250" s="1" t="str">
        <f>IFERROR(__xludf.DUMMYFUNCTION("""COMPUTED_VALUE"""),"B")</f>
        <v>B</v>
      </c>
      <c r="D250" s="1">
        <f>IFERROR(__xludf.DUMMYFUNCTION("""COMPUTED_VALUE"""),50.0)</f>
        <v>50</v>
      </c>
      <c r="E250" s="1">
        <v>266.0</v>
      </c>
      <c r="F250" s="1">
        <v>53.2</v>
      </c>
    </row>
    <row r="251">
      <c r="A251" s="1" t="str">
        <f>IFERROR(__xludf.DUMMYFUNCTION("""COMPUTED_VALUE"""),"S1672")</f>
        <v>S1672</v>
      </c>
      <c r="B251" s="1" t="str">
        <f>IFERROR(__xludf.DUMMYFUNCTION("""COMPUTED_VALUE"""),"Nitin Gupta")</f>
        <v>Nitin Gupta</v>
      </c>
      <c r="C251" s="1" t="str">
        <f>IFERROR(__xludf.DUMMYFUNCTION("""COMPUTED_VALUE"""),"A")</f>
        <v>A</v>
      </c>
      <c r="D251" s="1">
        <f>IFERROR(__xludf.DUMMYFUNCTION("""COMPUTED_VALUE"""),40.0)</f>
        <v>40</v>
      </c>
      <c r="E251" s="1">
        <v>290.0</v>
      </c>
      <c r="F251" s="1">
        <v>57.99999999999999</v>
      </c>
    </row>
    <row r="252">
      <c r="A252" s="1" t="str">
        <f>IFERROR(__xludf.DUMMYFUNCTION("""COMPUTED_VALUE"""),"S1684")</f>
        <v>S1684</v>
      </c>
      <c r="B252" s="1" t="str">
        <f>IFERROR(__xludf.DUMMYFUNCTION("""COMPUTED_VALUE"""),"Priya Verma")</f>
        <v>Priya Verma</v>
      </c>
      <c r="C252" s="1" t="str">
        <f>IFERROR(__xludf.DUMMYFUNCTION("""COMPUTED_VALUE"""),"A")</f>
        <v>A</v>
      </c>
      <c r="D252" s="1">
        <f>IFERROR(__xludf.DUMMYFUNCTION("""COMPUTED_VALUE"""),23.0)</f>
        <v>23</v>
      </c>
      <c r="E252" s="1">
        <v>372.0</v>
      </c>
      <c r="F252" s="1">
        <v>74.4</v>
      </c>
    </row>
    <row r="253">
      <c r="A253" s="1" t="str">
        <f>IFERROR(__xludf.DUMMYFUNCTION("""COMPUTED_VALUE"""),"S1690")</f>
        <v>S1690</v>
      </c>
      <c r="B253" s="1" t="str">
        <f>IFERROR(__xludf.DUMMYFUNCTION("""COMPUTED_VALUE"""),"Rahul Gupta")</f>
        <v>Rahul Gupta</v>
      </c>
      <c r="C253" s="1" t="str">
        <f>IFERROR(__xludf.DUMMYFUNCTION("""COMPUTED_VALUE"""),"B")</f>
        <v>B</v>
      </c>
      <c r="D253" s="1">
        <f>IFERROR(__xludf.DUMMYFUNCTION("""COMPUTED_VALUE"""),28.0)</f>
        <v>28</v>
      </c>
      <c r="E253" s="1">
        <v>310.0</v>
      </c>
      <c r="F253" s="1">
        <v>62.0</v>
      </c>
    </row>
    <row r="254">
      <c r="A254" s="1" t="str">
        <f>IFERROR(__xludf.DUMMYFUNCTION("""COMPUTED_VALUE"""),"S1698")</f>
        <v>S1698</v>
      </c>
      <c r="B254" s="1" t="str">
        <f>IFERROR(__xludf.DUMMYFUNCTION("""COMPUTED_VALUE"""),"Saurabh Jha")</f>
        <v>Saurabh Jha</v>
      </c>
      <c r="C254" s="1" t="str">
        <f>IFERROR(__xludf.DUMMYFUNCTION("""COMPUTED_VALUE"""),"B")</f>
        <v>B</v>
      </c>
      <c r="D254" s="1">
        <f>IFERROR(__xludf.DUMMYFUNCTION("""COMPUTED_VALUE"""),53.0)</f>
        <v>53</v>
      </c>
      <c r="E254" s="1">
        <v>298.0</v>
      </c>
      <c r="F254" s="1">
        <v>59.599999999999994</v>
      </c>
    </row>
    <row r="255">
      <c r="A255" s="1" t="str">
        <f>IFERROR(__xludf.DUMMYFUNCTION("""COMPUTED_VALUE"""),"S1701")</f>
        <v>S1701</v>
      </c>
      <c r="B255" s="1" t="str">
        <f>IFERROR(__xludf.DUMMYFUNCTION("""COMPUTED_VALUE"""),"Ankit Srivastava")</f>
        <v>Ankit Srivastava</v>
      </c>
      <c r="C255" s="1" t="str">
        <f>IFERROR(__xludf.DUMMYFUNCTION("""COMPUTED_VALUE"""),"D")</f>
        <v>D</v>
      </c>
      <c r="D255" s="1">
        <f>IFERROR(__xludf.DUMMYFUNCTION("""COMPUTED_VALUE"""),12.0)</f>
        <v>12</v>
      </c>
      <c r="E255" s="1">
        <v>264.0</v>
      </c>
      <c r="F255" s="1">
        <v>52.800000000000004</v>
      </c>
    </row>
    <row r="256">
      <c r="A256" s="1" t="str">
        <f>IFERROR(__xludf.DUMMYFUNCTION("""COMPUTED_VALUE"""),"S1712")</f>
        <v>S1712</v>
      </c>
      <c r="B256" s="1" t="str">
        <f>IFERROR(__xludf.DUMMYFUNCTION("""COMPUTED_VALUE"""),"Aman Tiwari")</f>
        <v>Aman Tiwari</v>
      </c>
      <c r="C256" s="1" t="str">
        <f>IFERROR(__xludf.DUMMYFUNCTION("""COMPUTED_VALUE"""),"C")</f>
        <v>C</v>
      </c>
      <c r="D256" s="1">
        <f>IFERROR(__xludf.DUMMYFUNCTION("""COMPUTED_VALUE"""),85.0)</f>
        <v>85</v>
      </c>
      <c r="E256" s="1">
        <v>331.0</v>
      </c>
      <c r="F256" s="1">
        <v>66.2</v>
      </c>
    </row>
    <row r="257">
      <c r="A257" s="1" t="str">
        <f>IFERROR(__xludf.DUMMYFUNCTION("""COMPUTED_VALUE"""),"S1714")</f>
        <v>S1714</v>
      </c>
      <c r="B257" s="1" t="str">
        <f>IFERROR(__xludf.DUMMYFUNCTION("""COMPUTED_VALUE"""),"Anjali Mishra")</f>
        <v>Anjali Mishra</v>
      </c>
      <c r="C257" s="1" t="str">
        <f>IFERROR(__xludf.DUMMYFUNCTION("""COMPUTED_VALUE"""),"D")</f>
        <v>D</v>
      </c>
      <c r="D257" s="1">
        <f>IFERROR(__xludf.DUMMYFUNCTION("""COMPUTED_VALUE"""),29.0)</f>
        <v>29</v>
      </c>
      <c r="E257" s="1">
        <v>304.0</v>
      </c>
      <c r="F257" s="1">
        <v>60.8</v>
      </c>
    </row>
    <row r="258">
      <c r="A258" s="1" t="str">
        <f>IFERROR(__xludf.DUMMYFUNCTION("""COMPUTED_VALUE"""),"S1728")</f>
        <v>S1728</v>
      </c>
      <c r="B258" s="1" t="str">
        <f>IFERROR(__xludf.DUMMYFUNCTION("""COMPUTED_VALUE"""),"Priya Dubey")</f>
        <v>Priya Dubey</v>
      </c>
      <c r="C258" s="1" t="str">
        <f>IFERROR(__xludf.DUMMYFUNCTION("""COMPUTED_VALUE"""),"C")</f>
        <v>C</v>
      </c>
      <c r="D258" s="1">
        <f>IFERROR(__xludf.DUMMYFUNCTION("""COMPUTED_VALUE"""),15.0)</f>
        <v>15</v>
      </c>
      <c r="E258" s="1">
        <v>369.0</v>
      </c>
      <c r="F258" s="1">
        <v>73.8</v>
      </c>
    </row>
    <row r="259">
      <c r="A259" s="1" t="str">
        <f>IFERROR(__xludf.DUMMYFUNCTION("""COMPUTED_VALUE"""),"S1729")</f>
        <v>S1729</v>
      </c>
      <c r="B259" s="1" t="str">
        <f>IFERROR(__xludf.DUMMYFUNCTION("""COMPUTED_VALUE"""),"Preeti Pandey")</f>
        <v>Preeti Pandey</v>
      </c>
      <c r="C259" s="1" t="str">
        <f>IFERROR(__xludf.DUMMYFUNCTION("""COMPUTED_VALUE"""),"C")</f>
        <v>C</v>
      </c>
      <c r="D259" s="1">
        <f>IFERROR(__xludf.DUMMYFUNCTION("""COMPUTED_VALUE"""),17.0)</f>
        <v>17</v>
      </c>
      <c r="E259" s="1">
        <v>243.0</v>
      </c>
      <c r="F259" s="1">
        <v>48.6</v>
      </c>
    </row>
    <row r="260">
      <c r="A260" s="1" t="str">
        <f>IFERROR(__xludf.DUMMYFUNCTION("""COMPUTED_VALUE"""),"S1748")</f>
        <v>S1748</v>
      </c>
      <c r="B260" s="1" t="str">
        <f>IFERROR(__xludf.DUMMYFUNCTION("""COMPUTED_VALUE"""),"Priya Gupta")</f>
        <v>Priya Gupta</v>
      </c>
      <c r="C260" s="1" t="str">
        <f>IFERROR(__xludf.DUMMYFUNCTION("""COMPUTED_VALUE"""),"A")</f>
        <v>A</v>
      </c>
      <c r="D260" s="1">
        <f>IFERROR(__xludf.DUMMYFUNCTION("""COMPUTED_VALUE"""),64.0)</f>
        <v>64</v>
      </c>
      <c r="E260" s="1">
        <v>395.0</v>
      </c>
      <c r="F260" s="1">
        <v>79.0</v>
      </c>
    </row>
    <row r="261">
      <c r="A261" s="1" t="str">
        <f>IFERROR(__xludf.DUMMYFUNCTION("""COMPUTED_VALUE"""),"S1750")</f>
        <v>S1750</v>
      </c>
      <c r="B261" s="1" t="str">
        <f>IFERROR(__xludf.DUMMYFUNCTION("""COMPUTED_VALUE"""),"Preeti Pandey")</f>
        <v>Preeti Pandey</v>
      </c>
      <c r="C261" s="1" t="str">
        <f>IFERROR(__xludf.DUMMYFUNCTION("""COMPUTED_VALUE"""),"C")</f>
        <v>C</v>
      </c>
      <c r="D261" s="1">
        <f>IFERROR(__xludf.DUMMYFUNCTION("""COMPUTED_VALUE"""),18.0)</f>
        <v>18</v>
      </c>
      <c r="E261" s="1">
        <v>260.0</v>
      </c>
      <c r="F261" s="1">
        <v>52.0</v>
      </c>
    </row>
    <row r="262">
      <c r="A262" s="1" t="str">
        <f>IFERROR(__xludf.DUMMYFUNCTION("""COMPUTED_VALUE"""),"S1759")</f>
        <v>S1759</v>
      </c>
      <c r="B262" s="1" t="str">
        <f>IFERROR(__xludf.DUMMYFUNCTION("""COMPUTED_VALUE"""),"Anjali Saxena")</f>
        <v>Anjali Saxena</v>
      </c>
      <c r="C262" s="1" t="str">
        <f>IFERROR(__xludf.DUMMYFUNCTION("""COMPUTED_VALUE"""),"D")</f>
        <v>D</v>
      </c>
      <c r="D262" s="1">
        <f>IFERROR(__xludf.DUMMYFUNCTION("""COMPUTED_VALUE"""),41.0)</f>
        <v>41</v>
      </c>
      <c r="E262" s="1">
        <v>253.0</v>
      </c>
      <c r="F262" s="1">
        <v>50.6</v>
      </c>
    </row>
    <row r="263">
      <c r="A263" s="1" t="str">
        <f>IFERROR(__xludf.DUMMYFUNCTION("""COMPUTED_VALUE"""),"S1762")</f>
        <v>S1762</v>
      </c>
      <c r="B263" s="1" t="str">
        <f>IFERROR(__xludf.DUMMYFUNCTION("""COMPUTED_VALUE"""),"Preeti Srivastava")</f>
        <v>Preeti Srivastava</v>
      </c>
      <c r="C263" s="1" t="str">
        <f>IFERROR(__xludf.DUMMYFUNCTION("""COMPUTED_VALUE"""),"D")</f>
        <v>D</v>
      </c>
      <c r="D263" s="1">
        <f>IFERROR(__xludf.DUMMYFUNCTION("""COMPUTED_VALUE"""),61.0)</f>
        <v>61</v>
      </c>
      <c r="E263" s="1">
        <v>240.0</v>
      </c>
      <c r="F263" s="1">
        <v>48.0</v>
      </c>
    </row>
    <row r="264">
      <c r="A264" s="1" t="str">
        <f>IFERROR(__xludf.DUMMYFUNCTION("""COMPUTED_VALUE"""),"S1763")</f>
        <v>S1763</v>
      </c>
      <c r="B264" s="1" t="str">
        <f>IFERROR(__xludf.DUMMYFUNCTION("""COMPUTED_VALUE"""),"Preeti Gupta")</f>
        <v>Preeti Gupta</v>
      </c>
      <c r="C264" s="1" t="str">
        <f>IFERROR(__xludf.DUMMYFUNCTION("""COMPUTED_VALUE"""),"C")</f>
        <v>C</v>
      </c>
      <c r="D264" s="1">
        <f>IFERROR(__xludf.DUMMYFUNCTION("""COMPUTED_VALUE"""),24.0)</f>
        <v>24</v>
      </c>
      <c r="E264" s="1">
        <v>366.0</v>
      </c>
      <c r="F264" s="1">
        <v>73.2</v>
      </c>
    </row>
    <row r="265">
      <c r="A265" s="1" t="str">
        <f>IFERROR(__xludf.DUMMYFUNCTION("""COMPUTED_VALUE"""),"S1764")</f>
        <v>S1764</v>
      </c>
      <c r="B265" s="1" t="str">
        <f>IFERROR(__xludf.DUMMYFUNCTION("""COMPUTED_VALUE"""),"Rahul Jha")</f>
        <v>Rahul Jha</v>
      </c>
      <c r="C265" s="1" t="str">
        <f>IFERROR(__xludf.DUMMYFUNCTION("""COMPUTED_VALUE"""),"C")</f>
        <v>C</v>
      </c>
      <c r="D265" s="1">
        <f>IFERROR(__xludf.DUMMYFUNCTION("""COMPUTED_VALUE"""),97.0)</f>
        <v>97</v>
      </c>
      <c r="E265" s="1">
        <v>330.0</v>
      </c>
      <c r="F265" s="1">
        <v>66.0</v>
      </c>
    </row>
    <row r="266">
      <c r="A266" s="1" t="str">
        <f>IFERROR(__xludf.DUMMYFUNCTION("""COMPUTED_VALUE"""),"S1767")</f>
        <v>S1767</v>
      </c>
      <c r="B266" s="1" t="str">
        <f>IFERROR(__xludf.DUMMYFUNCTION("""COMPUTED_VALUE"""),"Deepak Bansal")</f>
        <v>Deepak Bansal</v>
      </c>
      <c r="C266" s="1" t="str">
        <f>IFERROR(__xludf.DUMMYFUNCTION("""COMPUTED_VALUE"""),"D")</f>
        <v>D</v>
      </c>
      <c r="D266" s="1">
        <f>IFERROR(__xludf.DUMMYFUNCTION("""COMPUTED_VALUE"""),91.0)</f>
        <v>91</v>
      </c>
      <c r="E266" s="1">
        <v>293.0</v>
      </c>
      <c r="F266" s="1">
        <v>58.599999999999994</v>
      </c>
    </row>
    <row r="267">
      <c r="A267" s="1" t="str">
        <f>IFERROR(__xludf.DUMMYFUNCTION("""COMPUTED_VALUE"""),"S1770")</f>
        <v>S1770</v>
      </c>
      <c r="B267" s="1" t="str">
        <f>IFERROR(__xludf.DUMMYFUNCTION("""COMPUTED_VALUE"""),"Shweta Thakur")</f>
        <v>Shweta Thakur</v>
      </c>
      <c r="C267" s="1" t="str">
        <f>IFERROR(__xludf.DUMMYFUNCTION("""COMPUTED_VALUE"""),"C")</f>
        <v>C</v>
      </c>
      <c r="D267" s="1">
        <f>IFERROR(__xludf.DUMMYFUNCTION("""COMPUTED_VALUE"""),20.0)</f>
        <v>20</v>
      </c>
      <c r="E267" s="1">
        <v>233.0</v>
      </c>
      <c r="F267" s="1">
        <v>46.6</v>
      </c>
    </row>
    <row r="268">
      <c r="A268" s="1" t="str">
        <f>IFERROR(__xludf.DUMMYFUNCTION("""COMPUTED_VALUE"""),"S1776")</f>
        <v>S1776</v>
      </c>
      <c r="B268" s="1" t="str">
        <f>IFERROR(__xludf.DUMMYFUNCTION("""COMPUTED_VALUE"""),"Meena Tiwari")</f>
        <v>Meena Tiwari</v>
      </c>
      <c r="C268" s="1" t="str">
        <f>IFERROR(__xludf.DUMMYFUNCTION("""COMPUTED_VALUE"""),"A")</f>
        <v>A</v>
      </c>
      <c r="D268" s="1">
        <f>IFERROR(__xludf.DUMMYFUNCTION("""COMPUTED_VALUE"""),83.0)</f>
        <v>83</v>
      </c>
      <c r="E268" s="1">
        <v>214.0</v>
      </c>
      <c r="F268" s="1">
        <v>42.8</v>
      </c>
    </row>
    <row r="269">
      <c r="A269" s="1" t="str">
        <f>IFERROR(__xludf.DUMMYFUNCTION("""COMPUTED_VALUE"""),"S1784")</f>
        <v>S1784</v>
      </c>
      <c r="B269" s="1" t="str">
        <f>IFERROR(__xludf.DUMMYFUNCTION("""COMPUTED_VALUE"""),"Kunal Dubey")</f>
        <v>Kunal Dubey</v>
      </c>
      <c r="C269" s="1" t="str">
        <f>IFERROR(__xludf.DUMMYFUNCTION("""COMPUTED_VALUE"""),"A")</f>
        <v>A</v>
      </c>
      <c r="D269" s="1">
        <f>IFERROR(__xludf.DUMMYFUNCTION("""COMPUTED_VALUE"""),51.0)</f>
        <v>51</v>
      </c>
      <c r="E269" s="1">
        <v>229.0</v>
      </c>
      <c r="F269" s="1">
        <v>45.800000000000004</v>
      </c>
    </row>
    <row r="270">
      <c r="A270" s="1" t="str">
        <f>IFERROR(__xludf.DUMMYFUNCTION("""COMPUTED_VALUE"""),"S1790")</f>
        <v>S1790</v>
      </c>
      <c r="B270" s="1" t="str">
        <f>IFERROR(__xludf.DUMMYFUNCTION("""COMPUTED_VALUE"""),"Shweta Agarwal")</f>
        <v>Shweta Agarwal</v>
      </c>
      <c r="C270" s="1" t="str">
        <f>IFERROR(__xludf.DUMMYFUNCTION("""COMPUTED_VALUE"""),"C")</f>
        <v>C</v>
      </c>
      <c r="D270" s="1">
        <f>IFERROR(__xludf.DUMMYFUNCTION("""COMPUTED_VALUE"""),63.0)</f>
        <v>63</v>
      </c>
      <c r="E270" s="1">
        <v>240.0</v>
      </c>
      <c r="F270" s="1">
        <v>48.0</v>
      </c>
    </row>
    <row r="271">
      <c r="A271" s="1" t="str">
        <f>IFERROR(__xludf.DUMMYFUNCTION("""COMPUTED_VALUE"""),"S1838")</f>
        <v>S1838</v>
      </c>
      <c r="B271" s="1" t="str">
        <f>IFERROR(__xludf.DUMMYFUNCTION("""COMPUTED_VALUE"""),"Ritu Chauhan")</f>
        <v>Ritu Chauhan</v>
      </c>
      <c r="C271" s="1" t="str">
        <f>IFERROR(__xludf.DUMMYFUNCTION("""COMPUTED_VALUE"""),"C")</f>
        <v>C</v>
      </c>
      <c r="D271" s="1">
        <f>IFERROR(__xludf.DUMMYFUNCTION("""COMPUTED_VALUE"""),28.0)</f>
        <v>28</v>
      </c>
      <c r="E271" s="1">
        <v>280.0</v>
      </c>
      <c r="F271" s="1">
        <v>56.00000000000001</v>
      </c>
    </row>
    <row r="272">
      <c r="A272" s="1" t="str">
        <f>IFERROR(__xludf.DUMMYFUNCTION("""COMPUTED_VALUE"""),"S1841")</f>
        <v>S1841</v>
      </c>
      <c r="B272" s="1" t="str">
        <f>IFERROR(__xludf.DUMMYFUNCTION("""COMPUTED_VALUE"""),"Shweta Gupta")</f>
        <v>Shweta Gupta</v>
      </c>
      <c r="C272" s="1" t="str">
        <f>IFERROR(__xludf.DUMMYFUNCTION("""COMPUTED_VALUE"""),"A")</f>
        <v>A</v>
      </c>
      <c r="D272" s="1">
        <f>IFERROR(__xludf.DUMMYFUNCTION("""COMPUTED_VALUE"""),77.0)</f>
        <v>77</v>
      </c>
      <c r="E272" s="1">
        <v>331.0</v>
      </c>
      <c r="F272" s="1">
        <v>66.2</v>
      </c>
    </row>
    <row r="273">
      <c r="A273" s="1" t="str">
        <f>IFERROR(__xludf.DUMMYFUNCTION("""COMPUTED_VALUE"""),"S1849")</f>
        <v>S1849</v>
      </c>
      <c r="B273" s="1" t="str">
        <f>IFERROR(__xludf.DUMMYFUNCTION("""COMPUTED_VALUE"""),"Saurabh Verma")</f>
        <v>Saurabh Verma</v>
      </c>
      <c r="C273" s="1" t="str">
        <f>IFERROR(__xludf.DUMMYFUNCTION("""COMPUTED_VALUE"""),"D")</f>
        <v>D</v>
      </c>
      <c r="D273" s="1">
        <f>IFERROR(__xludf.DUMMYFUNCTION("""COMPUTED_VALUE"""),63.0)</f>
        <v>63</v>
      </c>
      <c r="E273" s="1">
        <v>325.0</v>
      </c>
      <c r="F273" s="1">
        <v>65.0</v>
      </c>
    </row>
    <row r="274">
      <c r="A274" s="1" t="str">
        <f>IFERROR(__xludf.DUMMYFUNCTION("""COMPUTED_VALUE"""),"S1858")</f>
        <v>S1858</v>
      </c>
      <c r="B274" s="1" t="str">
        <f>IFERROR(__xludf.DUMMYFUNCTION("""COMPUTED_VALUE"""),"Shweta Singh")</f>
        <v>Shweta Singh</v>
      </c>
      <c r="C274" s="1" t="str">
        <f>IFERROR(__xludf.DUMMYFUNCTION("""COMPUTED_VALUE"""),"A")</f>
        <v>A</v>
      </c>
      <c r="D274" s="1">
        <f>IFERROR(__xludf.DUMMYFUNCTION("""COMPUTED_VALUE"""),40.0)</f>
        <v>40</v>
      </c>
      <c r="E274" s="1">
        <v>357.0</v>
      </c>
      <c r="F274" s="1">
        <v>71.39999999999999</v>
      </c>
    </row>
    <row r="275">
      <c r="A275" s="1" t="str">
        <f>IFERROR(__xludf.DUMMYFUNCTION("""COMPUTED_VALUE"""),"S1868")</f>
        <v>S1868</v>
      </c>
      <c r="B275" s="1" t="str">
        <f>IFERROR(__xludf.DUMMYFUNCTION("""COMPUTED_VALUE"""),"Rohit Mishra")</f>
        <v>Rohit Mishra</v>
      </c>
      <c r="C275" s="1" t="str">
        <f>IFERROR(__xludf.DUMMYFUNCTION("""COMPUTED_VALUE"""),"B")</f>
        <v>B</v>
      </c>
      <c r="D275" s="1">
        <f>IFERROR(__xludf.DUMMYFUNCTION("""COMPUTED_VALUE"""),40.0)</f>
        <v>40</v>
      </c>
      <c r="E275" s="1">
        <v>325.0</v>
      </c>
      <c r="F275" s="1">
        <v>65.0</v>
      </c>
    </row>
    <row r="276">
      <c r="A276" s="1" t="str">
        <f>IFERROR(__xludf.DUMMYFUNCTION("""COMPUTED_VALUE"""),"S1879")</f>
        <v>S1879</v>
      </c>
      <c r="B276" s="1" t="str">
        <f>IFERROR(__xludf.DUMMYFUNCTION("""COMPUTED_VALUE"""),"Kavita Kumar")</f>
        <v>Kavita Kumar</v>
      </c>
      <c r="C276" s="1" t="str">
        <f>IFERROR(__xludf.DUMMYFUNCTION("""COMPUTED_VALUE"""),"A")</f>
        <v>A</v>
      </c>
      <c r="D276" s="1">
        <f>IFERROR(__xludf.DUMMYFUNCTION("""COMPUTED_VALUE"""),83.0)</f>
        <v>83</v>
      </c>
      <c r="E276" s="1">
        <v>226.0</v>
      </c>
      <c r="F276" s="1">
        <v>45.2</v>
      </c>
    </row>
    <row r="277">
      <c r="A277" s="1" t="str">
        <f>IFERROR(__xludf.DUMMYFUNCTION("""COMPUTED_VALUE"""),"S1892")</f>
        <v>S1892</v>
      </c>
      <c r="B277" s="1" t="str">
        <f>IFERROR(__xludf.DUMMYFUNCTION("""COMPUTED_VALUE"""),"Meena Pandey")</f>
        <v>Meena Pandey</v>
      </c>
      <c r="C277" s="1" t="str">
        <f>IFERROR(__xludf.DUMMYFUNCTION("""COMPUTED_VALUE"""),"C")</f>
        <v>C</v>
      </c>
      <c r="D277" s="1">
        <f>IFERROR(__xludf.DUMMYFUNCTION("""COMPUTED_VALUE"""),35.0)</f>
        <v>35</v>
      </c>
      <c r="E277" s="1">
        <v>246.0</v>
      </c>
      <c r="F277" s="1">
        <v>49.2</v>
      </c>
    </row>
    <row r="278">
      <c r="A278" s="1" t="str">
        <f>IFERROR(__xludf.DUMMYFUNCTION("""COMPUTED_VALUE"""),"S1898")</f>
        <v>S1898</v>
      </c>
      <c r="B278" s="1" t="str">
        <f>IFERROR(__xludf.DUMMYFUNCTION("""COMPUTED_VALUE"""),"Meena Bansal")</f>
        <v>Meena Bansal</v>
      </c>
      <c r="C278" s="1" t="str">
        <f>IFERROR(__xludf.DUMMYFUNCTION("""COMPUTED_VALUE"""),"A")</f>
        <v>A</v>
      </c>
      <c r="D278" s="1">
        <f>IFERROR(__xludf.DUMMYFUNCTION("""COMPUTED_VALUE"""),52.0)</f>
        <v>52</v>
      </c>
      <c r="E278" s="1">
        <v>322.0</v>
      </c>
      <c r="F278" s="1">
        <v>64.4</v>
      </c>
    </row>
    <row r="279">
      <c r="A279" s="1" t="str">
        <f>IFERROR(__xludf.DUMMYFUNCTION("""COMPUTED_VALUE"""),"S1901")</f>
        <v>S1901</v>
      </c>
      <c r="B279" s="1" t="str">
        <f>IFERROR(__xludf.DUMMYFUNCTION("""COMPUTED_VALUE"""),"Priya Gupta")</f>
        <v>Priya Gupta</v>
      </c>
      <c r="C279" s="1" t="str">
        <f>IFERROR(__xludf.DUMMYFUNCTION("""COMPUTED_VALUE"""),"A")</f>
        <v>A</v>
      </c>
      <c r="D279" s="1">
        <f>IFERROR(__xludf.DUMMYFUNCTION("""COMPUTED_VALUE"""),36.0)</f>
        <v>36</v>
      </c>
      <c r="E279" s="1">
        <v>296.0</v>
      </c>
      <c r="F279" s="1">
        <v>59.199999999999996</v>
      </c>
    </row>
    <row r="280">
      <c r="A280" s="1" t="str">
        <f>IFERROR(__xludf.DUMMYFUNCTION("""COMPUTED_VALUE"""),"S1904")</f>
        <v>S1904</v>
      </c>
      <c r="B280" s="1" t="str">
        <f>IFERROR(__xludf.DUMMYFUNCTION("""COMPUTED_VALUE"""),"Aman Mishra")</f>
        <v>Aman Mishra</v>
      </c>
      <c r="C280" s="1" t="str">
        <f>IFERROR(__xludf.DUMMYFUNCTION("""COMPUTED_VALUE"""),"A")</f>
        <v>A</v>
      </c>
      <c r="D280" s="1">
        <f>IFERROR(__xludf.DUMMYFUNCTION("""COMPUTED_VALUE"""),60.0)</f>
        <v>60</v>
      </c>
      <c r="E280" s="1">
        <v>217.0</v>
      </c>
      <c r="F280" s="1">
        <v>43.4</v>
      </c>
    </row>
    <row r="281">
      <c r="A281" s="1" t="str">
        <f>IFERROR(__xludf.DUMMYFUNCTION("""COMPUTED_VALUE"""),"S1918")</f>
        <v>S1918</v>
      </c>
      <c r="B281" s="1" t="str">
        <f>IFERROR(__xludf.DUMMYFUNCTION("""COMPUTED_VALUE"""),"Anjali Dubey")</f>
        <v>Anjali Dubey</v>
      </c>
      <c r="C281" s="1" t="str">
        <f>IFERROR(__xludf.DUMMYFUNCTION("""COMPUTED_VALUE"""),"A")</f>
        <v>A</v>
      </c>
      <c r="D281" s="1">
        <f>IFERROR(__xludf.DUMMYFUNCTION("""COMPUTED_VALUE"""),15.0)</f>
        <v>15</v>
      </c>
      <c r="E281" s="1">
        <v>271.0</v>
      </c>
      <c r="F281" s="1">
        <v>54.2</v>
      </c>
    </row>
    <row r="282">
      <c r="A282" s="1" t="str">
        <f>IFERROR(__xludf.DUMMYFUNCTION("""COMPUTED_VALUE"""),"S1920")</f>
        <v>S1920</v>
      </c>
      <c r="B282" s="1" t="str">
        <f>IFERROR(__xludf.DUMMYFUNCTION("""COMPUTED_VALUE"""),"Neha Sharma")</f>
        <v>Neha Sharma</v>
      </c>
      <c r="C282" s="1" t="str">
        <f>IFERROR(__xludf.DUMMYFUNCTION("""COMPUTED_VALUE"""),"D")</f>
        <v>D</v>
      </c>
      <c r="D282" s="1">
        <f>IFERROR(__xludf.DUMMYFUNCTION("""COMPUTED_VALUE"""),61.0)</f>
        <v>61</v>
      </c>
      <c r="E282" s="1">
        <v>336.0</v>
      </c>
      <c r="F282" s="1">
        <v>67.2</v>
      </c>
    </row>
    <row r="283">
      <c r="A283" s="1" t="str">
        <f>IFERROR(__xludf.DUMMYFUNCTION("""COMPUTED_VALUE"""),"S1921")</f>
        <v>S1921</v>
      </c>
      <c r="B283" s="1" t="str">
        <f>IFERROR(__xludf.DUMMYFUNCTION("""COMPUTED_VALUE"""),"Deepak Chauhan")</f>
        <v>Deepak Chauhan</v>
      </c>
      <c r="C283" s="1" t="str">
        <f>IFERROR(__xludf.DUMMYFUNCTION("""COMPUTED_VALUE"""),"D")</f>
        <v>D</v>
      </c>
      <c r="D283" s="1">
        <f>IFERROR(__xludf.DUMMYFUNCTION("""COMPUTED_VALUE"""),43.0)</f>
        <v>43</v>
      </c>
      <c r="E283" s="1">
        <v>266.0</v>
      </c>
      <c r="F283" s="1">
        <v>53.2</v>
      </c>
    </row>
    <row r="284">
      <c r="A284" s="1" t="str">
        <f>IFERROR(__xludf.DUMMYFUNCTION("""COMPUTED_VALUE"""),"S1934")</f>
        <v>S1934</v>
      </c>
      <c r="B284" s="1" t="str">
        <f>IFERROR(__xludf.DUMMYFUNCTION("""COMPUTED_VALUE"""),"Shweta Chauhan")</f>
        <v>Shweta Chauhan</v>
      </c>
      <c r="C284" s="1" t="str">
        <f>IFERROR(__xludf.DUMMYFUNCTION("""COMPUTED_VALUE"""),"B")</f>
        <v>B</v>
      </c>
      <c r="D284" s="1">
        <f>IFERROR(__xludf.DUMMYFUNCTION("""COMPUTED_VALUE"""),98.0)</f>
        <v>98</v>
      </c>
      <c r="E284" s="1">
        <v>291.0</v>
      </c>
      <c r="F284" s="1">
        <v>58.199999999999996</v>
      </c>
    </row>
    <row r="285">
      <c r="A285" s="1" t="str">
        <f>IFERROR(__xludf.DUMMYFUNCTION("""COMPUTED_VALUE"""),"S1938")</f>
        <v>S1938</v>
      </c>
      <c r="B285" s="1" t="str">
        <f>IFERROR(__xludf.DUMMYFUNCTION("""COMPUTED_VALUE"""),"Rahul Mishra")</f>
        <v>Rahul Mishra</v>
      </c>
      <c r="C285" s="1" t="str">
        <f>IFERROR(__xludf.DUMMYFUNCTION("""COMPUTED_VALUE"""),"B")</f>
        <v>B</v>
      </c>
      <c r="D285" s="1">
        <f>IFERROR(__xludf.DUMMYFUNCTION("""COMPUTED_VALUE"""),48.0)</f>
        <v>48</v>
      </c>
      <c r="E285" s="1">
        <v>414.0</v>
      </c>
      <c r="F285" s="1">
        <v>82.8</v>
      </c>
    </row>
    <row r="286">
      <c r="A286" s="1" t="str">
        <f>IFERROR(__xludf.DUMMYFUNCTION("""COMPUTED_VALUE"""),"S1947")</f>
        <v>S1947</v>
      </c>
      <c r="B286" s="1" t="str">
        <f>IFERROR(__xludf.DUMMYFUNCTION("""COMPUTED_VALUE"""),"Vikas Tiwari")</f>
        <v>Vikas Tiwari</v>
      </c>
      <c r="C286" s="1" t="str">
        <f>IFERROR(__xludf.DUMMYFUNCTION("""COMPUTED_VALUE"""),"A")</f>
        <v>A</v>
      </c>
      <c r="D286" s="1">
        <f>IFERROR(__xludf.DUMMYFUNCTION("""COMPUTED_VALUE"""),13.0)</f>
        <v>13</v>
      </c>
      <c r="E286" s="1">
        <v>280.0</v>
      </c>
      <c r="F286" s="1">
        <v>56.00000000000001</v>
      </c>
    </row>
    <row r="287">
      <c r="A287" s="1" t="str">
        <f>IFERROR(__xludf.DUMMYFUNCTION("""COMPUTED_VALUE"""),"S1951")</f>
        <v>S1951</v>
      </c>
      <c r="B287" s="1" t="str">
        <f>IFERROR(__xludf.DUMMYFUNCTION("""COMPUTED_VALUE"""),"Nitin Singh")</f>
        <v>Nitin Singh</v>
      </c>
      <c r="C287" s="1" t="str">
        <f>IFERROR(__xludf.DUMMYFUNCTION("""COMPUTED_VALUE"""),"D")</f>
        <v>D</v>
      </c>
      <c r="D287" s="1">
        <f>IFERROR(__xludf.DUMMYFUNCTION("""COMPUTED_VALUE"""),88.0)</f>
        <v>88</v>
      </c>
      <c r="E287" s="1">
        <v>296.0</v>
      </c>
      <c r="F287" s="1">
        <v>59.199999999999996</v>
      </c>
    </row>
    <row r="288">
      <c r="A288" s="1" t="str">
        <f>IFERROR(__xludf.DUMMYFUNCTION("""COMPUTED_VALUE"""),"S1955")</f>
        <v>S1955</v>
      </c>
      <c r="B288" s="1" t="str">
        <f>IFERROR(__xludf.DUMMYFUNCTION("""COMPUTED_VALUE"""),"Preeti Saxena")</f>
        <v>Preeti Saxena</v>
      </c>
      <c r="C288" s="1" t="str">
        <f>IFERROR(__xludf.DUMMYFUNCTION("""COMPUTED_VALUE"""),"C")</f>
        <v>C</v>
      </c>
      <c r="D288" s="1">
        <f>IFERROR(__xludf.DUMMYFUNCTION("""COMPUTED_VALUE"""),82.0)</f>
        <v>82</v>
      </c>
      <c r="E288" s="1">
        <v>247.0</v>
      </c>
      <c r="F288" s="1">
        <v>49.4</v>
      </c>
    </row>
    <row r="289">
      <c r="A289" s="1" t="str">
        <f>IFERROR(__xludf.DUMMYFUNCTION("""COMPUTED_VALUE"""),"S1960")</f>
        <v>S1960</v>
      </c>
      <c r="B289" s="1" t="str">
        <f>IFERROR(__xludf.DUMMYFUNCTION("""COMPUTED_VALUE"""),"Priya Mishra")</f>
        <v>Priya Mishra</v>
      </c>
      <c r="C289" s="1" t="str">
        <f>IFERROR(__xludf.DUMMYFUNCTION("""COMPUTED_VALUE"""),"C")</f>
        <v>C</v>
      </c>
      <c r="D289" s="1">
        <f>IFERROR(__xludf.DUMMYFUNCTION("""COMPUTED_VALUE"""),85.0)</f>
        <v>85</v>
      </c>
      <c r="E289" s="1">
        <v>344.0</v>
      </c>
      <c r="F289" s="1">
        <v>68.8</v>
      </c>
    </row>
    <row r="290">
      <c r="A290" s="1" t="str">
        <f>IFERROR(__xludf.DUMMYFUNCTION("""COMPUTED_VALUE"""),"S1968")</f>
        <v>S1968</v>
      </c>
      <c r="B290" s="1" t="str">
        <f>IFERROR(__xludf.DUMMYFUNCTION("""COMPUTED_VALUE"""),"Amit Tiwari")</f>
        <v>Amit Tiwari</v>
      </c>
      <c r="C290" s="1" t="str">
        <f>IFERROR(__xludf.DUMMYFUNCTION("""COMPUTED_VALUE"""),"A")</f>
        <v>A</v>
      </c>
      <c r="D290" s="1">
        <f>IFERROR(__xludf.DUMMYFUNCTION("""COMPUTED_VALUE"""),38.0)</f>
        <v>38</v>
      </c>
      <c r="E290" s="1">
        <v>251.0</v>
      </c>
      <c r="F290" s="1">
        <v>50.2</v>
      </c>
    </row>
    <row r="291">
      <c r="A291" s="1" t="str">
        <f>IFERROR(__xludf.DUMMYFUNCTION("""COMPUTED_VALUE"""),"S1973")</f>
        <v>S1973</v>
      </c>
      <c r="B291" s="1" t="str">
        <f>IFERROR(__xludf.DUMMYFUNCTION("""COMPUTED_VALUE"""),"Pooja Pandey")</f>
        <v>Pooja Pandey</v>
      </c>
      <c r="C291" s="1" t="str">
        <f>IFERROR(__xludf.DUMMYFUNCTION("""COMPUTED_VALUE"""),"C")</f>
        <v>C</v>
      </c>
      <c r="D291" s="1">
        <f>IFERROR(__xludf.DUMMYFUNCTION("""COMPUTED_VALUE"""),88.0)</f>
        <v>88</v>
      </c>
      <c r="E291" s="1">
        <v>397.0</v>
      </c>
      <c r="F291" s="1">
        <v>79.4</v>
      </c>
    </row>
    <row r="292">
      <c r="A292" s="1" t="str">
        <f>IFERROR(__xludf.DUMMYFUNCTION("""COMPUTED_VALUE"""),"S1979")</f>
        <v>S1979</v>
      </c>
      <c r="B292" s="1" t="str">
        <f>IFERROR(__xludf.DUMMYFUNCTION("""COMPUTED_VALUE"""),"Preeti Thakur")</f>
        <v>Preeti Thakur</v>
      </c>
      <c r="C292" s="1" t="str">
        <f>IFERROR(__xludf.DUMMYFUNCTION("""COMPUTED_VALUE"""),"C")</f>
        <v>C</v>
      </c>
      <c r="D292" s="1">
        <f>IFERROR(__xludf.DUMMYFUNCTION("""COMPUTED_VALUE"""),23.0)</f>
        <v>23</v>
      </c>
      <c r="E292" s="1">
        <v>338.0</v>
      </c>
      <c r="F292" s="1">
        <v>67.60000000000001</v>
      </c>
    </row>
    <row r="293">
      <c r="A293" s="1" t="str">
        <f>IFERROR(__xludf.DUMMYFUNCTION("""COMPUTED_VALUE"""),"S1981")</f>
        <v>S1981</v>
      </c>
      <c r="B293" s="1" t="str">
        <f>IFERROR(__xludf.DUMMYFUNCTION("""COMPUTED_VALUE"""),"Rohit Tiwari")</f>
        <v>Rohit Tiwari</v>
      </c>
      <c r="C293" s="1" t="str">
        <f>IFERROR(__xludf.DUMMYFUNCTION("""COMPUTED_VALUE"""),"A")</f>
        <v>A</v>
      </c>
      <c r="D293" s="1">
        <f>IFERROR(__xludf.DUMMYFUNCTION("""COMPUTED_VALUE"""),41.0)</f>
        <v>41</v>
      </c>
      <c r="E293" s="1">
        <v>297.0</v>
      </c>
      <c r="F293" s="1">
        <v>59.4</v>
      </c>
    </row>
    <row r="294">
      <c r="A294" s="1" t="str">
        <f>IFERROR(__xludf.DUMMYFUNCTION("""COMPUTED_VALUE"""),"S1983")</f>
        <v>S1983</v>
      </c>
      <c r="B294" s="1" t="str">
        <f>IFERROR(__xludf.DUMMYFUNCTION("""COMPUTED_VALUE"""),"Nitin Sharma")</f>
        <v>Nitin Sharma</v>
      </c>
      <c r="C294" s="1" t="str">
        <f>IFERROR(__xludf.DUMMYFUNCTION("""COMPUTED_VALUE"""),"A")</f>
        <v>A</v>
      </c>
      <c r="D294" s="1">
        <f>IFERROR(__xludf.DUMMYFUNCTION("""COMPUTED_VALUE"""),94.0)</f>
        <v>94</v>
      </c>
      <c r="E294" s="1">
        <v>312.0</v>
      </c>
      <c r="F294" s="1">
        <v>62.4</v>
      </c>
    </row>
    <row r="295">
      <c r="A295" s="1" t="str">
        <f>IFERROR(__xludf.DUMMYFUNCTION("""COMPUTED_VALUE"""),"S1984")</f>
        <v>S1984</v>
      </c>
      <c r="B295" s="1" t="str">
        <f>IFERROR(__xludf.DUMMYFUNCTION("""COMPUTED_VALUE"""),"Pooja Kumar")</f>
        <v>Pooja Kumar</v>
      </c>
      <c r="C295" s="1" t="str">
        <f>IFERROR(__xludf.DUMMYFUNCTION("""COMPUTED_VALUE"""),"C")</f>
        <v>C</v>
      </c>
      <c r="D295" s="1">
        <f>IFERROR(__xludf.DUMMYFUNCTION("""COMPUTED_VALUE"""),64.0)</f>
        <v>64</v>
      </c>
      <c r="E295" s="1">
        <v>349.0</v>
      </c>
      <c r="F295" s="1">
        <v>69.8</v>
      </c>
    </row>
    <row r="296">
      <c r="E296" s="1" t="s">
        <v>2</v>
      </c>
      <c r="F296" s="1" t="s">
        <v>2</v>
      </c>
    </row>
    <row r="297">
      <c r="E297" s="1" t="s">
        <v>2</v>
      </c>
      <c r="F297" s="1" t="s">
        <v>2</v>
      </c>
    </row>
    <row r="298">
      <c r="E298" s="1" t="s">
        <v>2</v>
      </c>
      <c r="F298" s="1" t="s">
        <v>2</v>
      </c>
    </row>
    <row r="299">
      <c r="E299" s="1" t="s">
        <v>2</v>
      </c>
      <c r="F299" s="1" t="s">
        <v>2</v>
      </c>
    </row>
    <row r="300">
      <c r="E300" s="1" t="s">
        <v>2</v>
      </c>
      <c r="F300" s="1" t="s">
        <v>2</v>
      </c>
    </row>
    <row r="301">
      <c r="E301" s="1" t="s">
        <v>2</v>
      </c>
      <c r="F301" s="1" t="s">
        <v>2</v>
      </c>
    </row>
    <row r="302">
      <c r="E302" s="1" t="s">
        <v>2</v>
      </c>
      <c r="F302" s="1" t="s">
        <v>2</v>
      </c>
    </row>
    <row r="303">
      <c r="E303" s="1" t="s">
        <v>2</v>
      </c>
      <c r="F303" s="1" t="s">
        <v>2</v>
      </c>
    </row>
    <row r="304">
      <c r="E304" s="1" t="s">
        <v>2</v>
      </c>
      <c r="F304" s="1" t="s">
        <v>2</v>
      </c>
    </row>
    <row r="305">
      <c r="E305" s="1" t="s">
        <v>2</v>
      </c>
      <c r="F305" s="1" t="s">
        <v>2</v>
      </c>
    </row>
    <row r="306">
      <c r="E306" s="1" t="s">
        <v>2</v>
      </c>
      <c r="F306" s="1" t="s">
        <v>2</v>
      </c>
    </row>
    <row r="307">
      <c r="E307" s="1" t="s">
        <v>2</v>
      </c>
      <c r="F307" s="1" t="s">
        <v>2</v>
      </c>
    </row>
    <row r="308">
      <c r="E308" s="1" t="s">
        <v>2</v>
      </c>
      <c r="F308" s="1" t="s">
        <v>2</v>
      </c>
    </row>
    <row r="309">
      <c r="E309" s="1" t="s">
        <v>2</v>
      </c>
      <c r="F309" s="1" t="s">
        <v>2</v>
      </c>
    </row>
    <row r="310">
      <c r="E310" s="1" t="s">
        <v>2</v>
      </c>
      <c r="F310" s="1" t="s">
        <v>2</v>
      </c>
    </row>
    <row r="311">
      <c r="E311" s="1" t="s">
        <v>2</v>
      </c>
      <c r="F311" s="1" t="s">
        <v>2</v>
      </c>
    </row>
    <row r="312">
      <c r="E312" s="1" t="s">
        <v>2</v>
      </c>
      <c r="F312" s="1" t="s">
        <v>2</v>
      </c>
    </row>
    <row r="313">
      <c r="E313" s="1" t="s">
        <v>2</v>
      </c>
      <c r="F313" s="1" t="s">
        <v>2</v>
      </c>
    </row>
    <row r="314">
      <c r="E314" s="1" t="s">
        <v>2</v>
      </c>
      <c r="F314" s="1" t="s">
        <v>2</v>
      </c>
    </row>
    <row r="315">
      <c r="E315" s="1" t="s">
        <v>2</v>
      </c>
      <c r="F315" s="1" t="s">
        <v>2</v>
      </c>
    </row>
    <row r="316">
      <c r="E316" s="1" t="s">
        <v>2</v>
      </c>
      <c r="F316" s="1" t="s">
        <v>2</v>
      </c>
    </row>
    <row r="317">
      <c r="E317" s="1" t="s">
        <v>2</v>
      </c>
      <c r="F317" s="1" t="s">
        <v>2</v>
      </c>
    </row>
    <row r="318">
      <c r="E318" s="1" t="s">
        <v>2</v>
      </c>
      <c r="F318" s="1" t="s">
        <v>2</v>
      </c>
    </row>
    <row r="319">
      <c r="E319" s="1" t="s">
        <v>2</v>
      </c>
      <c r="F319" s="1" t="s">
        <v>2</v>
      </c>
    </row>
    <row r="320">
      <c r="E320" s="1" t="s">
        <v>2</v>
      </c>
      <c r="F320" s="1" t="s">
        <v>2</v>
      </c>
    </row>
    <row r="321">
      <c r="E321" s="1" t="s">
        <v>2</v>
      </c>
      <c r="F321" s="1" t="s">
        <v>2</v>
      </c>
    </row>
    <row r="322">
      <c r="E322" s="1" t="s">
        <v>2</v>
      </c>
      <c r="F322" s="1" t="s">
        <v>2</v>
      </c>
    </row>
    <row r="323">
      <c r="E323" s="1" t="s">
        <v>2</v>
      </c>
      <c r="F323" s="1" t="s">
        <v>2</v>
      </c>
    </row>
    <row r="324">
      <c r="E324" s="1" t="s">
        <v>2</v>
      </c>
      <c r="F324" s="1" t="s">
        <v>2</v>
      </c>
    </row>
    <row r="325">
      <c r="E325" s="1" t="s">
        <v>2</v>
      </c>
      <c r="F325" s="1" t="s">
        <v>2</v>
      </c>
    </row>
    <row r="326">
      <c r="E326" s="1" t="s">
        <v>2</v>
      </c>
      <c r="F326" s="1" t="s">
        <v>2</v>
      </c>
    </row>
    <row r="327">
      <c r="E327" s="1" t="s">
        <v>2</v>
      </c>
      <c r="F327" s="1" t="s">
        <v>2</v>
      </c>
    </row>
    <row r="328">
      <c r="E328" s="1" t="s">
        <v>2</v>
      </c>
      <c r="F328" s="1" t="s">
        <v>2</v>
      </c>
    </row>
    <row r="329">
      <c r="E329" s="1" t="s">
        <v>2</v>
      </c>
      <c r="F329" s="1" t="s">
        <v>2</v>
      </c>
    </row>
    <row r="330">
      <c r="E330" s="1" t="s">
        <v>2</v>
      </c>
      <c r="F330" s="1" t="s">
        <v>2</v>
      </c>
    </row>
    <row r="331">
      <c r="E331" s="1" t="s">
        <v>2</v>
      </c>
      <c r="F331" s="1" t="s">
        <v>2</v>
      </c>
    </row>
    <row r="332">
      <c r="E332" s="1" t="s">
        <v>2</v>
      </c>
      <c r="F332" s="1" t="s">
        <v>2</v>
      </c>
    </row>
    <row r="333">
      <c r="E333" s="1" t="s">
        <v>2</v>
      </c>
      <c r="F333" s="1" t="s">
        <v>2</v>
      </c>
    </row>
    <row r="334">
      <c r="E334" s="1" t="s">
        <v>2</v>
      </c>
      <c r="F334" s="1" t="s">
        <v>2</v>
      </c>
    </row>
    <row r="335">
      <c r="E335" s="1" t="s">
        <v>2</v>
      </c>
      <c r="F335" s="1" t="s">
        <v>2</v>
      </c>
    </row>
    <row r="336">
      <c r="E336" s="1" t="s">
        <v>2</v>
      </c>
      <c r="F336" s="1" t="s">
        <v>2</v>
      </c>
    </row>
    <row r="337">
      <c r="E337" s="1" t="s">
        <v>2</v>
      </c>
      <c r="F337" s="1" t="s">
        <v>2</v>
      </c>
    </row>
    <row r="338">
      <c r="E338" s="1" t="s">
        <v>2</v>
      </c>
      <c r="F338" s="1" t="s">
        <v>2</v>
      </c>
    </row>
    <row r="339">
      <c r="E339" s="1" t="s">
        <v>2</v>
      </c>
      <c r="F339" s="1" t="s">
        <v>2</v>
      </c>
    </row>
    <row r="340">
      <c r="E340" s="1" t="s">
        <v>2</v>
      </c>
      <c r="F340" s="1" t="s">
        <v>2</v>
      </c>
    </row>
    <row r="341">
      <c r="E341" s="1" t="s">
        <v>2</v>
      </c>
      <c r="F341" s="1" t="s">
        <v>2</v>
      </c>
    </row>
    <row r="342">
      <c r="E342" s="1" t="s">
        <v>2</v>
      </c>
      <c r="F342" s="1" t="s">
        <v>2</v>
      </c>
    </row>
    <row r="343">
      <c r="E343" s="1" t="s">
        <v>2</v>
      </c>
      <c r="F343" s="1" t="s">
        <v>2</v>
      </c>
    </row>
    <row r="344">
      <c r="E344" s="1" t="s">
        <v>2</v>
      </c>
      <c r="F344" s="1" t="s">
        <v>2</v>
      </c>
    </row>
    <row r="345">
      <c r="E345" s="1" t="s">
        <v>2</v>
      </c>
      <c r="F345" s="1" t="s">
        <v>2</v>
      </c>
    </row>
    <row r="346">
      <c r="E346" s="1" t="s">
        <v>2</v>
      </c>
      <c r="F346" s="1" t="s">
        <v>2</v>
      </c>
    </row>
    <row r="347">
      <c r="E347" s="1" t="s">
        <v>2</v>
      </c>
      <c r="F347" s="1" t="s">
        <v>2</v>
      </c>
    </row>
    <row r="348">
      <c r="E348" s="1" t="s">
        <v>2</v>
      </c>
      <c r="F348" s="1" t="s">
        <v>2</v>
      </c>
    </row>
    <row r="349">
      <c r="E349" s="1" t="s">
        <v>2</v>
      </c>
      <c r="F349" s="1" t="s">
        <v>2</v>
      </c>
    </row>
    <row r="350">
      <c r="E350" s="1" t="s">
        <v>2</v>
      </c>
      <c r="F350" s="1" t="s">
        <v>2</v>
      </c>
    </row>
    <row r="351">
      <c r="E351" s="1" t="s">
        <v>2</v>
      </c>
      <c r="F351" s="1" t="s">
        <v>2</v>
      </c>
    </row>
    <row r="352">
      <c r="E352" s="1" t="s">
        <v>2</v>
      </c>
      <c r="F352" s="1" t="s">
        <v>2</v>
      </c>
    </row>
    <row r="353">
      <c r="E353" s="1" t="s">
        <v>2</v>
      </c>
      <c r="F353" s="1" t="s">
        <v>2</v>
      </c>
    </row>
    <row r="354">
      <c r="E354" s="1" t="s">
        <v>2</v>
      </c>
      <c r="F354" s="1" t="s">
        <v>2</v>
      </c>
    </row>
    <row r="355">
      <c r="E355" s="1" t="s">
        <v>2</v>
      </c>
      <c r="F355" s="1" t="s">
        <v>2</v>
      </c>
    </row>
    <row r="356">
      <c r="E356" s="1" t="s">
        <v>2</v>
      </c>
      <c r="F356" s="1" t="s">
        <v>2</v>
      </c>
    </row>
    <row r="357">
      <c r="E357" s="1" t="s">
        <v>2</v>
      </c>
      <c r="F357" s="1" t="s">
        <v>2</v>
      </c>
    </row>
    <row r="358">
      <c r="E358" s="1" t="s">
        <v>2</v>
      </c>
      <c r="F358" s="1" t="s">
        <v>2</v>
      </c>
    </row>
    <row r="359">
      <c r="E359" s="1" t="s">
        <v>2</v>
      </c>
      <c r="F359" s="1" t="s">
        <v>2</v>
      </c>
    </row>
    <row r="360">
      <c r="E360" s="1" t="s">
        <v>2</v>
      </c>
      <c r="F360" s="1" t="s">
        <v>2</v>
      </c>
    </row>
    <row r="361">
      <c r="E361" s="1" t="s">
        <v>2</v>
      </c>
      <c r="F361" s="1" t="s">
        <v>2</v>
      </c>
    </row>
    <row r="362">
      <c r="E362" s="1" t="s">
        <v>2</v>
      </c>
      <c r="F362" s="1" t="s">
        <v>2</v>
      </c>
    </row>
    <row r="363">
      <c r="E363" s="1" t="s">
        <v>2</v>
      </c>
      <c r="F363" s="1" t="s">
        <v>2</v>
      </c>
    </row>
    <row r="364">
      <c r="E364" s="1" t="s">
        <v>2</v>
      </c>
      <c r="F364" s="1" t="s">
        <v>2</v>
      </c>
    </row>
    <row r="365">
      <c r="E365" s="1" t="s">
        <v>2</v>
      </c>
      <c r="F365" s="1" t="s">
        <v>2</v>
      </c>
    </row>
    <row r="366">
      <c r="E366" s="1" t="s">
        <v>2</v>
      </c>
      <c r="F366" s="1" t="s">
        <v>2</v>
      </c>
    </row>
    <row r="367">
      <c r="E367" s="1" t="s">
        <v>2</v>
      </c>
      <c r="F367" s="1" t="s">
        <v>2</v>
      </c>
    </row>
    <row r="368">
      <c r="E368" s="1" t="s">
        <v>2</v>
      </c>
      <c r="F368" s="1" t="s">
        <v>2</v>
      </c>
    </row>
    <row r="369">
      <c r="E369" s="1" t="s">
        <v>2</v>
      </c>
      <c r="F369" s="1" t="s">
        <v>2</v>
      </c>
    </row>
    <row r="370">
      <c r="E370" s="1" t="s">
        <v>2</v>
      </c>
      <c r="F370" s="1" t="s">
        <v>2</v>
      </c>
    </row>
    <row r="371">
      <c r="E371" s="1" t="s">
        <v>2</v>
      </c>
      <c r="F371" s="1" t="s">
        <v>2</v>
      </c>
    </row>
    <row r="372">
      <c r="E372" s="1" t="s">
        <v>2</v>
      </c>
      <c r="F372" s="1" t="s">
        <v>2</v>
      </c>
    </row>
    <row r="373">
      <c r="E373" s="1" t="s">
        <v>2</v>
      </c>
      <c r="F373" s="1" t="s">
        <v>2</v>
      </c>
    </row>
    <row r="374">
      <c r="E374" s="1" t="s">
        <v>2</v>
      </c>
      <c r="F374" s="1" t="s">
        <v>2</v>
      </c>
    </row>
    <row r="375">
      <c r="E375" s="1" t="s">
        <v>2</v>
      </c>
      <c r="F375" s="1" t="s">
        <v>2</v>
      </c>
    </row>
    <row r="376">
      <c r="E376" s="1" t="s">
        <v>2</v>
      </c>
      <c r="F376" s="1" t="s">
        <v>2</v>
      </c>
    </row>
    <row r="377">
      <c r="E377" s="1" t="s">
        <v>2</v>
      </c>
      <c r="F377" s="1" t="s">
        <v>2</v>
      </c>
    </row>
    <row r="378">
      <c r="E378" s="1" t="s">
        <v>2</v>
      </c>
      <c r="F378" s="1" t="s">
        <v>2</v>
      </c>
    </row>
    <row r="379">
      <c r="E379" s="1" t="s">
        <v>2</v>
      </c>
      <c r="F379" s="1" t="s">
        <v>2</v>
      </c>
    </row>
    <row r="380">
      <c r="E380" s="1" t="s">
        <v>2</v>
      </c>
      <c r="F380" s="1" t="s">
        <v>2</v>
      </c>
    </row>
    <row r="381">
      <c r="E381" s="1" t="s">
        <v>2</v>
      </c>
      <c r="F381" s="1" t="s">
        <v>2</v>
      </c>
    </row>
    <row r="382">
      <c r="E382" s="1" t="s">
        <v>2</v>
      </c>
      <c r="F382" s="1" t="s">
        <v>2</v>
      </c>
    </row>
    <row r="383">
      <c r="E383" s="1" t="s">
        <v>2</v>
      </c>
      <c r="F383" s="1" t="s">
        <v>2</v>
      </c>
    </row>
    <row r="384">
      <c r="E384" s="1" t="s">
        <v>2</v>
      </c>
      <c r="F384" s="1" t="s">
        <v>2</v>
      </c>
    </row>
    <row r="385">
      <c r="E385" s="1" t="s">
        <v>2</v>
      </c>
      <c r="F385" s="1" t="s">
        <v>2</v>
      </c>
    </row>
    <row r="386">
      <c r="E386" s="1" t="s">
        <v>2</v>
      </c>
      <c r="F386" s="1" t="s">
        <v>2</v>
      </c>
    </row>
    <row r="387">
      <c r="E387" s="1" t="s">
        <v>2</v>
      </c>
      <c r="F387" s="1" t="s">
        <v>2</v>
      </c>
    </row>
    <row r="388">
      <c r="E388" s="1" t="s">
        <v>2</v>
      </c>
      <c r="F388" s="1" t="s">
        <v>2</v>
      </c>
    </row>
    <row r="389">
      <c r="E389" s="1" t="s">
        <v>2</v>
      </c>
      <c r="F389" s="1" t="s">
        <v>2</v>
      </c>
    </row>
    <row r="390">
      <c r="E390" s="1" t="s">
        <v>2</v>
      </c>
      <c r="F390" s="1" t="s">
        <v>2</v>
      </c>
    </row>
    <row r="391">
      <c r="E391" s="1" t="s">
        <v>2</v>
      </c>
      <c r="F391" s="1" t="s">
        <v>2</v>
      </c>
    </row>
    <row r="392">
      <c r="E392" s="1" t="s">
        <v>2</v>
      </c>
      <c r="F392" s="1" t="s">
        <v>2</v>
      </c>
    </row>
    <row r="393">
      <c r="E393" s="1" t="s">
        <v>2</v>
      </c>
      <c r="F393" s="1" t="s">
        <v>2</v>
      </c>
    </row>
    <row r="394">
      <c r="E394" s="1" t="s">
        <v>2</v>
      </c>
      <c r="F394" s="1" t="s">
        <v>2</v>
      </c>
    </row>
    <row r="395">
      <c r="E395" s="1" t="s">
        <v>2</v>
      </c>
      <c r="F395" s="1" t="s">
        <v>2</v>
      </c>
    </row>
    <row r="396">
      <c r="E396" s="1" t="s">
        <v>2</v>
      </c>
      <c r="F396" s="1" t="s">
        <v>2</v>
      </c>
    </row>
    <row r="397">
      <c r="E397" s="1" t="s">
        <v>2</v>
      </c>
      <c r="F397" s="1" t="s">
        <v>2</v>
      </c>
    </row>
    <row r="398">
      <c r="E398" s="1" t="s">
        <v>2</v>
      </c>
      <c r="F398" s="1" t="s">
        <v>2</v>
      </c>
    </row>
    <row r="399">
      <c r="E399" s="1" t="s">
        <v>2</v>
      </c>
      <c r="F399" s="1" t="s">
        <v>2</v>
      </c>
    </row>
    <row r="400">
      <c r="E400" s="1" t="s">
        <v>2</v>
      </c>
      <c r="F400" s="1" t="s">
        <v>2</v>
      </c>
    </row>
    <row r="401">
      <c r="E401" s="1" t="s">
        <v>2</v>
      </c>
      <c r="F401" s="1" t="s">
        <v>2</v>
      </c>
    </row>
    <row r="402">
      <c r="E402" s="1" t="s">
        <v>2</v>
      </c>
      <c r="F402" s="1" t="s">
        <v>2</v>
      </c>
    </row>
    <row r="403">
      <c r="E403" s="1" t="s">
        <v>2</v>
      </c>
      <c r="F403" s="1" t="s">
        <v>2</v>
      </c>
    </row>
    <row r="404">
      <c r="E404" s="1" t="s">
        <v>2</v>
      </c>
      <c r="F404" s="1" t="s">
        <v>2</v>
      </c>
    </row>
    <row r="405">
      <c r="E405" s="1" t="s">
        <v>2</v>
      </c>
      <c r="F405" s="1" t="s">
        <v>2</v>
      </c>
    </row>
    <row r="406">
      <c r="E406" s="1" t="s">
        <v>2</v>
      </c>
      <c r="F406" s="1" t="s">
        <v>2</v>
      </c>
    </row>
    <row r="407">
      <c r="E407" s="1" t="s">
        <v>2</v>
      </c>
      <c r="F407" s="1" t="s">
        <v>2</v>
      </c>
    </row>
    <row r="408">
      <c r="E408" s="1" t="s">
        <v>2</v>
      </c>
      <c r="F408" s="1" t="s">
        <v>2</v>
      </c>
    </row>
    <row r="409">
      <c r="E409" s="1" t="s">
        <v>2</v>
      </c>
      <c r="F409" s="1" t="s">
        <v>2</v>
      </c>
    </row>
    <row r="410">
      <c r="E410" s="1" t="s">
        <v>2</v>
      </c>
      <c r="F410" s="1" t="s">
        <v>2</v>
      </c>
    </row>
    <row r="411">
      <c r="E411" s="1" t="s">
        <v>2</v>
      </c>
      <c r="F411" s="1" t="s">
        <v>2</v>
      </c>
    </row>
    <row r="412">
      <c r="E412" s="1" t="s">
        <v>2</v>
      </c>
      <c r="F412" s="1" t="s">
        <v>2</v>
      </c>
    </row>
    <row r="413">
      <c r="E413" s="1" t="s">
        <v>2</v>
      </c>
      <c r="F413" s="1" t="s">
        <v>2</v>
      </c>
    </row>
    <row r="414">
      <c r="E414" s="1" t="s">
        <v>2</v>
      </c>
      <c r="F414" s="1" t="s">
        <v>2</v>
      </c>
    </row>
    <row r="415">
      <c r="E415" s="1" t="s">
        <v>2</v>
      </c>
      <c r="F415" s="1" t="s">
        <v>2</v>
      </c>
    </row>
    <row r="416">
      <c r="E416" s="1" t="s">
        <v>2</v>
      </c>
      <c r="F416" s="1" t="s">
        <v>2</v>
      </c>
    </row>
    <row r="417">
      <c r="E417" s="1" t="s">
        <v>2</v>
      </c>
      <c r="F417" s="1" t="s">
        <v>2</v>
      </c>
    </row>
    <row r="418">
      <c r="E418" s="1" t="s">
        <v>2</v>
      </c>
      <c r="F418" s="1" t="s">
        <v>2</v>
      </c>
    </row>
    <row r="419">
      <c r="E419" s="1" t="s">
        <v>2</v>
      </c>
      <c r="F419" s="1" t="s">
        <v>2</v>
      </c>
    </row>
    <row r="420">
      <c r="E420" s="1" t="s">
        <v>2</v>
      </c>
      <c r="F420" s="1" t="s">
        <v>2</v>
      </c>
    </row>
    <row r="421">
      <c r="E421" s="1" t="s">
        <v>2</v>
      </c>
      <c r="F421" s="1" t="s">
        <v>2</v>
      </c>
    </row>
    <row r="422">
      <c r="E422" s="1" t="s">
        <v>2</v>
      </c>
      <c r="F422" s="1" t="s">
        <v>2</v>
      </c>
    </row>
    <row r="423">
      <c r="E423" s="1" t="s">
        <v>2</v>
      </c>
      <c r="F423" s="1" t="s">
        <v>2</v>
      </c>
    </row>
    <row r="424">
      <c r="E424" s="1" t="s">
        <v>2</v>
      </c>
      <c r="F424" s="1" t="s">
        <v>2</v>
      </c>
    </row>
    <row r="425">
      <c r="E425" s="1" t="s">
        <v>2</v>
      </c>
      <c r="F425" s="1" t="s">
        <v>2</v>
      </c>
    </row>
    <row r="426">
      <c r="E426" s="1" t="s">
        <v>2</v>
      </c>
      <c r="F426" s="1" t="s">
        <v>2</v>
      </c>
    </row>
    <row r="427">
      <c r="E427" s="1" t="s">
        <v>2</v>
      </c>
      <c r="F427" s="1" t="s">
        <v>2</v>
      </c>
    </row>
    <row r="428">
      <c r="E428" s="1" t="s">
        <v>2</v>
      </c>
      <c r="F428" s="1" t="s">
        <v>2</v>
      </c>
    </row>
    <row r="429">
      <c r="E429" s="1" t="s">
        <v>2</v>
      </c>
      <c r="F429" s="1" t="s">
        <v>2</v>
      </c>
    </row>
    <row r="430">
      <c r="E430" s="1" t="s">
        <v>2</v>
      </c>
      <c r="F430" s="1" t="s">
        <v>2</v>
      </c>
    </row>
    <row r="431">
      <c r="E431" s="1" t="s">
        <v>2</v>
      </c>
      <c r="F431" s="1" t="s">
        <v>2</v>
      </c>
    </row>
    <row r="432">
      <c r="E432" s="1" t="s">
        <v>2</v>
      </c>
      <c r="F432" s="1" t="s">
        <v>2</v>
      </c>
    </row>
    <row r="433">
      <c r="E433" s="1" t="s">
        <v>2</v>
      </c>
      <c r="F433" s="1" t="s">
        <v>2</v>
      </c>
    </row>
    <row r="434">
      <c r="E434" s="1" t="s">
        <v>2</v>
      </c>
      <c r="F434" s="1" t="s">
        <v>2</v>
      </c>
    </row>
    <row r="435">
      <c r="E435" s="1" t="s">
        <v>2</v>
      </c>
      <c r="F435" s="1" t="s">
        <v>2</v>
      </c>
    </row>
    <row r="436">
      <c r="E436" s="1" t="s">
        <v>2</v>
      </c>
      <c r="F436" s="1" t="s">
        <v>2</v>
      </c>
    </row>
    <row r="437">
      <c r="E437" s="1" t="s">
        <v>2</v>
      </c>
      <c r="F437" s="1" t="s">
        <v>2</v>
      </c>
    </row>
    <row r="438">
      <c r="E438" s="1" t="s">
        <v>2</v>
      </c>
      <c r="F438" s="1" t="s">
        <v>2</v>
      </c>
    </row>
    <row r="439">
      <c r="E439" s="1" t="s">
        <v>2</v>
      </c>
      <c r="F439" s="1" t="s">
        <v>2</v>
      </c>
    </row>
    <row r="440">
      <c r="E440" s="1" t="s">
        <v>2</v>
      </c>
      <c r="F440" s="1" t="s">
        <v>2</v>
      </c>
    </row>
    <row r="441">
      <c r="E441" s="1" t="s">
        <v>2</v>
      </c>
      <c r="F441" s="1" t="s">
        <v>2</v>
      </c>
    </row>
    <row r="442">
      <c r="E442" s="1" t="s">
        <v>2</v>
      </c>
      <c r="F442" s="1" t="s">
        <v>2</v>
      </c>
    </row>
    <row r="443">
      <c r="E443" s="1" t="s">
        <v>2</v>
      </c>
      <c r="F443" s="1" t="s">
        <v>2</v>
      </c>
    </row>
    <row r="444">
      <c r="E444" s="1" t="s">
        <v>2</v>
      </c>
      <c r="F444" s="1" t="s">
        <v>2</v>
      </c>
    </row>
    <row r="445">
      <c r="E445" s="1" t="s">
        <v>2</v>
      </c>
      <c r="F445" s="1" t="s">
        <v>2</v>
      </c>
    </row>
    <row r="446">
      <c r="E446" s="1" t="s">
        <v>2</v>
      </c>
      <c r="F446" s="1" t="s">
        <v>2</v>
      </c>
    </row>
    <row r="447">
      <c r="E447" s="1" t="s">
        <v>2</v>
      </c>
      <c r="F447" s="1" t="s">
        <v>2</v>
      </c>
    </row>
    <row r="448">
      <c r="E448" s="1" t="s">
        <v>2</v>
      </c>
      <c r="F448" s="1" t="s">
        <v>2</v>
      </c>
    </row>
    <row r="449">
      <c r="E449" s="1" t="s">
        <v>2</v>
      </c>
      <c r="F449" s="1" t="s">
        <v>2</v>
      </c>
    </row>
    <row r="450">
      <c r="E450" s="1" t="s">
        <v>2</v>
      </c>
      <c r="F450" s="1" t="s">
        <v>2</v>
      </c>
    </row>
    <row r="451">
      <c r="E451" s="1" t="s">
        <v>2</v>
      </c>
      <c r="F451" s="1" t="s">
        <v>2</v>
      </c>
    </row>
    <row r="452">
      <c r="E452" s="1" t="s">
        <v>2</v>
      </c>
      <c r="F452" s="1" t="s">
        <v>2</v>
      </c>
    </row>
    <row r="453">
      <c r="E453" s="1" t="s">
        <v>2</v>
      </c>
      <c r="F453" s="1" t="s">
        <v>2</v>
      </c>
    </row>
    <row r="454">
      <c r="E454" s="1" t="s">
        <v>2</v>
      </c>
      <c r="F454" s="1" t="s">
        <v>2</v>
      </c>
    </row>
    <row r="455">
      <c r="E455" s="1" t="s">
        <v>2</v>
      </c>
      <c r="F455" s="1" t="s">
        <v>2</v>
      </c>
    </row>
    <row r="456">
      <c r="E456" s="1" t="s">
        <v>2</v>
      </c>
      <c r="F456" s="1" t="s">
        <v>2</v>
      </c>
    </row>
    <row r="457">
      <c r="E457" s="1" t="s">
        <v>2</v>
      </c>
      <c r="F457" s="1" t="s">
        <v>2</v>
      </c>
    </row>
    <row r="458">
      <c r="E458" s="1" t="s">
        <v>2</v>
      </c>
      <c r="F458" s="1" t="s">
        <v>2</v>
      </c>
    </row>
    <row r="459">
      <c r="E459" s="1" t="s">
        <v>2</v>
      </c>
      <c r="F459" s="1" t="s">
        <v>2</v>
      </c>
    </row>
    <row r="460">
      <c r="E460" s="1" t="s">
        <v>2</v>
      </c>
      <c r="F460" s="1" t="s">
        <v>2</v>
      </c>
    </row>
    <row r="461">
      <c r="E461" s="1" t="s">
        <v>2</v>
      </c>
      <c r="F461" s="1" t="s">
        <v>2</v>
      </c>
    </row>
    <row r="462">
      <c r="E462" s="1" t="s">
        <v>2</v>
      </c>
      <c r="F462" s="1" t="s">
        <v>2</v>
      </c>
    </row>
    <row r="463">
      <c r="E463" s="1" t="s">
        <v>2</v>
      </c>
      <c r="F463" s="1" t="s">
        <v>2</v>
      </c>
    </row>
    <row r="464">
      <c r="E464" s="1" t="s">
        <v>2</v>
      </c>
      <c r="F464" s="1" t="s">
        <v>2</v>
      </c>
    </row>
    <row r="465">
      <c r="E465" s="1" t="s">
        <v>2</v>
      </c>
      <c r="F465" s="1" t="s">
        <v>2</v>
      </c>
    </row>
    <row r="466">
      <c r="E466" s="1" t="s">
        <v>2</v>
      </c>
      <c r="F466" s="1" t="s">
        <v>2</v>
      </c>
    </row>
    <row r="467">
      <c r="E467" s="1" t="s">
        <v>2</v>
      </c>
      <c r="F467" s="1" t="s">
        <v>2</v>
      </c>
    </row>
    <row r="468">
      <c r="E468" s="1" t="s">
        <v>2</v>
      </c>
      <c r="F468" s="1" t="s">
        <v>2</v>
      </c>
    </row>
    <row r="469">
      <c r="E469" s="1" t="s">
        <v>2</v>
      </c>
      <c r="F469" s="1" t="s">
        <v>2</v>
      </c>
    </row>
    <row r="470">
      <c r="E470" s="1" t="s">
        <v>2</v>
      </c>
      <c r="F470" s="1" t="s">
        <v>2</v>
      </c>
    </row>
    <row r="471">
      <c r="E471" s="1" t="s">
        <v>2</v>
      </c>
      <c r="F471" s="1" t="s">
        <v>2</v>
      </c>
    </row>
    <row r="472">
      <c r="E472" s="1" t="s">
        <v>2</v>
      </c>
      <c r="F472" s="1" t="s">
        <v>2</v>
      </c>
    </row>
    <row r="473">
      <c r="E473" s="1" t="s">
        <v>2</v>
      </c>
      <c r="F473" s="1" t="s">
        <v>2</v>
      </c>
    </row>
    <row r="474">
      <c r="E474" s="1" t="s">
        <v>2</v>
      </c>
      <c r="F474" s="1" t="s">
        <v>2</v>
      </c>
    </row>
    <row r="475">
      <c r="E475" s="1" t="s">
        <v>2</v>
      </c>
      <c r="F475" s="1" t="s">
        <v>2</v>
      </c>
    </row>
    <row r="476">
      <c r="E476" s="1" t="s">
        <v>2</v>
      </c>
      <c r="F476" s="1" t="s">
        <v>2</v>
      </c>
    </row>
    <row r="477">
      <c r="E477" s="1" t="s">
        <v>2</v>
      </c>
      <c r="F477" s="1" t="s">
        <v>2</v>
      </c>
    </row>
    <row r="478">
      <c r="E478" s="1" t="s">
        <v>2</v>
      </c>
      <c r="F478" s="1" t="s">
        <v>2</v>
      </c>
    </row>
    <row r="479">
      <c r="E479" s="1" t="s">
        <v>2</v>
      </c>
      <c r="F479" s="1" t="s">
        <v>2</v>
      </c>
    </row>
    <row r="480">
      <c r="E480" s="1" t="s">
        <v>2</v>
      </c>
      <c r="F480" s="1" t="s">
        <v>2</v>
      </c>
    </row>
    <row r="481">
      <c r="E481" s="1" t="s">
        <v>2</v>
      </c>
      <c r="F481" s="1" t="s">
        <v>2</v>
      </c>
    </row>
    <row r="482">
      <c r="E482" s="1" t="s">
        <v>2</v>
      </c>
      <c r="F482" s="1" t="s">
        <v>2</v>
      </c>
    </row>
    <row r="483">
      <c r="E483" s="1" t="s">
        <v>2</v>
      </c>
      <c r="F483" s="1" t="s">
        <v>2</v>
      </c>
    </row>
    <row r="484">
      <c r="E484" s="1" t="s">
        <v>2</v>
      </c>
      <c r="F484" s="1" t="s">
        <v>2</v>
      </c>
    </row>
    <row r="485">
      <c r="E485" s="1" t="s">
        <v>2</v>
      </c>
      <c r="F485" s="1" t="s">
        <v>2</v>
      </c>
    </row>
    <row r="486">
      <c r="E486" s="1" t="s">
        <v>2</v>
      </c>
      <c r="F486" s="1" t="s">
        <v>2</v>
      </c>
    </row>
    <row r="487">
      <c r="E487" s="1" t="s">
        <v>2</v>
      </c>
      <c r="F487" s="1" t="s">
        <v>2</v>
      </c>
    </row>
    <row r="488">
      <c r="E488" s="1" t="s">
        <v>2</v>
      </c>
      <c r="F488" s="1" t="s">
        <v>2</v>
      </c>
    </row>
    <row r="489">
      <c r="E489" s="1" t="s">
        <v>2</v>
      </c>
      <c r="F489" s="1" t="s">
        <v>2</v>
      </c>
    </row>
    <row r="490">
      <c r="E490" s="1" t="s">
        <v>2</v>
      </c>
      <c r="F490" s="1" t="s">
        <v>2</v>
      </c>
    </row>
    <row r="491">
      <c r="E491" s="1" t="s">
        <v>2</v>
      </c>
      <c r="F491" s="1" t="s">
        <v>2</v>
      </c>
    </row>
    <row r="492">
      <c r="E492" s="1" t="s">
        <v>2</v>
      </c>
      <c r="F492" s="1" t="s">
        <v>2</v>
      </c>
    </row>
    <row r="493">
      <c r="E493" s="1" t="s">
        <v>2</v>
      </c>
      <c r="F493" s="1" t="s">
        <v>2</v>
      </c>
    </row>
    <row r="494">
      <c r="E494" s="1" t="s">
        <v>2</v>
      </c>
      <c r="F494" s="1" t="s">
        <v>2</v>
      </c>
    </row>
    <row r="495">
      <c r="E495" s="1" t="s">
        <v>2</v>
      </c>
      <c r="F495" s="1" t="s">
        <v>2</v>
      </c>
    </row>
    <row r="496">
      <c r="E496" s="1" t="s">
        <v>2</v>
      </c>
      <c r="F496" s="1" t="s">
        <v>2</v>
      </c>
    </row>
    <row r="497">
      <c r="E497" s="1" t="s">
        <v>2</v>
      </c>
      <c r="F497" s="1" t="s">
        <v>2</v>
      </c>
    </row>
    <row r="498">
      <c r="E498" s="1" t="s">
        <v>2</v>
      </c>
      <c r="F498" s="1" t="s">
        <v>2</v>
      </c>
    </row>
    <row r="499">
      <c r="E499" s="1" t="s">
        <v>2</v>
      </c>
      <c r="F499" s="1" t="s">
        <v>2</v>
      </c>
    </row>
    <row r="500">
      <c r="E500" s="1" t="s">
        <v>2</v>
      </c>
      <c r="F500" s="1" t="s">
        <v>2</v>
      </c>
    </row>
    <row r="501">
      <c r="E501" s="1" t="s">
        <v>2</v>
      </c>
      <c r="F501" s="1" t="s">
        <v>2</v>
      </c>
    </row>
    <row r="502">
      <c r="E502" s="1" t="s">
        <v>2</v>
      </c>
      <c r="F502" s="1" t="s">
        <v>2</v>
      </c>
    </row>
    <row r="503">
      <c r="E503" s="1" t="s">
        <v>2</v>
      </c>
      <c r="F503" s="1" t="s">
        <v>2</v>
      </c>
    </row>
    <row r="504">
      <c r="E504" s="1" t="s">
        <v>2</v>
      </c>
      <c r="F504" s="1" t="s">
        <v>2</v>
      </c>
    </row>
    <row r="505">
      <c r="E505" s="1" t="s">
        <v>2</v>
      </c>
      <c r="F505" s="1" t="s">
        <v>2</v>
      </c>
    </row>
    <row r="506">
      <c r="E506" s="1" t="s">
        <v>2</v>
      </c>
      <c r="F506" s="1" t="s">
        <v>2</v>
      </c>
    </row>
    <row r="507">
      <c r="E507" s="1" t="s">
        <v>2</v>
      </c>
      <c r="F507" s="1" t="s">
        <v>2</v>
      </c>
    </row>
    <row r="508">
      <c r="E508" s="1" t="s">
        <v>2</v>
      </c>
      <c r="F508" s="1" t="s">
        <v>2</v>
      </c>
    </row>
    <row r="509">
      <c r="E509" s="1" t="s">
        <v>2</v>
      </c>
      <c r="F509" s="1" t="s">
        <v>2</v>
      </c>
    </row>
    <row r="510">
      <c r="E510" s="1" t="s">
        <v>2</v>
      </c>
      <c r="F510" s="1" t="s">
        <v>2</v>
      </c>
    </row>
    <row r="511">
      <c r="E511" s="1" t="s">
        <v>2</v>
      </c>
      <c r="F511" s="1" t="s">
        <v>2</v>
      </c>
    </row>
    <row r="512">
      <c r="E512" s="1" t="s">
        <v>2</v>
      </c>
      <c r="F512" s="1" t="s">
        <v>2</v>
      </c>
    </row>
    <row r="513">
      <c r="E513" s="1" t="s">
        <v>2</v>
      </c>
      <c r="F513" s="1" t="s">
        <v>2</v>
      </c>
    </row>
    <row r="514">
      <c r="E514" s="1" t="s">
        <v>2</v>
      </c>
      <c r="F514" s="1" t="s">
        <v>2</v>
      </c>
    </row>
    <row r="515">
      <c r="E515" s="1" t="s">
        <v>2</v>
      </c>
      <c r="F515" s="1" t="s">
        <v>2</v>
      </c>
    </row>
    <row r="516">
      <c r="E516" s="1" t="s">
        <v>2</v>
      </c>
      <c r="F516" s="1" t="s">
        <v>2</v>
      </c>
    </row>
    <row r="517">
      <c r="E517" s="1" t="s">
        <v>2</v>
      </c>
      <c r="F517" s="1" t="s">
        <v>2</v>
      </c>
    </row>
    <row r="518">
      <c r="E518" s="1" t="s">
        <v>2</v>
      </c>
      <c r="F518" s="1" t="s">
        <v>2</v>
      </c>
    </row>
    <row r="519">
      <c r="E519" s="1" t="s">
        <v>2</v>
      </c>
      <c r="F519" s="1" t="s">
        <v>2</v>
      </c>
    </row>
    <row r="520">
      <c r="E520" s="1" t="s">
        <v>2</v>
      </c>
      <c r="F520" s="1" t="s">
        <v>2</v>
      </c>
    </row>
    <row r="521">
      <c r="E521" s="1" t="s">
        <v>2</v>
      </c>
      <c r="F521" s="1" t="s">
        <v>2</v>
      </c>
    </row>
    <row r="522">
      <c r="E522" s="1" t="s">
        <v>2</v>
      </c>
      <c r="F522" s="1" t="s">
        <v>2</v>
      </c>
    </row>
    <row r="523">
      <c r="E523" s="1" t="s">
        <v>2</v>
      </c>
      <c r="F523" s="1" t="s">
        <v>2</v>
      </c>
    </row>
    <row r="524">
      <c r="E524" s="1" t="s">
        <v>2</v>
      </c>
      <c r="F524" s="1" t="s">
        <v>2</v>
      </c>
    </row>
    <row r="525">
      <c r="E525" s="1" t="s">
        <v>2</v>
      </c>
      <c r="F525" s="1" t="s">
        <v>2</v>
      </c>
    </row>
    <row r="526">
      <c r="E526" s="1" t="s">
        <v>2</v>
      </c>
      <c r="F526" s="1" t="s">
        <v>2</v>
      </c>
    </row>
    <row r="527">
      <c r="E527" s="1" t="s">
        <v>2</v>
      </c>
      <c r="F527" s="1" t="s">
        <v>2</v>
      </c>
    </row>
    <row r="528">
      <c r="E528" s="1" t="s">
        <v>2</v>
      </c>
      <c r="F528" s="1" t="s">
        <v>2</v>
      </c>
    </row>
    <row r="529">
      <c r="E529" s="1" t="s">
        <v>2</v>
      </c>
      <c r="F529" s="1" t="s">
        <v>2</v>
      </c>
    </row>
    <row r="530">
      <c r="E530" s="1" t="s">
        <v>2</v>
      </c>
      <c r="F530" s="1" t="s">
        <v>2</v>
      </c>
    </row>
    <row r="531">
      <c r="E531" s="1" t="s">
        <v>2</v>
      </c>
      <c r="F531" s="1" t="s">
        <v>2</v>
      </c>
    </row>
    <row r="532">
      <c r="E532" s="1" t="s">
        <v>2</v>
      </c>
      <c r="F532" s="1" t="s">
        <v>2</v>
      </c>
    </row>
    <row r="533">
      <c r="E533" s="1" t="s">
        <v>2</v>
      </c>
      <c r="F533" s="1" t="s">
        <v>2</v>
      </c>
    </row>
    <row r="534">
      <c r="E534" s="1" t="s">
        <v>2</v>
      </c>
      <c r="F534" s="1" t="s">
        <v>2</v>
      </c>
    </row>
    <row r="535">
      <c r="E535" s="1" t="s">
        <v>2</v>
      </c>
      <c r="F535" s="1" t="s">
        <v>2</v>
      </c>
    </row>
    <row r="536">
      <c r="E536" s="1" t="s">
        <v>2</v>
      </c>
      <c r="F536" s="1" t="s">
        <v>2</v>
      </c>
    </row>
    <row r="537">
      <c r="E537" s="1" t="s">
        <v>2</v>
      </c>
      <c r="F537" s="1" t="s">
        <v>2</v>
      </c>
    </row>
    <row r="538">
      <c r="E538" s="1" t="s">
        <v>2</v>
      </c>
      <c r="F538" s="1" t="s">
        <v>2</v>
      </c>
    </row>
    <row r="539">
      <c r="E539" s="1" t="s">
        <v>2</v>
      </c>
      <c r="F539" s="1" t="s">
        <v>2</v>
      </c>
    </row>
    <row r="540">
      <c r="E540" s="1" t="s">
        <v>2</v>
      </c>
      <c r="F540" s="1" t="s">
        <v>2</v>
      </c>
    </row>
    <row r="541">
      <c r="E541" s="1" t="s">
        <v>2</v>
      </c>
      <c r="F541" s="1" t="s">
        <v>2</v>
      </c>
    </row>
    <row r="542">
      <c r="E542" s="1" t="s">
        <v>2</v>
      </c>
      <c r="F542" s="1" t="s">
        <v>2</v>
      </c>
    </row>
    <row r="543">
      <c r="E543" s="1" t="s">
        <v>2</v>
      </c>
      <c r="F543" s="1" t="s">
        <v>2</v>
      </c>
    </row>
    <row r="544">
      <c r="E544" s="1" t="s">
        <v>2</v>
      </c>
      <c r="F544" s="1" t="s">
        <v>2</v>
      </c>
    </row>
    <row r="545">
      <c r="E545" s="1" t="s">
        <v>2</v>
      </c>
      <c r="F545" s="1" t="s">
        <v>2</v>
      </c>
    </row>
    <row r="546">
      <c r="E546" s="1" t="s">
        <v>2</v>
      </c>
      <c r="F546" s="1" t="s">
        <v>2</v>
      </c>
    </row>
    <row r="547">
      <c r="E547" s="1" t="s">
        <v>2</v>
      </c>
      <c r="F547" s="1" t="s">
        <v>2</v>
      </c>
    </row>
    <row r="548">
      <c r="E548" s="1" t="s">
        <v>2</v>
      </c>
      <c r="F548" s="1" t="s">
        <v>2</v>
      </c>
    </row>
    <row r="549">
      <c r="E549" s="1" t="s">
        <v>2</v>
      </c>
      <c r="F549" s="1" t="s">
        <v>2</v>
      </c>
    </row>
    <row r="550">
      <c r="E550" s="1" t="s">
        <v>2</v>
      </c>
      <c r="F550" s="1" t="s">
        <v>2</v>
      </c>
    </row>
    <row r="551">
      <c r="E551" s="1" t="s">
        <v>2</v>
      </c>
      <c r="F551" s="1" t="s">
        <v>2</v>
      </c>
    </row>
    <row r="552">
      <c r="E552" s="1" t="s">
        <v>2</v>
      </c>
      <c r="F552" s="1" t="s">
        <v>2</v>
      </c>
    </row>
    <row r="553">
      <c r="E553" s="1" t="s">
        <v>2</v>
      </c>
      <c r="F553" s="1" t="s">
        <v>2</v>
      </c>
    </row>
    <row r="554">
      <c r="E554" s="1" t="s">
        <v>2</v>
      </c>
      <c r="F554" s="1" t="s">
        <v>2</v>
      </c>
    </row>
    <row r="555">
      <c r="E555" s="1" t="s">
        <v>2</v>
      </c>
      <c r="F555" s="1" t="s">
        <v>2</v>
      </c>
    </row>
    <row r="556">
      <c r="E556" s="1" t="s">
        <v>2</v>
      </c>
      <c r="F556" s="1" t="s">
        <v>2</v>
      </c>
    </row>
    <row r="557">
      <c r="E557" s="1" t="s">
        <v>2</v>
      </c>
      <c r="F557" s="1" t="s">
        <v>2</v>
      </c>
    </row>
    <row r="558">
      <c r="E558" s="1" t="s">
        <v>2</v>
      </c>
      <c r="F558" s="1" t="s">
        <v>2</v>
      </c>
    </row>
    <row r="559">
      <c r="E559" s="1" t="s">
        <v>2</v>
      </c>
      <c r="F559" s="1" t="s">
        <v>2</v>
      </c>
    </row>
    <row r="560">
      <c r="E560" s="1" t="s">
        <v>2</v>
      </c>
      <c r="F560" s="1" t="s">
        <v>2</v>
      </c>
    </row>
    <row r="561">
      <c r="E561" s="1" t="s">
        <v>2</v>
      </c>
      <c r="F561" s="1" t="s">
        <v>2</v>
      </c>
    </row>
    <row r="562">
      <c r="E562" s="1" t="s">
        <v>2</v>
      </c>
      <c r="F562" s="1" t="s">
        <v>2</v>
      </c>
    </row>
    <row r="563">
      <c r="E563" s="1" t="s">
        <v>2</v>
      </c>
      <c r="F563" s="1" t="s">
        <v>2</v>
      </c>
    </row>
    <row r="564">
      <c r="E564" s="1" t="s">
        <v>2</v>
      </c>
      <c r="F564" s="1" t="s">
        <v>2</v>
      </c>
    </row>
    <row r="565">
      <c r="E565" s="1" t="s">
        <v>2</v>
      </c>
      <c r="F565" s="1" t="s">
        <v>2</v>
      </c>
    </row>
    <row r="566">
      <c r="E566" s="1" t="s">
        <v>2</v>
      </c>
      <c r="F566" s="1" t="s">
        <v>2</v>
      </c>
    </row>
    <row r="567">
      <c r="E567" s="1" t="s">
        <v>2</v>
      </c>
      <c r="F567" s="1" t="s">
        <v>2</v>
      </c>
    </row>
    <row r="568">
      <c r="E568" s="1" t="s">
        <v>2</v>
      </c>
      <c r="F568" s="1" t="s">
        <v>2</v>
      </c>
    </row>
    <row r="569">
      <c r="E569" s="1" t="s">
        <v>2</v>
      </c>
      <c r="F569" s="1" t="s">
        <v>2</v>
      </c>
    </row>
    <row r="570">
      <c r="E570" s="1" t="s">
        <v>2</v>
      </c>
      <c r="F570" s="1" t="s">
        <v>2</v>
      </c>
    </row>
    <row r="571">
      <c r="E571" s="1" t="s">
        <v>2</v>
      </c>
      <c r="F571" s="1" t="s">
        <v>2</v>
      </c>
    </row>
    <row r="572">
      <c r="E572" s="1" t="s">
        <v>2</v>
      </c>
      <c r="F572" s="1" t="s">
        <v>2</v>
      </c>
    </row>
    <row r="573">
      <c r="E573" s="1" t="s">
        <v>2</v>
      </c>
      <c r="F573" s="1" t="s">
        <v>2</v>
      </c>
    </row>
    <row r="574">
      <c r="E574" s="1" t="s">
        <v>2</v>
      </c>
      <c r="F574" s="1" t="s">
        <v>2</v>
      </c>
    </row>
    <row r="575">
      <c r="E575" s="1" t="s">
        <v>2</v>
      </c>
      <c r="F575" s="1" t="s">
        <v>2</v>
      </c>
    </row>
    <row r="576">
      <c r="E576" s="1" t="s">
        <v>2</v>
      </c>
      <c r="F576" s="1" t="s">
        <v>2</v>
      </c>
    </row>
    <row r="577">
      <c r="E577" s="1" t="s">
        <v>2</v>
      </c>
      <c r="F577" s="1" t="s">
        <v>2</v>
      </c>
    </row>
    <row r="578">
      <c r="E578" s="1" t="s">
        <v>2</v>
      </c>
      <c r="F578" s="1" t="s">
        <v>2</v>
      </c>
    </row>
    <row r="579">
      <c r="E579" s="1" t="s">
        <v>2</v>
      </c>
      <c r="F579" s="1" t="s">
        <v>2</v>
      </c>
    </row>
    <row r="580">
      <c r="E580" s="1" t="s">
        <v>2</v>
      </c>
      <c r="F580" s="1" t="s">
        <v>2</v>
      </c>
    </row>
    <row r="581">
      <c r="E581" s="1" t="s">
        <v>2</v>
      </c>
      <c r="F581" s="1" t="s">
        <v>2</v>
      </c>
    </row>
    <row r="582">
      <c r="E582" s="1" t="s">
        <v>2</v>
      </c>
      <c r="F582" s="1" t="s">
        <v>2</v>
      </c>
    </row>
    <row r="583">
      <c r="E583" s="1" t="s">
        <v>2</v>
      </c>
      <c r="F583" s="1" t="s">
        <v>2</v>
      </c>
    </row>
    <row r="584">
      <c r="E584" s="1" t="s">
        <v>2</v>
      </c>
      <c r="F584" s="1" t="s">
        <v>2</v>
      </c>
    </row>
    <row r="585">
      <c r="E585" s="1" t="s">
        <v>2</v>
      </c>
      <c r="F585" s="1" t="s">
        <v>2</v>
      </c>
    </row>
    <row r="586">
      <c r="E586" s="1" t="s">
        <v>2</v>
      </c>
      <c r="F586" s="1" t="s">
        <v>2</v>
      </c>
    </row>
    <row r="587">
      <c r="E587" s="1" t="s">
        <v>2</v>
      </c>
      <c r="F587" s="1" t="s">
        <v>2</v>
      </c>
    </row>
    <row r="588">
      <c r="E588" s="1" t="s">
        <v>2</v>
      </c>
      <c r="F588" s="1" t="s">
        <v>2</v>
      </c>
    </row>
    <row r="589">
      <c r="E589" s="1" t="s">
        <v>2</v>
      </c>
      <c r="F589" s="1" t="s">
        <v>2</v>
      </c>
    </row>
    <row r="590">
      <c r="E590" s="1" t="s">
        <v>2</v>
      </c>
      <c r="F590" s="1" t="s">
        <v>2</v>
      </c>
    </row>
    <row r="591">
      <c r="E591" s="1" t="s">
        <v>2</v>
      </c>
      <c r="F591" s="1" t="s">
        <v>2</v>
      </c>
    </row>
    <row r="592">
      <c r="E592" s="1" t="s">
        <v>2</v>
      </c>
      <c r="F592" s="1" t="s">
        <v>2</v>
      </c>
    </row>
    <row r="593">
      <c r="E593" s="1" t="s">
        <v>2</v>
      </c>
      <c r="F593" s="1" t="s">
        <v>2</v>
      </c>
    </row>
    <row r="594">
      <c r="E594" s="1" t="s">
        <v>2</v>
      </c>
      <c r="F594" s="1" t="s">
        <v>2</v>
      </c>
    </row>
    <row r="595">
      <c r="E595" s="1" t="s">
        <v>2</v>
      </c>
      <c r="F595" s="1" t="s">
        <v>2</v>
      </c>
    </row>
    <row r="596">
      <c r="E596" s="1" t="s">
        <v>2</v>
      </c>
      <c r="F596" s="1" t="s">
        <v>2</v>
      </c>
    </row>
    <row r="597">
      <c r="E597" s="1" t="s">
        <v>2</v>
      </c>
      <c r="F597" s="1" t="s">
        <v>2</v>
      </c>
    </row>
    <row r="598">
      <c r="E598" s="1" t="s">
        <v>2</v>
      </c>
      <c r="F598" s="1" t="s">
        <v>2</v>
      </c>
    </row>
    <row r="599">
      <c r="E599" s="1" t="s">
        <v>2</v>
      </c>
      <c r="F599" s="1" t="s">
        <v>2</v>
      </c>
    </row>
    <row r="600">
      <c r="E600" s="1" t="s">
        <v>2</v>
      </c>
      <c r="F600" s="1" t="s">
        <v>2</v>
      </c>
    </row>
    <row r="601">
      <c r="E601" s="1" t="s">
        <v>2</v>
      </c>
      <c r="F601" s="1" t="s">
        <v>2</v>
      </c>
    </row>
    <row r="602">
      <c r="E602" s="1" t="s">
        <v>2</v>
      </c>
      <c r="F602" s="1" t="s">
        <v>2</v>
      </c>
    </row>
    <row r="603">
      <c r="E603" s="1" t="s">
        <v>2</v>
      </c>
      <c r="F603" s="1" t="s">
        <v>2</v>
      </c>
    </row>
    <row r="604">
      <c r="E604" s="1" t="s">
        <v>2</v>
      </c>
      <c r="F604" s="1" t="s">
        <v>2</v>
      </c>
    </row>
    <row r="605">
      <c r="E605" s="1" t="s">
        <v>2</v>
      </c>
      <c r="F605" s="1" t="s">
        <v>2</v>
      </c>
    </row>
    <row r="606">
      <c r="E606" s="1" t="s">
        <v>2</v>
      </c>
      <c r="F606" s="1" t="s">
        <v>2</v>
      </c>
    </row>
    <row r="607">
      <c r="E607" s="1" t="s">
        <v>2</v>
      </c>
      <c r="F607" s="1" t="s">
        <v>2</v>
      </c>
    </row>
    <row r="608">
      <c r="E608" s="1" t="s">
        <v>2</v>
      </c>
      <c r="F608" s="1" t="s">
        <v>2</v>
      </c>
    </row>
    <row r="609">
      <c r="E609" s="1" t="s">
        <v>2</v>
      </c>
      <c r="F609" s="1" t="s">
        <v>2</v>
      </c>
    </row>
    <row r="610">
      <c r="E610" s="1" t="s">
        <v>2</v>
      </c>
      <c r="F610" s="1" t="s">
        <v>2</v>
      </c>
    </row>
    <row r="611">
      <c r="E611" s="1" t="s">
        <v>2</v>
      </c>
      <c r="F611" s="1" t="s">
        <v>2</v>
      </c>
    </row>
    <row r="612">
      <c r="E612" s="1" t="s">
        <v>2</v>
      </c>
      <c r="F612" s="1" t="s">
        <v>2</v>
      </c>
    </row>
    <row r="613">
      <c r="E613" s="1" t="s">
        <v>2</v>
      </c>
      <c r="F613" s="1" t="s">
        <v>2</v>
      </c>
    </row>
    <row r="614">
      <c r="E614" s="1" t="s">
        <v>2</v>
      </c>
      <c r="F614" s="1" t="s">
        <v>2</v>
      </c>
    </row>
    <row r="615">
      <c r="E615" s="1" t="s">
        <v>2</v>
      </c>
      <c r="F615" s="1" t="s">
        <v>2</v>
      </c>
    </row>
    <row r="616">
      <c r="E616" s="1" t="s">
        <v>2</v>
      </c>
      <c r="F616" s="1" t="s">
        <v>2</v>
      </c>
    </row>
    <row r="617">
      <c r="E617" s="1" t="s">
        <v>2</v>
      </c>
      <c r="F617" s="1" t="s">
        <v>2</v>
      </c>
    </row>
    <row r="618">
      <c r="E618" s="1" t="s">
        <v>2</v>
      </c>
      <c r="F618" s="1" t="s">
        <v>2</v>
      </c>
    </row>
    <row r="619">
      <c r="E619" s="1" t="s">
        <v>2</v>
      </c>
      <c r="F619" s="1" t="s">
        <v>2</v>
      </c>
    </row>
    <row r="620">
      <c r="E620" s="1" t="s">
        <v>2</v>
      </c>
      <c r="F620" s="1" t="s">
        <v>2</v>
      </c>
    </row>
    <row r="621">
      <c r="E621" s="1" t="s">
        <v>2</v>
      </c>
      <c r="F621" s="1" t="s">
        <v>2</v>
      </c>
    </row>
    <row r="622">
      <c r="E622" s="1" t="s">
        <v>2</v>
      </c>
      <c r="F622" s="1" t="s">
        <v>2</v>
      </c>
    </row>
    <row r="623">
      <c r="E623" s="1" t="s">
        <v>2</v>
      </c>
      <c r="F623" s="1" t="s">
        <v>2</v>
      </c>
    </row>
    <row r="624">
      <c r="E624" s="1" t="s">
        <v>2</v>
      </c>
      <c r="F624" s="1" t="s">
        <v>2</v>
      </c>
    </row>
    <row r="625">
      <c r="E625" s="1" t="s">
        <v>2</v>
      </c>
      <c r="F625" s="1" t="s">
        <v>2</v>
      </c>
    </row>
    <row r="626">
      <c r="E626" s="1" t="s">
        <v>2</v>
      </c>
      <c r="F626" s="1" t="s">
        <v>2</v>
      </c>
    </row>
    <row r="627">
      <c r="E627" s="1" t="s">
        <v>2</v>
      </c>
      <c r="F627" s="1" t="s">
        <v>2</v>
      </c>
    </row>
    <row r="628">
      <c r="E628" s="1" t="s">
        <v>2</v>
      </c>
      <c r="F628" s="1" t="s">
        <v>2</v>
      </c>
    </row>
    <row r="629">
      <c r="E629" s="1" t="s">
        <v>2</v>
      </c>
      <c r="F629" s="1" t="s">
        <v>2</v>
      </c>
    </row>
    <row r="630">
      <c r="E630" s="1" t="s">
        <v>2</v>
      </c>
      <c r="F630" s="1" t="s">
        <v>2</v>
      </c>
    </row>
    <row r="631">
      <c r="E631" s="1" t="s">
        <v>2</v>
      </c>
      <c r="F631" s="1" t="s">
        <v>2</v>
      </c>
    </row>
    <row r="632">
      <c r="E632" s="1" t="s">
        <v>2</v>
      </c>
      <c r="F632" s="1" t="s">
        <v>2</v>
      </c>
    </row>
    <row r="633">
      <c r="E633" s="1" t="s">
        <v>2</v>
      </c>
      <c r="F633" s="1" t="s">
        <v>2</v>
      </c>
    </row>
    <row r="634">
      <c r="E634" s="1" t="s">
        <v>2</v>
      </c>
      <c r="F634" s="1" t="s">
        <v>2</v>
      </c>
    </row>
    <row r="635">
      <c r="E635" s="1" t="s">
        <v>2</v>
      </c>
      <c r="F635" s="1" t="s">
        <v>2</v>
      </c>
    </row>
    <row r="636">
      <c r="E636" s="1" t="s">
        <v>2</v>
      </c>
      <c r="F636" s="1" t="s">
        <v>2</v>
      </c>
    </row>
    <row r="637">
      <c r="E637" s="1" t="s">
        <v>2</v>
      </c>
      <c r="F637" s="1" t="s">
        <v>2</v>
      </c>
    </row>
    <row r="638">
      <c r="E638" s="1" t="s">
        <v>2</v>
      </c>
      <c r="F638" s="1" t="s">
        <v>2</v>
      </c>
    </row>
    <row r="639">
      <c r="E639" s="1" t="s">
        <v>2</v>
      </c>
      <c r="F639" s="1" t="s">
        <v>2</v>
      </c>
    </row>
    <row r="640">
      <c r="E640" s="1" t="s">
        <v>2</v>
      </c>
      <c r="F640" s="1" t="s">
        <v>2</v>
      </c>
    </row>
    <row r="641">
      <c r="E641" s="1" t="s">
        <v>2</v>
      </c>
      <c r="F641" s="1" t="s">
        <v>2</v>
      </c>
    </row>
    <row r="642">
      <c r="E642" s="1" t="s">
        <v>2</v>
      </c>
      <c r="F642" s="1" t="s">
        <v>2</v>
      </c>
    </row>
    <row r="643">
      <c r="E643" s="1" t="s">
        <v>2</v>
      </c>
      <c r="F643" s="1" t="s">
        <v>2</v>
      </c>
    </row>
    <row r="644">
      <c r="E644" s="1" t="s">
        <v>2</v>
      </c>
      <c r="F644" s="1" t="s">
        <v>2</v>
      </c>
    </row>
    <row r="645">
      <c r="E645" s="1" t="s">
        <v>2</v>
      </c>
      <c r="F645" s="1" t="s">
        <v>2</v>
      </c>
    </row>
    <row r="646">
      <c r="E646" s="1" t="s">
        <v>2</v>
      </c>
      <c r="F646" s="1" t="s">
        <v>2</v>
      </c>
    </row>
    <row r="647">
      <c r="E647" s="1" t="s">
        <v>2</v>
      </c>
      <c r="F647" s="1" t="s">
        <v>2</v>
      </c>
    </row>
    <row r="648">
      <c r="E648" s="1" t="s">
        <v>2</v>
      </c>
      <c r="F648" s="1" t="s">
        <v>2</v>
      </c>
    </row>
    <row r="649">
      <c r="E649" s="1" t="s">
        <v>2</v>
      </c>
      <c r="F649" s="1" t="s">
        <v>2</v>
      </c>
    </row>
    <row r="650">
      <c r="E650" s="1" t="s">
        <v>2</v>
      </c>
      <c r="F650" s="1" t="s">
        <v>2</v>
      </c>
    </row>
    <row r="651">
      <c r="E651" s="1" t="s">
        <v>2</v>
      </c>
      <c r="F651" s="1" t="s">
        <v>2</v>
      </c>
    </row>
    <row r="652">
      <c r="E652" s="1" t="s">
        <v>2</v>
      </c>
      <c r="F652" s="1" t="s">
        <v>2</v>
      </c>
    </row>
    <row r="653">
      <c r="E653" s="1" t="s">
        <v>2</v>
      </c>
      <c r="F653" s="1" t="s">
        <v>2</v>
      </c>
    </row>
    <row r="654">
      <c r="E654" s="1" t="s">
        <v>2</v>
      </c>
      <c r="F654" s="1" t="s">
        <v>2</v>
      </c>
    </row>
    <row r="655">
      <c r="E655" s="1" t="s">
        <v>2</v>
      </c>
      <c r="F655" s="1" t="s">
        <v>2</v>
      </c>
    </row>
    <row r="656">
      <c r="E656" s="1" t="s">
        <v>2</v>
      </c>
      <c r="F656" s="1" t="s">
        <v>2</v>
      </c>
    </row>
    <row r="657">
      <c r="E657" s="1" t="s">
        <v>2</v>
      </c>
      <c r="F657" s="1" t="s">
        <v>2</v>
      </c>
    </row>
    <row r="658">
      <c r="E658" s="1" t="s">
        <v>2</v>
      </c>
      <c r="F658" s="1" t="s">
        <v>2</v>
      </c>
    </row>
    <row r="659">
      <c r="E659" s="1" t="s">
        <v>2</v>
      </c>
      <c r="F659" s="1" t="s">
        <v>2</v>
      </c>
    </row>
    <row r="660">
      <c r="E660" s="1" t="s">
        <v>2</v>
      </c>
      <c r="F660" s="1" t="s">
        <v>2</v>
      </c>
    </row>
    <row r="661">
      <c r="E661" s="1" t="s">
        <v>2</v>
      </c>
      <c r="F661" s="1" t="s">
        <v>2</v>
      </c>
    </row>
    <row r="662">
      <c r="E662" s="1" t="s">
        <v>2</v>
      </c>
      <c r="F662" s="1" t="s">
        <v>2</v>
      </c>
    </row>
    <row r="663">
      <c r="E663" s="1" t="s">
        <v>2</v>
      </c>
      <c r="F663" s="1" t="s">
        <v>2</v>
      </c>
    </row>
    <row r="664">
      <c r="E664" s="1" t="s">
        <v>2</v>
      </c>
      <c r="F664" s="1" t="s">
        <v>2</v>
      </c>
    </row>
    <row r="665">
      <c r="E665" s="1" t="s">
        <v>2</v>
      </c>
      <c r="F665" s="1" t="s">
        <v>2</v>
      </c>
    </row>
    <row r="666">
      <c r="E666" s="1" t="s">
        <v>2</v>
      </c>
      <c r="F666" s="1" t="s">
        <v>2</v>
      </c>
    </row>
    <row r="667">
      <c r="E667" s="1" t="s">
        <v>2</v>
      </c>
      <c r="F667" s="1" t="s">
        <v>2</v>
      </c>
    </row>
    <row r="668">
      <c r="E668" s="1" t="s">
        <v>2</v>
      </c>
      <c r="F668" s="1" t="s">
        <v>2</v>
      </c>
    </row>
    <row r="669">
      <c r="E669" s="1" t="s">
        <v>2</v>
      </c>
      <c r="F669" s="1" t="s">
        <v>2</v>
      </c>
    </row>
    <row r="670">
      <c r="E670" s="1" t="s">
        <v>2</v>
      </c>
      <c r="F670" s="1" t="s">
        <v>2</v>
      </c>
    </row>
    <row r="671">
      <c r="E671" s="1" t="s">
        <v>2</v>
      </c>
      <c r="F671" s="1" t="s">
        <v>2</v>
      </c>
    </row>
    <row r="672">
      <c r="E672" s="1" t="s">
        <v>2</v>
      </c>
      <c r="F672" s="1" t="s">
        <v>2</v>
      </c>
    </row>
    <row r="673">
      <c r="E673" s="1" t="s">
        <v>2</v>
      </c>
      <c r="F673" s="1" t="s">
        <v>2</v>
      </c>
    </row>
    <row r="674">
      <c r="E674" s="1" t="s">
        <v>2</v>
      </c>
      <c r="F674" s="1" t="s">
        <v>2</v>
      </c>
    </row>
    <row r="675">
      <c r="E675" s="1" t="s">
        <v>2</v>
      </c>
      <c r="F675" s="1" t="s">
        <v>2</v>
      </c>
    </row>
    <row r="676">
      <c r="E676" s="1" t="s">
        <v>2</v>
      </c>
      <c r="F676" s="1" t="s">
        <v>2</v>
      </c>
    </row>
    <row r="677">
      <c r="E677" s="1" t="s">
        <v>2</v>
      </c>
      <c r="F677" s="1" t="s">
        <v>2</v>
      </c>
    </row>
    <row r="678">
      <c r="E678" s="1" t="s">
        <v>2</v>
      </c>
      <c r="F678" s="1" t="s">
        <v>2</v>
      </c>
    </row>
    <row r="679">
      <c r="E679" s="1" t="s">
        <v>2</v>
      </c>
      <c r="F679" s="1" t="s">
        <v>2</v>
      </c>
    </row>
    <row r="680">
      <c r="E680" s="1" t="s">
        <v>2</v>
      </c>
      <c r="F680" s="1" t="s">
        <v>2</v>
      </c>
    </row>
    <row r="681">
      <c r="E681" s="1" t="s">
        <v>2</v>
      </c>
      <c r="F681" s="1" t="s">
        <v>2</v>
      </c>
    </row>
    <row r="682">
      <c r="E682" s="1" t="s">
        <v>2</v>
      </c>
      <c r="F682" s="1" t="s">
        <v>2</v>
      </c>
    </row>
    <row r="683">
      <c r="E683" s="1" t="s">
        <v>2</v>
      </c>
      <c r="F683" s="1" t="s">
        <v>2</v>
      </c>
    </row>
    <row r="684">
      <c r="E684" s="1" t="s">
        <v>2</v>
      </c>
      <c r="F684" s="1" t="s">
        <v>2</v>
      </c>
    </row>
    <row r="685">
      <c r="E685" s="1" t="s">
        <v>2</v>
      </c>
      <c r="F685" s="1" t="s">
        <v>2</v>
      </c>
    </row>
    <row r="686">
      <c r="E686" s="1" t="s">
        <v>2</v>
      </c>
      <c r="F686" s="1" t="s">
        <v>2</v>
      </c>
    </row>
    <row r="687">
      <c r="E687" s="1" t="s">
        <v>2</v>
      </c>
      <c r="F687" s="1" t="s">
        <v>2</v>
      </c>
    </row>
    <row r="688">
      <c r="E688" s="1" t="s">
        <v>2</v>
      </c>
      <c r="F688" s="1" t="s">
        <v>2</v>
      </c>
    </row>
    <row r="689">
      <c r="E689" s="1" t="s">
        <v>2</v>
      </c>
      <c r="F689" s="1" t="s">
        <v>2</v>
      </c>
    </row>
    <row r="690">
      <c r="E690" s="1" t="s">
        <v>2</v>
      </c>
      <c r="F690" s="1" t="s">
        <v>2</v>
      </c>
    </row>
    <row r="691">
      <c r="E691" s="1" t="s">
        <v>2</v>
      </c>
      <c r="F691" s="1" t="s">
        <v>2</v>
      </c>
    </row>
    <row r="692">
      <c r="E692" s="1" t="s">
        <v>2</v>
      </c>
      <c r="F692" s="1" t="s">
        <v>2</v>
      </c>
    </row>
    <row r="693">
      <c r="E693" s="1" t="s">
        <v>2</v>
      </c>
      <c r="F693" s="1" t="s">
        <v>2</v>
      </c>
    </row>
    <row r="694">
      <c r="E694" s="1" t="s">
        <v>2</v>
      </c>
      <c r="F694" s="1" t="s">
        <v>2</v>
      </c>
    </row>
    <row r="695">
      <c r="E695" s="1" t="s">
        <v>2</v>
      </c>
      <c r="F695" s="1" t="s">
        <v>2</v>
      </c>
    </row>
    <row r="696">
      <c r="E696" s="1" t="s">
        <v>2</v>
      </c>
      <c r="F696" s="1" t="s">
        <v>2</v>
      </c>
    </row>
    <row r="697">
      <c r="E697" s="1" t="s">
        <v>2</v>
      </c>
      <c r="F697" s="1" t="s">
        <v>2</v>
      </c>
    </row>
    <row r="698">
      <c r="E698" s="1" t="s">
        <v>2</v>
      </c>
      <c r="F698" s="1" t="s">
        <v>2</v>
      </c>
    </row>
    <row r="699">
      <c r="E699" s="1" t="s">
        <v>2</v>
      </c>
      <c r="F699" s="1" t="s">
        <v>2</v>
      </c>
    </row>
    <row r="700">
      <c r="E700" s="1" t="s">
        <v>2</v>
      </c>
      <c r="F700" s="1" t="s">
        <v>2</v>
      </c>
    </row>
    <row r="701">
      <c r="E701" s="1" t="s">
        <v>2</v>
      </c>
      <c r="F701" s="1" t="s">
        <v>2</v>
      </c>
    </row>
    <row r="702">
      <c r="E702" s="1" t="s">
        <v>2</v>
      </c>
      <c r="F702" s="1" t="s">
        <v>2</v>
      </c>
    </row>
    <row r="703">
      <c r="E703" s="1" t="s">
        <v>2</v>
      </c>
      <c r="F703" s="1" t="s">
        <v>2</v>
      </c>
    </row>
    <row r="704">
      <c r="E704" s="1" t="s">
        <v>2</v>
      </c>
      <c r="F704" s="1" t="s">
        <v>2</v>
      </c>
    </row>
    <row r="705">
      <c r="E705" s="1" t="s">
        <v>2</v>
      </c>
      <c r="F705" s="1" t="s">
        <v>2</v>
      </c>
    </row>
    <row r="706">
      <c r="E706" s="1" t="s">
        <v>2</v>
      </c>
      <c r="F706" s="1" t="s">
        <v>2</v>
      </c>
    </row>
    <row r="707">
      <c r="E707" s="1" t="s">
        <v>2</v>
      </c>
      <c r="F707" s="1" t="s">
        <v>2</v>
      </c>
    </row>
    <row r="708">
      <c r="E708" s="1" t="s">
        <v>2</v>
      </c>
      <c r="F708" s="1" t="s">
        <v>2</v>
      </c>
    </row>
    <row r="709">
      <c r="E709" s="1" t="s">
        <v>2</v>
      </c>
      <c r="F709" s="1" t="s">
        <v>2</v>
      </c>
    </row>
    <row r="710">
      <c r="E710" s="1" t="s">
        <v>2</v>
      </c>
      <c r="F710" s="1" t="s">
        <v>2</v>
      </c>
    </row>
    <row r="711">
      <c r="E711" s="1" t="s">
        <v>2</v>
      </c>
      <c r="F711" s="1" t="s">
        <v>2</v>
      </c>
    </row>
    <row r="712">
      <c r="E712" s="1" t="s">
        <v>2</v>
      </c>
      <c r="F712" s="1" t="s">
        <v>2</v>
      </c>
    </row>
    <row r="713">
      <c r="E713" s="1" t="s">
        <v>2</v>
      </c>
      <c r="F713" s="1" t="s">
        <v>2</v>
      </c>
    </row>
    <row r="714">
      <c r="E714" s="1" t="s">
        <v>2</v>
      </c>
      <c r="F714" s="1" t="s">
        <v>2</v>
      </c>
    </row>
    <row r="715">
      <c r="E715" s="1" t="s">
        <v>2</v>
      </c>
      <c r="F715" s="1" t="s">
        <v>2</v>
      </c>
    </row>
    <row r="716">
      <c r="E716" s="1" t="s">
        <v>2</v>
      </c>
      <c r="F716" s="1" t="s">
        <v>2</v>
      </c>
    </row>
    <row r="717">
      <c r="E717" s="1" t="s">
        <v>2</v>
      </c>
      <c r="F717" s="1" t="s">
        <v>2</v>
      </c>
    </row>
    <row r="718">
      <c r="E718" s="1" t="s">
        <v>2</v>
      </c>
      <c r="F718" s="1" t="s">
        <v>2</v>
      </c>
    </row>
    <row r="719">
      <c r="E719" s="1" t="s">
        <v>2</v>
      </c>
      <c r="F719" s="1" t="s">
        <v>2</v>
      </c>
    </row>
    <row r="720">
      <c r="E720" s="1" t="s">
        <v>2</v>
      </c>
      <c r="F720" s="1" t="s">
        <v>2</v>
      </c>
    </row>
    <row r="721">
      <c r="E721" s="1" t="s">
        <v>2</v>
      </c>
      <c r="F721" s="1" t="s">
        <v>2</v>
      </c>
    </row>
    <row r="722">
      <c r="E722" s="1" t="s">
        <v>2</v>
      </c>
      <c r="F722" s="1" t="s">
        <v>2</v>
      </c>
    </row>
    <row r="723">
      <c r="E723" s="1" t="s">
        <v>2</v>
      </c>
      <c r="F723" s="1" t="s">
        <v>2</v>
      </c>
    </row>
    <row r="724">
      <c r="E724" s="1" t="s">
        <v>2</v>
      </c>
      <c r="F724" s="1" t="s">
        <v>2</v>
      </c>
    </row>
    <row r="725">
      <c r="E725" s="1" t="s">
        <v>2</v>
      </c>
      <c r="F725" s="1" t="s">
        <v>2</v>
      </c>
    </row>
    <row r="726">
      <c r="E726" s="1" t="s">
        <v>2</v>
      </c>
      <c r="F726" s="1" t="s">
        <v>2</v>
      </c>
    </row>
    <row r="727">
      <c r="E727" s="1" t="s">
        <v>2</v>
      </c>
      <c r="F727" s="1" t="s">
        <v>2</v>
      </c>
    </row>
    <row r="728">
      <c r="E728" s="1" t="s">
        <v>2</v>
      </c>
      <c r="F728" s="1" t="s">
        <v>2</v>
      </c>
    </row>
    <row r="729">
      <c r="E729" s="1" t="s">
        <v>2</v>
      </c>
      <c r="F729" s="1" t="s">
        <v>2</v>
      </c>
    </row>
    <row r="730">
      <c r="E730" s="1" t="s">
        <v>2</v>
      </c>
      <c r="F730" s="1" t="s">
        <v>2</v>
      </c>
    </row>
    <row r="731">
      <c r="E731" s="1" t="s">
        <v>2</v>
      </c>
      <c r="F731" s="1" t="s">
        <v>2</v>
      </c>
    </row>
    <row r="732">
      <c r="E732" s="1" t="s">
        <v>2</v>
      </c>
      <c r="F732" s="1" t="s">
        <v>2</v>
      </c>
    </row>
    <row r="733">
      <c r="E733" s="1" t="s">
        <v>2</v>
      </c>
      <c r="F733" s="1" t="s">
        <v>2</v>
      </c>
    </row>
    <row r="734">
      <c r="E734" s="1" t="s">
        <v>2</v>
      </c>
      <c r="F734" s="1" t="s">
        <v>2</v>
      </c>
    </row>
    <row r="735">
      <c r="E735" s="1" t="s">
        <v>2</v>
      </c>
      <c r="F735" s="1" t="s">
        <v>2</v>
      </c>
    </row>
    <row r="736">
      <c r="E736" s="1" t="s">
        <v>2</v>
      </c>
      <c r="F736" s="1" t="s">
        <v>2</v>
      </c>
    </row>
    <row r="737">
      <c r="E737" s="1" t="s">
        <v>2</v>
      </c>
      <c r="F737" s="1" t="s">
        <v>2</v>
      </c>
    </row>
    <row r="738">
      <c r="E738" s="1" t="s">
        <v>2</v>
      </c>
      <c r="F738" s="1" t="s">
        <v>2</v>
      </c>
    </row>
    <row r="739">
      <c r="E739" s="1" t="s">
        <v>2</v>
      </c>
      <c r="F739" s="1" t="s">
        <v>2</v>
      </c>
    </row>
    <row r="740">
      <c r="E740" s="1" t="s">
        <v>2</v>
      </c>
      <c r="F740" s="1" t="s">
        <v>2</v>
      </c>
    </row>
    <row r="741">
      <c r="E741" s="1" t="s">
        <v>2</v>
      </c>
      <c r="F741" s="1" t="s">
        <v>2</v>
      </c>
    </row>
    <row r="742">
      <c r="E742" s="1" t="s">
        <v>2</v>
      </c>
      <c r="F742" s="1" t="s">
        <v>2</v>
      </c>
    </row>
    <row r="743">
      <c r="E743" s="1" t="s">
        <v>2</v>
      </c>
      <c r="F743" s="1" t="s">
        <v>2</v>
      </c>
    </row>
    <row r="744">
      <c r="E744" s="1" t="s">
        <v>2</v>
      </c>
      <c r="F744" s="1" t="s">
        <v>2</v>
      </c>
    </row>
    <row r="745">
      <c r="E745" s="1" t="s">
        <v>2</v>
      </c>
      <c r="F745" s="1" t="s">
        <v>2</v>
      </c>
    </row>
    <row r="746">
      <c r="E746" s="1" t="s">
        <v>2</v>
      </c>
      <c r="F746" s="1" t="s">
        <v>2</v>
      </c>
    </row>
    <row r="747">
      <c r="E747" s="1" t="s">
        <v>2</v>
      </c>
      <c r="F747" s="1" t="s">
        <v>2</v>
      </c>
    </row>
    <row r="748">
      <c r="E748" s="1" t="s">
        <v>2</v>
      </c>
      <c r="F748" s="1" t="s">
        <v>2</v>
      </c>
    </row>
    <row r="749">
      <c r="E749" s="1" t="s">
        <v>2</v>
      </c>
      <c r="F749" s="1" t="s">
        <v>2</v>
      </c>
    </row>
    <row r="750">
      <c r="E750" s="1" t="s">
        <v>2</v>
      </c>
      <c r="F750" s="1" t="s">
        <v>2</v>
      </c>
    </row>
    <row r="751">
      <c r="E751" s="1" t="s">
        <v>2</v>
      </c>
      <c r="F751" s="1" t="s">
        <v>2</v>
      </c>
    </row>
    <row r="752">
      <c r="E752" s="1" t="s">
        <v>2</v>
      </c>
      <c r="F752" s="1" t="s">
        <v>2</v>
      </c>
    </row>
    <row r="753">
      <c r="E753" s="1" t="s">
        <v>2</v>
      </c>
      <c r="F753" s="1" t="s">
        <v>2</v>
      </c>
    </row>
    <row r="754">
      <c r="E754" s="1" t="s">
        <v>2</v>
      </c>
      <c r="F754" s="1" t="s">
        <v>2</v>
      </c>
    </row>
    <row r="755">
      <c r="E755" s="1" t="s">
        <v>2</v>
      </c>
      <c r="F755" s="1" t="s">
        <v>2</v>
      </c>
    </row>
    <row r="756">
      <c r="E756" s="1" t="s">
        <v>2</v>
      </c>
      <c r="F756" s="1" t="s">
        <v>2</v>
      </c>
    </row>
    <row r="757">
      <c r="E757" s="1" t="s">
        <v>2</v>
      </c>
      <c r="F757" s="1" t="s">
        <v>2</v>
      </c>
    </row>
    <row r="758">
      <c r="E758" s="1" t="s">
        <v>2</v>
      </c>
      <c r="F758" s="1" t="s">
        <v>2</v>
      </c>
    </row>
    <row r="759">
      <c r="E759" s="1" t="s">
        <v>2</v>
      </c>
      <c r="F759" s="1" t="s">
        <v>2</v>
      </c>
    </row>
    <row r="760">
      <c r="E760" s="1" t="s">
        <v>2</v>
      </c>
      <c r="F760" s="1" t="s">
        <v>2</v>
      </c>
    </row>
    <row r="761">
      <c r="E761" s="1" t="s">
        <v>2</v>
      </c>
      <c r="F761" s="1" t="s">
        <v>2</v>
      </c>
    </row>
    <row r="762">
      <c r="E762" s="1" t="s">
        <v>2</v>
      </c>
      <c r="F762" s="1" t="s">
        <v>2</v>
      </c>
    </row>
    <row r="763">
      <c r="E763" s="1" t="s">
        <v>2</v>
      </c>
      <c r="F763" s="1" t="s">
        <v>2</v>
      </c>
    </row>
    <row r="764">
      <c r="E764" s="1" t="s">
        <v>2</v>
      </c>
      <c r="F764" s="1" t="s">
        <v>2</v>
      </c>
    </row>
    <row r="765">
      <c r="E765" s="1" t="s">
        <v>2</v>
      </c>
      <c r="F765" s="1" t="s">
        <v>2</v>
      </c>
    </row>
    <row r="766">
      <c r="E766" s="1" t="s">
        <v>2</v>
      </c>
      <c r="F766" s="1" t="s">
        <v>2</v>
      </c>
    </row>
    <row r="767">
      <c r="E767" s="1" t="s">
        <v>2</v>
      </c>
      <c r="F767" s="1" t="s">
        <v>2</v>
      </c>
    </row>
    <row r="768">
      <c r="E768" s="1" t="s">
        <v>2</v>
      </c>
      <c r="F768" s="1" t="s">
        <v>2</v>
      </c>
    </row>
    <row r="769">
      <c r="E769" s="1" t="s">
        <v>2</v>
      </c>
      <c r="F769" s="1" t="s">
        <v>2</v>
      </c>
    </row>
    <row r="770">
      <c r="E770" s="1" t="s">
        <v>2</v>
      </c>
      <c r="F770" s="1" t="s">
        <v>2</v>
      </c>
    </row>
    <row r="771">
      <c r="E771" s="1" t="s">
        <v>2</v>
      </c>
      <c r="F771" s="1" t="s">
        <v>2</v>
      </c>
    </row>
    <row r="772">
      <c r="E772" s="1" t="s">
        <v>2</v>
      </c>
      <c r="F772" s="1" t="s">
        <v>2</v>
      </c>
    </row>
    <row r="773">
      <c r="E773" s="1" t="s">
        <v>2</v>
      </c>
      <c r="F773" s="1" t="s">
        <v>2</v>
      </c>
    </row>
    <row r="774">
      <c r="E774" s="1" t="s">
        <v>2</v>
      </c>
      <c r="F774" s="1" t="s">
        <v>2</v>
      </c>
    </row>
    <row r="775">
      <c r="E775" s="1" t="s">
        <v>2</v>
      </c>
      <c r="F775" s="1" t="s">
        <v>2</v>
      </c>
    </row>
    <row r="776">
      <c r="E776" s="1" t="s">
        <v>2</v>
      </c>
      <c r="F776" s="1" t="s">
        <v>2</v>
      </c>
    </row>
    <row r="777">
      <c r="E777" s="1" t="s">
        <v>2</v>
      </c>
      <c r="F777" s="1" t="s">
        <v>2</v>
      </c>
    </row>
    <row r="778">
      <c r="E778" s="1" t="s">
        <v>2</v>
      </c>
      <c r="F778" s="1" t="s">
        <v>2</v>
      </c>
    </row>
    <row r="779">
      <c r="E779" s="1" t="s">
        <v>2</v>
      </c>
      <c r="F779" s="1" t="s">
        <v>2</v>
      </c>
    </row>
    <row r="780">
      <c r="E780" s="1" t="s">
        <v>2</v>
      </c>
      <c r="F780" s="1" t="s">
        <v>2</v>
      </c>
    </row>
    <row r="781">
      <c r="E781" s="1" t="s">
        <v>2</v>
      </c>
      <c r="F781" s="1" t="s">
        <v>2</v>
      </c>
    </row>
    <row r="782">
      <c r="E782" s="1" t="s">
        <v>2</v>
      </c>
      <c r="F782" s="1" t="s">
        <v>2</v>
      </c>
    </row>
    <row r="783">
      <c r="E783" s="1" t="s">
        <v>2</v>
      </c>
      <c r="F783" s="1" t="s">
        <v>2</v>
      </c>
    </row>
    <row r="784">
      <c r="E784" s="1" t="s">
        <v>2</v>
      </c>
      <c r="F784" s="1" t="s">
        <v>2</v>
      </c>
    </row>
    <row r="785">
      <c r="E785" s="1" t="s">
        <v>2</v>
      </c>
      <c r="F785" s="1" t="s">
        <v>2</v>
      </c>
    </row>
    <row r="786">
      <c r="E786" s="1" t="s">
        <v>2</v>
      </c>
      <c r="F786" s="1" t="s">
        <v>2</v>
      </c>
    </row>
    <row r="787">
      <c r="E787" s="1" t="s">
        <v>2</v>
      </c>
      <c r="F787" s="1" t="s">
        <v>2</v>
      </c>
    </row>
    <row r="788">
      <c r="E788" s="1" t="s">
        <v>2</v>
      </c>
      <c r="F788" s="1" t="s">
        <v>2</v>
      </c>
    </row>
    <row r="789">
      <c r="E789" s="1" t="s">
        <v>2</v>
      </c>
      <c r="F789" s="1" t="s">
        <v>2</v>
      </c>
    </row>
    <row r="790">
      <c r="E790" s="1" t="s">
        <v>2</v>
      </c>
      <c r="F790" s="1" t="s">
        <v>2</v>
      </c>
    </row>
    <row r="791">
      <c r="E791" s="1" t="s">
        <v>2</v>
      </c>
      <c r="F791" s="1" t="s">
        <v>2</v>
      </c>
    </row>
    <row r="792">
      <c r="E792" s="1" t="s">
        <v>2</v>
      </c>
      <c r="F792" s="1" t="s">
        <v>2</v>
      </c>
    </row>
    <row r="793">
      <c r="E793" s="1" t="s">
        <v>2</v>
      </c>
      <c r="F793" s="1" t="s">
        <v>2</v>
      </c>
    </row>
    <row r="794">
      <c r="E794" s="1" t="s">
        <v>2</v>
      </c>
      <c r="F794" s="1" t="s">
        <v>2</v>
      </c>
    </row>
    <row r="795">
      <c r="E795" s="1" t="s">
        <v>2</v>
      </c>
      <c r="F795" s="1" t="s">
        <v>2</v>
      </c>
    </row>
    <row r="796">
      <c r="E796" s="1" t="s">
        <v>2</v>
      </c>
      <c r="F796" s="1" t="s">
        <v>2</v>
      </c>
    </row>
    <row r="797">
      <c r="E797" s="1" t="s">
        <v>2</v>
      </c>
      <c r="F797" s="1" t="s">
        <v>2</v>
      </c>
    </row>
    <row r="798">
      <c r="E798" s="1" t="s">
        <v>2</v>
      </c>
      <c r="F798" s="1" t="s">
        <v>2</v>
      </c>
    </row>
    <row r="799">
      <c r="E799" s="1" t="s">
        <v>2</v>
      </c>
      <c r="F799" s="1" t="s">
        <v>2</v>
      </c>
    </row>
    <row r="800">
      <c r="E800" s="1" t="s">
        <v>2</v>
      </c>
      <c r="F800" s="1" t="s">
        <v>2</v>
      </c>
    </row>
    <row r="801">
      <c r="E801" s="1" t="s">
        <v>2</v>
      </c>
      <c r="F801" s="1" t="s">
        <v>2</v>
      </c>
    </row>
    <row r="802">
      <c r="E802" s="1" t="s">
        <v>2</v>
      </c>
      <c r="F802" s="1" t="s">
        <v>2</v>
      </c>
    </row>
    <row r="803">
      <c r="E803" s="1" t="s">
        <v>2</v>
      </c>
      <c r="F803" s="1" t="s">
        <v>2</v>
      </c>
    </row>
    <row r="804">
      <c r="E804" s="1" t="s">
        <v>2</v>
      </c>
      <c r="F804" s="1" t="s">
        <v>2</v>
      </c>
    </row>
    <row r="805">
      <c r="E805" s="1" t="s">
        <v>2</v>
      </c>
      <c r="F805" s="1" t="s">
        <v>2</v>
      </c>
    </row>
    <row r="806">
      <c r="E806" s="1" t="s">
        <v>2</v>
      </c>
      <c r="F806" s="1" t="s">
        <v>2</v>
      </c>
    </row>
    <row r="807">
      <c r="E807" s="1" t="s">
        <v>2</v>
      </c>
      <c r="F807" s="1" t="s">
        <v>2</v>
      </c>
    </row>
    <row r="808">
      <c r="E808" s="1" t="s">
        <v>2</v>
      </c>
      <c r="F808" s="1" t="s">
        <v>2</v>
      </c>
    </row>
    <row r="809">
      <c r="E809" s="1" t="s">
        <v>2</v>
      </c>
      <c r="F809" s="1" t="s">
        <v>2</v>
      </c>
    </row>
    <row r="810">
      <c r="E810" s="1" t="s">
        <v>2</v>
      </c>
      <c r="F810" s="1" t="s">
        <v>2</v>
      </c>
    </row>
    <row r="811">
      <c r="E811" s="1" t="s">
        <v>2</v>
      </c>
      <c r="F811" s="1" t="s">
        <v>2</v>
      </c>
    </row>
    <row r="812">
      <c r="E812" s="1" t="s">
        <v>2</v>
      </c>
      <c r="F812" s="1" t="s">
        <v>2</v>
      </c>
    </row>
    <row r="813">
      <c r="E813" s="1" t="s">
        <v>2</v>
      </c>
      <c r="F813" s="1" t="s">
        <v>2</v>
      </c>
    </row>
    <row r="814">
      <c r="E814" s="1" t="s">
        <v>2</v>
      </c>
      <c r="F814" s="1" t="s">
        <v>2</v>
      </c>
    </row>
    <row r="815">
      <c r="E815" s="1" t="s">
        <v>2</v>
      </c>
      <c r="F815" s="1" t="s">
        <v>2</v>
      </c>
    </row>
    <row r="816">
      <c r="E816" s="1" t="s">
        <v>2</v>
      </c>
      <c r="F816" s="1" t="s">
        <v>2</v>
      </c>
    </row>
    <row r="817">
      <c r="E817" s="1" t="s">
        <v>2</v>
      </c>
      <c r="F817" s="1" t="s">
        <v>2</v>
      </c>
    </row>
    <row r="818">
      <c r="E818" s="1" t="s">
        <v>2</v>
      </c>
      <c r="F818" s="1" t="s">
        <v>2</v>
      </c>
    </row>
    <row r="819">
      <c r="E819" s="1" t="s">
        <v>2</v>
      </c>
      <c r="F819" s="1" t="s">
        <v>2</v>
      </c>
    </row>
    <row r="820">
      <c r="E820" s="1" t="s">
        <v>2</v>
      </c>
      <c r="F820" s="1" t="s">
        <v>2</v>
      </c>
    </row>
    <row r="821">
      <c r="E821" s="1" t="s">
        <v>2</v>
      </c>
      <c r="F821" s="1" t="s">
        <v>2</v>
      </c>
    </row>
    <row r="822">
      <c r="E822" s="1" t="s">
        <v>2</v>
      </c>
      <c r="F822" s="1" t="s">
        <v>2</v>
      </c>
    </row>
    <row r="823">
      <c r="E823" s="1" t="s">
        <v>2</v>
      </c>
      <c r="F823" s="1" t="s">
        <v>2</v>
      </c>
    </row>
    <row r="824">
      <c r="E824" s="1" t="s">
        <v>2</v>
      </c>
      <c r="F824" s="1" t="s">
        <v>2</v>
      </c>
    </row>
    <row r="825">
      <c r="E825" s="1" t="s">
        <v>2</v>
      </c>
      <c r="F825" s="1" t="s">
        <v>2</v>
      </c>
    </row>
    <row r="826">
      <c r="E826" s="1" t="s">
        <v>2</v>
      </c>
      <c r="F826" s="1" t="s">
        <v>2</v>
      </c>
    </row>
    <row r="827">
      <c r="E827" s="1" t="s">
        <v>2</v>
      </c>
      <c r="F827" s="1" t="s">
        <v>2</v>
      </c>
    </row>
    <row r="828">
      <c r="E828" s="1" t="s">
        <v>2</v>
      </c>
      <c r="F828" s="1" t="s">
        <v>2</v>
      </c>
    </row>
    <row r="829">
      <c r="E829" s="1" t="s">
        <v>2</v>
      </c>
      <c r="F829" s="1" t="s">
        <v>2</v>
      </c>
    </row>
    <row r="830">
      <c r="E830" s="1" t="s">
        <v>2</v>
      </c>
      <c r="F830" s="1" t="s">
        <v>2</v>
      </c>
    </row>
    <row r="831">
      <c r="E831" s="1" t="s">
        <v>2</v>
      </c>
      <c r="F831" s="1" t="s">
        <v>2</v>
      </c>
    </row>
    <row r="832">
      <c r="E832" s="1" t="s">
        <v>2</v>
      </c>
      <c r="F832" s="1" t="s">
        <v>2</v>
      </c>
    </row>
    <row r="833">
      <c r="E833" s="1" t="s">
        <v>2</v>
      </c>
      <c r="F833" s="1" t="s">
        <v>2</v>
      </c>
    </row>
    <row r="834">
      <c r="E834" s="1" t="s">
        <v>2</v>
      </c>
      <c r="F834" s="1" t="s">
        <v>2</v>
      </c>
    </row>
    <row r="835">
      <c r="E835" s="1" t="s">
        <v>2</v>
      </c>
      <c r="F835" s="1" t="s">
        <v>2</v>
      </c>
    </row>
    <row r="836">
      <c r="E836" s="1" t="s">
        <v>2</v>
      </c>
      <c r="F836" s="1" t="s">
        <v>2</v>
      </c>
    </row>
    <row r="837">
      <c r="E837" s="1" t="s">
        <v>2</v>
      </c>
      <c r="F837" s="1" t="s">
        <v>2</v>
      </c>
    </row>
    <row r="838">
      <c r="E838" s="1" t="s">
        <v>2</v>
      </c>
      <c r="F838" s="1" t="s">
        <v>2</v>
      </c>
    </row>
    <row r="839">
      <c r="E839" s="1" t="s">
        <v>2</v>
      </c>
      <c r="F839" s="1" t="s">
        <v>2</v>
      </c>
    </row>
    <row r="840">
      <c r="E840" s="1" t="s">
        <v>2</v>
      </c>
      <c r="F840" s="1" t="s">
        <v>2</v>
      </c>
    </row>
    <row r="841">
      <c r="E841" s="1" t="s">
        <v>2</v>
      </c>
      <c r="F841" s="1" t="s">
        <v>2</v>
      </c>
    </row>
    <row r="842">
      <c r="E842" s="1" t="s">
        <v>2</v>
      </c>
      <c r="F842" s="1" t="s">
        <v>2</v>
      </c>
    </row>
    <row r="843">
      <c r="E843" s="1" t="s">
        <v>2</v>
      </c>
      <c r="F843" s="1" t="s">
        <v>2</v>
      </c>
    </row>
    <row r="844">
      <c r="E844" s="1" t="s">
        <v>2</v>
      </c>
      <c r="F844" s="1" t="s">
        <v>2</v>
      </c>
    </row>
    <row r="845">
      <c r="E845" s="1" t="s">
        <v>2</v>
      </c>
      <c r="F845" s="1" t="s">
        <v>2</v>
      </c>
    </row>
    <row r="846">
      <c r="E846" s="1" t="s">
        <v>2</v>
      </c>
      <c r="F846" s="1" t="s">
        <v>2</v>
      </c>
    </row>
    <row r="847">
      <c r="E847" s="1" t="s">
        <v>2</v>
      </c>
      <c r="F847" s="1" t="s">
        <v>2</v>
      </c>
    </row>
    <row r="848">
      <c r="E848" s="1" t="s">
        <v>2</v>
      </c>
      <c r="F848" s="1" t="s">
        <v>2</v>
      </c>
    </row>
    <row r="849">
      <c r="E849" s="1" t="s">
        <v>2</v>
      </c>
      <c r="F849" s="1" t="s">
        <v>2</v>
      </c>
    </row>
    <row r="850">
      <c r="E850" s="1" t="s">
        <v>2</v>
      </c>
      <c r="F850" s="1" t="s">
        <v>2</v>
      </c>
    </row>
    <row r="851">
      <c r="E851" s="1" t="s">
        <v>2</v>
      </c>
      <c r="F851" s="1" t="s">
        <v>2</v>
      </c>
    </row>
    <row r="852">
      <c r="E852" s="1" t="s">
        <v>2</v>
      </c>
      <c r="F852" s="1" t="s">
        <v>2</v>
      </c>
    </row>
    <row r="853">
      <c r="E853" s="1" t="s">
        <v>2</v>
      </c>
      <c r="F853" s="1" t="s">
        <v>2</v>
      </c>
    </row>
    <row r="854">
      <c r="E854" s="1" t="s">
        <v>2</v>
      </c>
      <c r="F854" s="1" t="s">
        <v>2</v>
      </c>
    </row>
    <row r="855">
      <c r="E855" s="1" t="s">
        <v>2</v>
      </c>
      <c r="F855" s="1" t="s">
        <v>2</v>
      </c>
    </row>
    <row r="856">
      <c r="E856" s="1" t="s">
        <v>2</v>
      </c>
      <c r="F856" s="1" t="s">
        <v>2</v>
      </c>
    </row>
    <row r="857">
      <c r="E857" s="1" t="s">
        <v>2</v>
      </c>
      <c r="F857" s="1" t="s">
        <v>2</v>
      </c>
    </row>
    <row r="858">
      <c r="E858" s="1" t="s">
        <v>2</v>
      </c>
      <c r="F858" s="1" t="s">
        <v>2</v>
      </c>
    </row>
    <row r="859">
      <c r="E859" s="1" t="s">
        <v>2</v>
      </c>
      <c r="F859" s="1" t="s">
        <v>2</v>
      </c>
    </row>
    <row r="860">
      <c r="E860" s="1" t="s">
        <v>2</v>
      </c>
      <c r="F860" s="1" t="s">
        <v>2</v>
      </c>
    </row>
    <row r="861">
      <c r="E861" s="1" t="s">
        <v>2</v>
      </c>
      <c r="F861" s="1" t="s">
        <v>2</v>
      </c>
    </row>
    <row r="862">
      <c r="E862" s="1" t="s">
        <v>2</v>
      </c>
      <c r="F862" s="1" t="s">
        <v>2</v>
      </c>
    </row>
    <row r="863">
      <c r="E863" s="1" t="s">
        <v>2</v>
      </c>
      <c r="F863" s="1" t="s">
        <v>2</v>
      </c>
    </row>
    <row r="864">
      <c r="E864" s="1" t="s">
        <v>2</v>
      </c>
      <c r="F864" s="1" t="s">
        <v>2</v>
      </c>
    </row>
    <row r="865">
      <c r="E865" s="1" t="s">
        <v>2</v>
      </c>
      <c r="F865" s="1" t="s">
        <v>2</v>
      </c>
    </row>
    <row r="866">
      <c r="E866" s="1" t="s">
        <v>2</v>
      </c>
      <c r="F866" s="1" t="s">
        <v>2</v>
      </c>
    </row>
    <row r="867">
      <c r="E867" s="1" t="s">
        <v>2</v>
      </c>
      <c r="F867" s="1" t="s">
        <v>2</v>
      </c>
    </row>
    <row r="868">
      <c r="E868" s="1" t="s">
        <v>2</v>
      </c>
      <c r="F868" s="1" t="s">
        <v>2</v>
      </c>
    </row>
    <row r="869">
      <c r="E869" s="1" t="s">
        <v>2</v>
      </c>
      <c r="F869" s="1" t="s">
        <v>2</v>
      </c>
    </row>
    <row r="870">
      <c r="E870" s="1" t="s">
        <v>2</v>
      </c>
      <c r="F870" s="1" t="s">
        <v>2</v>
      </c>
    </row>
    <row r="871">
      <c r="E871" s="1" t="s">
        <v>2</v>
      </c>
      <c r="F871" s="1" t="s">
        <v>2</v>
      </c>
    </row>
    <row r="872">
      <c r="E872" s="1" t="s">
        <v>2</v>
      </c>
      <c r="F872" s="1" t="s">
        <v>2</v>
      </c>
    </row>
    <row r="873">
      <c r="E873" s="1" t="s">
        <v>2</v>
      </c>
      <c r="F873" s="1" t="s">
        <v>2</v>
      </c>
    </row>
    <row r="874">
      <c r="E874" s="1" t="s">
        <v>2</v>
      </c>
      <c r="F874" s="1" t="s">
        <v>2</v>
      </c>
    </row>
    <row r="875">
      <c r="E875" s="1" t="s">
        <v>2</v>
      </c>
      <c r="F875" s="1" t="s">
        <v>2</v>
      </c>
    </row>
    <row r="876">
      <c r="E876" s="1" t="s">
        <v>2</v>
      </c>
      <c r="F876" s="1" t="s">
        <v>2</v>
      </c>
    </row>
    <row r="877">
      <c r="E877" s="1" t="s">
        <v>2</v>
      </c>
      <c r="F877" s="1" t="s">
        <v>2</v>
      </c>
    </row>
    <row r="878">
      <c r="E878" s="1" t="s">
        <v>2</v>
      </c>
      <c r="F878" s="1" t="s">
        <v>2</v>
      </c>
    </row>
    <row r="879">
      <c r="E879" s="1" t="s">
        <v>2</v>
      </c>
      <c r="F879" s="1" t="s">
        <v>2</v>
      </c>
    </row>
    <row r="880">
      <c r="E880" s="1" t="s">
        <v>2</v>
      </c>
      <c r="F880" s="1" t="s">
        <v>2</v>
      </c>
    </row>
    <row r="881">
      <c r="E881" s="1" t="s">
        <v>2</v>
      </c>
      <c r="F881" s="1" t="s">
        <v>2</v>
      </c>
    </row>
    <row r="882">
      <c r="E882" s="1" t="s">
        <v>2</v>
      </c>
      <c r="F882" s="1" t="s">
        <v>2</v>
      </c>
    </row>
    <row r="883">
      <c r="E883" s="1" t="s">
        <v>2</v>
      </c>
      <c r="F883" s="1" t="s">
        <v>2</v>
      </c>
    </row>
    <row r="884">
      <c r="E884" s="1" t="s">
        <v>2</v>
      </c>
      <c r="F884" s="1" t="s">
        <v>2</v>
      </c>
    </row>
    <row r="885">
      <c r="E885" s="1" t="s">
        <v>2</v>
      </c>
      <c r="F885" s="1" t="s">
        <v>2</v>
      </c>
    </row>
    <row r="886">
      <c r="E886" s="1" t="s">
        <v>2</v>
      </c>
      <c r="F886" s="1" t="s">
        <v>2</v>
      </c>
    </row>
    <row r="887">
      <c r="E887" s="1" t="s">
        <v>2</v>
      </c>
      <c r="F887" s="1" t="s">
        <v>2</v>
      </c>
    </row>
    <row r="888">
      <c r="E888" s="1" t="s">
        <v>2</v>
      </c>
      <c r="F888" s="1" t="s">
        <v>2</v>
      </c>
    </row>
    <row r="889">
      <c r="E889" s="1" t="s">
        <v>2</v>
      </c>
      <c r="F889" s="1" t="s">
        <v>2</v>
      </c>
    </row>
    <row r="890">
      <c r="E890" s="1" t="s">
        <v>2</v>
      </c>
      <c r="F890" s="1" t="s">
        <v>2</v>
      </c>
    </row>
    <row r="891">
      <c r="E891" s="1" t="s">
        <v>2</v>
      </c>
      <c r="F891" s="1" t="s">
        <v>2</v>
      </c>
    </row>
    <row r="892">
      <c r="E892" s="1" t="s">
        <v>2</v>
      </c>
      <c r="F892" s="1" t="s">
        <v>2</v>
      </c>
    </row>
    <row r="893">
      <c r="E893" s="1" t="s">
        <v>2</v>
      </c>
      <c r="F893" s="1" t="s">
        <v>2</v>
      </c>
    </row>
    <row r="894">
      <c r="E894" s="1" t="s">
        <v>2</v>
      </c>
      <c r="F894" s="1" t="s">
        <v>2</v>
      </c>
    </row>
    <row r="895">
      <c r="E895" s="1" t="s">
        <v>2</v>
      </c>
      <c r="F895" s="1" t="s">
        <v>2</v>
      </c>
    </row>
    <row r="896">
      <c r="E896" s="1" t="s">
        <v>2</v>
      </c>
      <c r="F896" s="1" t="s">
        <v>2</v>
      </c>
    </row>
    <row r="897">
      <c r="E897" s="1" t="s">
        <v>2</v>
      </c>
      <c r="F897" s="1" t="s">
        <v>2</v>
      </c>
    </row>
    <row r="898">
      <c r="E898" s="1" t="s">
        <v>2</v>
      </c>
      <c r="F898" s="1" t="s">
        <v>2</v>
      </c>
    </row>
    <row r="899">
      <c r="E899" s="1" t="s">
        <v>2</v>
      </c>
      <c r="F899" s="1" t="s">
        <v>2</v>
      </c>
    </row>
    <row r="900">
      <c r="E900" s="1" t="s">
        <v>2</v>
      </c>
      <c r="F900" s="1" t="s">
        <v>2</v>
      </c>
    </row>
    <row r="901">
      <c r="E901" s="1" t="s">
        <v>2</v>
      </c>
      <c r="F901" s="1" t="s">
        <v>2</v>
      </c>
    </row>
    <row r="902">
      <c r="E902" s="1" t="s">
        <v>2</v>
      </c>
      <c r="F902" s="1" t="s">
        <v>2</v>
      </c>
    </row>
    <row r="903">
      <c r="E903" s="1" t="s">
        <v>2</v>
      </c>
      <c r="F903" s="1" t="s">
        <v>2</v>
      </c>
    </row>
    <row r="904">
      <c r="E904" s="1" t="s">
        <v>2</v>
      </c>
      <c r="F904" s="1" t="s">
        <v>2</v>
      </c>
    </row>
    <row r="905">
      <c r="E905" s="1" t="s">
        <v>2</v>
      </c>
      <c r="F905" s="1" t="s">
        <v>2</v>
      </c>
    </row>
    <row r="906">
      <c r="E906" s="1" t="s">
        <v>2</v>
      </c>
      <c r="F906" s="1" t="s">
        <v>2</v>
      </c>
    </row>
    <row r="907">
      <c r="E907" s="1" t="s">
        <v>2</v>
      </c>
      <c r="F907" s="1" t="s">
        <v>2</v>
      </c>
    </row>
    <row r="908">
      <c r="E908" s="1" t="s">
        <v>2</v>
      </c>
      <c r="F908" s="1" t="s">
        <v>2</v>
      </c>
    </row>
    <row r="909">
      <c r="E909" s="1" t="s">
        <v>2</v>
      </c>
      <c r="F909" s="1" t="s">
        <v>2</v>
      </c>
    </row>
    <row r="910">
      <c r="E910" s="1" t="s">
        <v>2</v>
      </c>
      <c r="F910" s="1" t="s">
        <v>2</v>
      </c>
    </row>
    <row r="911">
      <c r="E911" s="1" t="s">
        <v>2</v>
      </c>
      <c r="F911" s="1" t="s">
        <v>2</v>
      </c>
    </row>
    <row r="912">
      <c r="E912" s="1" t="s">
        <v>2</v>
      </c>
      <c r="F912" s="1" t="s">
        <v>2</v>
      </c>
    </row>
    <row r="913">
      <c r="E913" s="1" t="s">
        <v>2</v>
      </c>
      <c r="F913" s="1" t="s">
        <v>2</v>
      </c>
    </row>
    <row r="914">
      <c r="E914" s="1" t="s">
        <v>2</v>
      </c>
      <c r="F914" s="1" t="s">
        <v>2</v>
      </c>
    </row>
    <row r="915">
      <c r="E915" s="1" t="s">
        <v>2</v>
      </c>
      <c r="F915" s="1" t="s">
        <v>2</v>
      </c>
    </row>
    <row r="916">
      <c r="E916" s="1" t="s">
        <v>2</v>
      </c>
      <c r="F916" s="1" t="s">
        <v>2</v>
      </c>
    </row>
    <row r="917">
      <c r="E917" s="1" t="s">
        <v>2</v>
      </c>
      <c r="F917" s="1" t="s">
        <v>2</v>
      </c>
    </row>
    <row r="918">
      <c r="E918" s="1" t="s">
        <v>2</v>
      </c>
      <c r="F918" s="1" t="s">
        <v>2</v>
      </c>
    </row>
    <row r="919">
      <c r="E919" s="1" t="s">
        <v>2</v>
      </c>
      <c r="F919" s="1" t="s">
        <v>2</v>
      </c>
    </row>
    <row r="920">
      <c r="E920" s="1" t="s">
        <v>2</v>
      </c>
      <c r="F920" s="1" t="s">
        <v>2</v>
      </c>
    </row>
    <row r="921">
      <c r="E921" s="1" t="s">
        <v>2</v>
      </c>
      <c r="F921" s="1" t="s">
        <v>2</v>
      </c>
    </row>
    <row r="922">
      <c r="E922" s="1" t="s">
        <v>2</v>
      </c>
      <c r="F922" s="1" t="s">
        <v>2</v>
      </c>
    </row>
    <row r="923">
      <c r="E923" s="1" t="s">
        <v>2</v>
      </c>
      <c r="F923" s="1" t="s">
        <v>2</v>
      </c>
    </row>
    <row r="924">
      <c r="E924" s="1" t="s">
        <v>2</v>
      </c>
      <c r="F924" s="1" t="s">
        <v>2</v>
      </c>
    </row>
    <row r="925">
      <c r="E925" s="1" t="s">
        <v>2</v>
      </c>
      <c r="F925" s="1" t="s">
        <v>2</v>
      </c>
    </row>
    <row r="926">
      <c r="E926" s="1" t="s">
        <v>2</v>
      </c>
      <c r="F926" s="1" t="s">
        <v>2</v>
      </c>
    </row>
    <row r="927">
      <c r="E927" s="1" t="s">
        <v>2</v>
      </c>
      <c r="F927" s="1" t="s">
        <v>2</v>
      </c>
    </row>
    <row r="928">
      <c r="E928" s="1" t="s">
        <v>2</v>
      </c>
      <c r="F928" s="1" t="s">
        <v>2</v>
      </c>
    </row>
    <row r="929">
      <c r="E929" s="1" t="s">
        <v>2</v>
      </c>
      <c r="F929" s="1" t="s">
        <v>2</v>
      </c>
    </row>
    <row r="930">
      <c r="E930" s="1" t="s">
        <v>2</v>
      </c>
      <c r="F930" s="1" t="s">
        <v>2</v>
      </c>
    </row>
    <row r="931">
      <c r="E931" s="1" t="s">
        <v>2</v>
      </c>
      <c r="F931" s="1" t="s">
        <v>2</v>
      </c>
    </row>
    <row r="932">
      <c r="E932" s="1" t="s">
        <v>2</v>
      </c>
      <c r="F932" s="1" t="s">
        <v>2</v>
      </c>
    </row>
    <row r="933">
      <c r="E933" s="1" t="s">
        <v>2</v>
      </c>
      <c r="F933" s="1" t="s">
        <v>2</v>
      </c>
    </row>
    <row r="934">
      <c r="E934" s="1" t="s">
        <v>2</v>
      </c>
      <c r="F934" s="1" t="s">
        <v>2</v>
      </c>
    </row>
    <row r="935">
      <c r="E935" s="1" t="s">
        <v>2</v>
      </c>
      <c r="F935" s="1" t="s">
        <v>2</v>
      </c>
    </row>
    <row r="936">
      <c r="E936" s="1" t="s">
        <v>2</v>
      </c>
      <c r="F936" s="1" t="s">
        <v>2</v>
      </c>
    </row>
    <row r="937">
      <c r="E937" s="1" t="s">
        <v>2</v>
      </c>
      <c r="F937" s="1" t="s">
        <v>2</v>
      </c>
    </row>
    <row r="938">
      <c r="E938" s="1" t="s">
        <v>2</v>
      </c>
      <c r="F938" s="1" t="s">
        <v>2</v>
      </c>
    </row>
    <row r="939">
      <c r="E939" s="1" t="s">
        <v>2</v>
      </c>
      <c r="F939" s="1" t="s">
        <v>2</v>
      </c>
    </row>
    <row r="940">
      <c r="E940" s="1" t="s">
        <v>2</v>
      </c>
      <c r="F940" s="1" t="s">
        <v>2</v>
      </c>
    </row>
    <row r="941">
      <c r="E941" s="1" t="s">
        <v>2</v>
      </c>
      <c r="F941" s="1" t="s">
        <v>2</v>
      </c>
    </row>
    <row r="942">
      <c r="E942" s="1" t="s">
        <v>2</v>
      </c>
      <c r="F942" s="1" t="s">
        <v>2</v>
      </c>
    </row>
    <row r="943">
      <c r="E943" s="1" t="s">
        <v>2</v>
      </c>
      <c r="F943" s="1" t="s">
        <v>2</v>
      </c>
    </row>
    <row r="944">
      <c r="E944" s="1" t="s">
        <v>2</v>
      </c>
      <c r="F944" s="1" t="s">
        <v>2</v>
      </c>
    </row>
    <row r="945">
      <c r="E945" s="1" t="s">
        <v>2</v>
      </c>
      <c r="F945" s="1" t="s">
        <v>2</v>
      </c>
    </row>
    <row r="946">
      <c r="E946" s="1" t="s">
        <v>2</v>
      </c>
      <c r="F946" s="1" t="s">
        <v>2</v>
      </c>
    </row>
    <row r="947">
      <c r="E947" s="1" t="s">
        <v>2</v>
      </c>
      <c r="F947" s="1" t="s">
        <v>2</v>
      </c>
    </row>
    <row r="948">
      <c r="E948" s="1" t="s">
        <v>2</v>
      </c>
      <c r="F948" s="1" t="s">
        <v>2</v>
      </c>
    </row>
    <row r="949">
      <c r="E949" s="1" t="s">
        <v>2</v>
      </c>
      <c r="F949" s="1" t="s">
        <v>2</v>
      </c>
    </row>
    <row r="950">
      <c r="E950" s="1" t="s">
        <v>2</v>
      </c>
      <c r="F950" s="1" t="s">
        <v>2</v>
      </c>
    </row>
    <row r="951">
      <c r="E951" s="1" t="s">
        <v>2</v>
      </c>
      <c r="F951" s="1" t="s">
        <v>2</v>
      </c>
    </row>
    <row r="952">
      <c r="E952" s="1" t="s">
        <v>2</v>
      </c>
      <c r="F952" s="1" t="s">
        <v>2</v>
      </c>
    </row>
    <row r="953">
      <c r="E953" s="1" t="s">
        <v>2</v>
      </c>
      <c r="F953" s="1" t="s">
        <v>2</v>
      </c>
    </row>
    <row r="954">
      <c r="E954" s="1" t="s">
        <v>2</v>
      </c>
      <c r="F954" s="1" t="s">
        <v>2</v>
      </c>
    </row>
    <row r="955">
      <c r="E955" s="1" t="s">
        <v>2</v>
      </c>
      <c r="F955" s="1" t="s">
        <v>2</v>
      </c>
    </row>
    <row r="956">
      <c r="E956" s="1" t="s">
        <v>2</v>
      </c>
      <c r="F956" s="1" t="s">
        <v>2</v>
      </c>
    </row>
    <row r="957">
      <c r="E957" s="1" t="s">
        <v>2</v>
      </c>
      <c r="F957" s="1" t="s">
        <v>2</v>
      </c>
    </row>
    <row r="958">
      <c r="E958" s="1" t="s">
        <v>2</v>
      </c>
      <c r="F958" s="1" t="s">
        <v>2</v>
      </c>
    </row>
    <row r="959">
      <c r="E959" s="1" t="s">
        <v>2</v>
      </c>
      <c r="F959" s="1" t="s">
        <v>2</v>
      </c>
    </row>
    <row r="960">
      <c r="E960" s="1" t="s">
        <v>2</v>
      </c>
      <c r="F960" s="1" t="s">
        <v>2</v>
      </c>
    </row>
    <row r="961">
      <c r="E961" s="1" t="s">
        <v>2</v>
      </c>
      <c r="F961" s="1" t="s">
        <v>2</v>
      </c>
    </row>
    <row r="962">
      <c r="E962" s="1" t="s">
        <v>2</v>
      </c>
      <c r="F962" s="1" t="s">
        <v>2</v>
      </c>
    </row>
    <row r="963">
      <c r="E963" s="1" t="s">
        <v>2</v>
      </c>
      <c r="F963" s="1" t="s">
        <v>2</v>
      </c>
    </row>
    <row r="964">
      <c r="E964" s="1" t="s">
        <v>2</v>
      </c>
      <c r="F964" s="1" t="s">
        <v>2</v>
      </c>
    </row>
    <row r="965">
      <c r="E965" s="1" t="s">
        <v>2</v>
      </c>
      <c r="F965" s="1" t="s">
        <v>2</v>
      </c>
    </row>
    <row r="966">
      <c r="E966" s="1" t="s">
        <v>2</v>
      </c>
      <c r="F966" s="1" t="s">
        <v>2</v>
      </c>
    </row>
    <row r="967">
      <c r="E967" s="1" t="s">
        <v>2</v>
      </c>
      <c r="F967" s="1" t="s">
        <v>2</v>
      </c>
    </row>
    <row r="968">
      <c r="E968" s="1" t="s">
        <v>2</v>
      </c>
      <c r="F968" s="1" t="s">
        <v>2</v>
      </c>
    </row>
    <row r="969">
      <c r="E969" s="1" t="s">
        <v>2</v>
      </c>
      <c r="F969" s="1" t="s">
        <v>2</v>
      </c>
    </row>
    <row r="970">
      <c r="E970" s="1" t="s">
        <v>2</v>
      </c>
      <c r="F970" s="1" t="s">
        <v>2</v>
      </c>
    </row>
    <row r="971">
      <c r="E971" s="1" t="s">
        <v>2</v>
      </c>
      <c r="F971" s="1" t="s">
        <v>2</v>
      </c>
    </row>
    <row r="972">
      <c r="E972" s="1" t="s">
        <v>2</v>
      </c>
      <c r="F972" s="1" t="s">
        <v>2</v>
      </c>
    </row>
    <row r="973">
      <c r="E973" s="1" t="s">
        <v>2</v>
      </c>
      <c r="F973" s="1" t="s">
        <v>2</v>
      </c>
    </row>
    <row r="974">
      <c r="E974" s="1" t="s">
        <v>2</v>
      </c>
      <c r="F974" s="1" t="s">
        <v>2</v>
      </c>
    </row>
    <row r="975">
      <c r="E975" s="1" t="s">
        <v>2</v>
      </c>
      <c r="F975" s="1" t="s">
        <v>2</v>
      </c>
    </row>
    <row r="976">
      <c r="E976" s="1" t="s">
        <v>2</v>
      </c>
      <c r="F976" s="1" t="s">
        <v>2</v>
      </c>
    </row>
    <row r="977">
      <c r="E977" s="1" t="s">
        <v>2</v>
      </c>
      <c r="F977" s="1" t="s">
        <v>2</v>
      </c>
    </row>
    <row r="978">
      <c r="E978" s="1" t="s">
        <v>2</v>
      </c>
      <c r="F978" s="1" t="s">
        <v>2</v>
      </c>
    </row>
    <row r="979">
      <c r="E979" s="1" t="s">
        <v>2</v>
      </c>
      <c r="F979" s="1" t="s">
        <v>2</v>
      </c>
    </row>
    <row r="980">
      <c r="E980" s="1" t="s">
        <v>2</v>
      </c>
      <c r="F980" s="1" t="s">
        <v>2</v>
      </c>
    </row>
    <row r="981">
      <c r="E981" s="1" t="s">
        <v>2</v>
      </c>
      <c r="F981" s="1" t="s">
        <v>2</v>
      </c>
    </row>
    <row r="982">
      <c r="E982" s="1" t="s">
        <v>2</v>
      </c>
      <c r="F982" s="1" t="s">
        <v>2</v>
      </c>
    </row>
    <row r="983">
      <c r="E983" s="1" t="s">
        <v>2</v>
      </c>
      <c r="F983" s="1" t="s">
        <v>2</v>
      </c>
    </row>
    <row r="984">
      <c r="E984" s="1" t="s">
        <v>2</v>
      </c>
      <c r="F984" s="1" t="s">
        <v>2</v>
      </c>
    </row>
    <row r="985">
      <c r="E985" s="1" t="s">
        <v>2</v>
      </c>
      <c r="F985" s="1" t="s">
        <v>2</v>
      </c>
    </row>
    <row r="986">
      <c r="E986" s="1" t="s">
        <v>2</v>
      </c>
      <c r="F986" s="1" t="s">
        <v>2</v>
      </c>
    </row>
    <row r="987">
      <c r="E987" s="1" t="s">
        <v>2</v>
      </c>
      <c r="F987" s="1" t="s">
        <v>2</v>
      </c>
    </row>
    <row r="988">
      <c r="E988" s="1" t="s">
        <v>2</v>
      </c>
      <c r="F988" s="1" t="s">
        <v>2</v>
      </c>
    </row>
    <row r="989">
      <c r="E989" s="1" t="s">
        <v>2</v>
      </c>
      <c r="F989" s="1" t="s">
        <v>2</v>
      </c>
    </row>
    <row r="990">
      <c r="E990" s="1" t="s">
        <v>2</v>
      </c>
      <c r="F990" s="1" t="s">
        <v>2</v>
      </c>
    </row>
    <row r="991">
      <c r="E991" s="1" t="s">
        <v>2</v>
      </c>
      <c r="F991" s="1" t="s">
        <v>2</v>
      </c>
    </row>
    <row r="992">
      <c r="E992" s="1" t="s">
        <v>2</v>
      </c>
      <c r="F992" s="1" t="s">
        <v>2</v>
      </c>
    </row>
    <row r="993">
      <c r="E993" s="1" t="s">
        <v>2</v>
      </c>
      <c r="F993" s="1" t="s">
        <v>2</v>
      </c>
    </row>
    <row r="994">
      <c r="E994" s="1" t="s">
        <v>2</v>
      </c>
      <c r="F994" s="1" t="s">
        <v>2</v>
      </c>
    </row>
    <row r="995">
      <c r="E995" s="1" t="s">
        <v>2</v>
      </c>
      <c r="F995" s="1" t="s">
        <v>2</v>
      </c>
    </row>
    <row r="996">
      <c r="E996" s="1" t="s">
        <v>2</v>
      </c>
      <c r="F996" s="1" t="s">
        <v>2</v>
      </c>
    </row>
    <row r="997">
      <c r="E997" s="1" t="s">
        <v>2</v>
      </c>
      <c r="F997" s="1" t="s">
        <v>2</v>
      </c>
    </row>
    <row r="998">
      <c r="E998" s="1" t="s">
        <v>2</v>
      </c>
      <c r="F998" s="1" t="s">
        <v>2</v>
      </c>
    </row>
    <row r="999">
      <c r="E999" s="1" t="s">
        <v>2</v>
      </c>
      <c r="F999" s="1" t="s">
        <v>2</v>
      </c>
    </row>
    <row r="1000">
      <c r="E1000" s="1" t="s">
        <v>2</v>
      </c>
      <c r="F1000" s="1" t="s">
        <v>2</v>
      </c>
    </row>
    <row r="1001">
      <c r="E1001" s="1" t="s">
        <v>2</v>
      </c>
      <c r="F1001" s="1" t="s">
        <v>2</v>
      </c>
    </row>
    <row r="1002">
      <c r="E1002" s="1" t="s">
        <v>2</v>
      </c>
      <c r="F1002" s="1" t="s">
        <v>2</v>
      </c>
    </row>
    <row r="1003">
      <c r="E1003" s="1" t="s">
        <v>2</v>
      </c>
      <c r="F1003" s="1" t="s">
        <v>2</v>
      </c>
    </row>
    <row r="1004">
      <c r="E1004" s="1" t="s">
        <v>2</v>
      </c>
      <c r="F1004" s="1" t="s">
        <v>2</v>
      </c>
    </row>
    <row r="1005">
      <c r="E1005" s="1" t="s">
        <v>2</v>
      </c>
      <c r="F1005" s="1" t="s">
        <v>2</v>
      </c>
    </row>
    <row r="1006">
      <c r="E1006" s="1" t="s">
        <v>2</v>
      </c>
      <c r="F1006" s="1" t="s">
        <v>2</v>
      </c>
    </row>
    <row r="1007">
      <c r="E1007" s="1" t="s">
        <v>2</v>
      </c>
      <c r="F1007" s="1" t="s">
        <v>2</v>
      </c>
    </row>
    <row r="1008">
      <c r="E1008" s="1" t="s">
        <v>2</v>
      </c>
      <c r="F1008" s="1" t="s">
        <v>2</v>
      </c>
    </row>
    <row r="1009">
      <c r="E1009" s="1" t="s">
        <v>2</v>
      </c>
      <c r="F1009" s="1" t="s">
        <v>2</v>
      </c>
    </row>
    <row r="1010">
      <c r="E1010" s="1" t="s">
        <v>2</v>
      </c>
      <c r="F1010" s="1" t="s">
        <v>2</v>
      </c>
    </row>
    <row r="1011">
      <c r="E1011" s="1" t="s">
        <v>2</v>
      </c>
      <c r="F1011" s="1" t="s">
        <v>2</v>
      </c>
    </row>
    <row r="1012">
      <c r="E1012" s="1" t="s">
        <v>2</v>
      </c>
      <c r="F1012" s="1" t="s">
        <v>2</v>
      </c>
    </row>
    <row r="1013">
      <c r="E1013" s="1" t="s">
        <v>2</v>
      </c>
      <c r="F1013" s="1" t="s">
        <v>2</v>
      </c>
    </row>
    <row r="1014">
      <c r="E1014" s="1" t="s">
        <v>2</v>
      </c>
      <c r="F1014" s="1" t="s">
        <v>2</v>
      </c>
    </row>
    <row r="1015">
      <c r="E1015" s="1" t="s">
        <v>2</v>
      </c>
      <c r="F1015" s="1" t="s">
        <v>2</v>
      </c>
    </row>
    <row r="1016">
      <c r="E1016" s="1" t="s">
        <v>2</v>
      </c>
      <c r="F1016" s="1" t="s">
        <v>2</v>
      </c>
    </row>
    <row r="1017">
      <c r="E1017" s="1" t="s">
        <v>2</v>
      </c>
      <c r="F1017" s="1" t="s">
        <v>2</v>
      </c>
    </row>
    <row r="1018">
      <c r="E1018" s="1" t="s">
        <v>2</v>
      </c>
      <c r="F1018" s="1" t="s">
        <v>2</v>
      </c>
    </row>
    <row r="1019">
      <c r="E1019" s="1" t="s">
        <v>2</v>
      </c>
      <c r="F1019" s="1" t="s">
        <v>2</v>
      </c>
    </row>
    <row r="1020">
      <c r="E1020" s="1" t="s">
        <v>2</v>
      </c>
      <c r="F1020" s="1" t="s">
        <v>2</v>
      </c>
    </row>
    <row r="1021">
      <c r="E1021" s="1" t="s">
        <v>2</v>
      </c>
      <c r="F1021" s="1" t="s">
        <v>2</v>
      </c>
    </row>
    <row r="1022">
      <c r="E1022" s="1" t="s">
        <v>2</v>
      </c>
      <c r="F1022" s="1" t="s">
        <v>2</v>
      </c>
    </row>
    <row r="1023">
      <c r="E1023" s="1" t="s">
        <v>2</v>
      </c>
      <c r="F1023" s="1" t="s">
        <v>2</v>
      </c>
    </row>
    <row r="1024">
      <c r="E1024" s="1" t="s">
        <v>2</v>
      </c>
      <c r="F1024" s="1" t="s">
        <v>2</v>
      </c>
    </row>
    <row r="1025">
      <c r="E1025" s="1" t="s">
        <v>2</v>
      </c>
      <c r="F1025" s="1" t="s">
        <v>2</v>
      </c>
    </row>
    <row r="1026">
      <c r="E1026" s="1" t="s">
        <v>2</v>
      </c>
      <c r="F1026" s="1" t="s">
        <v>2</v>
      </c>
    </row>
    <row r="1027">
      <c r="E1027" s="1" t="s">
        <v>2</v>
      </c>
      <c r="F1027" s="1" t="s">
        <v>2</v>
      </c>
    </row>
    <row r="1028">
      <c r="E1028" s="1" t="s">
        <v>2</v>
      </c>
      <c r="F1028" s="1" t="s">
        <v>2</v>
      </c>
    </row>
    <row r="1029">
      <c r="E1029" s="1" t="s">
        <v>2</v>
      </c>
      <c r="F1029" s="1" t="s">
        <v>2</v>
      </c>
    </row>
    <row r="1030">
      <c r="E1030" s="1" t="s">
        <v>2</v>
      </c>
      <c r="F1030" s="1" t="s">
        <v>2</v>
      </c>
    </row>
    <row r="1031">
      <c r="E1031" s="1" t="s">
        <v>2</v>
      </c>
      <c r="F1031" s="1" t="s">
        <v>2</v>
      </c>
    </row>
    <row r="1032">
      <c r="E1032" s="1" t="s">
        <v>2</v>
      </c>
      <c r="F1032" s="1" t="s">
        <v>2</v>
      </c>
    </row>
    <row r="1033">
      <c r="E1033" s="1" t="s">
        <v>2</v>
      </c>
      <c r="F1033" s="1" t="s">
        <v>2</v>
      </c>
    </row>
    <row r="1034">
      <c r="E1034" s="1" t="s">
        <v>2</v>
      </c>
      <c r="F1034" s="1" t="s">
        <v>2</v>
      </c>
    </row>
    <row r="1035">
      <c r="E1035" s="1" t="s">
        <v>2</v>
      </c>
      <c r="F1035" s="1" t="s">
        <v>2</v>
      </c>
    </row>
    <row r="1036">
      <c r="E1036" s="1" t="s">
        <v>2</v>
      </c>
      <c r="F1036" s="1" t="s">
        <v>2</v>
      </c>
    </row>
    <row r="1037">
      <c r="E1037" s="1" t="s">
        <v>2</v>
      </c>
      <c r="F1037" s="1" t="s">
        <v>2</v>
      </c>
    </row>
    <row r="1038">
      <c r="E1038" s="1" t="s">
        <v>2</v>
      </c>
      <c r="F1038" s="1" t="s">
        <v>2</v>
      </c>
    </row>
    <row r="1039">
      <c r="E1039" s="1" t="s">
        <v>2</v>
      </c>
      <c r="F1039" s="1" t="s">
        <v>2</v>
      </c>
    </row>
    <row r="1040">
      <c r="E1040" s="1" t="s">
        <v>2</v>
      </c>
      <c r="F1040" s="1" t="s">
        <v>2</v>
      </c>
    </row>
    <row r="1041">
      <c r="E1041" s="1" t="s">
        <v>2</v>
      </c>
      <c r="F1041" s="1" t="s">
        <v>2</v>
      </c>
    </row>
    <row r="1042">
      <c r="E1042" s="1" t="s">
        <v>2</v>
      </c>
      <c r="F1042" s="1" t="s">
        <v>2</v>
      </c>
    </row>
    <row r="1043">
      <c r="E1043" s="1" t="s">
        <v>2</v>
      </c>
      <c r="F1043" s="1" t="s">
        <v>2</v>
      </c>
    </row>
    <row r="1044">
      <c r="E1044" s="1" t="s">
        <v>2</v>
      </c>
      <c r="F1044" s="1" t="s">
        <v>2</v>
      </c>
    </row>
    <row r="1045">
      <c r="E1045" s="1" t="s">
        <v>2</v>
      </c>
      <c r="F1045" s="1" t="s">
        <v>2</v>
      </c>
    </row>
    <row r="1046">
      <c r="E1046" s="1" t="s">
        <v>2</v>
      </c>
      <c r="F1046" s="1" t="s">
        <v>2</v>
      </c>
    </row>
    <row r="1047">
      <c r="E1047" s="1" t="s">
        <v>2</v>
      </c>
      <c r="F1047" s="1" t="s">
        <v>2</v>
      </c>
    </row>
    <row r="1048">
      <c r="E1048" s="1" t="s">
        <v>2</v>
      </c>
      <c r="F1048" s="1" t="s">
        <v>2</v>
      </c>
    </row>
    <row r="1049">
      <c r="E1049" s="1" t="s">
        <v>2</v>
      </c>
      <c r="F1049" s="1" t="s">
        <v>2</v>
      </c>
    </row>
    <row r="1050">
      <c r="E1050" s="1" t="s">
        <v>2</v>
      </c>
      <c r="F1050" s="1" t="s">
        <v>2</v>
      </c>
    </row>
    <row r="1051">
      <c r="E1051" s="1" t="s">
        <v>2</v>
      </c>
      <c r="F1051" s="1" t="s">
        <v>2</v>
      </c>
    </row>
    <row r="1052">
      <c r="E1052" s="1" t="s">
        <v>2</v>
      </c>
      <c r="F1052" s="1" t="s">
        <v>2</v>
      </c>
    </row>
    <row r="1053">
      <c r="E1053" s="1" t="s">
        <v>2</v>
      </c>
      <c r="F1053" s="1" t="s">
        <v>2</v>
      </c>
    </row>
    <row r="1054">
      <c r="E1054" s="1" t="s">
        <v>2</v>
      </c>
      <c r="F1054" s="1" t="s">
        <v>2</v>
      </c>
    </row>
    <row r="1055">
      <c r="E1055" s="1" t="s">
        <v>2</v>
      </c>
      <c r="F1055" s="1" t="s">
        <v>2</v>
      </c>
    </row>
    <row r="1056">
      <c r="E1056" s="1" t="s">
        <v>2</v>
      </c>
      <c r="F1056" s="1" t="s">
        <v>2</v>
      </c>
    </row>
    <row r="1057">
      <c r="E1057" s="1" t="s">
        <v>2</v>
      </c>
      <c r="F1057" s="1" t="s">
        <v>2</v>
      </c>
    </row>
    <row r="1058">
      <c r="E1058" s="1" t="s">
        <v>2</v>
      </c>
      <c r="F1058" s="1" t="s">
        <v>2</v>
      </c>
    </row>
    <row r="1059">
      <c r="E1059" s="1" t="s">
        <v>2</v>
      </c>
      <c r="F1059" s="1" t="s">
        <v>2</v>
      </c>
    </row>
    <row r="1060">
      <c r="E1060" s="1" t="s">
        <v>2</v>
      </c>
      <c r="F1060" s="1" t="s">
        <v>2</v>
      </c>
    </row>
    <row r="1061">
      <c r="E1061" s="1" t="s">
        <v>2</v>
      </c>
      <c r="F1061" s="1" t="s">
        <v>2</v>
      </c>
    </row>
    <row r="1062">
      <c r="E1062" s="1" t="s">
        <v>2</v>
      </c>
      <c r="F1062" s="1" t="s">
        <v>2</v>
      </c>
    </row>
    <row r="1063">
      <c r="E1063" s="1" t="s">
        <v>2</v>
      </c>
      <c r="F1063" s="1" t="s">
        <v>2</v>
      </c>
    </row>
    <row r="1064">
      <c r="E1064" s="1" t="s">
        <v>2</v>
      </c>
      <c r="F1064" s="1" t="s">
        <v>2</v>
      </c>
    </row>
    <row r="1065">
      <c r="E1065" s="1" t="s">
        <v>2</v>
      </c>
      <c r="F1065" s="1" t="s">
        <v>2</v>
      </c>
    </row>
    <row r="1066">
      <c r="E1066" s="1" t="s">
        <v>2</v>
      </c>
      <c r="F1066" s="1" t="s">
        <v>2</v>
      </c>
    </row>
    <row r="1067">
      <c r="E1067" s="1" t="s">
        <v>2</v>
      </c>
      <c r="F1067" s="1" t="s">
        <v>2</v>
      </c>
    </row>
    <row r="1068">
      <c r="E1068" s="1" t="s">
        <v>2</v>
      </c>
      <c r="F1068" s="1" t="s">
        <v>2</v>
      </c>
    </row>
    <row r="1069">
      <c r="E1069" s="1" t="s">
        <v>2</v>
      </c>
      <c r="F1069" s="1" t="s">
        <v>2</v>
      </c>
    </row>
    <row r="1070">
      <c r="E1070" s="1" t="s">
        <v>2</v>
      </c>
      <c r="F1070" s="1" t="s">
        <v>2</v>
      </c>
    </row>
    <row r="1071">
      <c r="E1071" s="1" t="s">
        <v>2</v>
      </c>
      <c r="F1071" s="1" t="s">
        <v>2</v>
      </c>
    </row>
    <row r="1072">
      <c r="E1072" s="1" t="s">
        <v>2</v>
      </c>
      <c r="F1072" s="1" t="s">
        <v>2</v>
      </c>
    </row>
    <row r="1073">
      <c r="E1073" s="1" t="s">
        <v>2</v>
      </c>
      <c r="F1073" s="1" t="s">
        <v>2</v>
      </c>
    </row>
    <row r="1074">
      <c r="E1074" s="1" t="s">
        <v>2</v>
      </c>
      <c r="F1074" s="1" t="s">
        <v>2</v>
      </c>
    </row>
    <row r="1075">
      <c r="E1075" s="1" t="s">
        <v>2</v>
      </c>
      <c r="F1075" s="1" t="s">
        <v>2</v>
      </c>
    </row>
    <row r="1076">
      <c r="E1076" s="1" t="s">
        <v>2</v>
      </c>
      <c r="F1076" s="1" t="s">
        <v>2</v>
      </c>
    </row>
    <row r="1077">
      <c r="E1077" s="1" t="s">
        <v>2</v>
      </c>
      <c r="F1077" s="1" t="s">
        <v>2</v>
      </c>
    </row>
    <row r="1078">
      <c r="E1078" s="1" t="s">
        <v>2</v>
      </c>
      <c r="F1078" s="1" t="s">
        <v>2</v>
      </c>
    </row>
    <row r="1079">
      <c r="E1079" s="1" t="s">
        <v>2</v>
      </c>
      <c r="F1079" s="1" t="s">
        <v>2</v>
      </c>
    </row>
    <row r="1080">
      <c r="E1080" s="1" t="s">
        <v>2</v>
      </c>
      <c r="F1080" s="1" t="s">
        <v>2</v>
      </c>
    </row>
    <row r="1081">
      <c r="E1081" s="1" t="s">
        <v>2</v>
      </c>
      <c r="F1081" s="1" t="s">
        <v>2</v>
      </c>
    </row>
    <row r="1082">
      <c r="E1082" s="1" t="s">
        <v>2</v>
      </c>
      <c r="F1082" s="1" t="s">
        <v>2</v>
      </c>
    </row>
    <row r="1083">
      <c r="E1083" s="1" t="s">
        <v>2</v>
      </c>
      <c r="F1083" s="1" t="s">
        <v>2</v>
      </c>
    </row>
    <row r="1084">
      <c r="E1084" s="1" t="s">
        <v>2</v>
      </c>
      <c r="F1084" s="1" t="s">
        <v>2</v>
      </c>
    </row>
    <row r="1085">
      <c r="E1085" s="1" t="s">
        <v>2</v>
      </c>
      <c r="F1085" s="1" t="s">
        <v>2</v>
      </c>
    </row>
    <row r="1086">
      <c r="E1086" s="1" t="s">
        <v>2</v>
      </c>
      <c r="F1086" s="1" t="s">
        <v>2</v>
      </c>
    </row>
    <row r="1087">
      <c r="E1087" s="1" t="s">
        <v>2</v>
      </c>
      <c r="F1087" s="1" t="s">
        <v>2</v>
      </c>
    </row>
    <row r="1088">
      <c r="E1088" s="1" t="s">
        <v>2</v>
      </c>
      <c r="F1088" s="1" t="s">
        <v>2</v>
      </c>
    </row>
    <row r="1089">
      <c r="E1089" s="1" t="s">
        <v>2</v>
      </c>
      <c r="F1089" s="1" t="s">
        <v>2</v>
      </c>
    </row>
    <row r="1090">
      <c r="E1090" s="1" t="s">
        <v>2</v>
      </c>
      <c r="F1090" s="1" t="s">
        <v>2</v>
      </c>
    </row>
    <row r="1091">
      <c r="E1091" s="1" t="s">
        <v>2</v>
      </c>
      <c r="F1091" s="1" t="s">
        <v>2</v>
      </c>
    </row>
    <row r="1092">
      <c r="E1092" s="1" t="s">
        <v>2</v>
      </c>
      <c r="F1092" s="1" t="s">
        <v>2</v>
      </c>
    </row>
    <row r="1093">
      <c r="E1093" s="1" t="s">
        <v>2</v>
      </c>
      <c r="F1093" s="1" t="s">
        <v>2</v>
      </c>
    </row>
    <row r="1094">
      <c r="E1094" s="1" t="s">
        <v>2</v>
      </c>
      <c r="F1094" s="1" t="s">
        <v>2</v>
      </c>
    </row>
    <row r="1095">
      <c r="E1095" s="1" t="s">
        <v>2</v>
      </c>
      <c r="F1095" s="1" t="s">
        <v>2</v>
      </c>
    </row>
    <row r="1096">
      <c r="E1096" s="1" t="s">
        <v>2</v>
      </c>
      <c r="F1096" s="1" t="s">
        <v>2</v>
      </c>
    </row>
    <row r="1097">
      <c r="E1097" s="1" t="s">
        <v>2</v>
      </c>
      <c r="F1097" s="1" t="s">
        <v>2</v>
      </c>
    </row>
    <row r="1098">
      <c r="E1098" s="1" t="s">
        <v>2</v>
      </c>
      <c r="F1098" s="1" t="s">
        <v>2</v>
      </c>
    </row>
    <row r="1099">
      <c r="E1099" s="1" t="s">
        <v>2</v>
      </c>
      <c r="F1099" s="1" t="s">
        <v>2</v>
      </c>
    </row>
    <row r="1100">
      <c r="E1100" s="1" t="s">
        <v>2</v>
      </c>
      <c r="F1100" s="1" t="s">
        <v>2</v>
      </c>
    </row>
    <row r="1101">
      <c r="E1101" s="1" t="s">
        <v>2</v>
      </c>
      <c r="F1101" s="1" t="s">
        <v>2</v>
      </c>
    </row>
    <row r="1102">
      <c r="E1102" s="1" t="s">
        <v>2</v>
      </c>
      <c r="F1102" s="1" t="s">
        <v>2</v>
      </c>
    </row>
    <row r="1103">
      <c r="E1103" s="1" t="s">
        <v>2</v>
      </c>
      <c r="F1103" s="1" t="s">
        <v>2</v>
      </c>
    </row>
    <row r="1104">
      <c r="E1104" s="1" t="s">
        <v>2</v>
      </c>
      <c r="F1104" s="1" t="s">
        <v>2</v>
      </c>
    </row>
    <row r="1105">
      <c r="E1105" s="1" t="s">
        <v>2</v>
      </c>
      <c r="F1105" s="1" t="s">
        <v>2</v>
      </c>
    </row>
    <row r="1106">
      <c r="E1106" s="1" t="s">
        <v>2</v>
      </c>
      <c r="F1106" s="1" t="s">
        <v>2</v>
      </c>
    </row>
    <row r="1107">
      <c r="E1107" s="1" t="s">
        <v>2</v>
      </c>
      <c r="F1107" s="1" t="s">
        <v>2</v>
      </c>
    </row>
    <row r="1108">
      <c r="E1108" s="1" t="s">
        <v>2</v>
      </c>
      <c r="F1108" s="1" t="s">
        <v>2</v>
      </c>
    </row>
    <row r="1109">
      <c r="E1109" s="1" t="s">
        <v>2</v>
      </c>
      <c r="F1109" s="1" t="s">
        <v>2</v>
      </c>
    </row>
    <row r="1110">
      <c r="E1110" s="1" t="s">
        <v>2</v>
      </c>
      <c r="F1110" s="1" t="s">
        <v>2</v>
      </c>
    </row>
    <row r="1111">
      <c r="E1111" s="1" t="s">
        <v>2</v>
      </c>
      <c r="F1111" s="1" t="s">
        <v>2</v>
      </c>
    </row>
    <row r="1112">
      <c r="E1112" s="1" t="s">
        <v>2</v>
      </c>
      <c r="F1112" s="1" t="s">
        <v>2</v>
      </c>
    </row>
    <row r="1113">
      <c r="E1113" s="1" t="s">
        <v>2</v>
      </c>
      <c r="F1113" s="1" t="s">
        <v>2</v>
      </c>
    </row>
    <row r="1114">
      <c r="E1114" s="1" t="s">
        <v>2</v>
      </c>
      <c r="F1114" s="1" t="s">
        <v>2</v>
      </c>
    </row>
    <row r="1115">
      <c r="E1115" s="1" t="s">
        <v>2</v>
      </c>
      <c r="F1115" s="1" t="s">
        <v>2</v>
      </c>
    </row>
    <row r="1116">
      <c r="E1116" s="1" t="s">
        <v>2</v>
      </c>
      <c r="F1116" s="1" t="s">
        <v>2</v>
      </c>
    </row>
    <row r="1117">
      <c r="E1117" s="1" t="s">
        <v>2</v>
      </c>
      <c r="F1117" s="1" t="s">
        <v>2</v>
      </c>
    </row>
    <row r="1118">
      <c r="E1118" s="1" t="s">
        <v>2</v>
      </c>
      <c r="F1118" s="1" t="s">
        <v>2</v>
      </c>
    </row>
    <row r="1119">
      <c r="E1119" s="1" t="s">
        <v>2</v>
      </c>
      <c r="F1119" s="1" t="s">
        <v>2</v>
      </c>
    </row>
    <row r="1120">
      <c r="E1120" s="1" t="s">
        <v>2</v>
      </c>
      <c r="F1120" s="1" t="s">
        <v>2</v>
      </c>
    </row>
    <row r="1121">
      <c r="E1121" s="1" t="s">
        <v>2</v>
      </c>
      <c r="F1121" s="1" t="s">
        <v>2</v>
      </c>
    </row>
    <row r="1122">
      <c r="E1122" s="1" t="s">
        <v>2</v>
      </c>
      <c r="F1122" s="1" t="s">
        <v>2</v>
      </c>
    </row>
    <row r="1123">
      <c r="E1123" s="1" t="s">
        <v>2</v>
      </c>
      <c r="F1123" s="1" t="s">
        <v>2</v>
      </c>
    </row>
    <row r="1124">
      <c r="E1124" s="1" t="s">
        <v>2</v>
      </c>
      <c r="F1124" s="1" t="s">
        <v>2</v>
      </c>
    </row>
    <row r="1125">
      <c r="E1125" s="1" t="s">
        <v>2</v>
      </c>
      <c r="F1125" s="1" t="s">
        <v>2</v>
      </c>
    </row>
    <row r="1126">
      <c r="E1126" s="1" t="s">
        <v>2</v>
      </c>
      <c r="F1126" s="1" t="s">
        <v>2</v>
      </c>
    </row>
    <row r="1127">
      <c r="E1127" s="1" t="s">
        <v>2</v>
      </c>
      <c r="F1127" s="1" t="s">
        <v>2</v>
      </c>
    </row>
    <row r="1128">
      <c r="E1128" s="1" t="s">
        <v>2</v>
      </c>
      <c r="F1128" s="1" t="s">
        <v>2</v>
      </c>
    </row>
    <row r="1129">
      <c r="E1129" s="1" t="s">
        <v>2</v>
      </c>
      <c r="F1129" s="1" t="s">
        <v>2</v>
      </c>
    </row>
    <row r="1130">
      <c r="E1130" s="1" t="s">
        <v>2</v>
      </c>
      <c r="F1130" s="1" t="s">
        <v>2</v>
      </c>
    </row>
    <row r="1131">
      <c r="E1131" s="1" t="s">
        <v>2</v>
      </c>
      <c r="F1131" s="1" t="s">
        <v>2</v>
      </c>
    </row>
    <row r="1132">
      <c r="E1132" s="1" t="s">
        <v>2</v>
      </c>
      <c r="F1132" s="1" t="s">
        <v>2</v>
      </c>
    </row>
    <row r="1133">
      <c r="E1133" s="1" t="s">
        <v>2</v>
      </c>
      <c r="F1133" s="1" t="s">
        <v>2</v>
      </c>
    </row>
    <row r="1134">
      <c r="E1134" s="1" t="s">
        <v>2</v>
      </c>
      <c r="F1134" s="1" t="s">
        <v>2</v>
      </c>
    </row>
    <row r="1135">
      <c r="E1135" s="1" t="s">
        <v>2</v>
      </c>
      <c r="F1135" s="1" t="s">
        <v>2</v>
      </c>
    </row>
    <row r="1136">
      <c r="E1136" s="1" t="s">
        <v>2</v>
      </c>
      <c r="F1136" s="1" t="s">
        <v>2</v>
      </c>
    </row>
    <row r="1137">
      <c r="E1137" s="1" t="s">
        <v>2</v>
      </c>
      <c r="F1137" s="1" t="s">
        <v>2</v>
      </c>
    </row>
    <row r="1138">
      <c r="E1138" s="1" t="s">
        <v>2</v>
      </c>
      <c r="F1138" s="1" t="s">
        <v>2</v>
      </c>
    </row>
    <row r="1139">
      <c r="E1139" s="1" t="s">
        <v>2</v>
      </c>
      <c r="F1139" s="1" t="s">
        <v>2</v>
      </c>
    </row>
    <row r="1140">
      <c r="E1140" s="1" t="s">
        <v>2</v>
      </c>
      <c r="F1140" s="1" t="s">
        <v>2</v>
      </c>
    </row>
    <row r="1141">
      <c r="E1141" s="1" t="s">
        <v>2</v>
      </c>
      <c r="F1141" s="1" t="s">
        <v>2</v>
      </c>
    </row>
    <row r="1142">
      <c r="E1142" s="1" t="s">
        <v>2</v>
      </c>
      <c r="F1142" s="1" t="s">
        <v>2</v>
      </c>
    </row>
    <row r="1143">
      <c r="E1143" s="1" t="s">
        <v>2</v>
      </c>
      <c r="F1143" s="1" t="s">
        <v>2</v>
      </c>
    </row>
    <row r="1144">
      <c r="E1144" s="1" t="s">
        <v>2</v>
      </c>
      <c r="F1144" s="1" t="s">
        <v>2</v>
      </c>
    </row>
    <row r="1145">
      <c r="E1145" s="1" t="s">
        <v>2</v>
      </c>
      <c r="F1145" s="1" t="s">
        <v>2</v>
      </c>
    </row>
    <row r="1146">
      <c r="E1146" s="1" t="s">
        <v>2</v>
      </c>
      <c r="F1146" s="1" t="s">
        <v>2</v>
      </c>
    </row>
    <row r="1147">
      <c r="E1147" s="1" t="s">
        <v>2</v>
      </c>
      <c r="F1147" s="1" t="s">
        <v>2</v>
      </c>
    </row>
    <row r="1148">
      <c r="E1148" s="1" t="s">
        <v>2</v>
      </c>
      <c r="F1148" s="1" t="s">
        <v>2</v>
      </c>
    </row>
    <row r="1149">
      <c r="E1149" s="1" t="s">
        <v>2</v>
      </c>
      <c r="F1149" s="1" t="s">
        <v>2</v>
      </c>
    </row>
    <row r="1150">
      <c r="E1150" s="1" t="s">
        <v>2</v>
      </c>
      <c r="F1150" s="1" t="s">
        <v>2</v>
      </c>
    </row>
    <row r="1151">
      <c r="E1151" s="1" t="s">
        <v>2</v>
      </c>
      <c r="F1151" s="1" t="s">
        <v>2</v>
      </c>
    </row>
    <row r="1152">
      <c r="E1152" s="1" t="s">
        <v>2</v>
      </c>
      <c r="F1152" s="1" t="s">
        <v>2</v>
      </c>
    </row>
    <row r="1153">
      <c r="E1153" s="1" t="s">
        <v>2</v>
      </c>
      <c r="F1153" s="1" t="s">
        <v>2</v>
      </c>
    </row>
    <row r="1154">
      <c r="E1154" s="1" t="s">
        <v>2</v>
      </c>
      <c r="F1154" s="1" t="s">
        <v>2</v>
      </c>
    </row>
    <row r="1155">
      <c r="E1155" s="1" t="s">
        <v>2</v>
      </c>
      <c r="F1155" s="1" t="s">
        <v>2</v>
      </c>
    </row>
    <row r="1156">
      <c r="E1156" s="1" t="s">
        <v>2</v>
      </c>
      <c r="F1156" s="1" t="s">
        <v>2</v>
      </c>
    </row>
    <row r="1157">
      <c r="E1157" s="1" t="s">
        <v>2</v>
      </c>
      <c r="F1157" s="1" t="s">
        <v>2</v>
      </c>
    </row>
    <row r="1158">
      <c r="E1158" s="1" t="s">
        <v>2</v>
      </c>
      <c r="F1158" s="1" t="s">
        <v>2</v>
      </c>
    </row>
    <row r="1159">
      <c r="E1159" s="1" t="s">
        <v>2</v>
      </c>
      <c r="F1159" s="1" t="s">
        <v>2</v>
      </c>
    </row>
    <row r="1160">
      <c r="E1160" s="1" t="s">
        <v>2</v>
      </c>
      <c r="F1160" s="1" t="s">
        <v>2</v>
      </c>
    </row>
    <row r="1161">
      <c r="E1161" s="1" t="s">
        <v>2</v>
      </c>
      <c r="F1161" s="1" t="s">
        <v>2</v>
      </c>
    </row>
    <row r="1162">
      <c r="E1162" s="1" t="s">
        <v>2</v>
      </c>
      <c r="F1162" s="1" t="s">
        <v>2</v>
      </c>
    </row>
    <row r="1163">
      <c r="E1163" s="1" t="s">
        <v>2</v>
      </c>
      <c r="F1163" s="1" t="s">
        <v>2</v>
      </c>
    </row>
    <row r="1164">
      <c r="E1164" s="1" t="s">
        <v>2</v>
      </c>
      <c r="F1164" s="1" t="s">
        <v>2</v>
      </c>
    </row>
    <row r="1165">
      <c r="E1165" s="1" t="s">
        <v>2</v>
      </c>
      <c r="F1165" s="1" t="s">
        <v>2</v>
      </c>
    </row>
    <row r="1166">
      <c r="E1166" s="1" t="s">
        <v>2</v>
      </c>
      <c r="F1166" s="1" t="s">
        <v>2</v>
      </c>
    </row>
    <row r="1167">
      <c r="E1167" s="1" t="s">
        <v>2</v>
      </c>
      <c r="F1167" s="1" t="s">
        <v>2</v>
      </c>
    </row>
    <row r="1168">
      <c r="E1168" s="1" t="s">
        <v>2</v>
      </c>
      <c r="F1168" s="1" t="s">
        <v>2</v>
      </c>
    </row>
    <row r="1169">
      <c r="E1169" s="1" t="s">
        <v>2</v>
      </c>
      <c r="F1169" s="1" t="s">
        <v>2</v>
      </c>
    </row>
    <row r="1170">
      <c r="E1170" s="1" t="s">
        <v>2</v>
      </c>
      <c r="F1170" s="1" t="s">
        <v>2</v>
      </c>
    </row>
    <row r="1171">
      <c r="E1171" s="1" t="s">
        <v>2</v>
      </c>
      <c r="F1171" s="1" t="s">
        <v>2</v>
      </c>
    </row>
    <row r="1172">
      <c r="E1172" s="1" t="s">
        <v>2</v>
      </c>
      <c r="F1172" s="1" t="s">
        <v>2</v>
      </c>
    </row>
    <row r="1173">
      <c r="E1173" s="1" t="s">
        <v>2</v>
      </c>
      <c r="F1173" s="1" t="s">
        <v>2</v>
      </c>
    </row>
    <row r="1174">
      <c r="E1174" s="1" t="s">
        <v>2</v>
      </c>
      <c r="F1174" s="1" t="s">
        <v>2</v>
      </c>
    </row>
    <row r="1175">
      <c r="E1175" s="1" t="s">
        <v>2</v>
      </c>
      <c r="F1175" s="1" t="s">
        <v>2</v>
      </c>
    </row>
    <row r="1176">
      <c r="E1176" s="1" t="s">
        <v>2</v>
      </c>
      <c r="F1176" s="1" t="s">
        <v>2</v>
      </c>
    </row>
    <row r="1177">
      <c r="E1177" s="1" t="s">
        <v>2</v>
      </c>
      <c r="F1177" s="1" t="s">
        <v>2</v>
      </c>
    </row>
    <row r="1178">
      <c r="E1178" s="1" t="s">
        <v>2</v>
      </c>
      <c r="F1178" s="1" t="s">
        <v>2</v>
      </c>
    </row>
    <row r="1179">
      <c r="E1179" s="1" t="s">
        <v>2</v>
      </c>
      <c r="F1179" s="1" t="s">
        <v>2</v>
      </c>
    </row>
    <row r="1180">
      <c r="E1180" s="1" t="s">
        <v>2</v>
      </c>
      <c r="F1180" s="1" t="s">
        <v>2</v>
      </c>
    </row>
    <row r="1181">
      <c r="E1181" s="1" t="s">
        <v>2</v>
      </c>
      <c r="F1181" s="1" t="s">
        <v>2</v>
      </c>
    </row>
    <row r="1182">
      <c r="E1182" s="1" t="s">
        <v>2</v>
      </c>
      <c r="F1182" s="1" t="s">
        <v>2</v>
      </c>
    </row>
    <row r="1183">
      <c r="E1183" s="1" t="s">
        <v>2</v>
      </c>
      <c r="F1183" s="1" t="s">
        <v>2</v>
      </c>
    </row>
    <row r="1184">
      <c r="E1184" s="1" t="s">
        <v>2</v>
      </c>
      <c r="F1184" s="1" t="s">
        <v>2</v>
      </c>
    </row>
    <row r="1185">
      <c r="E1185" s="1" t="s">
        <v>2</v>
      </c>
      <c r="F1185" s="1" t="s">
        <v>2</v>
      </c>
    </row>
    <row r="1186">
      <c r="E1186" s="1" t="s">
        <v>2</v>
      </c>
      <c r="F1186" s="1" t="s">
        <v>2</v>
      </c>
    </row>
    <row r="1187">
      <c r="E1187" s="1" t="s">
        <v>2</v>
      </c>
      <c r="F1187" s="1" t="s">
        <v>2</v>
      </c>
    </row>
    <row r="1188">
      <c r="E1188" s="1" t="s">
        <v>2</v>
      </c>
      <c r="F1188" s="1" t="s">
        <v>2</v>
      </c>
    </row>
    <row r="1189">
      <c r="E1189" s="1" t="s">
        <v>2</v>
      </c>
      <c r="F1189" s="1" t="s">
        <v>2</v>
      </c>
    </row>
    <row r="1190">
      <c r="E1190" s="1" t="s">
        <v>2</v>
      </c>
      <c r="F1190" s="1" t="s">
        <v>2</v>
      </c>
    </row>
    <row r="1191">
      <c r="E1191" s="1" t="s">
        <v>2</v>
      </c>
      <c r="F1191" s="1" t="s">
        <v>2</v>
      </c>
    </row>
    <row r="1192">
      <c r="E1192" s="1" t="s">
        <v>2</v>
      </c>
      <c r="F1192" s="1" t="s">
        <v>2</v>
      </c>
    </row>
    <row r="1193">
      <c r="E1193" s="1" t="s">
        <v>2</v>
      </c>
      <c r="F1193" s="1" t="s">
        <v>2</v>
      </c>
    </row>
    <row r="1194">
      <c r="E1194" s="1" t="s">
        <v>2</v>
      </c>
      <c r="F1194" s="1" t="s">
        <v>2</v>
      </c>
    </row>
    <row r="1195">
      <c r="E1195" s="1" t="s">
        <v>2</v>
      </c>
      <c r="F1195" s="1" t="s">
        <v>2</v>
      </c>
    </row>
    <row r="1196">
      <c r="E1196" s="1" t="s">
        <v>2</v>
      </c>
      <c r="F1196" s="1" t="s">
        <v>2</v>
      </c>
    </row>
    <row r="1197">
      <c r="E1197" s="1" t="s">
        <v>2</v>
      </c>
      <c r="F1197" s="1" t="s">
        <v>2</v>
      </c>
    </row>
    <row r="1198">
      <c r="E1198" s="1" t="s">
        <v>2</v>
      </c>
      <c r="F1198" s="1" t="s">
        <v>2</v>
      </c>
    </row>
    <row r="1199">
      <c r="E1199" s="1" t="s">
        <v>2</v>
      </c>
      <c r="F1199" s="1" t="s">
        <v>2</v>
      </c>
    </row>
    <row r="1200">
      <c r="E1200" s="1" t="s">
        <v>2</v>
      </c>
      <c r="F1200" s="1" t="s">
        <v>2</v>
      </c>
    </row>
    <row r="1201">
      <c r="E1201" s="1" t="s">
        <v>2</v>
      </c>
      <c r="F1201" s="1" t="s">
        <v>2</v>
      </c>
    </row>
    <row r="1202">
      <c r="E1202" s="1" t="s">
        <v>2</v>
      </c>
      <c r="F1202" s="1" t="s">
        <v>2</v>
      </c>
    </row>
    <row r="1203">
      <c r="E1203" s="1" t="s">
        <v>2</v>
      </c>
      <c r="F1203" s="1" t="s">
        <v>2</v>
      </c>
    </row>
    <row r="1204">
      <c r="E1204" s="1" t="s">
        <v>2</v>
      </c>
      <c r="F1204" s="1" t="s">
        <v>2</v>
      </c>
    </row>
    <row r="1205">
      <c r="E1205" s="1" t="s">
        <v>2</v>
      </c>
      <c r="F1205" s="1" t="s">
        <v>2</v>
      </c>
    </row>
    <row r="1206">
      <c r="E1206" s="1" t="s">
        <v>2</v>
      </c>
      <c r="F1206" s="1" t="s">
        <v>2</v>
      </c>
    </row>
    <row r="1207">
      <c r="E1207" s="1" t="s">
        <v>2</v>
      </c>
      <c r="F1207" s="1" t="s">
        <v>2</v>
      </c>
    </row>
    <row r="1208">
      <c r="E1208" s="1" t="s">
        <v>2</v>
      </c>
      <c r="F1208" s="1" t="s">
        <v>2</v>
      </c>
    </row>
    <row r="1209">
      <c r="E1209" s="1" t="s">
        <v>2</v>
      </c>
      <c r="F1209" s="1" t="s">
        <v>2</v>
      </c>
    </row>
    <row r="1210">
      <c r="E1210" s="1" t="s">
        <v>2</v>
      </c>
      <c r="F1210" s="1" t="s">
        <v>2</v>
      </c>
    </row>
    <row r="1211">
      <c r="E1211" s="1" t="s">
        <v>2</v>
      </c>
      <c r="F1211" s="1" t="s">
        <v>2</v>
      </c>
    </row>
    <row r="1212">
      <c r="E1212" s="1" t="s">
        <v>2</v>
      </c>
      <c r="F1212" s="1" t="s">
        <v>2</v>
      </c>
    </row>
    <row r="1213">
      <c r="E1213" s="1" t="s">
        <v>2</v>
      </c>
      <c r="F1213" s="1" t="s">
        <v>2</v>
      </c>
    </row>
    <row r="1214">
      <c r="E1214" s="1" t="s">
        <v>2</v>
      </c>
      <c r="F1214" s="1" t="s">
        <v>2</v>
      </c>
    </row>
    <row r="1215">
      <c r="E1215" s="1" t="s">
        <v>2</v>
      </c>
      <c r="F1215" s="1" t="s">
        <v>2</v>
      </c>
    </row>
    <row r="1216">
      <c r="E1216" s="1" t="s">
        <v>2</v>
      </c>
      <c r="F1216" s="1" t="s">
        <v>2</v>
      </c>
    </row>
    <row r="1217">
      <c r="E1217" s="1" t="s">
        <v>2</v>
      </c>
      <c r="F1217" s="1" t="s">
        <v>2</v>
      </c>
    </row>
    <row r="1218">
      <c r="E1218" s="1" t="s">
        <v>2</v>
      </c>
      <c r="F1218" s="1" t="s">
        <v>2</v>
      </c>
    </row>
    <row r="1219">
      <c r="E1219" s="1" t="s">
        <v>2</v>
      </c>
      <c r="F1219" s="1" t="s">
        <v>2</v>
      </c>
    </row>
    <row r="1220">
      <c r="E1220" s="1" t="s">
        <v>2</v>
      </c>
      <c r="F1220" s="1" t="s">
        <v>2</v>
      </c>
    </row>
    <row r="1221">
      <c r="E1221" s="1" t="s">
        <v>2</v>
      </c>
      <c r="F1221" s="1" t="s">
        <v>2</v>
      </c>
    </row>
    <row r="1222">
      <c r="E1222" s="1" t="s">
        <v>2</v>
      </c>
      <c r="F1222" s="1" t="s">
        <v>2</v>
      </c>
    </row>
    <row r="1223">
      <c r="E1223" s="1" t="s">
        <v>2</v>
      </c>
      <c r="F1223" s="1" t="s">
        <v>2</v>
      </c>
    </row>
    <row r="1224">
      <c r="E1224" s="1" t="s">
        <v>2</v>
      </c>
      <c r="F1224" s="1" t="s">
        <v>2</v>
      </c>
    </row>
    <row r="1225">
      <c r="E1225" s="1" t="s">
        <v>2</v>
      </c>
      <c r="F1225" s="1" t="s">
        <v>2</v>
      </c>
    </row>
    <row r="1226">
      <c r="E1226" s="1" t="s">
        <v>2</v>
      </c>
      <c r="F1226" s="1" t="s">
        <v>2</v>
      </c>
    </row>
    <row r="1227">
      <c r="E1227" s="1" t="s">
        <v>2</v>
      </c>
      <c r="F1227" s="1" t="s">
        <v>2</v>
      </c>
    </row>
    <row r="1228">
      <c r="E1228" s="1" t="s">
        <v>2</v>
      </c>
      <c r="F1228" s="1" t="s">
        <v>2</v>
      </c>
    </row>
    <row r="1229">
      <c r="E1229" s="1" t="s">
        <v>2</v>
      </c>
      <c r="F1229" s="1" t="s">
        <v>2</v>
      </c>
    </row>
    <row r="1230">
      <c r="E1230" s="1" t="s">
        <v>2</v>
      </c>
      <c r="F1230" s="1" t="s">
        <v>2</v>
      </c>
    </row>
    <row r="1231">
      <c r="E1231" s="1" t="s">
        <v>2</v>
      </c>
      <c r="F1231" s="1" t="s">
        <v>2</v>
      </c>
    </row>
    <row r="1232">
      <c r="E1232" s="1" t="s">
        <v>2</v>
      </c>
      <c r="F1232" s="1" t="s">
        <v>2</v>
      </c>
    </row>
    <row r="1233">
      <c r="E1233" s="1" t="s">
        <v>2</v>
      </c>
      <c r="F1233" s="1" t="s">
        <v>2</v>
      </c>
    </row>
    <row r="1234">
      <c r="E1234" s="1" t="s">
        <v>2</v>
      </c>
      <c r="F1234" s="1" t="s">
        <v>2</v>
      </c>
    </row>
    <row r="1235">
      <c r="E1235" s="1" t="s">
        <v>2</v>
      </c>
      <c r="F1235" s="1" t="s">
        <v>2</v>
      </c>
    </row>
    <row r="1236">
      <c r="E1236" s="1" t="s">
        <v>2</v>
      </c>
      <c r="F1236" s="1" t="s">
        <v>2</v>
      </c>
    </row>
    <row r="1237">
      <c r="E1237" s="1" t="s">
        <v>2</v>
      </c>
      <c r="F1237" s="1" t="s">
        <v>2</v>
      </c>
    </row>
    <row r="1238">
      <c r="E1238" s="1" t="s">
        <v>2</v>
      </c>
      <c r="F1238" s="1" t="s">
        <v>2</v>
      </c>
    </row>
    <row r="1239">
      <c r="E1239" s="1" t="s">
        <v>2</v>
      </c>
      <c r="F1239" s="1" t="s">
        <v>2</v>
      </c>
    </row>
    <row r="1240">
      <c r="E1240" s="1" t="s">
        <v>2</v>
      </c>
      <c r="F1240" s="1" t="s">
        <v>2</v>
      </c>
    </row>
    <row r="1241">
      <c r="E1241" s="1" t="s">
        <v>2</v>
      </c>
      <c r="F1241" s="1" t="s">
        <v>2</v>
      </c>
    </row>
    <row r="1242">
      <c r="E1242" s="1" t="s">
        <v>2</v>
      </c>
      <c r="F1242" s="1" t="s">
        <v>2</v>
      </c>
    </row>
    <row r="1243">
      <c r="E1243" s="1" t="s">
        <v>2</v>
      </c>
      <c r="F1243" s="1" t="s">
        <v>2</v>
      </c>
    </row>
    <row r="1244">
      <c r="E1244" s="1" t="s">
        <v>2</v>
      </c>
      <c r="F1244" s="1" t="s">
        <v>2</v>
      </c>
    </row>
    <row r="1245">
      <c r="E1245" s="1" t="s">
        <v>2</v>
      </c>
      <c r="F1245" s="1" t="s">
        <v>2</v>
      </c>
    </row>
    <row r="1246">
      <c r="E1246" s="1" t="s">
        <v>2</v>
      </c>
      <c r="F1246" s="1" t="s">
        <v>2</v>
      </c>
    </row>
    <row r="1247">
      <c r="E1247" s="1" t="s">
        <v>2</v>
      </c>
      <c r="F1247" s="1" t="s">
        <v>2</v>
      </c>
    </row>
    <row r="1248">
      <c r="E1248" s="1" t="s">
        <v>2</v>
      </c>
      <c r="F1248" s="1" t="s">
        <v>2</v>
      </c>
    </row>
    <row r="1249">
      <c r="E1249" s="1" t="s">
        <v>2</v>
      </c>
      <c r="F1249" s="1" t="s">
        <v>2</v>
      </c>
    </row>
    <row r="1250">
      <c r="E1250" s="1" t="s">
        <v>2</v>
      </c>
      <c r="F1250" s="1" t="s">
        <v>2</v>
      </c>
    </row>
    <row r="1251">
      <c r="E1251" s="1" t="s">
        <v>2</v>
      </c>
      <c r="F1251" s="1" t="s">
        <v>2</v>
      </c>
    </row>
    <row r="1252">
      <c r="E1252" s="1" t="s">
        <v>2</v>
      </c>
      <c r="F1252" s="1" t="s">
        <v>2</v>
      </c>
    </row>
    <row r="1253">
      <c r="E1253" s="1" t="s">
        <v>2</v>
      </c>
      <c r="F1253" s="1" t="s">
        <v>2</v>
      </c>
    </row>
    <row r="1254">
      <c r="E1254" s="1" t="s">
        <v>2</v>
      </c>
      <c r="F1254" s="1" t="s">
        <v>2</v>
      </c>
    </row>
    <row r="1255">
      <c r="E1255" s="1" t="s">
        <v>2</v>
      </c>
      <c r="F1255" s="1" t="s">
        <v>2</v>
      </c>
    </row>
    <row r="1256">
      <c r="E1256" s="1" t="s">
        <v>2</v>
      </c>
      <c r="F1256" s="1" t="s">
        <v>2</v>
      </c>
    </row>
    <row r="1257">
      <c r="E1257" s="1" t="s">
        <v>2</v>
      </c>
      <c r="F1257" s="1" t="s">
        <v>2</v>
      </c>
    </row>
    <row r="1258">
      <c r="E1258" s="1" t="s">
        <v>2</v>
      </c>
      <c r="F1258" s="1" t="s">
        <v>2</v>
      </c>
    </row>
    <row r="1259">
      <c r="E1259" s="1" t="s">
        <v>2</v>
      </c>
      <c r="F1259" s="1" t="s">
        <v>2</v>
      </c>
    </row>
    <row r="1260">
      <c r="E1260" s="1" t="s">
        <v>2</v>
      </c>
      <c r="F1260" s="1" t="s">
        <v>2</v>
      </c>
    </row>
    <row r="1261">
      <c r="E1261" s="1" t="s">
        <v>2</v>
      </c>
      <c r="F1261" s="1" t="s">
        <v>2</v>
      </c>
    </row>
    <row r="1262">
      <c r="E1262" s="1" t="s">
        <v>2</v>
      </c>
      <c r="F1262" s="1" t="s">
        <v>2</v>
      </c>
    </row>
    <row r="1263">
      <c r="E1263" s="1" t="s">
        <v>2</v>
      </c>
      <c r="F1263" s="1" t="s">
        <v>2</v>
      </c>
    </row>
    <row r="1264">
      <c r="E1264" s="1" t="s">
        <v>2</v>
      </c>
      <c r="F1264" s="1" t="s">
        <v>2</v>
      </c>
    </row>
    <row r="1265">
      <c r="E1265" s="1" t="s">
        <v>2</v>
      </c>
      <c r="F1265" s="1" t="s">
        <v>2</v>
      </c>
    </row>
    <row r="1266">
      <c r="E1266" s="1" t="s">
        <v>2</v>
      </c>
      <c r="F1266" s="1" t="s">
        <v>2</v>
      </c>
    </row>
    <row r="1267">
      <c r="E1267" s="1" t="s">
        <v>2</v>
      </c>
      <c r="F1267" s="1" t="s">
        <v>2</v>
      </c>
    </row>
    <row r="1268">
      <c r="E1268" s="1" t="s">
        <v>2</v>
      </c>
      <c r="F1268" s="1" t="s">
        <v>2</v>
      </c>
    </row>
    <row r="1269">
      <c r="E1269" s="1" t="s">
        <v>2</v>
      </c>
      <c r="F1269" s="1" t="s">
        <v>2</v>
      </c>
    </row>
    <row r="1270">
      <c r="E1270" s="1" t="s">
        <v>2</v>
      </c>
      <c r="F1270" s="1" t="s">
        <v>2</v>
      </c>
    </row>
    <row r="1271">
      <c r="E1271" s="1" t="s">
        <v>2</v>
      </c>
      <c r="F1271" s="1" t="s">
        <v>2</v>
      </c>
    </row>
    <row r="1272">
      <c r="E1272" s="1" t="s">
        <v>2</v>
      </c>
      <c r="F1272" s="1" t="s">
        <v>2</v>
      </c>
    </row>
    <row r="1273">
      <c r="E1273" s="1" t="s">
        <v>2</v>
      </c>
      <c r="F1273" s="1" t="s">
        <v>2</v>
      </c>
    </row>
    <row r="1274">
      <c r="E1274" s="1" t="s">
        <v>2</v>
      </c>
      <c r="F1274" s="1" t="s">
        <v>2</v>
      </c>
    </row>
    <row r="1275">
      <c r="E1275" s="1" t="s">
        <v>2</v>
      </c>
      <c r="F1275" s="1" t="s">
        <v>2</v>
      </c>
    </row>
    <row r="1276">
      <c r="E1276" s="1" t="s">
        <v>2</v>
      </c>
      <c r="F1276" s="1" t="s">
        <v>2</v>
      </c>
    </row>
    <row r="1277">
      <c r="E1277" s="1" t="s">
        <v>2</v>
      </c>
      <c r="F1277" s="1" t="s">
        <v>2</v>
      </c>
    </row>
    <row r="1278">
      <c r="E1278" s="1" t="s">
        <v>2</v>
      </c>
      <c r="F1278" s="1" t="s">
        <v>2</v>
      </c>
    </row>
    <row r="1279">
      <c r="E1279" s="1" t="s">
        <v>2</v>
      </c>
      <c r="F1279" s="1" t="s">
        <v>2</v>
      </c>
    </row>
    <row r="1280">
      <c r="E1280" s="1" t="s">
        <v>2</v>
      </c>
      <c r="F1280" s="1" t="s">
        <v>2</v>
      </c>
    </row>
    <row r="1281">
      <c r="E1281" s="1" t="s">
        <v>2</v>
      </c>
      <c r="F1281" s="1" t="s">
        <v>2</v>
      </c>
    </row>
    <row r="1282">
      <c r="E1282" s="1" t="s">
        <v>2</v>
      </c>
      <c r="F1282" s="1" t="s">
        <v>2</v>
      </c>
    </row>
    <row r="1283">
      <c r="E1283" s="1" t="s">
        <v>2</v>
      </c>
      <c r="F1283" s="1" t="s">
        <v>2</v>
      </c>
    </row>
    <row r="1284">
      <c r="E1284" s="1" t="s">
        <v>2</v>
      </c>
      <c r="F1284" s="1" t="s">
        <v>2</v>
      </c>
    </row>
    <row r="1285">
      <c r="E1285" s="1" t="s">
        <v>2</v>
      </c>
      <c r="F1285" s="1" t="s">
        <v>2</v>
      </c>
    </row>
    <row r="1286">
      <c r="E1286" s="1" t="s">
        <v>2</v>
      </c>
      <c r="F1286" s="1" t="s">
        <v>2</v>
      </c>
    </row>
    <row r="1287">
      <c r="E1287" s="1" t="s">
        <v>2</v>
      </c>
      <c r="F1287" s="1" t="s">
        <v>2</v>
      </c>
    </row>
    <row r="1288">
      <c r="E1288" s="1" t="s">
        <v>2</v>
      </c>
      <c r="F1288" s="1" t="s">
        <v>2</v>
      </c>
    </row>
    <row r="1289">
      <c r="E1289" s="1" t="s">
        <v>2</v>
      </c>
      <c r="F1289" s="1" t="s">
        <v>2</v>
      </c>
    </row>
    <row r="1290">
      <c r="E1290" s="1" t="s">
        <v>2</v>
      </c>
      <c r="F1290" s="1" t="s">
        <v>2</v>
      </c>
    </row>
    <row r="1291">
      <c r="E1291" s="1" t="s">
        <v>2</v>
      </c>
      <c r="F1291" s="1" t="s">
        <v>2</v>
      </c>
    </row>
    <row r="1292">
      <c r="E1292" s="1" t="s">
        <v>2</v>
      </c>
      <c r="F1292" s="1" t="s">
        <v>2</v>
      </c>
    </row>
    <row r="1293">
      <c r="E1293" s="1" t="s">
        <v>2</v>
      </c>
      <c r="F1293" s="1" t="s">
        <v>2</v>
      </c>
    </row>
    <row r="1294">
      <c r="E1294" s="1" t="s">
        <v>2</v>
      </c>
      <c r="F1294" s="1" t="s">
        <v>2</v>
      </c>
    </row>
    <row r="1295">
      <c r="E1295" s="1" t="s">
        <v>2</v>
      </c>
      <c r="F1295" s="1" t="s">
        <v>2</v>
      </c>
    </row>
    <row r="1296">
      <c r="E1296" s="1" t="s">
        <v>2</v>
      </c>
      <c r="F1296" s="1" t="s">
        <v>2</v>
      </c>
    </row>
    <row r="1297">
      <c r="E1297" s="1" t="s">
        <v>2</v>
      </c>
      <c r="F1297" s="1" t="s">
        <v>2</v>
      </c>
    </row>
    <row r="1298">
      <c r="E1298" s="1" t="s">
        <v>2</v>
      </c>
      <c r="F1298" s="1" t="s">
        <v>2</v>
      </c>
    </row>
    <row r="1299">
      <c r="E1299" s="1" t="s">
        <v>2</v>
      </c>
      <c r="F1299" s="1" t="s">
        <v>2</v>
      </c>
    </row>
    <row r="1300">
      <c r="E1300" s="1" t="s">
        <v>2</v>
      </c>
      <c r="F1300" s="1" t="s">
        <v>2</v>
      </c>
    </row>
    <row r="1301">
      <c r="E1301" s="1" t="s">
        <v>2</v>
      </c>
      <c r="F1301" s="1" t="s">
        <v>2</v>
      </c>
    </row>
    <row r="1302">
      <c r="E1302" s="1" t="s">
        <v>2</v>
      </c>
      <c r="F1302" s="1" t="s">
        <v>2</v>
      </c>
    </row>
    <row r="1303">
      <c r="E1303" s="1" t="s">
        <v>2</v>
      </c>
      <c r="F1303" s="1" t="s">
        <v>2</v>
      </c>
    </row>
    <row r="1304">
      <c r="E1304" s="1" t="s">
        <v>2</v>
      </c>
      <c r="F1304" s="1" t="s">
        <v>2</v>
      </c>
    </row>
    <row r="1305">
      <c r="E1305" s="1" t="s">
        <v>2</v>
      </c>
      <c r="F1305" s="1" t="s">
        <v>2</v>
      </c>
    </row>
    <row r="1306">
      <c r="E1306" s="1" t="s">
        <v>2</v>
      </c>
      <c r="F1306" s="1" t="s">
        <v>2</v>
      </c>
    </row>
    <row r="1307">
      <c r="E1307" s="1" t="s">
        <v>2</v>
      </c>
      <c r="F1307" s="1" t="s">
        <v>2</v>
      </c>
    </row>
    <row r="1308">
      <c r="E1308" s="1" t="s">
        <v>2</v>
      </c>
      <c r="F1308" s="1" t="s">
        <v>2</v>
      </c>
    </row>
    <row r="1309">
      <c r="E1309" s="1" t="s">
        <v>2</v>
      </c>
      <c r="F1309" s="1" t="s">
        <v>2</v>
      </c>
    </row>
    <row r="1310">
      <c r="E1310" s="1" t="s">
        <v>2</v>
      </c>
      <c r="F1310" s="1" t="s">
        <v>2</v>
      </c>
    </row>
    <row r="1311">
      <c r="E1311" s="1" t="s">
        <v>2</v>
      </c>
      <c r="F1311" s="1" t="s">
        <v>2</v>
      </c>
    </row>
    <row r="1312">
      <c r="E1312" s="1" t="s">
        <v>2</v>
      </c>
      <c r="F1312" s="1" t="s">
        <v>2</v>
      </c>
    </row>
    <row r="1313">
      <c r="E1313" s="1" t="s">
        <v>2</v>
      </c>
      <c r="F1313" s="1" t="s">
        <v>2</v>
      </c>
    </row>
    <row r="1314">
      <c r="E1314" s="1" t="s">
        <v>2</v>
      </c>
      <c r="F1314" s="1" t="s">
        <v>2</v>
      </c>
    </row>
    <row r="1315">
      <c r="E1315" s="1" t="s">
        <v>2</v>
      </c>
      <c r="F1315" s="1" t="s">
        <v>2</v>
      </c>
    </row>
    <row r="1316">
      <c r="E1316" s="1" t="s">
        <v>2</v>
      </c>
      <c r="F1316" s="1" t="s">
        <v>2</v>
      </c>
    </row>
    <row r="1317">
      <c r="E1317" s="1" t="s">
        <v>2</v>
      </c>
      <c r="F1317" s="1" t="s">
        <v>2</v>
      </c>
    </row>
    <row r="1318">
      <c r="E1318" s="1" t="s">
        <v>2</v>
      </c>
      <c r="F1318" s="1" t="s">
        <v>2</v>
      </c>
    </row>
    <row r="1319">
      <c r="E1319" s="1" t="s">
        <v>2</v>
      </c>
      <c r="F1319" s="1" t="s">
        <v>2</v>
      </c>
    </row>
    <row r="1320">
      <c r="E1320" s="1" t="s">
        <v>2</v>
      </c>
      <c r="F1320" s="1" t="s">
        <v>2</v>
      </c>
    </row>
    <row r="1321">
      <c r="E1321" s="1" t="s">
        <v>2</v>
      </c>
      <c r="F1321" s="1" t="s">
        <v>2</v>
      </c>
    </row>
    <row r="1322">
      <c r="E1322" s="1" t="s">
        <v>2</v>
      </c>
      <c r="F1322" s="1" t="s">
        <v>2</v>
      </c>
    </row>
    <row r="1323">
      <c r="E1323" s="1" t="s">
        <v>2</v>
      </c>
      <c r="F1323" s="1" t="s">
        <v>2</v>
      </c>
    </row>
    <row r="1324">
      <c r="E1324" s="1" t="s">
        <v>2</v>
      </c>
      <c r="F1324" s="1" t="s">
        <v>2</v>
      </c>
    </row>
    <row r="1325">
      <c r="E1325" s="1" t="s">
        <v>2</v>
      </c>
      <c r="F1325" s="1" t="s">
        <v>2</v>
      </c>
    </row>
    <row r="1326">
      <c r="E1326" s="1" t="s">
        <v>2</v>
      </c>
      <c r="F1326" s="1" t="s">
        <v>2</v>
      </c>
    </row>
    <row r="1327">
      <c r="E1327" s="1" t="s">
        <v>2</v>
      </c>
      <c r="F1327" s="1" t="s">
        <v>2</v>
      </c>
    </row>
    <row r="1328">
      <c r="E1328" s="1" t="s">
        <v>2</v>
      </c>
      <c r="F1328" s="1" t="s">
        <v>2</v>
      </c>
    </row>
    <row r="1329">
      <c r="E1329" s="1" t="s">
        <v>2</v>
      </c>
      <c r="F1329" s="1" t="s">
        <v>2</v>
      </c>
    </row>
    <row r="1330">
      <c r="E1330" s="1" t="s">
        <v>2</v>
      </c>
      <c r="F1330" s="1" t="s">
        <v>2</v>
      </c>
    </row>
    <row r="1331">
      <c r="E1331" s="1" t="s">
        <v>2</v>
      </c>
      <c r="F1331" s="1" t="s">
        <v>2</v>
      </c>
    </row>
    <row r="1332">
      <c r="E1332" s="1" t="s">
        <v>2</v>
      </c>
      <c r="F1332" s="1" t="s">
        <v>2</v>
      </c>
    </row>
    <row r="1333">
      <c r="E1333" s="1" t="s">
        <v>2</v>
      </c>
      <c r="F1333" s="1" t="s">
        <v>2</v>
      </c>
    </row>
    <row r="1334">
      <c r="E1334" s="1" t="s">
        <v>2</v>
      </c>
      <c r="F1334" s="1" t="s">
        <v>2</v>
      </c>
    </row>
    <row r="1335">
      <c r="E1335" s="1" t="s">
        <v>2</v>
      </c>
      <c r="F1335" s="1" t="s">
        <v>2</v>
      </c>
    </row>
    <row r="1336">
      <c r="E1336" s="1" t="s">
        <v>2</v>
      </c>
      <c r="F1336" s="1" t="s">
        <v>2</v>
      </c>
    </row>
    <row r="1337">
      <c r="E1337" s="1" t="s">
        <v>2</v>
      </c>
      <c r="F1337" s="1" t="s">
        <v>2</v>
      </c>
    </row>
    <row r="1338">
      <c r="E1338" s="1" t="s">
        <v>2</v>
      </c>
      <c r="F1338" s="1" t="s">
        <v>2</v>
      </c>
    </row>
    <row r="1339">
      <c r="E1339" s="1" t="s">
        <v>2</v>
      </c>
      <c r="F1339" s="1" t="s">
        <v>2</v>
      </c>
    </row>
    <row r="1340">
      <c r="E1340" s="1" t="s">
        <v>2</v>
      </c>
      <c r="F1340" s="1" t="s">
        <v>2</v>
      </c>
    </row>
    <row r="1341">
      <c r="E1341" s="1" t="s">
        <v>2</v>
      </c>
      <c r="F1341" s="1" t="s">
        <v>2</v>
      </c>
    </row>
    <row r="1342">
      <c r="E1342" s="1" t="s">
        <v>2</v>
      </c>
      <c r="F1342" s="1" t="s">
        <v>2</v>
      </c>
    </row>
    <row r="1343">
      <c r="E1343" s="1" t="s">
        <v>2</v>
      </c>
      <c r="F1343" s="1" t="s">
        <v>2</v>
      </c>
    </row>
    <row r="1344">
      <c r="E1344" s="1" t="s">
        <v>2</v>
      </c>
      <c r="F1344" s="1" t="s">
        <v>2</v>
      </c>
    </row>
    <row r="1345">
      <c r="E1345" s="1" t="s">
        <v>2</v>
      </c>
      <c r="F1345" s="1" t="s">
        <v>2</v>
      </c>
    </row>
    <row r="1346">
      <c r="E1346" s="1" t="s">
        <v>2</v>
      </c>
      <c r="F1346" s="1" t="s">
        <v>2</v>
      </c>
    </row>
    <row r="1347">
      <c r="E1347" s="1" t="s">
        <v>2</v>
      </c>
      <c r="F1347" s="1" t="s">
        <v>2</v>
      </c>
    </row>
    <row r="1348">
      <c r="E1348" s="1" t="s">
        <v>2</v>
      </c>
      <c r="F1348" s="1" t="s">
        <v>2</v>
      </c>
    </row>
    <row r="1349">
      <c r="E1349" s="1" t="s">
        <v>2</v>
      </c>
      <c r="F1349" s="1" t="s">
        <v>2</v>
      </c>
    </row>
    <row r="1350">
      <c r="E1350" s="1" t="s">
        <v>2</v>
      </c>
      <c r="F1350" s="1" t="s">
        <v>2</v>
      </c>
    </row>
    <row r="1351">
      <c r="E1351" s="1" t="s">
        <v>2</v>
      </c>
      <c r="F1351" s="1" t="s">
        <v>2</v>
      </c>
    </row>
    <row r="1352">
      <c r="E1352" s="1" t="s">
        <v>2</v>
      </c>
      <c r="F1352" s="1" t="s">
        <v>2</v>
      </c>
    </row>
    <row r="1353">
      <c r="E1353" s="1" t="s">
        <v>2</v>
      </c>
      <c r="F1353" s="1" t="s">
        <v>2</v>
      </c>
    </row>
    <row r="1354">
      <c r="E1354" s="1" t="s">
        <v>2</v>
      </c>
      <c r="F1354" s="1" t="s">
        <v>2</v>
      </c>
    </row>
    <row r="1355">
      <c r="E1355" s="1" t="s">
        <v>2</v>
      </c>
      <c r="F1355" s="1" t="s">
        <v>2</v>
      </c>
    </row>
    <row r="1356">
      <c r="E1356" s="1" t="s">
        <v>2</v>
      </c>
      <c r="F1356" s="1" t="s">
        <v>2</v>
      </c>
    </row>
    <row r="1357">
      <c r="E1357" s="1" t="s">
        <v>2</v>
      </c>
      <c r="F1357" s="1" t="s">
        <v>2</v>
      </c>
    </row>
    <row r="1358">
      <c r="E1358" s="1" t="s">
        <v>2</v>
      </c>
      <c r="F1358" s="1" t="s">
        <v>2</v>
      </c>
    </row>
    <row r="1359">
      <c r="E1359" s="1" t="s">
        <v>2</v>
      </c>
      <c r="F1359" s="1" t="s">
        <v>2</v>
      </c>
    </row>
    <row r="1360">
      <c r="E1360" s="1" t="s">
        <v>2</v>
      </c>
      <c r="F1360" s="1" t="s">
        <v>2</v>
      </c>
    </row>
    <row r="1361">
      <c r="E1361" s="1" t="s">
        <v>2</v>
      </c>
      <c r="F1361" s="1" t="s">
        <v>2</v>
      </c>
    </row>
    <row r="1362">
      <c r="E1362" s="1" t="s">
        <v>2</v>
      </c>
      <c r="F1362" s="1" t="s">
        <v>2</v>
      </c>
    </row>
    <row r="1363">
      <c r="E1363" s="1" t="s">
        <v>2</v>
      </c>
      <c r="F1363" s="1" t="s">
        <v>2</v>
      </c>
    </row>
    <row r="1364">
      <c r="E1364" s="1" t="s">
        <v>2</v>
      </c>
      <c r="F1364" s="1" t="s">
        <v>2</v>
      </c>
    </row>
    <row r="1365">
      <c r="E1365" s="1" t="s">
        <v>2</v>
      </c>
      <c r="F1365" s="1" t="s">
        <v>2</v>
      </c>
    </row>
    <row r="1366">
      <c r="E1366" s="1" t="s">
        <v>2</v>
      </c>
      <c r="F1366" s="1" t="s">
        <v>2</v>
      </c>
    </row>
    <row r="1367">
      <c r="E1367" s="1" t="s">
        <v>2</v>
      </c>
      <c r="F1367" s="1" t="s">
        <v>2</v>
      </c>
    </row>
    <row r="1368">
      <c r="E1368" s="1" t="s">
        <v>2</v>
      </c>
      <c r="F1368" s="1" t="s">
        <v>2</v>
      </c>
    </row>
    <row r="1369">
      <c r="E1369" s="1" t="s">
        <v>2</v>
      </c>
      <c r="F1369" s="1" t="s">
        <v>2</v>
      </c>
    </row>
    <row r="1370">
      <c r="E1370" s="1" t="s">
        <v>2</v>
      </c>
      <c r="F1370" s="1" t="s">
        <v>2</v>
      </c>
    </row>
    <row r="1371">
      <c r="E1371" s="1" t="s">
        <v>2</v>
      </c>
      <c r="F1371" s="1" t="s">
        <v>2</v>
      </c>
    </row>
    <row r="1372">
      <c r="E1372" s="1" t="s">
        <v>2</v>
      </c>
      <c r="F1372" s="1" t="s">
        <v>2</v>
      </c>
    </row>
    <row r="1373">
      <c r="E1373" s="1" t="s">
        <v>2</v>
      </c>
      <c r="F1373" s="1" t="s">
        <v>2</v>
      </c>
    </row>
    <row r="1374">
      <c r="E1374" s="1" t="s">
        <v>2</v>
      </c>
      <c r="F1374" s="1" t="s">
        <v>2</v>
      </c>
    </row>
    <row r="1375">
      <c r="E1375" s="1" t="s">
        <v>2</v>
      </c>
      <c r="F1375" s="1" t="s">
        <v>2</v>
      </c>
    </row>
    <row r="1376">
      <c r="E1376" s="1" t="s">
        <v>2</v>
      </c>
      <c r="F1376" s="1" t="s">
        <v>2</v>
      </c>
    </row>
    <row r="1377">
      <c r="E1377" s="1" t="s">
        <v>2</v>
      </c>
      <c r="F1377" s="1" t="s">
        <v>2</v>
      </c>
    </row>
    <row r="1378">
      <c r="E1378" s="1" t="s">
        <v>2</v>
      </c>
      <c r="F1378" s="1" t="s">
        <v>2</v>
      </c>
    </row>
    <row r="1379">
      <c r="E1379" s="1" t="s">
        <v>2</v>
      </c>
      <c r="F1379" s="1" t="s">
        <v>2</v>
      </c>
    </row>
    <row r="1380">
      <c r="E1380" s="1" t="s">
        <v>2</v>
      </c>
      <c r="F1380" s="1" t="s">
        <v>2</v>
      </c>
    </row>
    <row r="1381">
      <c r="E1381" s="1" t="s">
        <v>2</v>
      </c>
      <c r="F1381" s="1" t="s">
        <v>2</v>
      </c>
    </row>
    <row r="1382">
      <c r="E1382" s="1" t="s">
        <v>2</v>
      </c>
      <c r="F1382" s="1" t="s">
        <v>2</v>
      </c>
    </row>
    <row r="1383">
      <c r="E1383" s="1" t="s">
        <v>2</v>
      </c>
      <c r="F1383" s="1" t="s">
        <v>2</v>
      </c>
    </row>
    <row r="1384">
      <c r="E1384" s="1" t="s">
        <v>2</v>
      </c>
      <c r="F1384" s="1" t="s">
        <v>2</v>
      </c>
    </row>
    <row r="1385">
      <c r="E1385" s="1" t="s">
        <v>2</v>
      </c>
      <c r="F1385" s="1" t="s">
        <v>2</v>
      </c>
    </row>
    <row r="1386">
      <c r="E1386" s="1" t="s">
        <v>2</v>
      </c>
      <c r="F1386" s="1" t="s">
        <v>2</v>
      </c>
    </row>
    <row r="1387">
      <c r="E1387" s="1" t="s">
        <v>2</v>
      </c>
      <c r="F1387" s="1" t="s">
        <v>2</v>
      </c>
    </row>
    <row r="1388">
      <c r="E1388" s="1" t="s">
        <v>2</v>
      </c>
      <c r="F1388" s="1" t="s">
        <v>2</v>
      </c>
    </row>
    <row r="1389">
      <c r="E1389" s="1" t="s">
        <v>2</v>
      </c>
      <c r="F1389" s="1" t="s">
        <v>2</v>
      </c>
    </row>
    <row r="1390">
      <c r="E1390" s="1" t="s">
        <v>2</v>
      </c>
      <c r="F1390" s="1" t="s">
        <v>2</v>
      </c>
    </row>
    <row r="1391">
      <c r="E1391" s="1" t="s">
        <v>2</v>
      </c>
      <c r="F1391" s="1" t="s">
        <v>2</v>
      </c>
    </row>
    <row r="1392">
      <c r="E1392" s="1" t="s">
        <v>2</v>
      </c>
      <c r="F1392" s="1" t="s">
        <v>2</v>
      </c>
    </row>
    <row r="1393">
      <c r="E1393" s="1" t="s">
        <v>2</v>
      </c>
      <c r="F1393" s="1" t="s">
        <v>2</v>
      </c>
    </row>
    <row r="1394">
      <c r="E1394" s="1" t="s">
        <v>2</v>
      </c>
      <c r="F1394" s="1" t="s">
        <v>2</v>
      </c>
    </row>
    <row r="1395">
      <c r="E1395" s="1" t="s">
        <v>2</v>
      </c>
      <c r="F1395" s="1" t="s">
        <v>2</v>
      </c>
    </row>
    <row r="1396">
      <c r="E1396" s="1" t="s">
        <v>2</v>
      </c>
      <c r="F1396" s="1" t="s">
        <v>2</v>
      </c>
    </row>
    <row r="1397">
      <c r="E1397" s="1" t="s">
        <v>2</v>
      </c>
      <c r="F1397" s="1" t="s">
        <v>2</v>
      </c>
    </row>
    <row r="1398">
      <c r="E1398" s="1" t="s">
        <v>2</v>
      </c>
      <c r="F1398" s="1" t="s">
        <v>2</v>
      </c>
    </row>
    <row r="1399">
      <c r="E1399" s="1" t="s">
        <v>2</v>
      </c>
      <c r="F1399" s="1" t="s">
        <v>2</v>
      </c>
    </row>
    <row r="1400">
      <c r="E1400" s="1" t="s">
        <v>2</v>
      </c>
      <c r="F1400" s="1" t="s">
        <v>2</v>
      </c>
    </row>
    <row r="1401">
      <c r="E1401" s="1" t="s">
        <v>2</v>
      </c>
      <c r="F1401" s="1" t="s">
        <v>2</v>
      </c>
    </row>
    <row r="1402">
      <c r="E1402" s="1" t="s">
        <v>2</v>
      </c>
      <c r="F1402" s="1" t="s">
        <v>2</v>
      </c>
    </row>
    <row r="1403">
      <c r="E1403" s="1" t="s">
        <v>2</v>
      </c>
      <c r="F1403" s="1" t="s">
        <v>2</v>
      </c>
    </row>
    <row r="1404">
      <c r="E1404" s="1" t="s">
        <v>2</v>
      </c>
      <c r="F1404" s="1" t="s">
        <v>2</v>
      </c>
    </row>
    <row r="1405">
      <c r="E1405" s="1" t="s">
        <v>2</v>
      </c>
      <c r="F1405" s="1" t="s">
        <v>2</v>
      </c>
    </row>
    <row r="1406">
      <c r="E1406" s="1" t="s">
        <v>2</v>
      </c>
      <c r="F1406" s="1" t="s">
        <v>2</v>
      </c>
    </row>
    <row r="1407">
      <c r="E1407" s="1" t="s">
        <v>2</v>
      </c>
      <c r="F1407" s="1" t="s">
        <v>2</v>
      </c>
    </row>
    <row r="1408">
      <c r="E1408" s="1" t="s">
        <v>2</v>
      </c>
      <c r="F1408" s="1" t="s">
        <v>2</v>
      </c>
    </row>
    <row r="1409">
      <c r="E1409" s="1" t="s">
        <v>2</v>
      </c>
      <c r="F1409" s="1" t="s">
        <v>2</v>
      </c>
    </row>
    <row r="1410">
      <c r="E1410" s="1" t="s">
        <v>2</v>
      </c>
      <c r="F1410" s="1" t="s">
        <v>2</v>
      </c>
    </row>
    <row r="1411">
      <c r="E1411" s="1" t="s">
        <v>2</v>
      </c>
      <c r="F1411" s="1" t="s">
        <v>2</v>
      </c>
    </row>
    <row r="1412">
      <c r="E1412" s="1" t="s">
        <v>2</v>
      </c>
      <c r="F1412" s="1" t="s">
        <v>2</v>
      </c>
    </row>
    <row r="1413">
      <c r="E1413" s="1" t="s">
        <v>2</v>
      </c>
      <c r="F1413" s="1" t="s">
        <v>2</v>
      </c>
    </row>
    <row r="1414">
      <c r="E1414" s="1" t="s">
        <v>2</v>
      </c>
      <c r="F1414" s="1" t="s">
        <v>2</v>
      </c>
    </row>
    <row r="1415">
      <c r="E1415" s="1" t="s">
        <v>2</v>
      </c>
      <c r="F1415" s="1" t="s">
        <v>2</v>
      </c>
    </row>
    <row r="1416">
      <c r="E1416" s="1" t="s">
        <v>2</v>
      </c>
      <c r="F1416" s="1" t="s">
        <v>2</v>
      </c>
    </row>
    <row r="1417">
      <c r="E1417" s="1" t="s">
        <v>2</v>
      </c>
      <c r="F1417" s="1" t="s">
        <v>2</v>
      </c>
    </row>
    <row r="1418">
      <c r="E1418" s="1" t="s">
        <v>2</v>
      </c>
      <c r="F1418" s="1" t="s">
        <v>2</v>
      </c>
    </row>
    <row r="1419">
      <c r="E1419" s="1" t="s">
        <v>2</v>
      </c>
      <c r="F1419" s="1" t="s">
        <v>2</v>
      </c>
    </row>
    <row r="1420">
      <c r="E1420" s="1" t="s">
        <v>2</v>
      </c>
      <c r="F1420" s="1" t="s">
        <v>2</v>
      </c>
    </row>
    <row r="1421">
      <c r="E1421" s="1" t="s">
        <v>2</v>
      </c>
      <c r="F1421" s="1" t="s">
        <v>2</v>
      </c>
    </row>
    <row r="1422">
      <c r="E1422" s="1" t="s">
        <v>2</v>
      </c>
      <c r="F1422" s="1" t="s">
        <v>2</v>
      </c>
    </row>
    <row r="1423">
      <c r="E1423" s="1" t="s">
        <v>2</v>
      </c>
      <c r="F1423" s="1" t="s">
        <v>2</v>
      </c>
    </row>
    <row r="1424">
      <c r="E1424" s="1" t="s">
        <v>2</v>
      </c>
      <c r="F1424" s="1" t="s">
        <v>2</v>
      </c>
    </row>
    <row r="1425">
      <c r="E1425" s="1" t="s">
        <v>2</v>
      </c>
      <c r="F1425" s="1" t="s">
        <v>2</v>
      </c>
    </row>
    <row r="1426">
      <c r="E1426" s="1" t="s">
        <v>2</v>
      </c>
      <c r="F1426" s="1" t="s">
        <v>2</v>
      </c>
    </row>
    <row r="1427">
      <c r="E1427" s="1" t="s">
        <v>2</v>
      </c>
      <c r="F1427" s="1" t="s">
        <v>2</v>
      </c>
    </row>
    <row r="1428">
      <c r="E1428" s="1" t="s">
        <v>2</v>
      </c>
      <c r="F1428" s="1" t="s">
        <v>2</v>
      </c>
    </row>
    <row r="1429">
      <c r="E1429" s="1" t="s">
        <v>2</v>
      </c>
      <c r="F1429" s="1" t="s">
        <v>2</v>
      </c>
    </row>
    <row r="1430">
      <c r="E1430" s="1" t="s">
        <v>2</v>
      </c>
      <c r="F1430" s="1" t="s">
        <v>2</v>
      </c>
    </row>
    <row r="1431">
      <c r="E1431" s="1" t="s">
        <v>2</v>
      </c>
      <c r="F1431" s="1" t="s">
        <v>2</v>
      </c>
    </row>
    <row r="1432">
      <c r="E1432" s="1" t="s">
        <v>2</v>
      </c>
      <c r="F1432" s="1" t="s">
        <v>2</v>
      </c>
    </row>
    <row r="1433">
      <c r="E1433" s="1" t="s">
        <v>2</v>
      </c>
      <c r="F1433" s="1" t="s">
        <v>2</v>
      </c>
    </row>
    <row r="1434">
      <c r="E1434" s="1" t="s">
        <v>2</v>
      </c>
      <c r="F1434" s="1" t="s">
        <v>2</v>
      </c>
    </row>
    <row r="1435">
      <c r="E1435" s="1" t="s">
        <v>2</v>
      </c>
      <c r="F1435" s="1" t="s">
        <v>2</v>
      </c>
    </row>
    <row r="1436">
      <c r="E1436" s="1" t="s">
        <v>2</v>
      </c>
      <c r="F1436" s="1" t="s">
        <v>2</v>
      </c>
    </row>
    <row r="1437">
      <c r="E1437" s="1" t="s">
        <v>2</v>
      </c>
      <c r="F1437" s="1" t="s">
        <v>2</v>
      </c>
    </row>
    <row r="1438">
      <c r="E1438" s="1" t="s">
        <v>2</v>
      </c>
      <c r="F1438" s="1" t="s">
        <v>2</v>
      </c>
    </row>
    <row r="1439">
      <c r="E1439" s="1" t="s">
        <v>2</v>
      </c>
      <c r="F1439" s="1" t="s">
        <v>2</v>
      </c>
    </row>
    <row r="1440">
      <c r="E1440" s="1" t="s">
        <v>2</v>
      </c>
      <c r="F1440" s="1" t="s">
        <v>2</v>
      </c>
    </row>
    <row r="1441">
      <c r="E1441" s="1" t="s">
        <v>2</v>
      </c>
      <c r="F1441" s="1" t="s">
        <v>2</v>
      </c>
    </row>
    <row r="1442">
      <c r="E1442" s="1" t="s">
        <v>2</v>
      </c>
      <c r="F1442" s="1" t="s">
        <v>2</v>
      </c>
    </row>
    <row r="1443">
      <c r="E1443" s="1" t="s">
        <v>2</v>
      </c>
      <c r="F1443" s="1" t="s">
        <v>2</v>
      </c>
    </row>
    <row r="1444">
      <c r="E1444" s="1" t="s">
        <v>2</v>
      </c>
      <c r="F1444" s="1" t="s">
        <v>2</v>
      </c>
    </row>
    <row r="1445">
      <c r="E1445" s="1" t="s">
        <v>2</v>
      </c>
      <c r="F1445" s="1" t="s">
        <v>2</v>
      </c>
    </row>
    <row r="1446">
      <c r="E1446" s="1" t="s">
        <v>2</v>
      </c>
      <c r="F1446" s="1" t="s">
        <v>2</v>
      </c>
    </row>
    <row r="1447">
      <c r="E1447" s="1" t="s">
        <v>2</v>
      </c>
      <c r="F1447" s="1" t="s">
        <v>2</v>
      </c>
    </row>
    <row r="1448">
      <c r="E1448" s="1" t="s">
        <v>2</v>
      </c>
      <c r="F1448" s="1" t="s">
        <v>2</v>
      </c>
    </row>
    <row r="1449">
      <c r="E1449" s="1" t="s">
        <v>2</v>
      </c>
      <c r="F1449" s="1" t="s">
        <v>2</v>
      </c>
    </row>
    <row r="1450">
      <c r="E1450" s="1" t="s">
        <v>2</v>
      </c>
      <c r="F1450" s="1" t="s">
        <v>2</v>
      </c>
    </row>
    <row r="1451">
      <c r="E1451" s="1" t="s">
        <v>2</v>
      </c>
      <c r="F1451" s="1" t="s">
        <v>2</v>
      </c>
    </row>
    <row r="1452">
      <c r="E1452" s="1" t="s">
        <v>2</v>
      </c>
      <c r="F1452" s="1" t="s">
        <v>2</v>
      </c>
    </row>
    <row r="1453">
      <c r="E1453" s="1" t="s">
        <v>2</v>
      </c>
      <c r="F1453" s="1" t="s">
        <v>2</v>
      </c>
    </row>
    <row r="1454">
      <c r="E1454" s="1" t="s">
        <v>2</v>
      </c>
      <c r="F1454" s="1" t="s">
        <v>2</v>
      </c>
    </row>
    <row r="1455">
      <c r="E1455" s="1" t="s">
        <v>2</v>
      </c>
      <c r="F1455" s="1" t="s">
        <v>2</v>
      </c>
    </row>
    <row r="1456">
      <c r="E1456" s="1" t="s">
        <v>2</v>
      </c>
      <c r="F1456" s="1" t="s">
        <v>2</v>
      </c>
    </row>
    <row r="1457">
      <c r="E1457" s="1" t="s">
        <v>2</v>
      </c>
      <c r="F1457" s="1" t="s">
        <v>2</v>
      </c>
    </row>
    <row r="1458">
      <c r="E1458" s="1" t="s">
        <v>2</v>
      </c>
      <c r="F1458" s="1" t="s">
        <v>2</v>
      </c>
    </row>
    <row r="1459">
      <c r="E1459" s="1" t="s">
        <v>2</v>
      </c>
      <c r="F1459" s="1" t="s">
        <v>2</v>
      </c>
    </row>
    <row r="1460">
      <c r="E1460" s="1" t="s">
        <v>2</v>
      </c>
      <c r="F1460" s="1" t="s">
        <v>2</v>
      </c>
    </row>
    <row r="1461">
      <c r="E1461" s="1" t="s">
        <v>2</v>
      </c>
      <c r="F1461" s="1" t="s">
        <v>2</v>
      </c>
    </row>
    <row r="1462">
      <c r="E1462" s="1" t="s">
        <v>2</v>
      </c>
      <c r="F1462" s="1" t="s">
        <v>2</v>
      </c>
    </row>
    <row r="1463">
      <c r="E1463" s="1" t="s">
        <v>2</v>
      </c>
      <c r="F1463" s="1" t="s">
        <v>2</v>
      </c>
    </row>
    <row r="1464">
      <c r="E1464" s="1" t="s">
        <v>2</v>
      </c>
      <c r="F1464" s="1" t="s">
        <v>2</v>
      </c>
    </row>
    <row r="1465">
      <c r="E1465" s="1" t="s">
        <v>2</v>
      </c>
      <c r="F1465" s="1" t="s">
        <v>2</v>
      </c>
    </row>
    <row r="1466">
      <c r="E1466" s="1" t="s">
        <v>2</v>
      </c>
      <c r="F1466" s="1" t="s">
        <v>2</v>
      </c>
    </row>
    <row r="1467">
      <c r="E1467" s="1" t="s">
        <v>2</v>
      </c>
      <c r="F1467" s="1" t="s">
        <v>2</v>
      </c>
    </row>
    <row r="1468">
      <c r="E1468" s="1" t="s">
        <v>2</v>
      </c>
      <c r="F1468" s="1" t="s">
        <v>2</v>
      </c>
    </row>
    <row r="1469">
      <c r="E1469" s="1" t="s">
        <v>2</v>
      </c>
      <c r="F1469" s="1" t="s">
        <v>2</v>
      </c>
    </row>
    <row r="1470">
      <c r="E1470" s="1" t="s">
        <v>2</v>
      </c>
      <c r="F1470" s="1" t="s">
        <v>2</v>
      </c>
    </row>
    <row r="1471">
      <c r="E1471" s="1" t="s">
        <v>2</v>
      </c>
      <c r="F1471" s="1" t="s">
        <v>2</v>
      </c>
    </row>
    <row r="1472">
      <c r="E1472" s="1" t="s">
        <v>2</v>
      </c>
      <c r="F1472" s="1" t="s">
        <v>2</v>
      </c>
    </row>
    <row r="1473">
      <c r="E1473" s="1" t="s">
        <v>2</v>
      </c>
      <c r="F1473" s="1" t="s">
        <v>2</v>
      </c>
    </row>
    <row r="1474">
      <c r="E1474" s="1" t="s">
        <v>2</v>
      </c>
      <c r="F1474" s="1" t="s">
        <v>2</v>
      </c>
    </row>
    <row r="1475">
      <c r="E1475" s="1" t="s">
        <v>2</v>
      </c>
      <c r="F1475" s="1" t="s">
        <v>2</v>
      </c>
    </row>
    <row r="1476">
      <c r="E1476" s="1" t="s">
        <v>2</v>
      </c>
      <c r="F1476" s="1" t="s">
        <v>2</v>
      </c>
    </row>
    <row r="1477">
      <c r="E1477" s="1" t="s">
        <v>2</v>
      </c>
      <c r="F1477" s="1" t="s">
        <v>2</v>
      </c>
    </row>
    <row r="1478">
      <c r="E1478" s="1" t="s">
        <v>2</v>
      </c>
      <c r="F1478" s="1" t="s">
        <v>2</v>
      </c>
    </row>
    <row r="1479">
      <c r="E1479" s="1" t="s">
        <v>2</v>
      </c>
      <c r="F1479" s="1" t="s">
        <v>2</v>
      </c>
    </row>
    <row r="1480">
      <c r="E1480" s="1" t="s">
        <v>2</v>
      </c>
      <c r="F1480" s="1" t="s">
        <v>2</v>
      </c>
    </row>
    <row r="1481">
      <c r="E1481" s="1" t="s">
        <v>2</v>
      </c>
      <c r="F1481" s="1" t="s">
        <v>2</v>
      </c>
    </row>
    <row r="1482">
      <c r="E1482" s="1" t="s">
        <v>2</v>
      </c>
      <c r="F1482" s="1" t="s">
        <v>2</v>
      </c>
    </row>
    <row r="1483">
      <c r="E1483" s="1" t="s">
        <v>2</v>
      </c>
      <c r="F1483" s="1" t="s">
        <v>2</v>
      </c>
    </row>
    <row r="1484">
      <c r="E1484" s="1" t="s">
        <v>2</v>
      </c>
      <c r="F1484" s="1" t="s">
        <v>2</v>
      </c>
    </row>
    <row r="1485">
      <c r="E1485" s="1" t="s">
        <v>2</v>
      </c>
      <c r="F1485" s="1" t="s">
        <v>2</v>
      </c>
    </row>
    <row r="1486">
      <c r="E1486" s="1" t="s">
        <v>2</v>
      </c>
      <c r="F1486" s="1" t="s">
        <v>2</v>
      </c>
    </row>
    <row r="1487">
      <c r="E1487" s="1" t="s">
        <v>2</v>
      </c>
      <c r="F1487" s="1" t="s">
        <v>2</v>
      </c>
    </row>
    <row r="1488">
      <c r="E1488" s="1" t="s">
        <v>2</v>
      </c>
      <c r="F1488" s="1" t="s">
        <v>2</v>
      </c>
    </row>
    <row r="1489">
      <c r="E1489" s="1" t="s">
        <v>2</v>
      </c>
      <c r="F1489" s="1" t="s">
        <v>2</v>
      </c>
    </row>
    <row r="1490">
      <c r="E1490" s="1" t="s">
        <v>2</v>
      </c>
      <c r="F1490" s="1" t="s">
        <v>2</v>
      </c>
    </row>
    <row r="1491">
      <c r="E1491" s="1" t="s">
        <v>2</v>
      </c>
      <c r="F1491" s="1" t="s">
        <v>2</v>
      </c>
    </row>
    <row r="1492">
      <c r="E1492" s="1" t="s">
        <v>2</v>
      </c>
      <c r="F1492" s="1" t="s">
        <v>2</v>
      </c>
    </row>
    <row r="1493">
      <c r="E1493" s="1" t="s">
        <v>2</v>
      </c>
      <c r="F1493" s="1" t="s">
        <v>2</v>
      </c>
    </row>
    <row r="1494">
      <c r="E1494" s="1" t="s">
        <v>2</v>
      </c>
      <c r="F1494" s="1" t="s">
        <v>2</v>
      </c>
    </row>
    <row r="1495">
      <c r="E1495" s="1" t="s">
        <v>2</v>
      </c>
      <c r="F1495" s="1" t="s">
        <v>2</v>
      </c>
    </row>
    <row r="1496">
      <c r="E1496" s="1" t="s">
        <v>2</v>
      </c>
      <c r="F1496" s="1" t="s">
        <v>2</v>
      </c>
    </row>
    <row r="1497">
      <c r="E1497" s="1" t="s">
        <v>2</v>
      </c>
      <c r="F1497" s="1" t="s">
        <v>2</v>
      </c>
    </row>
    <row r="1498">
      <c r="E1498" s="1" t="s">
        <v>2</v>
      </c>
      <c r="F1498" s="1" t="s">
        <v>2</v>
      </c>
    </row>
    <row r="1499">
      <c r="E1499" s="1" t="s">
        <v>2</v>
      </c>
      <c r="F1499" s="1" t="s">
        <v>2</v>
      </c>
    </row>
    <row r="1500">
      <c r="E1500" s="1" t="s">
        <v>2</v>
      </c>
      <c r="F1500" s="1" t="s">
        <v>2</v>
      </c>
    </row>
    <row r="1501">
      <c r="E1501" s="1" t="s">
        <v>2</v>
      </c>
      <c r="F1501" s="1" t="s">
        <v>2</v>
      </c>
    </row>
    <row r="1502">
      <c r="E1502" s="1" t="s">
        <v>2</v>
      </c>
      <c r="F1502" s="1" t="s">
        <v>2</v>
      </c>
    </row>
    <row r="1503">
      <c r="E1503" s="1" t="s">
        <v>2</v>
      </c>
      <c r="F1503" s="1" t="s">
        <v>2</v>
      </c>
    </row>
    <row r="1504">
      <c r="E1504" s="1" t="s">
        <v>2</v>
      </c>
      <c r="F1504" s="1" t="s">
        <v>2</v>
      </c>
    </row>
    <row r="1505">
      <c r="E1505" s="1" t="s">
        <v>2</v>
      </c>
      <c r="F1505" s="1" t="s">
        <v>2</v>
      </c>
    </row>
    <row r="1506">
      <c r="E1506" s="1" t="s">
        <v>2</v>
      </c>
      <c r="F1506" s="1" t="s">
        <v>2</v>
      </c>
    </row>
    <row r="1507">
      <c r="E1507" s="1" t="s">
        <v>2</v>
      </c>
      <c r="F1507" s="1" t="s">
        <v>2</v>
      </c>
    </row>
    <row r="1508">
      <c r="E1508" s="1" t="s">
        <v>2</v>
      </c>
      <c r="F1508" s="1" t="s">
        <v>2</v>
      </c>
    </row>
    <row r="1509">
      <c r="E1509" s="1" t="s">
        <v>2</v>
      </c>
      <c r="F1509" s="1" t="s">
        <v>2</v>
      </c>
    </row>
    <row r="1510">
      <c r="E1510" s="1" t="s">
        <v>2</v>
      </c>
      <c r="F1510" s="1" t="s">
        <v>2</v>
      </c>
    </row>
    <row r="1511">
      <c r="E1511" s="1" t="s">
        <v>2</v>
      </c>
      <c r="F1511" s="1" t="s">
        <v>2</v>
      </c>
    </row>
    <row r="1512">
      <c r="E1512" s="1" t="s">
        <v>2</v>
      </c>
      <c r="F1512" s="1" t="s">
        <v>2</v>
      </c>
    </row>
    <row r="1513">
      <c r="E1513" s="1" t="s">
        <v>2</v>
      </c>
      <c r="F1513" s="1" t="s">
        <v>2</v>
      </c>
    </row>
    <row r="1514">
      <c r="E1514" s="1" t="s">
        <v>2</v>
      </c>
      <c r="F1514" s="1" t="s">
        <v>2</v>
      </c>
    </row>
    <row r="1515">
      <c r="E1515" s="1" t="s">
        <v>2</v>
      </c>
      <c r="F1515" s="1" t="s">
        <v>2</v>
      </c>
    </row>
    <row r="1516">
      <c r="E1516" s="1" t="s">
        <v>2</v>
      </c>
      <c r="F1516" s="1" t="s">
        <v>2</v>
      </c>
    </row>
    <row r="1517">
      <c r="E1517" s="1" t="s">
        <v>2</v>
      </c>
      <c r="F1517" s="1" t="s">
        <v>2</v>
      </c>
    </row>
    <row r="1518">
      <c r="E1518" s="1" t="s">
        <v>2</v>
      </c>
      <c r="F1518" s="1" t="s">
        <v>2</v>
      </c>
    </row>
    <row r="1519">
      <c r="E1519" s="1" t="s">
        <v>2</v>
      </c>
      <c r="F1519" s="1" t="s">
        <v>2</v>
      </c>
    </row>
    <row r="1520">
      <c r="E1520" s="1" t="s">
        <v>2</v>
      </c>
      <c r="F1520" s="1" t="s">
        <v>2</v>
      </c>
    </row>
    <row r="1521">
      <c r="E1521" s="1" t="s">
        <v>2</v>
      </c>
      <c r="F1521" s="1" t="s">
        <v>2</v>
      </c>
    </row>
    <row r="1522">
      <c r="E1522" s="1" t="s">
        <v>2</v>
      </c>
      <c r="F1522" s="1" t="s">
        <v>2</v>
      </c>
    </row>
    <row r="1523">
      <c r="E1523" s="1" t="s">
        <v>2</v>
      </c>
      <c r="F1523" s="1" t="s">
        <v>2</v>
      </c>
    </row>
    <row r="1524">
      <c r="E1524" s="1" t="s">
        <v>2</v>
      </c>
      <c r="F1524" s="1" t="s">
        <v>2</v>
      </c>
    </row>
    <row r="1525">
      <c r="E1525" s="1" t="s">
        <v>2</v>
      </c>
      <c r="F1525" s="1" t="s">
        <v>2</v>
      </c>
    </row>
    <row r="1526">
      <c r="E1526" s="1" t="s">
        <v>2</v>
      </c>
      <c r="F1526" s="1" t="s">
        <v>2</v>
      </c>
    </row>
    <row r="1527">
      <c r="E1527" s="1" t="s">
        <v>2</v>
      </c>
      <c r="F1527" s="1" t="s">
        <v>2</v>
      </c>
    </row>
    <row r="1528">
      <c r="E1528" s="1" t="s">
        <v>2</v>
      </c>
      <c r="F1528" s="1" t="s">
        <v>2</v>
      </c>
    </row>
    <row r="1529">
      <c r="E1529" s="1" t="s">
        <v>2</v>
      </c>
      <c r="F1529" s="1" t="s">
        <v>2</v>
      </c>
    </row>
    <row r="1530">
      <c r="E1530" s="1" t="s">
        <v>2</v>
      </c>
      <c r="F1530" s="1" t="s">
        <v>2</v>
      </c>
    </row>
    <row r="1531">
      <c r="E1531" s="1" t="s">
        <v>2</v>
      </c>
      <c r="F1531" s="1" t="s">
        <v>2</v>
      </c>
    </row>
    <row r="1532">
      <c r="E1532" s="1" t="s">
        <v>2</v>
      </c>
      <c r="F1532" s="1" t="s">
        <v>2</v>
      </c>
    </row>
    <row r="1533">
      <c r="E1533" s="1" t="s">
        <v>2</v>
      </c>
      <c r="F1533" s="1" t="s">
        <v>2</v>
      </c>
    </row>
    <row r="1534">
      <c r="E1534" s="1" t="s">
        <v>2</v>
      </c>
      <c r="F1534" s="1" t="s">
        <v>2</v>
      </c>
    </row>
    <row r="1535">
      <c r="E1535" s="1" t="s">
        <v>2</v>
      </c>
      <c r="F1535" s="1" t="s">
        <v>2</v>
      </c>
    </row>
    <row r="1536">
      <c r="E1536" s="1" t="s">
        <v>2</v>
      </c>
      <c r="F1536" s="1" t="s">
        <v>2</v>
      </c>
    </row>
    <row r="1537">
      <c r="E1537" s="1" t="s">
        <v>2</v>
      </c>
      <c r="F1537" s="1" t="s">
        <v>2</v>
      </c>
    </row>
    <row r="1538">
      <c r="E1538" s="1" t="s">
        <v>2</v>
      </c>
      <c r="F1538" s="1" t="s">
        <v>2</v>
      </c>
    </row>
    <row r="1539">
      <c r="E1539" s="1" t="s">
        <v>2</v>
      </c>
      <c r="F1539" s="1" t="s">
        <v>2</v>
      </c>
    </row>
    <row r="1540">
      <c r="E1540" s="1" t="s">
        <v>2</v>
      </c>
      <c r="F1540" s="1" t="s">
        <v>2</v>
      </c>
    </row>
    <row r="1541">
      <c r="E1541" s="1" t="s">
        <v>2</v>
      </c>
      <c r="F1541" s="1" t="s">
        <v>2</v>
      </c>
    </row>
    <row r="1542">
      <c r="E1542" s="1" t="s">
        <v>2</v>
      </c>
      <c r="F1542" s="1" t="s">
        <v>2</v>
      </c>
    </row>
    <row r="1543">
      <c r="E1543" s="1" t="s">
        <v>2</v>
      </c>
      <c r="F1543" s="1" t="s">
        <v>2</v>
      </c>
    </row>
    <row r="1544">
      <c r="E1544" s="1" t="s">
        <v>2</v>
      </c>
      <c r="F1544" s="1" t="s">
        <v>2</v>
      </c>
    </row>
    <row r="1545">
      <c r="E1545" s="1" t="s">
        <v>2</v>
      </c>
      <c r="F1545" s="1" t="s">
        <v>2</v>
      </c>
    </row>
    <row r="1546">
      <c r="E1546" s="1" t="s">
        <v>2</v>
      </c>
      <c r="F1546" s="1" t="s">
        <v>2</v>
      </c>
    </row>
    <row r="1547">
      <c r="E1547" s="1" t="s">
        <v>2</v>
      </c>
      <c r="F1547" s="1" t="s">
        <v>2</v>
      </c>
    </row>
    <row r="1548">
      <c r="E1548" s="1" t="s">
        <v>2</v>
      </c>
      <c r="F1548" s="1" t="s">
        <v>2</v>
      </c>
    </row>
    <row r="1549">
      <c r="E1549" s="1" t="s">
        <v>2</v>
      </c>
      <c r="F1549" s="1" t="s">
        <v>2</v>
      </c>
    </row>
    <row r="1550">
      <c r="E1550" s="1" t="s">
        <v>2</v>
      </c>
      <c r="F1550" s="1" t="s">
        <v>2</v>
      </c>
    </row>
    <row r="1551">
      <c r="E1551" s="1" t="s">
        <v>2</v>
      </c>
      <c r="F1551" s="1" t="s">
        <v>2</v>
      </c>
    </row>
    <row r="1552">
      <c r="E1552" s="1" t="s">
        <v>2</v>
      </c>
      <c r="F1552" s="1" t="s">
        <v>2</v>
      </c>
    </row>
    <row r="1553">
      <c r="E1553" s="1" t="s">
        <v>2</v>
      </c>
      <c r="F1553" s="1" t="s">
        <v>2</v>
      </c>
    </row>
    <row r="1554">
      <c r="E1554" s="1" t="s">
        <v>2</v>
      </c>
      <c r="F1554" s="1" t="s">
        <v>2</v>
      </c>
    </row>
    <row r="1555">
      <c r="E1555" s="1" t="s">
        <v>2</v>
      </c>
      <c r="F1555" s="1" t="s">
        <v>2</v>
      </c>
    </row>
    <row r="1556">
      <c r="E1556" s="1" t="s">
        <v>2</v>
      </c>
      <c r="F1556" s="1" t="s">
        <v>2</v>
      </c>
    </row>
    <row r="1557">
      <c r="E1557" s="1" t="s">
        <v>2</v>
      </c>
      <c r="F1557" s="1" t="s">
        <v>2</v>
      </c>
    </row>
    <row r="1558">
      <c r="E1558" s="1" t="s">
        <v>2</v>
      </c>
      <c r="F1558" s="1" t="s">
        <v>2</v>
      </c>
    </row>
    <row r="1559">
      <c r="E1559" s="1" t="s">
        <v>2</v>
      </c>
      <c r="F1559" s="1" t="s">
        <v>2</v>
      </c>
    </row>
    <row r="1560">
      <c r="E1560" s="1" t="s">
        <v>2</v>
      </c>
      <c r="F1560" s="1" t="s">
        <v>2</v>
      </c>
    </row>
    <row r="1561">
      <c r="E1561" s="1" t="s">
        <v>2</v>
      </c>
      <c r="F1561" s="1" t="s">
        <v>2</v>
      </c>
    </row>
    <row r="1562">
      <c r="E1562" s="1" t="s">
        <v>2</v>
      </c>
      <c r="F1562" s="1" t="s">
        <v>2</v>
      </c>
    </row>
    <row r="1563">
      <c r="E1563" s="1" t="s">
        <v>2</v>
      </c>
      <c r="F1563" s="1" t="s">
        <v>2</v>
      </c>
    </row>
    <row r="1564">
      <c r="E1564" s="1" t="s">
        <v>2</v>
      </c>
      <c r="F1564" s="1" t="s">
        <v>2</v>
      </c>
    </row>
    <row r="1565">
      <c r="E1565" s="1" t="s">
        <v>2</v>
      </c>
      <c r="F1565" s="1" t="s">
        <v>2</v>
      </c>
    </row>
    <row r="1566">
      <c r="E1566" s="1" t="s">
        <v>2</v>
      </c>
      <c r="F1566" s="1" t="s">
        <v>2</v>
      </c>
    </row>
    <row r="1567">
      <c r="E1567" s="1" t="s">
        <v>2</v>
      </c>
      <c r="F1567" s="1" t="s">
        <v>2</v>
      </c>
    </row>
    <row r="1568">
      <c r="E1568" s="1" t="s">
        <v>2</v>
      </c>
      <c r="F1568" s="1" t="s">
        <v>2</v>
      </c>
    </row>
    <row r="1569">
      <c r="E1569" s="1" t="s">
        <v>2</v>
      </c>
      <c r="F1569" s="1" t="s">
        <v>2</v>
      </c>
    </row>
    <row r="1570">
      <c r="E1570" s="1" t="s">
        <v>2</v>
      </c>
      <c r="F1570" s="1" t="s">
        <v>2</v>
      </c>
    </row>
    <row r="1571">
      <c r="E1571" s="1" t="s">
        <v>2</v>
      </c>
      <c r="F1571" s="1" t="s">
        <v>2</v>
      </c>
    </row>
    <row r="1572">
      <c r="E1572" s="1" t="s">
        <v>2</v>
      </c>
      <c r="F1572" s="1" t="s">
        <v>2</v>
      </c>
    </row>
    <row r="1573">
      <c r="E1573" s="1" t="s">
        <v>2</v>
      </c>
      <c r="F1573" s="1" t="s">
        <v>2</v>
      </c>
    </row>
    <row r="1574">
      <c r="E1574" s="1" t="s">
        <v>2</v>
      </c>
      <c r="F1574" s="1" t="s">
        <v>2</v>
      </c>
    </row>
    <row r="1575">
      <c r="E1575" s="1" t="s">
        <v>2</v>
      </c>
      <c r="F1575" s="1" t="s">
        <v>2</v>
      </c>
    </row>
    <row r="1576">
      <c r="E1576" s="1" t="s">
        <v>2</v>
      </c>
      <c r="F1576" s="1" t="s">
        <v>2</v>
      </c>
    </row>
    <row r="1577">
      <c r="E1577" s="1" t="s">
        <v>2</v>
      </c>
      <c r="F1577" s="1" t="s">
        <v>2</v>
      </c>
    </row>
    <row r="1578">
      <c r="E1578" s="1" t="s">
        <v>2</v>
      </c>
      <c r="F1578" s="1" t="s">
        <v>2</v>
      </c>
    </row>
    <row r="1579">
      <c r="E1579" s="1" t="s">
        <v>2</v>
      </c>
      <c r="F1579" s="1" t="s">
        <v>2</v>
      </c>
    </row>
    <row r="1580">
      <c r="E1580" s="1" t="s">
        <v>2</v>
      </c>
      <c r="F1580" s="1" t="s">
        <v>2</v>
      </c>
    </row>
    <row r="1581">
      <c r="E1581" s="1" t="s">
        <v>2</v>
      </c>
      <c r="F1581" s="1" t="s">
        <v>2</v>
      </c>
    </row>
    <row r="1582">
      <c r="E1582" s="1" t="s">
        <v>2</v>
      </c>
      <c r="F1582" s="1" t="s">
        <v>2</v>
      </c>
    </row>
    <row r="1583">
      <c r="E1583" s="1" t="s">
        <v>2</v>
      </c>
      <c r="F1583" s="1" t="s">
        <v>2</v>
      </c>
    </row>
    <row r="1584">
      <c r="E1584" s="1" t="s">
        <v>2</v>
      </c>
      <c r="F1584" s="1" t="s">
        <v>2</v>
      </c>
    </row>
    <row r="1585">
      <c r="E1585" s="1" t="s">
        <v>2</v>
      </c>
      <c r="F1585" s="1" t="s">
        <v>2</v>
      </c>
    </row>
    <row r="1586">
      <c r="E1586" s="1" t="s">
        <v>2</v>
      </c>
      <c r="F1586" s="1" t="s">
        <v>2</v>
      </c>
    </row>
    <row r="1587">
      <c r="E1587" s="1" t="s">
        <v>2</v>
      </c>
      <c r="F1587" s="1" t="s">
        <v>2</v>
      </c>
    </row>
    <row r="1588">
      <c r="E1588" s="1" t="s">
        <v>2</v>
      </c>
      <c r="F1588" s="1" t="s">
        <v>2</v>
      </c>
    </row>
    <row r="1589">
      <c r="E1589" s="1" t="s">
        <v>2</v>
      </c>
      <c r="F1589" s="1" t="s">
        <v>2</v>
      </c>
    </row>
    <row r="1590">
      <c r="E1590" s="1" t="s">
        <v>2</v>
      </c>
      <c r="F1590" s="1" t="s">
        <v>2</v>
      </c>
    </row>
    <row r="1591">
      <c r="E1591" s="1" t="s">
        <v>2</v>
      </c>
      <c r="F1591" s="1" t="s">
        <v>2</v>
      </c>
    </row>
    <row r="1592">
      <c r="E1592" s="1" t="s">
        <v>2</v>
      </c>
      <c r="F1592" s="1" t="s">
        <v>2</v>
      </c>
    </row>
    <row r="1593">
      <c r="E1593" s="1" t="s">
        <v>2</v>
      </c>
      <c r="F1593" s="1" t="s">
        <v>2</v>
      </c>
    </row>
    <row r="1594">
      <c r="E1594" s="1" t="s">
        <v>2</v>
      </c>
      <c r="F1594" s="1" t="s">
        <v>2</v>
      </c>
    </row>
    <row r="1595">
      <c r="E1595" s="1" t="s">
        <v>2</v>
      </c>
      <c r="F1595" s="1" t="s">
        <v>2</v>
      </c>
    </row>
    <row r="1596">
      <c r="E1596" s="1" t="s">
        <v>2</v>
      </c>
      <c r="F1596" s="1" t="s">
        <v>2</v>
      </c>
    </row>
    <row r="1597">
      <c r="E1597" s="1" t="s">
        <v>2</v>
      </c>
      <c r="F1597" s="1" t="s">
        <v>2</v>
      </c>
    </row>
    <row r="1598">
      <c r="E1598" s="1" t="s">
        <v>2</v>
      </c>
      <c r="F1598" s="1" t="s">
        <v>2</v>
      </c>
    </row>
    <row r="1599">
      <c r="E1599" s="1" t="s">
        <v>2</v>
      </c>
      <c r="F1599" s="1" t="s">
        <v>2</v>
      </c>
    </row>
    <row r="1600">
      <c r="E1600" s="1" t="s">
        <v>2</v>
      </c>
      <c r="F1600" s="1" t="s">
        <v>2</v>
      </c>
    </row>
    <row r="1601">
      <c r="E1601" s="1" t="s">
        <v>2</v>
      </c>
      <c r="F1601" s="1" t="s">
        <v>2</v>
      </c>
    </row>
    <row r="1602">
      <c r="E1602" s="1" t="s">
        <v>2</v>
      </c>
      <c r="F1602" s="1" t="s">
        <v>2</v>
      </c>
    </row>
    <row r="1603">
      <c r="E1603" s="1" t="s">
        <v>2</v>
      </c>
      <c r="F1603" s="1" t="s">
        <v>2</v>
      </c>
    </row>
    <row r="1604">
      <c r="E1604" s="1" t="s">
        <v>2</v>
      </c>
      <c r="F1604" s="1" t="s">
        <v>2</v>
      </c>
    </row>
    <row r="1605">
      <c r="E1605" s="1" t="s">
        <v>2</v>
      </c>
      <c r="F1605" s="1" t="s">
        <v>2</v>
      </c>
    </row>
    <row r="1606">
      <c r="E1606" s="1" t="s">
        <v>2</v>
      </c>
      <c r="F1606" s="1" t="s">
        <v>2</v>
      </c>
    </row>
    <row r="1607">
      <c r="E1607" s="1" t="s">
        <v>2</v>
      </c>
      <c r="F1607" s="1" t="s">
        <v>2</v>
      </c>
    </row>
    <row r="1608">
      <c r="E1608" s="1" t="s">
        <v>2</v>
      </c>
      <c r="F1608" s="1" t="s">
        <v>2</v>
      </c>
    </row>
    <row r="1609">
      <c r="E1609" s="1" t="s">
        <v>2</v>
      </c>
      <c r="F1609" s="1" t="s">
        <v>2</v>
      </c>
    </row>
    <row r="1610">
      <c r="E1610" s="1" t="s">
        <v>2</v>
      </c>
      <c r="F1610" s="1" t="s">
        <v>2</v>
      </c>
    </row>
    <row r="1611">
      <c r="E1611" s="1" t="s">
        <v>2</v>
      </c>
      <c r="F1611" s="1" t="s">
        <v>2</v>
      </c>
    </row>
    <row r="1612">
      <c r="E1612" s="1" t="s">
        <v>2</v>
      </c>
      <c r="F1612" s="1" t="s">
        <v>2</v>
      </c>
    </row>
    <row r="1613">
      <c r="E1613" s="1" t="s">
        <v>2</v>
      </c>
      <c r="F1613" s="1" t="s">
        <v>2</v>
      </c>
    </row>
    <row r="1614">
      <c r="E1614" s="1" t="s">
        <v>2</v>
      </c>
      <c r="F1614" s="1" t="s">
        <v>2</v>
      </c>
    </row>
    <row r="1615">
      <c r="E1615" s="1" t="s">
        <v>2</v>
      </c>
      <c r="F1615" s="1" t="s">
        <v>2</v>
      </c>
    </row>
    <row r="1616">
      <c r="E1616" s="1" t="s">
        <v>2</v>
      </c>
      <c r="F1616" s="1" t="s">
        <v>2</v>
      </c>
    </row>
    <row r="1617">
      <c r="E1617" s="1" t="s">
        <v>2</v>
      </c>
      <c r="F1617" s="1" t="s">
        <v>2</v>
      </c>
    </row>
    <row r="1618">
      <c r="E1618" s="1" t="s">
        <v>2</v>
      </c>
      <c r="F1618" s="1" t="s">
        <v>2</v>
      </c>
    </row>
    <row r="1619">
      <c r="E1619" s="1" t="s">
        <v>2</v>
      </c>
      <c r="F1619" s="1" t="s">
        <v>2</v>
      </c>
    </row>
    <row r="1620">
      <c r="E1620" s="1" t="s">
        <v>2</v>
      </c>
      <c r="F1620" s="1" t="s">
        <v>2</v>
      </c>
    </row>
    <row r="1621">
      <c r="E1621" s="1" t="s">
        <v>2</v>
      </c>
      <c r="F1621" s="1" t="s">
        <v>2</v>
      </c>
    </row>
    <row r="1622">
      <c r="E1622" s="1" t="s">
        <v>2</v>
      </c>
      <c r="F1622" s="1" t="s">
        <v>2</v>
      </c>
    </row>
    <row r="1623">
      <c r="E1623" s="1" t="s">
        <v>2</v>
      </c>
      <c r="F1623" s="1" t="s">
        <v>2</v>
      </c>
    </row>
    <row r="1624">
      <c r="E1624" s="1" t="s">
        <v>2</v>
      </c>
      <c r="F1624" s="1" t="s">
        <v>2</v>
      </c>
    </row>
    <row r="1625">
      <c r="E1625" s="1" t="s">
        <v>2</v>
      </c>
      <c r="F1625" s="1" t="s">
        <v>2</v>
      </c>
    </row>
    <row r="1626">
      <c r="E1626" s="1" t="s">
        <v>2</v>
      </c>
      <c r="F1626" s="1" t="s">
        <v>2</v>
      </c>
    </row>
    <row r="1627">
      <c r="E1627" s="1" t="s">
        <v>2</v>
      </c>
      <c r="F1627" s="1" t="s">
        <v>2</v>
      </c>
    </row>
    <row r="1628">
      <c r="E1628" s="1" t="s">
        <v>2</v>
      </c>
      <c r="F1628" s="1" t="s">
        <v>2</v>
      </c>
    </row>
    <row r="1629">
      <c r="E1629" s="1" t="s">
        <v>2</v>
      </c>
      <c r="F1629" s="1" t="s">
        <v>2</v>
      </c>
    </row>
    <row r="1630">
      <c r="E1630" s="1" t="s">
        <v>2</v>
      </c>
      <c r="F1630" s="1" t="s">
        <v>2</v>
      </c>
    </row>
    <row r="1631">
      <c r="E1631" s="1" t="s">
        <v>2</v>
      </c>
      <c r="F1631" s="1" t="s">
        <v>2</v>
      </c>
    </row>
    <row r="1632">
      <c r="E1632" s="1" t="s">
        <v>2</v>
      </c>
      <c r="F1632" s="1" t="s">
        <v>2</v>
      </c>
    </row>
    <row r="1633">
      <c r="E1633" s="1" t="s">
        <v>2</v>
      </c>
      <c r="F1633" s="1" t="s">
        <v>2</v>
      </c>
    </row>
    <row r="1634">
      <c r="E1634" s="1" t="s">
        <v>2</v>
      </c>
      <c r="F1634" s="1" t="s">
        <v>2</v>
      </c>
    </row>
    <row r="1635">
      <c r="E1635" s="1" t="s">
        <v>2</v>
      </c>
      <c r="F1635" s="1" t="s">
        <v>2</v>
      </c>
    </row>
    <row r="1636">
      <c r="E1636" s="1" t="s">
        <v>2</v>
      </c>
      <c r="F1636" s="1" t="s">
        <v>2</v>
      </c>
    </row>
    <row r="1637">
      <c r="E1637" s="1" t="s">
        <v>2</v>
      </c>
      <c r="F1637" s="1" t="s">
        <v>2</v>
      </c>
    </row>
    <row r="1638">
      <c r="E1638" s="1" t="s">
        <v>2</v>
      </c>
      <c r="F1638" s="1" t="s">
        <v>2</v>
      </c>
    </row>
    <row r="1639">
      <c r="E1639" s="1" t="s">
        <v>2</v>
      </c>
      <c r="F1639" s="1" t="s">
        <v>2</v>
      </c>
    </row>
    <row r="1640">
      <c r="E1640" s="1" t="s">
        <v>2</v>
      </c>
      <c r="F1640" s="1" t="s">
        <v>2</v>
      </c>
    </row>
    <row r="1641">
      <c r="E1641" s="1" t="s">
        <v>2</v>
      </c>
      <c r="F1641" s="1" t="s">
        <v>2</v>
      </c>
    </row>
    <row r="1642">
      <c r="E1642" s="1" t="s">
        <v>2</v>
      </c>
      <c r="F1642" s="1" t="s">
        <v>2</v>
      </c>
    </row>
    <row r="1643">
      <c r="E1643" s="1" t="s">
        <v>2</v>
      </c>
      <c r="F1643" s="1" t="s">
        <v>2</v>
      </c>
    </row>
    <row r="1644">
      <c r="E1644" s="1" t="s">
        <v>2</v>
      </c>
      <c r="F1644" s="1" t="s">
        <v>2</v>
      </c>
    </row>
    <row r="1645">
      <c r="E1645" s="1" t="s">
        <v>2</v>
      </c>
      <c r="F1645" s="1" t="s">
        <v>2</v>
      </c>
    </row>
    <row r="1646">
      <c r="E1646" s="1" t="s">
        <v>2</v>
      </c>
      <c r="F1646" s="1" t="s">
        <v>2</v>
      </c>
    </row>
    <row r="1647">
      <c r="E1647" s="1" t="s">
        <v>2</v>
      </c>
      <c r="F1647" s="1" t="s">
        <v>2</v>
      </c>
    </row>
    <row r="1648">
      <c r="E1648" s="1" t="s">
        <v>2</v>
      </c>
      <c r="F1648" s="1" t="s">
        <v>2</v>
      </c>
    </row>
    <row r="1649">
      <c r="E1649" s="1" t="s">
        <v>2</v>
      </c>
      <c r="F1649" s="1" t="s">
        <v>2</v>
      </c>
    </row>
    <row r="1650">
      <c r="E1650" s="1" t="s">
        <v>2</v>
      </c>
      <c r="F1650" s="1" t="s">
        <v>2</v>
      </c>
    </row>
    <row r="1651">
      <c r="E1651" s="1" t="s">
        <v>2</v>
      </c>
      <c r="F1651" s="1" t="s">
        <v>2</v>
      </c>
    </row>
    <row r="1652">
      <c r="E1652" s="1" t="s">
        <v>2</v>
      </c>
      <c r="F1652" s="1" t="s">
        <v>2</v>
      </c>
    </row>
    <row r="1653">
      <c r="E1653" s="1" t="s">
        <v>2</v>
      </c>
      <c r="F1653" s="1" t="s">
        <v>2</v>
      </c>
    </row>
    <row r="1654">
      <c r="E1654" s="1" t="s">
        <v>2</v>
      </c>
      <c r="F1654" s="1" t="s">
        <v>2</v>
      </c>
    </row>
    <row r="1655">
      <c r="E1655" s="1" t="s">
        <v>2</v>
      </c>
      <c r="F1655" s="1" t="s">
        <v>2</v>
      </c>
    </row>
    <row r="1656">
      <c r="E1656" s="1" t="s">
        <v>2</v>
      </c>
      <c r="F1656" s="1" t="s">
        <v>2</v>
      </c>
    </row>
    <row r="1657">
      <c r="E1657" s="1" t="s">
        <v>2</v>
      </c>
      <c r="F1657" s="1" t="s">
        <v>2</v>
      </c>
    </row>
    <row r="1658">
      <c r="E1658" s="1" t="s">
        <v>2</v>
      </c>
      <c r="F1658" s="1" t="s">
        <v>2</v>
      </c>
    </row>
    <row r="1659">
      <c r="E1659" s="1" t="s">
        <v>2</v>
      </c>
      <c r="F1659" s="1" t="s">
        <v>2</v>
      </c>
    </row>
    <row r="1660">
      <c r="E1660" s="1" t="s">
        <v>2</v>
      </c>
      <c r="F1660" s="1" t="s">
        <v>2</v>
      </c>
    </row>
    <row r="1661">
      <c r="E1661" s="1" t="s">
        <v>2</v>
      </c>
      <c r="F1661" s="1" t="s">
        <v>2</v>
      </c>
    </row>
    <row r="1662">
      <c r="E1662" s="1" t="s">
        <v>2</v>
      </c>
      <c r="F1662" s="1" t="s">
        <v>2</v>
      </c>
    </row>
    <row r="1663">
      <c r="E1663" s="1" t="s">
        <v>2</v>
      </c>
      <c r="F1663" s="1" t="s">
        <v>2</v>
      </c>
    </row>
    <row r="1664">
      <c r="E1664" s="1" t="s">
        <v>2</v>
      </c>
      <c r="F1664" s="1" t="s">
        <v>2</v>
      </c>
    </row>
    <row r="1665">
      <c r="E1665" s="1" t="s">
        <v>2</v>
      </c>
      <c r="F1665" s="1" t="s">
        <v>2</v>
      </c>
    </row>
    <row r="1666">
      <c r="E1666" s="1" t="s">
        <v>2</v>
      </c>
      <c r="F1666" s="1" t="s">
        <v>2</v>
      </c>
    </row>
    <row r="1667">
      <c r="E1667" s="1" t="s">
        <v>2</v>
      </c>
      <c r="F1667" s="1" t="s">
        <v>2</v>
      </c>
    </row>
    <row r="1668">
      <c r="E1668" s="1" t="s">
        <v>2</v>
      </c>
      <c r="F1668" s="1" t="s">
        <v>2</v>
      </c>
    </row>
    <row r="1669">
      <c r="E1669" s="1" t="s">
        <v>2</v>
      </c>
      <c r="F1669" s="1" t="s">
        <v>2</v>
      </c>
    </row>
    <row r="1670">
      <c r="E1670" s="1" t="s">
        <v>2</v>
      </c>
      <c r="F1670" s="1" t="s">
        <v>2</v>
      </c>
    </row>
    <row r="1671">
      <c r="E1671" s="1" t="s">
        <v>2</v>
      </c>
      <c r="F1671" s="1" t="s">
        <v>2</v>
      </c>
    </row>
    <row r="1672">
      <c r="E1672" s="1" t="s">
        <v>2</v>
      </c>
      <c r="F1672" s="1" t="s">
        <v>2</v>
      </c>
    </row>
    <row r="1673">
      <c r="E1673" s="1" t="s">
        <v>2</v>
      </c>
      <c r="F1673" s="1" t="s">
        <v>2</v>
      </c>
    </row>
    <row r="1674">
      <c r="E1674" s="1" t="s">
        <v>2</v>
      </c>
      <c r="F1674" s="1" t="s">
        <v>2</v>
      </c>
    </row>
    <row r="1675">
      <c r="E1675" s="1" t="s">
        <v>2</v>
      </c>
      <c r="F1675" s="1" t="s">
        <v>2</v>
      </c>
    </row>
    <row r="1676">
      <c r="E1676" s="1" t="s">
        <v>2</v>
      </c>
      <c r="F1676" s="1" t="s">
        <v>2</v>
      </c>
    </row>
    <row r="1677">
      <c r="E1677" s="1" t="s">
        <v>2</v>
      </c>
      <c r="F1677" s="1" t="s">
        <v>2</v>
      </c>
    </row>
    <row r="1678">
      <c r="E1678" s="1" t="s">
        <v>2</v>
      </c>
      <c r="F1678" s="1" t="s">
        <v>2</v>
      </c>
    </row>
    <row r="1679">
      <c r="E1679" s="1" t="s">
        <v>2</v>
      </c>
      <c r="F1679" s="1" t="s">
        <v>2</v>
      </c>
    </row>
    <row r="1680">
      <c r="E1680" s="1" t="s">
        <v>2</v>
      </c>
      <c r="F1680" s="1" t="s">
        <v>2</v>
      </c>
    </row>
    <row r="1681">
      <c r="E1681" s="1" t="s">
        <v>2</v>
      </c>
      <c r="F1681" s="1" t="s">
        <v>2</v>
      </c>
    </row>
    <row r="1682">
      <c r="E1682" s="1" t="s">
        <v>2</v>
      </c>
      <c r="F1682" s="1" t="s">
        <v>2</v>
      </c>
    </row>
    <row r="1683">
      <c r="E1683" s="1" t="s">
        <v>2</v>
      </c>
      <c r="F1683" s="1" t="s">
        <v>2</v>
      </c>
    </row>
    <row r="1684">
      <c r="E1684" s="1" t="s">
        <v>2</v>
      </c>
      <c r="F1684" s="1" t="s">
        <v>2</v>
      </c>
    </row>
    <row r="1685">
      <c r="E1685" s="1" t="s">
        <v>2</v>
      </c>
      <c r="F1685" s="1" t="s">
        <v>2</v>
      </c>
    </row>
    <row r="1686">
      <c r="E1686" s="1" t="s">
        <v>2</v>
      </c>
      <c r="F1686" s="1" t="s">
        <v>2</v>
      </c>
    </row>
    <row r="1687">
      <c r="E1687" s="1" t="s">
        <v>2</v>
      </c>
      <c r="F1687" s="1" t="s">
        <v>2</v>
      </c>
    </row>
    <row r="1688">
      <c r="E1688" s="1" t="s">
        <v>2</v>
      </c>
      <c r="F1688" s="1" t="s">
        <v>2</v>
      </c>
    </row>
    <row r="1689">
      <c r="E1689" s="1" t="s">
        <v>2</v>
      </c>
      <c r="F1689" s="1" t="s">
        <v>2</v>
      </c>
    </row>
    <row r="1690">
      <c r="E1690" s="1" t="s">
        <v>2</v>
      </c>
      <c r="F1690" s="1" t="s">
        <v>2</v>
      </c>
    </row>
    <row r="1691">
      <c r="E1691" s="1" t="s">
        <v>2</v>
      </c>
      <c r="F1691" s="1" t="s">
        <v>2</v>
      </c>
    </row>
    <row r="1692">
      <c r="E1692" s="1" t="s">
        <v>2</v>
      </c>
      <c r="F1692" s="1" t="s">
        <v>2</v>
      </c>
    </row>
    <row r="1693">
      <c r="E1693" s="1" t="s">
        <v>2</v>
      </c>
      <c r="F1693" s="1" t="s">
        <v>2</v>
      </c>
    </row>
    <row r="1694">
      <c r="E1694" s="1" t="s">
        <v>2</v>
      </c>
      <c r="F1694" s="1" t="s">
        <v>2</v>
      </c>
    </row>
    <row r="1695">
      <c r="E1695" s="1" t="s">
        <v>2</v>
      </c>
      <c r="F1695" s="1" t="s">
        <v>2</v>
      </c>
    </row>
    <row r="1696">
      <c r="E1696" s="1" t="s">
        <v>2</v>
      </c>
      <c r="F1696" s="1" t="s">
        <v>2</v>
      </c>
    </row>
    <row r="1697">
      <c r="E1697" s="1" t="s">
        <v>2</v>
      </c>
      <c r="F1697" s="1" t="s">
        <v>2</v>
      </c>
    </row>
    <row r="1698">
      <c r="E1698" s="1" t="s">
        <v>2</v>
      </c>
      <c r="F1698" s="1" t="s">
        <v>2</v>
      </c>
    </row>
    <row r="1699">
      <c r="E1699" s="1" t="s">
        <v>2</v>
      </c>
      <c r="F1699" s="1" t="s">
        <v>2</v>
      </c>
    </row>
    <row r="1700">
      <c r="E1700" s="1" t="s">
        <v>2</v>
      </c>
      <c r="F1700" s="1" t="s">
        <v>2</v>
      </c>
    </row>
    <row r="1701">
      <c r="E1701" s="1" t="s">
        <v>2</v>
      </c>
      <c r="F1701" s="1" t="s">
        <v>2</v>
      </c>
    </row>
    <row r="1702">
      <c r="E1702" s="1" t="s">
        <v>2</v>
      </c>
      <c r="F1702" s="1" t="s">
        <v>2</v>
      </c>
    </row>
    <row r="1703">
      <c r="E1703" s="1" t="s">
        <v>2</v>
      </c>
      <c r="F1703" s="1" t="s">
        <v>2</v>
      </c>
    </row>
    <row r="1704">
      <c r="E1704" s="1" t="s">
        <v>2</v>
      </c>
      <c r="F1704" s="1" t="s">
        <v>2</v>
      </c>
    </row>
    <row r="1705">
      <c r="E1705" s="1" t="s">
        <v>2</v>
      </c>
      <c r="F1705" s="1" t="s">
        <v>2</v>
      </c>
    </row>
    <row r="1706">
      <c r="E1706" s="1" t="s">
        <v>2</v>
      </c>
      <c r="F1706" s="1" t="s">
        <v>2</v>
      </c>
    </row>
    <row r="1707">
      <c r="E1707" s="1" t="s">
        <v>2</v>
      </c>
      <c r="F1707" s="1" t="s">
        <v>2</v>
      </c>
    </row>
    <row r="1708">
      <c r="E1708" s="1" t="s">
        <v>2</v>
      </c>
      <c r="F1708" s="1" t="s">
        <v>2</v>
      </c>
    </row>
    <row r="1709">
      <c r="E1709" s="1" t="s">
        <v>2</v>
      </c>
      <c r="F1709" s="1" t="s">
        <v>2</v>
      </c>
    </row>
    <row r="1710">
      <c r="E1710" s="1" t="s">
        <v>2</v>
      </c>
      <c r="F1710" s="1" t="s">
        <v>2</v>
      </c>
    </row>
    <row r="1711">
      <c r="E1711" s="1" t="s">
        <v>2</v>
      </c>
      <c r="F1711" s="1" t="s">
        <v>2</v>
      </c>
    </row>
    <row r="1712">
      <c r="E1712" s="1" t="s">
        <v>2</v>
      </c>
      <c r="F1712" s="1" t="s">
        <v>2</v>
      </c>
    </row>
    <row r="1713">
      <c r="E1713" s="1" t="s">
        <v>2</v>
      </c>
      <c r="F1713" s="1" t="s">
        <v>2</v>
      </c>
    </row>
    <row r="1714">
      <c r="E1714" s="1" t="s">
        <v>2</v>
      </c>
      <c r="F1714" s="1" t="s">
        <v>2</v>
      </c>
    </row>
    <row r="1715">
      <c r="E1715" s="1" t="s">
        <v>2</v>
      </c>
      <c r="F1715" s="1" t="s">
        <v>2</v>
      </c>
    </row>
    <row r="1716">
      <c r="E1716" s="1" t="s">
        <v>2</v>
      </c>
      <c r="F1716" s="1" t="s">
        <v>2</v>
      </c>
    </row>
    <row r="1717">
      <c r="E1717" s="1" t="s">
        <v>2</v>
      </c>
      <c r="F1717" s="1" t="s">
        <v>2</v>
      </c>
    </row>
    <row r="1718">
      <c r="E1718" s="1" t="s">
        <v>2</v>
      </c>
      <c r="F1718" s="1" t="s">
        <v>2</v>
      </c>
    </row>
    <row r="1719">
      <c r="E1719" s="1" t="s">
        <v>2</v>
      </c>
      <c r="F1719" s="1" t="s">
        <v>2</v>
      </c>
    </row>
    <row r="1720">
      <c r="E1720" s="1" t="s">
        <v>2</v>
      </c>
      <c r="F1720" s="1" t="s">
        <v>2</v>
      </c>
    </row>
    <row r="1721">
      <c r="E1721" s="1" t="s">
        <v>2</v>
      </c>
      <c r="F1721" s="1" t="s">
        <v>2</v>
      </c>
    </row>
    <row r="1722">
      <c r="E1722" s="1" t="s">
        <v>2</v>
      </c>
      <c r="F1722" s="1" t="s">
        <v>2</v>
      </c>
    </row>
    <row r="1723">
      <c r="E1723" s="1" t="s">
        <v>2</v>
      </c>
      <c r="F1723" s="1" t="s">
        <v>2</v>
      </c>
    </row>
    <row r="1724">
      <c r="E1724" s="1" t="s">
        <v>2</v>
      </c>
      <c r="F1724" s="1" t="s">
        <v>2</v>
      </c>
    </row>
    <row r="1725">
      <c r="E1725" s="1" t="s">
        <v>2</v>
      </c>
      <c r="F1725" s="1" t="s">
        <v>2</v>
      </c>
    </row>
    <row r="1726">
      <c r="E1726" s="1" t="s">
        <v>2</v>
      </c>
      <c r="F1726" s="1" t="s">
        <v>2</v>
      </c>
    </row>
    <row r="1727">
      <c r="E1727" s="1" t="s">
        <v>2</v>
      </c>
      <c r="F1727" s="1" t="s">
        <v>2</v>
      </c>
    </row>
    <row r="1728">
      <c r="E1728" s="1" t="s">
        <v>2</v>
      </c>
      <c r="F1728" s="1" t="s">
        <v>2</v>
      </c>
    </row>
    <row r="1729">
      <c r="E1729" s="1" t="s">
        <v>2</v>
      </c>
      <c r="F1729" s="1" t="s">
        <v>2</v>
      </c>
    </row>
    <row r="1730">
      <c r="E1730" s="1" t="s">
        <v>2</v>
      </c>
      <c r="F1730" s="1" t="s">
        <v>2</v>
      </c>
    </row>
    <row r="1731">
      <c r="E1731" s="1" t="s">
        <v>2</v>
      </c>
      <c r="F1731" s="1" t="s">
        <v>2</v>
      </c>
    </row>
    <row r="1732">
      <c r="E1732" s="1" t="s">
        <v>2</v>
      </c>
      <c r="F1732" s="1" t="s">
        <v>2</v>
      </c>
    </row>
    <row r="1733">
      <c r="E1733" s="1" t="s">
        <v>2</v>
      </c>
      <c r="F1733" s="1" t="s">
        <v>2</v>
      </c>
    </row>
    <row r="1734">
      <c r="E1734" s="1" t="s">
        <v>2</v>
      </c>
      <c r="F1734" s="1" t="s">
        <v>2</v>
      </c>
    </row>
    <row r="1735">
      <c r="E1735" s="1" t="s">
        <v>2</v>
      </c>
      <c r="F1735" s="1" t="s">
        <v>2</v>
      </c>
    </row>
    <row r="1736">
      <c r="E1736" s="1" t="s">
        <v>2</v>
      </c>
      <c r="F1736" s="1" t="s">
        <v>2</v>
      </c>
    </row>
    <row r="1737">
      <c r="E1737" s="1" t="s">
        <v>2</v>
      </c>
      <c r="F1737" s="1" t="s">
        <v>2</v>
      </c>
    </row>
    <row r="1738">
      <c r="E1738" s="1" t="s">
        <v>2</v>
      </c>
      <c r="F1738" s="1" t="s">
        <v>2</v>
      </c>
    </row>
    <row r="1739">
      <c r="E1739" s="1" t="s">
        <v>2</v>
      </c>
      <c r="F1739" s="1" t="s">
        <v>2</v>
      </c>
    </row>
    <row r="1740">
      <c r="E1740" s="1" t="s">
        <v>2</v>
      </c>
      <c r="F1740" s="1" t="s">
        <v>2</v>
      </c>
    </row>
    <row r="1741">
      <c r="E1741" s="1" t="s">
        <v>2</v>
      </c>
      <c r="F1741" s="1" t="s">
        <v>2</v>
      </c>
    </row>
    <row r="1742">
      <c r="E1742" s="1" t="s">
        <v>2</v>
      </c>
      <c r="F1742" s="1" t="s">
        <v>2</v>
      </c>
    </row>
    <row r="1743">
      <c r="E1743" s="1" t="s">
        <v>2</v>
      </c>
      <c r="F1743" s="1" t="s">
        <v>2</v>
      </c>
    </row>
    <row r="1744">
      <c r="E1744" s="1" t="s">
        <v>2</v>
      </c>
      <c r="F1744" s="1" t="s">
        <v>2</v>
      </c>
    </row>
    <row r="1745">
      <c r="E1745" s="1" t="s">
        <v>2</v>
      </c>
      <c r="F1745" s="1" t="s">
        <v>2</v>
      </c>
    </row>
    <row r="1746">
      <c r="E1746" s="1" t="s">
        <v>2</v>
      </c>
      <c r="F1746" s="1" t="s">
        <v>2</v>
      </c>
    </row>
    <row r="1747">
      <c r="E1747" s="1" t="s">
        <v>2</v>
      </c>
      <c r="F1747" s="1" t="s">
        <v>2</v>
      </c>
    </row>
    <row r="1748">
      <c r="E1748" s="1" t="s">
        <v>2</v>
      </c>
      <c r="F1748" s="1" t="s">
        <v>2</v>
      </c>
    </row>
    <row r="1749">
      <c r="E1749" s="1" t="s">
        <v>2</v>
      </c>
      <c r="F1749" s="1" t="s">
        <v>2</v>
      </c>
    </row>
    <row r="1750">
      <c r="E1750" s="1" t="s">
        <v>2</v>
      </c>
      <c r="F1750" s="1" t="s">
        <v>2</v>
      </c>
    </row>
    <row r="1751">
      <c r="E1751" s="1" t="s">
        <v>2</v>
      </c>
      <c r="F1751" s="1" t="s">
        <v>2</v>
      </c>
    </row>
    <row r="1752">
      <c r="E1752" s="1" t="s">
        <v>2</v>
      </c>
      <c r="F1752" s="1" t="s">
        <v>2</v>
      </c>
    </row>
    <row r="1753">
      <c r="E1753" s="1" t="s">
        <v>2</v>
      </c>
      <c r="F1753" s="1" t="s">
        <v>2</v>
      </c>
    </row>
    <row r="1754">
      <c r="E1754" s="1" t="s">
        <v>2</v>
      </c>
      <c r="F1754" s="1" t="s">
        <v>2</v>
      </c>
    </row>
    <row r="1755">
      <c r="E1755" s="1" t="s">
        <v>2</v>
      </c>
      <c r="F1755" s="1" t="s">
        <v>2</v>
      </c>
    </row>
    <row r="1756">
      <c r="E1756" s="1" t="s">
        <v>2</v>
      </c>
      <c r="F1756" s="1" t="s">
        <v>2</v>
      </c>
    </row>
    <row r="1757">
      <c r="E1757" s="1" t="s">
        <v>2</v>
      </c>
      <c r="F1757" s="1" t="s">
        <v>2</v>
      </c>
    </row>
    <row r="1758">
      <c r="E1758" s="1" t="s">
        <v>2</v>
      </c>
      <c r="F1758" s="1" t="s">
        <v>2</v>
      </c>
    </row>
    <row r="1759">
      <c r="E1759" s="1" t="s">
        <v>2</v>
      </c>
      <c r="F1759" s="1" t="s">
        <v>2</v>
      </c>
    </row>
    <row r="1760">
      <c r="E1760" s="1" t="s">
        <v>2</v>
      </c>
      <c r="F1760" s="1" t="s">
        <v>2</v>
      </c>
    </row>
    <row r="1761">
      <c r="E1761" s="1" t="s">
        <v>2</v>
      </c>
      <c r="F1761" s="1" t="s">
        <v>2</v>
      </c>
    </row>
    <row r="1762">
      <c r="E1762" s="1" t="s">
        <v>2</v>
      </c>
      <c r="F1762" s="1" t="s">
        <v>2</v>
      </c>
    </row>
    <row r="1763">
      <c r="E1763" s="1" t="s">
        <v>2</v>
      </c>
      <c r="F1763" s="1" t="s">
        <v>2</v>
      </c>
    </row>
    <row r="1764">
      <c r="E1764" s="1" t="s">
        <v>2</v>
      </c>
      <c r="F1764" s="1" t="s">
        <v>2</v>
      </c>
    </row>
    <row r="1765">
      <c r="E1765" s="1" t="s">
        <v>2</v>
      </c>
      <c r="F1765" s="1" t="s">
        <v>2</v>
      </c>
    </row>
    <row r="1766">
      <c r="E1766" s="1" t="s">
        <v>2</v>
      </c>
      <c r="F1766" s="1" t="s">
        <v>2</v>
      </c>
    </row>
    <row r="1767">
      <c r="E1767" s="1" t="s">
        <v>2</v>
      </c>
      <c r="F1767" s="1" t="s">
        <v>2</v>
      </c>
    </row>
    <row r="1768">
      <c r="E1768" s="1" t="s">
        <v>2</v>
      </c>
      <c r="F1768" s="1" t="s">
        <v>2</v>
      </c>
    </row>
    <row r="1769">
      <c r="E1769" s="1" t="s">
        <v>2</v>
      </c>
      <c r="F1769" s="1" t="s">
        <v>2</v>
      </c>
    </row>
    <row r="1770">
      <c r="E1770" s="1" t="s">
        <v>2</v>
      </c>
      <c r="F1770" s="1" t="s">
        <v>2</v>
      </c>
    </row>
    <row r="1771">
      <c r="E1771" s="1" t="s">
        <v>2</v>
      </c>
      <c r="F1771" s="1" t="s">
        <v>2</v>
      </c>
    </row>
    <row r="1772">
      <c r="E1772" s="1" t="s">
        <v>2</v>
      </c>
      <c r="F1772" s="1" t="s">
        <v>2</v>
      </c>
    </row>
    <row r="1773">
      <c r="E1773" s="1" t="s">
        <v>2</v>
      </c>
      <c r="F1773" s="1" t="s">
        <v>2</v>
      </c>
    </row>
    <row r="1774">
      <c r="E1774" s="1" t="s">
        <v>2</v>
      </c>
      <c r="F1774" s="1" t="s">
        <v>2</v>
      </c>
    </row>
    <row r="1775">
      <c r="E1775" s="1" t="s">
        <v>2</v>
      </c>
      <c r="F1775" s="1" t="s">
        <v>2</v>
      </c>
    </row>
    <row r="1776">
      <c r="E1776" s="1" t="s">
        <v>2</v>
      </c>
      <c r="F1776" s="1" t="s">
        <v>2</v>
      </c>
    </row>
    <row r="1777">
      <c r="E1777" s="1" t="s">
        <v>2</v>
      </c>
      <c r="F1777" s="1" t="s">
        <v>2</v>
      </c>
    </row>
    <row r="1778">
      <c r="E1778" s="1" t="s">
        <v>2</v>
      </c>
      <c r="F1778" s="1" t="s">
        <v>2</v>
      </c>
    </row>
    <row r="1779">
      <c r="E1779" s="1" t="s">
        <v>2</v>
      </c>
      <c r="F1779" s="1" t="s">
        <v>2</v>
      </c>
    </row>
    <row r="1780">
      <c r="E1780" s="1" t="s">
        <v>2</v>
      </c>
      <c r="F1780" s="1" t="s">
        <v>2</v>
      </c>
    </row>
    <row r="1781">
      <c r="E1781" s="1" t="s">
        <v>2</v>
      </c>
      <c r="F1781" s="1" t="s">
        <v>2</v>
      </c>
    </row>
    <row r="1782">
      <c r="E1782" s="1" t="s">
        <v>2</v>
      </c>
      <c r="F1782" s="1" t="s">
        <v>2</v>
      </c>
    </row>
    <row r="1783">
      <c r="E1783" s="1" t="s">
        <v>2</v>
      </c>
      <c r="F1783" s="1" t="s">
        <v>2</v>
      </c>
    </row>
    <row r="1784">
      <c r="E1784" s="1" t="s">
        <v>2</v>
      </c>
      <c r="F1784" s="1" t="s">
        <v>2</v>
      </c>
    </row>
    <row r="1785">
      <c r="E1785" s="1" t="s">
        <v>2</v>
      </c>
      <c r="F1785" s="1" t="s">
        <v>2</v>
      </c>
    </row>
    <row r="1786">
      <c r="E1786" s="1" t="s">
        <v>2</v>
      </c>
      <c r="F1786" s="1" t="s">
        <v>2</v>
      </c>
    </row>
    <row r="1787">
      <c r="E1787" s="1" t="s">
        <v>2</v>
      </c>
      <c r="F1787" s="1" t="s">
        <v>2</v>
      </c>
    </row>
    <row r="1788">
      <c r="E1788" s="1" t="s">
        <v>2</v>
      </c>
      <c r="F1788" s="1" t="s">
        <v>2</v>
      </c>
    </row>
    <row r="1789">
      <c r="E1789" s="1" t="s">
        <v>2</v>
      </c>
      <c r="F1789" s="1" t="s">
        <v>2</v>
      </c>
    </row>
    <row r="1790">
      <c r="E1790" s="1" t="s">
        <v>2</v>
      </c>
      <c r="F1790" s="1" t="s">
        <v>2</v>
      </c>
    </row>
    <row r="1791">
      <c r="E1791" s="1" t="s">
        <v>2</v>
      </c>
      <c r="F1791" s="1" t="s">
        <v>2</v>
      </c>
    </row>
    <row r="1792">
      <c r="E1792" s="1" t="s">
        <v>2</v>
      </c>
      <c r="F1792" s="1" t="s">
        <v>2</v>
      </c>
    </row>
    <row r="1793">
      <c r="E1793" s="1" t="s">
        <v>2</v>
      </c>
      <c r="F1793" s="1" t="s">
        <v>2</v>
      </c>
    </row>
    <row r="1794">
      <c r="E1794" s="1" t="s">
        <v>2</v>
      </c>
      <c r="F1794" s="1" t="s">
        <v>2</v>
      </c>
    </row>
    <row r="1795">
      <c r="E1795" s="1" t="s">
        <v>2</v>
      </c>
      <c r="F1795" s="1" t="s">
        <v>2</v>
      </c>
    </row>
    <row r="1796">
      <c r="E1796" s="1" t="s">
        <v>2</v>
      </c>
      <c r="F1796" s="1" t="s">
        <v>2</v>
      </c>
    </row>
    <row r="1797">
      <c r="E1797" s="1" t="s">
        <v>2</v>
      </c>
      <c r="F1797" s="1" t="s">
        <v>2</v>
      </c>
    </row>
    <row r="1798">
      <c r="E1798" s="1" t="s">
        <v>2</v>
      </c>
      <c r="F1798" s="1" t="s">
        <v>2</v>
      </c>
    </row>
    <row r="1799">
      <c r="E1799" s="1" t="s">
        <v>2</v>
      </c>
      <c r="F1799" s="1" t="s">
        <v>2</v>
      </c>
    </row>
    <row r="1800">
      <c r="E1800" s="1" t="s">
        <v>2</v>
      </c>
      <c r="F1800" s="1" t="s">
        <v>2</v>
      </c>
    </row>
    <row r="1801">
      <c r="E1801" s="1" t="s">
        <v>2</v>
      </c>
      <c r="F1801" s="1" t="s">
        <v>2</v>
      </c>
    </row>
    <row r="1802">
      <c r="E1802" s="1" t="s">
        <v>2</v>
      </c>
      <c r="F1802" s="1" t="s">
        <v>2</v>
      </c>
    </row>
    <row r="1803">
      <c r="E1803" s="1" t="s">
        <v>2</v>
      </c>
      <c r="F1803" s="1" t="s">
        <v>2</v>
      </c>
    </row>
    <row r="1804">
      <c r="E1804" s="1" t="s">
        <v>2</v>
      </c>
      <c r="F1804" s="1" t="s">
        <v>2</v>
      </c>
    </row>
    <row r="1805">
      <c r="E1805" s="1" t="s">
        <v>2</v>
      </c>
      <c r="F1805" s="1" t="s">
        <v>2</v>
      </c>
    </row>
    <row r="1806">
      <c r="E1806" s="1" t="s">
        <v>2</v>
      </c>
      <c r="F1806" s="1" t="s">
        <v>2</v>
      </c>
    </row>
    <row r="1807">
      <c r="E1807" s="1" t="s">
        <v>2</v>
      </c>
      <c r="F1807" s="1" t="s">
        <v>2</v>
      </c>
    </row>
    <row r="1808">
      <c r="E1808" s="1" t="s">
        <v>2</v>
      </c>
      <c r="F1808" s="1" t="s">
        <v>2</v>
      </c>
    </row>
    <row r="1809">
      <c r="E1809" s="1" t="s">
        <v>2</v>
      </c>
      <c r="F1809" s="1" t="s">
        <v>2</v>
      </c>
    </row>
    <row r="1810">
      <c r="E1810" s="1" t="s">
        <v>2</v>
      </c>
      <c r="F1810" s="1" t="s">
        <v>2</v>
      </c>
    </row>
    <row r="1811">
      <c r="E1811" s="1" t="s">
        <v>2</v>
      </c>
      <c r="F1811" s="1" t="s">
        <v>2</v>
      </c>
    </row>
    <row r="1812">
      <c r="E1812" s="1" t="s">
        <v>2</v>
      </c>
      <c r="F1812" s="1" t="s">
        <v>2</v>
      </c>
    </row>
    <row r="1813">
      <c r="E1813" s="1" t="s">
        <v>2</v>
      </c>
      <c r="F1813" s="1" t="s">
        <v>2</v>
      </c>
    </row>
    <row r="1814">
      <c r="E1814" s="1" t="s">
        <v>2</v>
      </c>
      <c r="F1814" s="1" t="s">
        <v>2</v>
      </c>
    </row>
    <row r="1815">
      <c r="E1815" s="1" t="s">
        <v>2</v>
      </c>
      <c r="F1815" s="1" t="s">
        <v>2</v>
      </c>
    </row>
    <row r="1816">
      <c r="E1816" s="1" t="s">
        <v>2</v>
      </c>
      <c r="F1816" s="1" t="s">
        <v>2</v>
      </c>
    </row>
    <row r="1817">
      <c r="E1817" s="1" t="s">
        <v>2</v>
      </c>
      <c r="F1817" s="1" t="s">
        <v>2</v>
      </c>
    </row>
    <row r="1818">
      <c r="E1818" s="1" t="s">
        <v>2</v>
      </c>
      <c r="F1818" s="1" t="s">
        <v>2</v>
      </c>
    </row>
    <row r="1819">
      <c r="E1819" s="1" t="s">
        <v>2</v>
      </c>
      <c r="F1819" s="1" t="s">
        <v>2</v>
      </c>
    </row>
    <row r="1820">
      <c r="E1820" s="1" t="s">
        <v>2</v>
      </c>
      <c r="F1820" s="1" t="s">
        <v>2</v>
      </c>
    </row>
    <row r="1821">
      <c r="E1821" s="1" t="s">
        <v>2</v>
      </c>
      <c r="F1821" s="1" t="s">
        <v>2</v>
      </c>
    </row>
    <row r="1822">
      <c r="E1822" s="1" t="s">
        <v>2</v>
      </c>
      <c r="F1822" s="1" t="s">
        <v>2</v>
      </c>
    </row>
    <row r="1823">
      <c r="E1823" s="1" t="s">
        <v>2</v>
      </c>
      <c r="F1823" s="1" t="s">
        <v>2</v>
      </c>
    </row>
    <row r="1824">
      <c r="E1824" s="1" t="s">
        <v>2</v>
      </c>
      <c r="F1824" s="1" t="s">
        <v>2</v>
      </c>
    </row>
    <row r="1825">
      <c r="E1825" s="1" t="s">
        <v>2</v>
      </c>
      <c r="F1825" s="1" t="s">
        <v>2</v>
      </c>
    </row>
    <row r="1826">
      <c r="E1826" s="1" t="s">
        <v>2</v>
      </c>
      <c r="F1826" s="1" t="s">
        <v>2</v>
      </c>
    </row>
    <row r="1827">
      <c r="E1827" s="1" t="s">
        <v>2</v>
      </c>
      <c r="F1827" s="1" t="s">
        <v>2</v>
      </c>
    </row>
    <row r="1828">
      <c r="E1828" s="1" t="s">
        <v>2</v>
      </c>
      <c r="F1828" s="1" t="s">
        <v>2</v>
      </c>
    </row>
    <row r="1829">
      <c r="E1829" s="1" t="s">
        <v>2</v>
      </c>
      <c r="F1829" s="1" t="s">
        <v>2</v>
      </c>
    </row>
    <row r="1830">
      <c r="E1830" s="1" t="s">
        <v>2</v>
      </c>
      <c r="F1830" s="1" t="s">
        <v>2</v>
      </c>
    </row>
    <row r="1831">
      <c r="E1831" s="1" t="s">
        <v>2</v>
      </c>
      <c r="F1831" s="1" t="s">
        <v>2</v>
      </c>
    </row>
    <row r="1832">
      <c r="E1832" s="1" t="s">
        <v>2</v>
      </c>
      <c r="F1832" s="1" t="s">
        <v>2</v>
      </c>
    </row>
    <row r="1833">
      <c r="E1833" s="1" t="s">
        <v>2</v>
      </c>
      <c r="F1833" s="1" t="s">
        <v>2</v>
      </c>
    </row>
    <row r="1834">
      <c r="E1834" s="1" t="s">
        <v>2</v>
      </c>
      <c r="F1834" s="1" t="s">
        <v>2</v>
      </c>
    </row>
    <row r="1835">
      <c r="E1835" s="1" t="s">
        <v>2</v>
      </c>
      <c r="F1835" s="1" t="s">
        <v>2</v>
      </c>
    </row>
    <row r="1836">
      <c r="E1836" s="1" t="s">
        <v>2</v>
      </c>
      <c r="F1836" s="1" t="s">
        <v>2</v>
      </c>
    </row>
    <row r="1837">
      <c r="E1837" s="1" t="s">
        <v>2</v>
      </c>
      <c r="F1837" s="1" t="s">
        <v>2</v>
      </c>
    </row>
    <row r="1838">
      <c r="E1838" s="1" t="s">
        <v>2</v>
      </c>
      <c r="F1838" s="1" t="s">
        <v>2</v>
      </c>
    </row>
    <row r="1839">
      <c r="E1839" s="1" t="s">
        <v>2</v>
      </c>
      <c r="F1839" s="1" t="s">
        <v>2</v>
      </c>
    </row>
    <row r="1840">
      <c r="E1840" s="1" t="s">
        <v>2</v>
      </c>
      <c r="F1840" s="1" t="s">
        <v>2</v>
      </c>
    </row>
    <row r="1841">
      <c r="E1841" s="1" t="s">
        <v>2</v>
      </c>
      <c r="F1841" s="1" t="s">
        <v>2</v>
      </c>
    </row>
    <row r="1842">
      <c r="E1842" s="1" t="s">
        <v>2</v>
      </c>
      <c r="F1842" s="1" t="s">
        <v>2</v>
      </c>
    </row>
    <row r="1843">
      <c r="E1843" s="1" t="s">
        <v>2</v>
      </c>
      <c r="F1843" s="1" t="s">
        <v>2</v>
      </c>
    </row>
    <row r="1844">
      <c r="E1844" s="1" t="s">
        <v>2</v>
      </c>
      <c r="F1844" s="1" t="s">
        <v>2</v>
      </c>
    </row>
    <row r="1845">
      <c r="E1845" s="1" t="s">
        <v>2</v>
      </c>
      <c r="F1845" s="1" t="s">
        <v>2</v>
      </c>
    </row>
    <row r="1846">
      <c r="E1846" s="1" t="s">
        <v>2</v>
      </c>
      <c r="F1846" s="1" t="s">
        <v>2</v>
      </c>
    </row>
    <row r="1847">
      <c r="E1847" s="1" t="s">
        <v>2</v>
      </c>
      <c r="F1847" s="1" t="s">
        <v>2</v>
      </c>
    </row>
    <row r="1848">
      <c r="E1848" s="1" t="s">
        <v>2</v>
      </c>
      <c r="F1848" s="1" t="s">
        <v>2</v>
      </c>
    </row>
    <row r="1849">
      <c r="E1849" s="1" t="s">
        <v>2</v>
      </c>
      <c r="F1849" s="1" t="s">
        <v>2</v>
      </c>
    </row>
    <row r="1850">
      <c r="E1850" s="1" t="s">
        <v>2</v>
      </c>
      <c r="F1850" s="1" t="s">
        <v>2</v>
      </c>
    </row>
    <row r="1851">
      <c r="E1851" s="1" t="s">
        <v>2</v>
      </c>
      <c r="F1851" s="1" t="s">
        <v>2</v>
      </c>
    </row>
    <row r="1852">
      <c r="E1852" s="1" t="s">
        <v>2</v>
      </c>
      <c r="F1852" s="1" t="s">
        <v>2</v>
      </c>
    </row>
    <row r="1853">
      <c r="E1853" s="1" t="s">
        <v>2</v>
      </c>
      <c r="F1853" s="1" t="s">
        <v>2</v>
      </c>
    </row>
    <row r="1854">
      <c r="E1854" s="1" t="s">
        <v>2</v>
      </c>
      <c r="F1854" s="1" t="s">
        <v>2</v>
      </c>
    </row>
    <row r="1855">
      <c r="E1855" s="1" t="s">
        <v>2</v>
      </c>
      <c r="F1855" s="1" t="s">
        <v>2</v>
      </c>
    </row>
    <row r="1856">
      <c r="E1856" s="1" t="s">
        <v>2</v>
      </c>
      <c r="F1856" s="1" t="s">
        <v>2</v>
      </c>
    </row>
    <row r="1857">
      <c r="E1857" s="1" t="s">
        <v>2</v>
      </c>
      <c r="F1857" s="1" t="s">
        <v>2</v>
      </c>
    </row>
    <row r="1858">
      <c r="E1858" s="1" t="s">
        <v>2</v>
      </c>
      <c r="F1858" s="1" t="s">
        <v>2</v>
      </c>
    </row>
    <row r="1859">
      <c r="E1859" s="1" t="s">
        <v>2</v>
      </c>
      <c r="F1859" s="1" t="s">
        <v>2</v>
      </c>
    </row>
    <row r="1860">
      <c r="E1860" s="1" t="s">
        <v>2</v>
      </c>
      <c r="F1860" s="1" t="s">
        <v>2</v>
      </c>
    </row>
    <row r="1861">
      <c r="E1861" s="1" t="s">
        <v>2</v>
      </c>
      <c r="F1861" s="1" t="s">
        <v>2</v>
      </c>
    </row>
    <row r="1862">
      <c r="E1862" s="1" t="s">
        <v>2</v>
      </c>
      <c r="F1862" s="1" t="s">
        <v>2</v>
      </c>
    </row>
    <row r="1863">
      <c r="E1863" s="1" t="s">
        <v>2</v>
      </c>
      <c r="F1863" s="1" t="s">
        <v>2</v>
      </c>
    </row>
    <row r="1864">
      <c r="E1864" s="1" t="s">
        <v>2</v>
      </c>
      <c r="F1864" s="1" t="s">
        <v>2</v>
      </c>
    </row>
    <row r="1865">
      <c r="E1865" s="1" t="s">
        <v>2</v>
      </c>
      <c r="F1865" s="1" t="s">
        <v>2</v>
      </c>
    </row>
    <row r="1866">
      <c r="E1866" s="1" t="s">
        <v>2</v>
      </c>
      <c r="F1866" s="1" t="s">
        <v>2</v>
      </c>
    </row>
    <row r="1867">
      <c r="E1867" s="1" t="s">
        <v>2</v>
      </c>
      <c r="F1867" s="1" t="s">
        <v>2</v>
      </c>
    </row>
    <row r="1868">
      <c r="E1868" s="1" t="s">
        <v>2</v>
      </c>
      <c r="F1868" s="1" t="s">
        <v>2</v>
      </c>
    </row>
    <row r="1869">
      <c r="E1869" s="1" t="s">
        <v>2</v>
      </c>
      <c r="F1869" s="1" t="s">
        <v>2</v>
      </c>
    </row>
    <row r="1870">
      <c r="E1870" s="1" t="s">
        <v>2</v>
      </c>
      <c r="F1870" s="1" t="s">
        <v>2</v>
      </c>
    </row>
    <row r="1871">
      <c r="E1871" s="1" t="s">
        <v>2</v>
      </c>
      <c r="F1871" s="1" t="s">
        <v>2</v>
      </c>
    </row>
    <row r="1872">
      <c r="E1872" s="1" t="s">
        <v>2</v>
      </c>
      <c r="F1872" s="1" t="s">
        <v>2</v>
      </c>
    </row>
    <row r="1873">
      <c r="E1873" s="1" t="s">
        <v>2</v>
      </c>
      <c r="F1873" s="1" t="s">
        <v>2</v>
      </c>
    </row>
    <row r="1874">
      <c r="E1874" s="1" t="s">
        <v>2</v>
      </c>
      <c r="F1874" s="1" t="s">
        <v>2</v>
      </c>
    </row>
    <row r="1875">
      <c r="E1875" s="1" t="s">
        <v>2</v>
      </c>
      <c r="F1875" s="1" t="s">
        <v>2</v>
      </c>
    </row>
    <row r="1876">
      <c r="E1876" s="1" t="s">
        <v>2</v>
      </c>
      <c r="F1876" s="1" t="s">
        <v>2</v>
      </c>
    </row>
    <row r="1877">
      <c r="E1877" s="1" t="s">
        <v>2</v>
      </c>
      <c r="F1877" s="1" t="s">
        <v>2</v>
      </c>
    </row>
    <row r="1878">
      <c r="E1878" s="1" t="s">
        <v>2</v>
      </c>
      <c r="F1878" s="1" t="s">
        <v>2</v>
      </c>
    </row>
    <row r="1879">
      <c r="E1879" s="1" t="s">
        <v>2</v>
      </c>
      <c r="F1879" s="1" t="s">
        <v>2</v>
      </c>
    </row>
    <row r="1880">
      <c r="E1880" s="1" t="s">
        <v>2</v>
      </c>
      <c r="F1880" s="1" t="s">
        <v>2</v>
      </c>
    </row>
    <row r="1881">
      <c r="E1881" s="1" t="s">
        <v>2</v>
      </c>
      <c r="F1881" s="1" t="s">
        <v>2</v>
      </c>
    </row>
    <row r="1882">
      <c r="E1882" s="1" t="s">
        <v>2</v>
      </c>
      <c r="F1882" s="1" t="s">
        <v>2</v>
      </c>
    </row>
    <row r="1883">
      <c r="E1883" s="1" t="s">
        <v>2</v>
      </c>
      <c r="F1883" s="1" t="s">
        <v>2</v>
      </c>
    </row>
    <row r="1884">
      <c r="E1884" s="1" t="s">
        <v>2</v>
      </c>
      <c r="F1884" s="1" t="s">
        <v>2</v>
      </c>
    </row>
    <row r="1885">
      <c r="E1885" s="1" t="s">
        <v>2</v>
      </c>
      <c r="F1885" s="1" t="s">
        <v>2</v>
      </c>
    </row>
    <row r="1886">
      <c r="E1886" s="1" t="s">
        <v>2</v>
      </c>
      <c r="F1886" s="1" t="s">
        <v>2</v>
      </c>
    </row>
    <row r="1887">
      <c r="E1887" s="1" t="s">
        <v>2</v>
      </c>
      <c r="F1887" s="1" t="s">
        <v>2</v>
      </c>
    </row>
    <row r="1888">
      <c r="E1888" s="1" t="s">
        <v>2</v>
      </c>
      <c r="F1888" s="1" t="s">
        <v>2</v>
      </c>
    </row>
    <row r="1889">
      <c r="E1889" s="1" t="s">
        <v>2</v>
      </c>
      <c r="F1889" s="1" t="s">
        <v>2</v>
      </c>
    </row>
    <row r="1890">
      <c r="E1890" s="1" t="s">
        <v>2</v>
      </c>
      <c r="F1890" s="1" t="s">
        <v>2</v>
      </c>
    </row>
    <row r="1891">
      <c r="E1891" s="1" t="s">
        <v>2</v>
      </c>
      <c r="F1891" s="1" t="s">
        <v>2</v>
      </c>
    </row>
    <row r="1892">
      <c r="E1892" s="1" t="s">
        <v>2</v>
      </c>
      <c r="F1892" s="1" t="s">
        <v>2</v>
      </c>
    </row>
    <row r="1893">
      <c r="E1893" s="1" t="s">
        <v>2</v>
      </c>
      <c r="F1893" s="1" t="s">
        <v>2</v>
      </c>
    </row>
    <row r="1894">
      <c r="E1894" s="1" t="s">
        <v>2</v>
      </c>
      <c r="F1894" s="1" t="s">
        <v>2</v>
      </c>
    </row>
    <row r="1895">
      <c r="E1895" s="1" t="s">
        <v>2</v>
      </c>
      <c r="F1895" s="1" t="s">
        <v>2</v>
      </c>
    </row>
    <row r="1896">
      <c r="E1896" s="1" t="s">
        <v>2</v>
      </c>
      <c r="F1896" s="1" t="s">
        <v>2</v>
      </c>
    </row>
    <row r="1897">
      <c r="E1897" s="1" t="s">
        <v>2</v>
      </c>
      <c r="F1897" s="1" t="s">
        <v>2</v>
      </c>
    </row>
    <row r="1898">
      <c r="E1898" s="1" t="s">
        <v>2</v>
      </c>
      <c r="F1898" s="1" t="s">
        <v>2</v>
      </c>
    </row>
    <row r="1899">
      <c r="E1899" s="1" t="s">
        <v>2</v>
      </c>
      <c r="F1899" s="1" t="s">
        <v>2</v>
      </c>
    </row>
    <row r="1900">
      <c r="E1900" s="1" t="s">
        <v>2</v>
      </c>
      <c r="F1900" s="1" t="s">
        <v>2</v>
      </c>
    </row>
    <row r="1901">
      <c r="E1901" s="1" t="s">
        <v>2</v>
      </c>
      <c r="F1901" s="1" t="s">
        <v>2</v>
      </c>
    </row>
    <row r="1902">
      <c r="E1902" s="1" t="s">
        <v>2</v>
      </c>
      <c r="F1902" s="1" t="s">
        <v>2</v>
      </c>
    </row>
    <row r="1903">
      <c r="E1903" s="1" t="s">
        <v>2</v>
      </c>
      <c r="F1903" s="1" t="s">
        <v>2</v>
      </c>
    </row>
    <row r="1904">
      <c r="E1904" s="1" t="s">
        <v>2</v>
      </c>
      <c r="F1904" s="1" t="s">
        <v>2</v>
      </c>
    </row>
    <row r="1905">
      <c r="E1905" s="1" t="s">
        <v>2</v>
      </c>
      <c r="F1905" s="1" t="s">
        <v>2</v>
      </c>
    </row>
    <row r="1906">
      <c r="E1906" s="1" t="s">
        <v>2</v>
      </c>
      <c r="F1906" s="1" t="s">
        <v>2</v>
      </c>
    </row>
    <row r="1907">
      <c r="E1907" s="1" t="s">
        <v>2</v>
      </c>
      <c r="F1907" s="1" t="s">
        <v>2</v>
      </c>
    </row>
    <row r="1908">
      <c r="E1908" s="1" t="s">
        <v>2</v>
      </c>
      <c r="F1908" s="1" t="s">
        <v>2</v>
      </c>
    </row>
    <row r="1909">
      <c r="E1909" s="1" t="s">
        <v>2</v>
      </c>
      <c r="F1909" s="1" t="s">
        <v>2</v>
      </c>
    </row>
    <row r="1910">
      <c r="E1910" s="1" t="s">
        <v>2</v>
      </c>
      <c r="F1910" s="1" t="s">
        <v>2</v>
      </c>
    </row>
    <row r="1911">
      <c r="E1911" s="1" t="s">
        <v>2</v>
      </c>
      <c r="F1911" s="1" t="s">
        <v>2</v>
      </c>
    </row>
    <row r="1912">
      <c r="E1912" s="1" t="s">
        <v>2</v>
      </c>
      <c r="F1912" s="1" t="s">
        <v>2</v>
      </c>
    </row>
    <row r="1913">
      <c r="E1913" s="1" t="s">
        <v>2</v>
      </c>
      <c r="F1913" s="1" t="s">
        <v>2</v>
      </c>
    </row>
    <row r="1914">
      <c r="E1914" s="1" t="s">
        <v>2</v>
      </c>
      <c r="F1914" s="1" t="s">
        <v>2</v>
      </c>
    </row>
    <row r="1915">
      <c r="E1915" s="1" t="s">
        <v>2</v>
      </c>
      <c r="F1915" s="1" t="s">
        <v>2</v>
      </c>
    </row>
    <row r="1916">
      <c r="E1916" s="1" t="s">
        <v>2</v>
      </c>
      <c r="F1916" s="1" t="s">
        <v>2</v>
      </c>
    </row>
    <row r="1917">
      <c r="E1917" s="1" t="s">
        <v>2</v>
      </c>
      <c r="F1917" s="1" t="s">
        <v>2</v>
      </c>
    </row>
    <row r="1918">
      <c r="E1918" s="1" t="s">
        <v>2</v>
      </c>
      <c r="F1918" s="1" t="s">
        <v>2</v>
      </c>
    </row>
    <row r="1919">
      <c r="E1919" s="1" t="s">
        <v>2</v>
      </c>
      <c r="F1919" s="1" t="s">
        <v>2</v>
      </c>
    </row>
    <row r="1920">
      <c r="E1920" s="1" t="s">
        <v>2</v>
      </c>
      <c r="F1920" s="1" t="s">
        <v>2</v>
      </c>
    </row>
    <row r="1921">
      <c r="E1921" s="1" t="s">
        <v>2</v>
      </c>
      <c r="F1921" s="1" t="s">
        <v>2</v>
      </c>
    </row>
    <row r="1922">
      <c r="E1922" s="1" t="s">
        <v>2</v>
      </c>
      <c r="F1922" s="1" t="s">
        <v>2</v>
      </c>
    </row>
    <row r="1923">
      <c r="E1923" s="1" t="s">
        <v>2</v>
      </c>
      <c r="F1923" s="1" t="s">
        <v>2</v>
      </c>
    </row>
    <row r="1924">
      <c r="E1924" s="1" t="s">
        <v>2</v>
      </c>
      <c r="F1924" s="1" t="s">
        <v>2</v>
      </c>
    </row>
    <row r="1925">
      <c r="E1925" s="1" t="s">
        <v>2</v>
      </c>
      <c r="F1925" s="1" t="s">
        <v>2</v>
      </c>
    </row>
    <row r="1926">
      <c r="E1926" s="1" t="s">
        <v>2</v>
      </c>
      <c r="F1926" s="1" t="s">
        <v>2</v>
      </c>
    </row>
    <row r="1927">
      <c r="E1927" s="1" t="s">
        <v>2</v>
      </c>
      <c r="F1927" s="1" t="s">
        <v>2</v>
      </c>
    </row>
    <row r="1928">
      <c r="E1928" s="1" t="s">
        <v>2</v>
      </c>
      <c r="F1928" s="1" t="s">
        <v>2</v>
      </c>
    </row>
    <row r="1929">
      <c r="E1929" s="1" t="s">
        <v>2</v>
      </c>
      <c r="F1929" s="1" t="s">
        <v>2</v>
      </c>
    </row>
    <row r="1930">
      <c r="E1930" s="1" t="s">
        <v>2</v>
      </c>
      <c r="F1930" s="1" t="s">
        <v>2</v>
      </c>
    </row>
    <row r="1931">
      <c r="E1931" s="1" t="s">
        <v>2</v>
      </c>
      <c r="F1931" s="1" t="s">
        <v>2</v>
      </c>
    </row>
    <row r="1932">
      <c r="E1932" s="1" t="s">
        <v>2</v>
      </c>
      <c r="F1932" s="1" t="s">
        <v>2</v>
      </c>
    </row>
    <row r="1933">
      <c r="E1933" s="1" t="s">
        <v>2</v>
      </c>
      <c r="F1933" s="1" t="s">
        <v>2</v>
      </c>
    </row>
    <row r="1934">
      <c r="E1934" s="1" t="s">
        <v>2</v>
      </c>
      <c r="F1934" s="1" t="s">
        <v>2</v>
      </c>
    </row>
    <row r="1935">
      <c r="E1935" s="1" t="s">
        <v>2</v>
      </c>
      <c r="F1935" s="1" t="s">
        <v>2</v>
      </c>
    </row>
    <row r="1936">
      <c r="E1936" s="1" t="s">
        <v>2</v>
      </c>
      <c r="F1936" s="1" t="s">
        <v>2</v>
      </c>
    </row>
    <row r="1937">
      <c r="E1937" s="1" t="s">
        <v>2</v>
      </c>
      <c r="F1937" s="1" t="s">
        <v>2</v>
      </c>
    </row>
    <row r="1938">
      <c r="E1938" s="1" t="s">
        <v>2</v>
      </c>
      <c r="F1938" s="1" t="s">
        <v>2</v>
      </c>
    </row>
    <row r="1939">
      <c r="E1939" s="1" t="s">
        <v>2</v>
      </c>
      <c r="F1939" s="1" t="s">
        <v>2</v>
      </c>
    </row>
    <row r="1940">
      <c r="E1940" s="1" t="s">
        <v>2</v>
      </c>
      <c r="F1940" s="1" t="s">
        <v>2</v>
      </c>
    </row>
    <row r="1941">
      <c r="E1941" s="1" t="s">
        <v>2</v>
      </c>
      <c r="F1941" s="1" t="s">
        <v>2</v>
      </c>
    </row>
    <row r="1942">
      <c r="E1942" s="1" t="s">
        <v>2</v>
      </c>
      <c r="F1942" s="1" t="s">
        <v>2</v>
      </c>
    </row>
    <row r="1943">
      <c r="E1943" s="1" t="s">
        <v>2</v>
      </c>
      <c r="F1943" s="1" t="s">
        <v>2</v>
      </c>
    </row>
    <row r="1944">
      <c r="E1944" s="1" t="s">
        <v>2</v>
      </c>
      <c r="F1944" s="1" t="s">
        <v>2</v>
      </c>
    </row>
    <row r="1945">
      <c r="E1945" s="1" t="s">
        <v>2</v>
      </c>
      <c r="F1945" s="1" t="s">
        <v>2</v>
      </c>
    </row>
    <row r="1946">
      <c r="E1946" s="1" t="s">
        <v>2</v>
      </c>
      <c r="F1946" s="1" t="s">
        <v>2</v>
      </c>
    </row>
    <row r="1947">
      <c r="E1947" s="1" t="s">
        <v>2</v>
      </c>
      <c r="F1947" s="1" t="s">
        <v>2</v>
      </c>
    </row>
    <row r="1948">
      <c r="E1948" s="1" t="s">
        <v>2</v>
      </c>
      <c r="F1948" s="1" t="s">
        <v>2</v>
      </c>
    </row>
    <row r="1949">
      <c r="E1949" s="1" t="s">
        <v>2</v>
      </c>
      <c r="F1949" s="1" t="s">
        <v>2</v>
      </c>
    </row>
    <row r="1950">
      <c r="E1950" s="1" t="s">
        <v>2</v>
      </c>
      <c r="F1950" s="1" t="s">
        <v>2</v>
      </c>
    </row>
    <row r="1951">
      <c r="E1951" s="1" t="s">
        <v>2</v>
      </c>
      <c r="F1951" s="1" t="s">
        <v>2</v>
      </c>
    </row>
    <row r="1952">
      <c r="E1952" s="1" t="s">
        <v>2</v>
      </c>
      <c r="F1952" s="1" t="s">
        <v>2</v>
      </c>
    </row>
    <row r="1953">
      <c r="E1953" s="1" t="s">
        <v>2</v>
      </c>
      <c r="F1953" s="1" t="s">
        <v>2</v>
      </c>
    </row>
    <row r="1954">
      <c r="E1954" s="1" t="s">
        <v>2</v>
      </c>
      <c r="F1954" s="1" t="s">
        <v>2</v>
      </c>
    </row>
    <row r="1955">
      <c r="E1955" s="1" t="s">
        <v>2</v>
      </c>
      <c r="F1955" s="1" t="s">
        <v>2</v>
      </c>
    </row>
    <row r="1956">
      <c r="E1956" s="1" t="s">
        <v>2</v>
      </c>
      <c r="F1956" s="1" t="s">
        <v>2</v>
      </c>
    </row>
    <row r="1957">
      <c r="E1957" s="1" t="s">
        <v>2</v>
      </c>
      <c r="F1957" s="1" t="s">
        <v>2</v>
      </c>
    </row>
    <row r="1958">
      <c r="E1958" s="1" t="s">
        <v>2</v>
      </c>
      <c r="F1958" s="1" t="s">
        <v>2</v>
      </c>
    </row>
    <row r="1959">
      <c r="E1959" s="1" t="s">
        <v>2</v>
      </c>
      <c r="F1959" s="1" t="s">
        <v>2</v>
      </c>
    </row>
    <row r="1960">
      <c r="E1960" s="1" t="s">
        <v>2</v>
      </c>
      <c r="F1960" s="1" t="s">
        <v>2</v>
      </c>
    </row>
    <row r="1961">
      <c r="E1961" s="1" t="s">
        <v>2</v>
      </c>
      <c r="F1961" s="1" t="s">
        <v>2</v>
      </c>
    </row>
    <row r="1962">
      <c r="E1962" s="1" t="s">
        <v>2</v>
      </c>
      <c r="F1962" s="1" t="s">
        <v>2</v>
      </c>
    </row>
    <row r="1963">
      <c r="E1963" s="1" t="s">
        <v>2</v>
      </c>
      <c r="F1963" s="1" t="s">
        <v>2</v>
      </c>
    </row>
    <row r="1964">
      <c r="E1964" s="1" t="s">
        <v>2</v>
      </c>
      <c r="F1964" s="1" t="s">
        <v>2</v>
      </c>
    </row>
    <row r="1965">
      <c r="E1965" s="1" t="s">
        <v>2</v>
      </c>
      <c r="F1965" s="1" t="s">
        <v>2</v>
      </c>
    </row>
    <row r="1966">
      <c r="E1966" s="1" t="s">
        <v>2</v>
      </c>
      <c r="F1966" s="1" t="s">
        <v>2</v>
      </c>
    </row>
    <row r="1967">
      <c r="E1967" s="1" t="s">
        <v>2</v>
      </c>
      <c r="F1967" s="1" t="s">
        <v>2</v>
      </c>
    </row>
    <row r="1968">
      <c r="E1968" s="1" t="s">
        <v>2</v>
      </c>
      <c r="F1968" s="1" t="s">
        <v>2</v>
      </c>
    </row>
    <row r="1969">
      <c r="E1969" s="1" t="s">
        <v>2</v>
      </c>
      <c r="F1969" s="1" t="s">
        <v>2</v>
      </c>
    </row>
    <row r="1970">
      <c r="E1970" s="1" t="s">
        <v>2</v>
      </c>
      <c r="F1970" s="1" t="s">
        <v>2</v>
      </c>
    </row>
    <row r="1971">
      <c r="E1971" s="1" t="s">
        <v>2</v>
      </c>
      <c r="F1971" s="1" t="s">
        <v>2</v>
      </c>
    </row>
    <row r="1972">
      <c r="E1972" s="1" t="s">
        <v>2</v>
      </c>
      <c r="F1972" s="1" t="s">
        <v>2</v>
      </c>
    </row>
    <row r="1973">
      <c r="E1973" s="1" t="s">
        <v>2</v>
      </c>
      <c r="F1973" s="1" t="s">
        <v>2</v>
      </c>
    </row>
    <row r="1974">
      <c r="E1974" s="1" t="s">
        <v>2</v>
      </c>
      <c r="F1974" s="1" t="s">
        <v>2</v>
      </c>
    </row>
    <row r="1975">
      <c r="E1975" s="1" t="s">
        <v>2</v>
      </c>
      <c r="F1975" s="1" t="s">
        <v>2</v>
      </c>
    </row>
    <row r="1976">
      <c r="E1976" s="1" t="s">
        <v>2</v>
      </c>
      <c r="F1976" s="1" t="s">
        <v>2</v>
      </c>
    </row>
    <row r="1977">
      <c r="E1977" s="1" t="s">
        <v>2</v>
      </c>
      <c r="F1977" s="1" t="s">
        <v>2</v>
      </c>
    </row>
    <row r="1978">
      <c r="E1978" s="1" t="s">
        <v>2</v>
      </c>
      <c r="F1978" s="1" t="s">
        <v>2</v>
      </c>
    </row>
    <row r="1979">
      <c r="E1979" s="1" t="s">
        <v>2</v>
      </c>
      <c r="F1979" s="1" t="s">
        <v>2</v>
      </c>
    </row>
    <row r="1980">
      <c r="E1980" s="1" t="s">
        <v>2</v>
      </c>
      <c r="F1980" s="1" t="s">
        <v>2</v>
      </c>
    </row>
    <row r="1981">
      <c r="E1981" s="1" t="s">
        <v>2</v>
      </c>
      <c r="F1981" s="1" t="s">
        <v>2</v>
      </c>
    </row>
    <row r="1982">
      <c r="E1982" s="1" t="s">
        <v>2</v>
      </c>
      <c r="F1982" s="1" t="s">
        <v>2</v>
      </c>
    </row>
    <row r="1983">
      <c r="E1983" s="1" t="s">
        <v>2</v>
      </c>
      <c r="F1983" s="1" t="s">
        <v>2</v>
      </c>
    </row>
    <row r="1984">
      <c r="E1984" s="1" t="s">
        <v>2</v>
      </c>
      <c r="F1984" s="1" t="s">
        <v>2</v>
      </c>
    </row>
    <row r="1985">
      <c r="E1985" s="1" t="s">
        <v>2</v>
      </c>
      <c r="F1985" s="1" t="s">
        <v>2</v>
      </c>
    </row>
    <row r="1986">
      <c r="E1986" s="1" t="s">
        <v>2</v>
      </c>
      <c r="F1986" s="1" t="s">
        <v>2</v>
      </c>
    </row>
    <row r="1987">
      <c r="E1987" s="1" t="s">
        <v>2</v>
      </c>
      <c r="F1987" s="1" t="s">
        <v>2</v>
      </c>
    </row>
    <row r="1988">
      <c r="E1988" s="1" t="s">
        <v>2</v>
      </c>
      <c r="F1988" s="1" t="s">
        <v>2</v>
      </c>
    </row>
    <row r="1989">
      <c r="E1989" s="1" t="s">
        <v>2</v>
      </c>
      <c r="F1989" s="1" t="s">
        <v>2</v>
      </c>
    </row>
    <row r="1990">
      <c r="E1990" s="1" t="s">
        <v>2</v>
      </c>
      <c r="F1990" s="1" t="s">
        <v>2</v>
      </c>
    </row>
    <row r="1991">
      <c r="E1991" s="1" t="s">
        <v>2</v>
      </c>
      <c r="F1991" s="1" t="s">
        <v>2</v>
      </c>
    </row>
    <row r="1992">
      <c r="E1992" s="1" t="s">
        <v>2</v>
      </c>
      <c r="F1992" s="1" t="s">
        <v>2</v>
      </c>
    </row>
    <row r="1993">
      <c r="E1993" s="1" t="s">
        <v>2</v>
      </c>
      <c r="F1993" s="1" t="s">
        <v>2</v>
      </c>
    </row>
    <row r="1994">
      <c r="E1994" s="1" t="s">
        <v>2</v>
      </c>
      <c r="F1994" s="1" t="s">
        <v>2</v>
      </c>
    </row>
    <row r="1995">
      <c r="E1995" s="1" t="s">
        <v>2</v>
      </c>
      <c r="F1995" s="1" t="s">
        <v>2</v>
      </c>
    </row>
    <row r="1996">
      <c r="E1996" s="1" t="s">
        <v>2</v>
      </c>
      <c r="F1996" s="1" t="s">
        <v>2</v>
      </c>
    </row>
    <row r="1997">
      <c r="E1997" s="1" t="s">
        <v>2</v>
      </c>
      <c r="F1997" s="1" t="s">
        <v>2</v>
      </c>
    </row>
    <row r="1998">
      <c r="E1998" s="1" t="s">
        <v>2</v>
      </c>
      <c r="F1998" s="1" t="s">
        <v>2</v>
      </c>
    </row>
    <row r="1999">
      <c r="E1999" s="1" t="s">
        <v>2</v>
      </c>
      <c r="F1999" s="1" t="s">
        <v>2</v>
      </c>
    </row>
    <row r="2000">
      <c r="E2000" s="1" t="s">
        <v>2</v>
      </c>
      <c r="F2000" s="1" t="s">
        <v>2</v>
      </c>
    </row>
    <row r="2001">
      <c r="E2001" s="1" t="s">
        <v>2</v>
      </c>
      <c r="F2001" s="1" t="s">
        <v>2</v>
      </c>
    </row>
    <row r="2002">
      <c r="E2002" s="1" t="s">
        <v>2</v>
      </c>
      <c r="F2002" s="1" t="s">
        <v>2</v>
      </c>
    </row>
    <row r="2003">
      <c r="E2003" s="1" t="s">
        <v>2</v>
      </c>
      <c r="F2003" s="1" t="s">
        <v>2</v>
      </c>
    </row>
    <row r="2004">
      <c r="E2004" s="1" t="s">
        <v>2</v>
      </c>
      <c r="F2004" s="1" t="s">
        <v>2</v>
      </c>
    </row>
    <row r="2005">
      <c r="E2005" s="1" t="s">
        <v>2</v>
      </c>
      <c r="F2005" s="1" t="s">
        <v>2</v>
      </c>
    </row>
    <row r="2006">
      <c r="E2006" s="1" t="s">
        <v>2</v>
      </c>
      <c r="F2006" s="1" t="s">
        <v>2</v>
      </c>
    </row>
    <row r="2007">
      <c r="E2007" s="1" t="s">
        <v>2</v>
      </c>
      <c r="F2007" s="1" t="s">
        <v>2</v>
      </c>
    </row>
    <row r="2008">
      <c r="E2008" s="1" t="s">
        <v>2</v>
      </c>
      <c r="F2008" s="1" t="s">
        <v>2</v>
      </c>
    </row>
    <row r="2009">
      <c r="E2009" s="1" t="s">
        <v>2</v>
      </c>
      <c r="F2009" s="1" t="s">
        <v>2</v>
      </c>
    </row>
    <row r="2010">
      <c r="E2010" s="1" t="s">
        <v>2</v>
      </c>
      <c r="F2010" s="1" t="s">
        <v>2</v>
      </c>
    </row>
    <row r="2011">
      <c r="E2011" s="1" t="s">
        <v>2</v>
      </c>
      <c r="F2011" s="1" t="s">
        <v>2</v>
      </c>
    </row>
    <row r="2012">
      <c r="E2012" s="1" t="s">
        <v>2</v>
      </c>
      <c r="F2012" s="1" t="s">
        <v>2</v>
      </c>
    </row>
    <row r="2013">
      <c r="E2013" s="1" t="s">
        <v>2</v>
      </c>
      <c r="F2013" s="1" t="s">
        <v>2</v>
      </c>
    </row>
    <row r="2014">
      <c r="E2014" s="1" t="s">
        <v>2</v>
      </c>
      <c r="F2014" s="1" t="s">
        <v>2</v>
      </c>
    </row>
    <row r="2015">
      <c r="E2015" s="1" t="s">
        <v>2</v>
      </c>
      <c r="F2015" s="1" t="s">
        <v>2</v>
      </c>
    </row>
    <row r="2016">
      <c r="E2016" s="1" t="s">
        <v>2</v>
      </c>
      <c r="F2016" s="1" t="s">
        <v>2</v>
      </c>
    </row>
    <row r="2017">
      <c r="E2017" s="1" t="s">
        <v>2</v>
      </c>
      <c r="F2017" s="1" t="s">
        <v>2</v>
      </c>
    </row>
    <row r="2018">
      <c r="E2018" s="1" t="s">
        <v>2</v>
      </c>
      <c r="F2018" s="1" t="s">
        <v>2</v>
      </c>
    </row>
    <row r="2019">
      <c r="E2019" s="1" t="s">
        <v>2</v>
      </c>
      <c r="F2019" s="1" t="s">
        <v>2</v>
      </c>
    </row>
    <row r="2020">
      <c r="E2020" s="1" t="s">
        <v>2</v>
      </c>
      <c r="F2020" s="1" t="s">
        <v>2</v>
      </c>
    </row>
    <row r="2021">
      <c r="E2021" s="1" t="s">
        <v>2</v>
      </c>
      <c r="F2021" s="1" t="s">
        <v>2</v>
      </c>
    </row>
    <row r="2022">
      <c r="E2022" s="1" t="s">
        <v>2</v>
      </c>
      <c r="F2022" s="1" t="s">
        <v>2</v>
      </c>
    </row>
    <row r="2023">
      <c r="E2023" s="1" t="s">
        <v>2</v>
      </c>
      <c r="F2023" s="1" t="s">
        <v>2</v>
      </c>
    </row>
    <row r="2024">
      <c r="E2024" s="1" t="s">
        <v>2</v>
      </c>
      <c r="F2024" s="1" t="s">
        <v>2</v>
      </c>
    </row>
    <row r="2025">
      <c r="E2025" s="1" t="s">
        <v>2</v>
      </c>
      <c r="F2025" s="1" t="s">
        <v>2</v>
      </c>
    </row>
    <row r="2026">
      <c r="E2026" s="1" t="s">
        <v>2</v>
      </c>
      <c r="F2026" s="1" t="s">
        <v>2</v>
      </c>
    </row>
    <row r="2027">
      <c r="E2027" s="1" t="s">
        <v>2</v>
      </c>
      <c r="F2027" s="1" t="s">
        <v>2</v>
      </c>
    </row>
    <row r="2028">
      <c r="E2028" s="1" t="s">
        <v>2</v>
      </c>
      <c r="F2028" s="1" t="s">
        <v>2</v>
      </c>
    </row>
    <row r="2029">
      <c r="E2029" s="1" t="s">
        <v>2</v>
      </c>
      <c r="F2029" s="1" t="s">
        <v>2</v>
      </c>
    </row>
    <row r="2030">
      <c r="E2030" s="1" t="s">
        <v>2</v>
      </c>
      <c r="F2030" s="1" t="s">
        <v>2</v>
      </c>
    </row>
    <row r="2031">
      <c r="E2031" s="1" t="s">
        <v>2</v>
      </c>
      <c r="F2031" s="1" t="s">
        <v>2</v>
      </c>
    </row>
    <row r="2032">
      <c r="E2032" s="1" t="s">
        <v>2</v>
      </c>
      <c r="F2032" s="1" t="s">
        <v>2</v>
      </c>
    </row>
    <row r="2033">
      <c r="E2033" s="1" t="s">
        <v>2</v>
      </c>
      <c r="F2033" s="1" t="s">
        <v>2</v>
      </c>
    </row>
    <row r="2034">
      <c r="E2034" s="1" t="s">
        <v>2</v>
      </c>
      <c r="F2034" s="1" t="s">
        <v>2</v>
      </c>
    </row>
    <row r="2035">
      <c r="E2035" s="1" t="s">
        <v>2</v>
      </c>
      <c r="F2035" s="1" t="s">
        <v>2</v>
      </c>
    </row>
    <row r="2036">
      <c r="E2036" s="1" t="s">
        <v>2</v>
      </c>
      <c r="F2036" s="1" t="s">
        <v>2</v>
      </c>
    </row>
    <row r="2037">
      <c r="E2037" s="1" t="s">
        <v>2</v>
      </c>
      <c r="F2037" s="1" t="s">
        <v>2</v>
      </c>
    </row>
    <row r="2038">
      <c r="E2038" s="1" t="s">
        <v>2</v>
      </c>
      <c r="F2038" s="1" t="s">
        <v>2</v>
      </c>
    </row>
    <row r="2039">
      <c r="E2039" s="1" t="s">
        <v>2</v>
      </c>
      <c r="F2039" s="1" t="s">
        <v>2</v>
      </c>
    </row>
    <row r="2040">
      <c r="E2040" s="1" t="s">
        <v>2</v>
      </c>
      <c r="F2040" s="1" t="s">
        <v>2</v>
      </c>
    </row>
    <row r="2041">
      <c r="E2041" s="1" t="s">
        <v>2</v>
      </c>
      <c r="F2041" s="1" t="s">
        <v>2</v>
      </c>
    </row>
    <row r="2042">
      <c r="E2042" s="1" t="s">
        <v>2</v>
      </c>
      <c r="F2042" s="1" t="s">
        <v>2</v>
      </c>
    </row>
    <row r="2043">
      <c r="E2043" s="1" t="s">
        <v>2</v>
      </c>
      <c r="F2043" s="1" t="s">
        <v>2</v>
      </c>
    </row>
    <row r="2044">
      <c r="E2044" s="1" t="s">
        <v>2</v>
      </c>
      <c r="F2044" s="1" t="s">
        <v>2</v>
      </c>
    </row>
    <row r="2045">
      <c r="E2045" s="1" t="s">
        <v>2</v>
      </c>
      <c r="F2045" s="1" t="s">
        <v>2</v>
      </c>
    </row>
    <row r="2046">
      <c r="E2046" s="1" t="s">
        <v>2</v>
      </c>
      <c r="F2046" s="1" t="s">
        <v>2</v>
      </c>
    </row>
    <row r="2047">
      <c r="E2047" s="1" t="s">
        <v>2</v>
      </c>
      <c r="F2047" s="1" t="s">
        <v>2</v>
      </c>
    </row>
    <row r="2048">
      <c r="E2048" s="1" t="s">
        <v>2</v>
      </c>
      <c r="F2048" s="1" t="s">
        <v>2</v>
      </c>
    </row>
    <row r="2049">
      <c r="E2049" s="1" t="s">
        <v>2</v>
      </c>
      <c r="F2049" s="1" t="s">
        <v>2</v>
      </c>
    </row>
    <row r="2050">
      <c r="E2050" s="1" t="s">
        <v>2</v>
      </c>
      <c r="F2050" s="1" t="s">
        <v>2</v>
      </c>
    </row>
    <row r="2051">
      <c r="E2051" s="1" t="s">
        <v>2</v>
      </c>
      <c r="F2051" s="1" t="s">
        <v>2</v>
      </c>
    </row>
    <row r="2052">
      <c r="E2052" s="1" t="s">
        <v>2</v>
      </c>
      <c r="F2052" s="1" t="s">
        <v>2</v>
      </c>
    </row>
    <row r="2053">
      <c r="E2053" s="1" t="s">
        <v>2</v>
      </c>
      <c r="F2053" s="1" t="s">
        <v>2</v>
      </c>
    </row>
    <row r="2054">
      <c r="E2054" s="1" t="s">
        <v>2</v>
      </c>
      <c r="F2054" s="1" t="s">
        <v>2</v>
      </c>
    </row>
    <row r="2055">
      <c r="E2055" s="1" t="s">
        <v>2</v>
      </c>
      <c r="F2055" s="1" t="s">
        <v>2</v>
      </c>
    </row>
    <row r="2056">
      <c r="E2056" s="1" t="s">
        <v>2</v>
      </c>
      <c r="F2056" s="1" t="s">
        <v>2</v>
      </c>
    </row>
    <row r="2057">
      <c r="E2057" s="1" t="s">
        <v>2</v>
      </c>
      <c r="F2057" s="1" t="s">
        <v>2</v>
      </c>
    </row>
    <row r="2058">
      <c r="E2058" s="1" t="s">
        <v>2</v>
      </c>
      <c r="F2058" s="1" t="s">
        <v>2</v>
      </c>
    </row>
    <row r="2059">
      <c r="E2059" s="1" t="s">
        <v>2</v>
      </c>
      <c r="F2059" s="1" t="s">
        <v>2</v>
      </c>
    </row>
    <row r="2060">
      <c r="E2060" s="1" t="s">
        <v>2</v>
      </c>
      <c r="F2060" s="1" t="s">
        <v>2</v>
      </c>
    </row>
    <row r="2061">
      <c r="E2061" s="1" t="s">
        <v>2</v>
      </c>
      <c r="F2061" s="1" t="s">
        <v>2</v>
      </c>
    </row>
    <row r="2062">
      <c r="E2062" s="1" t="s">
        <v>2</v>
      </c>
      <c r="F2062" s="1" t="s">
        <v>2</v>
      </c>
    </row>
    <row r="2063">
      <c r="E2063" s="1" t="s">
        <v>2</v>
      </c>
      <c r="F2063" s="1" t="s">
        <v>2</v>
      </c>
    </row>
    <row r="2064">
      <c r="E2064" s="1" t="s">
        <v>2</v>
      </c>
      <c r="F2064" s="1" t="s">
        <v>2</v>
      </c>
    </row>
    <row r="2065">
      <c r="E2065" s="1" t="s">
        <v>2</v>
      </c>
      <c r="F2065" s="1" t="s">
        <v>2</v>
      </c>
    </row>
    <row r="2066">
      <c r="E2066" s="1" t="s">
        <v>2</v>
      </c>
      <c r="F2066" s="1" t="s">
        <v>2</v>
      </c>
    </row>
    <row r="2067">
      <c r="E2067" s="1" t="s">
        <v>2</v>
      </c>
      <c r="F2067" s="1" t="s">
        <v>2</v>
      </c>
    </row>
    <row r="2068">
      <c r="E2068" s="1" t="s">
        <v>2</v>
      </c>
      <c r="F2068" s="1" t="s">
        <v>2</v>
      </c>
    </row>
    <row r="2069">
      <c r="E2069" s="1" t="s">
        <v>2</v>
      </c>
      <c r="F2069" s="1" t="s">
        <v>2</v>
      </c>
    </row>
    <row r="2070">
      <c r="E2070" s="1" t="s">
        <v>2</v>
      </c>
      <c r="F2070" s="1" t="s">
        <v>2</v>
      </c>
    </row>
    <row r="2071">
      <c r="E2071" s="1" t="s">
        <v>2</v>
      </c>
      <c r="F2071" s="1" t="s">
        <v>2</v>
      </c>
    </row>
    <row r="2072">
      <c r="E2072" s="1" t="s">
        <v>2</v>
      </c>
      <c r="F2072" s="1" t="s">
        <v>2</v>
      </c>
    </row>
    <row r="2073">
      <c r="E2073" s="1" t="s">
        <v>2</v>
      </c>
      <c r="F2073" s="1" t="s">
        <v>2</v>
      </c>
    </row>
    <row r="2074">
      <c r="E2074" s="1" t="s">
        <v>2</v>
      </c>
      <c r="F2074" s="1" t="s">
        <v>2</v>
      </c>
    </row>
    <row r="2075">
      <c r="E2075" s="1" t="s">
        <v>2</v>
      </c>
      <c r="F2075" s="1" t="s">
        <v>2</v>
      </c>
    </row>
    <row r="2076">
      <c r="E2076" s="1" t="s">
        <v>2</v>
      </c>
      <c r="F2076" s="1" t="s">
        <v>2</v>
      </c>
    </row>
    <row r="2077">
      <c r="E2077" s="1" t="s">
        <v>2</v>
      </c>
      <c r="F2077" s="1" t="s">
        <v>2</v>
      </c>
    </row>
    <row r="2078">
      <c r="E2078" s="1" t="s">
        <v>2</v>
      </c>
      <c r="F2078" s="1" t="s">
        <v>2</v>
      </c>
    </row>
    <row r="2079">
      <c r="E2079" s="1" t="s">
        <v>2</v>
      </c>
      <c r="F2079" s="1" t="s">
        <v>2</v>
      </c>
    </row>
    <row r="2080">
      <c r="E2080" s="1" t="s">
        <v>2</v>
      </c>
      <c r="F2080" s="1" t="s">
        <v>2</v>
      </c>
    </row>
    <row r="2081">
      <c r="E2081" s="1" t="s">
        <v>2</v>
      </c>
      <c r="F2081" s="1" t="s">
        <v>2</v>
      </c>
    </row>
    <row r="2082">
      <c r="E2082" s="1" t="s">
        <v>2</v>
      </c>
      <c r="F2082" s="1" t="s">
        <v>2</v>
      </c>
    </row>
    <row r="2083">
      <c r="E2083" s="1" t="s">
        <v>2</v>
      </c>
      <c r="F2083" s="1" t="s">
        <v>2</v>
      </c>
    </row>
    <row r="2084">
      <c r="E2084" s="1" t="s">
        <v>2</v>
      </c>
      <c r="F2084" s="1" t="s">
        <v>2</v>
      </c>
    </row>
    <row r="2085">
      <c r="E2085" s="1" t="s">
        <v>2</v>
      </c>
      <c r="F2085" s="1" t="s">
        <v>2</v>
      </c>
    </row>
    <row r="2086">
      <c r="E2086" s="1" t="s">
        <v>2</v>
      </c>
      <c r="F2086" s="1" t="s">
        <v>2</v>
      </c>
    </row>
    <row r="2087">
      <c r="E2087" s="1" t="s">
        <v>2</v>
      </c>
      <c r="F2087" s="1" t="s">
        <v>2</v>
      </c>
    </row>
    <row r="2088">
      <c r="E2088" s="1" t="s">
        <v>2</v>
      </c>
      <c r="F2088" s="1" t="s">
        <v>2</v>
      </c>
    </row>
    <row r="2089">
      <c r="E2089" s="1" t="s">
        <v>2</v>
      </c>
      <c r="F2089" s="1" t="s">
        <v>2</v>
      </c>
    </row>
    <row r="2090">
      <c r="E2090" s="1" t="s">
        <v>2</v>
      </c>
      <c r="F2090" s="1" t="s">
        <v>2</v>
      </c>
    </row>
    <row r="2091">
      <c r="E2091" s="1" t="s">
        <v>2</v>
      </c>
      <c r="F2091" s="1" t="s">
        <v>2</v>
      </c>
    </row>
    <row r="2092">
      <c r="E2092" s="1" t="s">
        <v>2</v>
      </c>
      <c r="F2092" s="1" t="s">
        <v>2</v>
      </c>
    </row>
    <row r="2093">
      <c r="E2093" s="1" t="s">
        <v>2</v>
      </c>
      <c r="F2093" s="1" t="s">
        <v>2</v>
      </c>
    </row>
    <row r="2094">
      <c r="E2094" s="1" t="s">
        <v>2</v>
      </c>
      <c r="F2094" s="1" t="s">
        <v>2</v>
      </c>
    </row>
    <row r="2095">
      <c r="E2095" s="1" t="s">
        <v>2</v>
      </c>
      <c r="F2095" s="1" t="s">
        <v>2</v>
      </c>
    </row>
    <row r="2096">
      <c r="E2096" s="1" t="s">
        <v>2</v>
      </c>
      <c r="F2096" s="1" t="s">
        <v>2</v>
      </c>
    </row>
    <row r="2097">
      <c r="E2097" s="1" t="s">
        <v>2</v>
      </c>
      <c r="F2097" s="1" t="s">
        <v>2</v>
      </c>
    </row>
    <row r="2098">
      <c r="E2098" s="1" t="s">
        <v>2</v>
      </c>
      <c r="F2098" s="1" t="s">
        <v>2</v>
      </c>
    </row>
    <row r="2099">
      <c r="E2099" s="1" t="s">
        <v>2</v>
      </c>
      <c r="F2099" s="1" t="s">
        <v>2</v>
      </c>
    </row>
    <row r="2100">
      <c r="E2100" s="1" t="s">
        <v>2</v>
      </c>
      <c r="F2100" s="1" t="s">
        <v>2</v>
      </c>
    </row>
    <row r="2101">
      <c r="E2101" s="1" t="s">
        <v>2</v>
      </c>
      <c r="F2101" s="1" t="s">
        <v>2</v>
      </c>
    </row>
    <row r="2102">
      <c r="E2102" s="1" t="s">
        <v>2</v>
      </c>
      <c r="F2102" s="1" t="s">
        <v>2</v>
      </c>
    </row>
    <row r="2103">
      <c r="E2103" s="1" t="s">
        <v>2</v>
      </c>
      <c r="F2103" s="1" t="s">
        <v>2</v>
      </c>
    </row>
    <row r="2104">
      <c r="E2104" s="1" t="s">
        <v>2</v>
      </c>
      <c r="F2104" s="1" t="s">
        <v>2</v>
      </c>
    </row>
    <row r="2105">
      <c r="E2105" s="1" t="s">
        <v>2</v>
      </c>
      <c r="F2105" s="1" t="s">
        <v>2</v>
      </c>
    </row>
    <row r="2106">
      <c r="E2106" s="1" t="s">
        <v>2</v>
      </c>
      <c r="F2106" s="1" t="s">
        <v>2</v>
      </c>
    </row>
    <row r="2107">
      <c r="E2107" s="1" t="s">
        <v>2</v>
      </c>
      <c r="F2107" s="1" t="s">
        <v>2</v>
      </c>
    </row>
    <row r="2108">
      <c r="E2108" s="1" t="s">
        <v>2</v>
      </c>
      <c r="F2108" s="1" t="s">
        <v>2</v>
      </c>
    </row>
    <row r="2109">
      <c r="E2109" s="1" t="s">
        <v>2</v>
      </c>
      <c r="F2109" s="1" t="s">
        <v>2</v>
      </c>
    </row>
    <row r="2110">
      <c r="E2110" s="1" t="s">
        <v>2</v>
      </c>
      <c r="F2110" s="1" t="s">
        <v>2</v>
      </c>
    </row>
    <row r="2111">
      <c r="E2111" s="1" t="s">
        <v>2</v>
      </c>
      <c r="F2111" s="1" t="s">
        <v>2</v>
      </c>
    </row>
    <row r="2112">
      <c r="E2112" s="1" t="s">
        <v>2</v>
      </c>
      <c r="F2112" s="1" t="s">
        <v>2</v>
      </c>
    </row>
    <row r="2113">
      <c r="E2113" s="1" t="s">
        <v>2</v>
      </c>
      <c r="F2113" s="1" t="s">
        <v>2</v>
      </c>
    </row>
    <row r="2114">
      <c r="E2114" s="1" t="s">
        <v>2</v>
      </c>
      <c r="F2114" s="1" t="s">
        <v>2</v>
      </c>
    </row>
    <row r="2115">
      <c r="E2115" s="1" t="s">
        <v>2</v>
      </c>
      <c r="F2115" s="1" t="s">
        <v>2</v>
      </c>
    </row>
    <row r="2116">
      <c r="E2116" s="1" t="s">
        <v>2</v>
      </c>
      <c r="F2116" s="1" t="s">
        <v>2</v>
      </c>
    </row>
    <row r="2117">
      <c r="E2117" s="1" t="s">
        <v>2</v>
      </c>
      <c r="F2117" s="1" t="s">
        <v>2</v>
      </c>
    </row>
    <row r="2118">
      <c r="E2118" s="1" t="s">
        <v>2</v>
      </c>
      <c r="F2118" s="1" t="s">
        <v>2</v>
      </c>
    </row>
    <row r="2119">
      <c r="E2119" s="1" t="s">
        <v>2</v>
      </c>
      <c r="F2119" s="1" t="s">
        <v>2</v>
      </c>
    </row>
    <row r="2120">
      <c r="E2120" s="1" t="s">
        <v>2</v>
      </c>
      <c r="F2120" s="1" t="s">
        <v>2</v>
      </c>
    </row>
    <row r="2121">
      <c r="E2121" s="1" t="s">
        <v>2</v>
      </c>
      <c r="F2121" s="1" t="s">
        <v>2</v>
      </c>
    </row>
    <row r="2122">
      <c r="E2122" s="1" t="s">
        <v>2</v>
      </c>
      <c r="F2122" s="1" t="s">
        <v>2</v>
      </c>
    </row>
    <row r="2123">
      <c r="E2123" s="1" t="s">
        <v>2</v>
      </c>
      <c r="F2123" s="1" t="s">
        <v>2</v>
      </c>
    </row>
    <row r="2124">
      <c r="E2124" s="1" t="s">
        <v>2</v>
      </c>
      <c r="F2124" s="1" t="s">
        <v>2</v>
      </c>
    </row>
    <row r="2125">
      <c r="E2125" s="1" t="s">
        <v>2</v>
      </c>
      <c r="F2125" s="1" t="s">
        <v>2</v>
      </c>
    </row>
    <row r="2126">
      <c r="E2126" s="1" t="s">
        <v>2</v>
      </c>
      <c r="F2126" s="1" t="s">
        <v>2</v>
      </c>
    </row>
    <row r="2127">
      <c r="E2127" s="1" t="s">
        <v>2</v>
      </c>
      <c r="F2127" s="1" t="s">
        <v>2</v>
      </c>
    </row>
    <row r="2128">
      <c r="E2128" s="1" t="s">
        <v>2</v>
      </c>
      <c r="F2128" s="1" t="s">
        <v>2</v>
      </c>
    </row>
    <row r="2129">
      <c r="E2129" s="1" t="s">
        <v>2</v>
      </c>
      <c r="F2129" s="1" t="s">
        <v>2</v>
      </c>
    </row>
    <row r="2130">
      <c r="E2130" s="1" t="s">
        <v>2</v>
      </c>
      <c r="F2130" s="1" t="s">
        <v>2</v>
      </c>
    </row>
    <row r="2131">
      <c r="E2131" s="1" t="s">
        <v>2</v>
      </c>
      <c r="F2131" s="1" t="s">
        <v>2</v>
      </c>
    </row>
    <row r="2132">
      <c r="E2132" s="1" t="s">
        <v>2</v>
      </c>
      <c r="F2132" s="1" t="s">
        <v>2</v>
      </c>
    </row>
    <row r="2133">
      <c r="E2133" s="1" t="s">
        <v>2</v>
      </c>
      <c r="F2133" s="1" t="s">
        <v>2</v>
      </c>
    </row>
    <row r="2134">
      <c r="E2134" s="1" t="s">
        <v>2</v>
      </c>
      <c r="F2134" s="1" t="s">
        <v>2</v>
      </c>
    </row>
    <row r="2135">
      <c r="E2135" s="1" t="s">
        <v>2</v>
      </c>
      <c r="F2135" s="1" t="s">
        <v>2</v>
      </c>
    </row>
    <row r="2136">
      <c r="E2136" s="1" t="s">
        <v>2</v>
      </c>
      <c r="F2136" s="1" t="s">
        <v>2</v>
      </c>
    </row>
    <row r="2137">
      <c r="E2137" s="1" t="s">
        <v>2</v>
      </c>
      <c r="F2137" s="1" t="s">
        <v>2</v>
      </c>
    </row>
    <row r="2138">
      <c r="E2138" s="1" t="s">
        <v>2</v>
      </c>
      <c r="F2138" s="1" t="s">
        <v>2</v>
      </c>
    </row>
    <row r="2139">
      <c r="E2139" s="1" t="s">
        <v>2</v>
      </c>
      <c r="F2139" s="1" t="s">
        <v>2</v>
      </c>
    </row>
    <row r="2140">
      <c r="E2140" s="1" t="s">
        <v>2</v>
      </c>
      <c r="F2140" s="1" t="s">
        <v>2</v>
      </c>
    </row>
    <row r="2141">
      <c r="E2141" s="1" t="s">
        <v>2</v>
      </c>
      <c r="F2141" s="1" t="s">
        <v>2</v>
      </c>
    </row>
    <row r="2142">
      <c r="E2142" s="1" t="s">
        <v>2</v>
      </c>
      <c r="F2142" s="1" t="s">
        <v>2</v>
      </c>
    </row>
    <row r="2143">
      <c r="E2143" s="1" t="s">
        <v>2</v>
      </c>
      <c r="F2143" s="1" t="s">
        <v>2</v>
      </c>
    </row>
    <row r="2144">
      <c r="E2144" s="1" t="s">
        <v>2</v>
      </c>
      <c r="F2144" s="1" t="s">
        <v>2</v>
      </c>
    </row>
    <row r="2145">
      <c r="E2145" s="1" t="s">
        <v>2</v>
      </c>
      <c r="F2145" s="1" t="s">
        <v>2</v>
      </c>
    </row>
    <row r="2146">
      <c r="E2146" s="1" t="s">
        <v>2</v>
      </c>
      <c r="F2146" s="1" t="s">
        <v>2</v>
      </c>
    </row>
    <row r="2147">
      <c r="E2147" s="1" t="s">
        <v>2</v>
      </c>
      <c r="F2147" s="1" t="s">
        <v>2</v>
      </c>
    </row>
    <row r="2148">
      <c r="E2148" s="1" t="s">
        <v>2</v>
      </c>
      <c r="F2148" s="1" t="s">
        <v>2</v>
      </c>
    </row>
    <row r="2149">
      <c r="E2149" s="1" t="s">
        <v>2</v>
      </c>
      <c r="F2149" s="1" t="s">
        <v>2</v>
      </c>
    </row>
    <row r="2150">
      <c r="E2150" s="1" t="s">
        <v>2</v>
      </c>
      <c r="F2150" s="1" t="s">
        <v>2</v>
      </c>
    </row>
    <row r="2151">
      <c r="E2151" s="1" t="s">
        <v>2</v>
      </c>
      <c r="F2151" s="1" t="s">
        <v>2</v>
      </c>
    </row>
    <row r="2152">
      <c r="E2152" s="1" t="s">
        <v>2</v>
      </c>
      <c r="F2152" s="1" t="s">
        <v>2</v>
      </c>
    </row>
    <row r="2153">
      <c r="E2153" s="1" t="s">
        <v>2</v>
      </c>
      <c r="F2153" s="1" t="s">
        <v>2</v>
      </c>
    </row>
    <row r="2154">
      <c r="E2154" s="1" t="s">
        <v>2</v>
      </c>
      <c r="F2154" s="1" t="s">
        <v>2</v>
      </c>
    </row>
    <row r="2155">
      <c r="E2155" s="1" t="s">
        <v>2</v>
      </c>
      <c r="F2155" s="1" t="s">
        <v>2</v>
      </c>
    </row>
    <row r="2156">
      <c r="E2156" s="1" t="s">
        <v>2</v>
      </c>
      <c r="F2156" s="1" t="s">
        <v>2</v>
      </c>
    </row>
    <row r="2157">
      <c r="E2157" s="1" t="s">
        <v>2</v>
      </c>
      <c r="F2157" s="1" t="s">
        <v>2</v>
      </c>
    </row>
    <row r="2158">
      <c r="E2158" s="1" t="s">
        <v>2</v>
      </c>
      <c r="F2158" s="1" t="s">
        <v>2</v>
      </c>
    </row>
    <row r="2159">
      <c r="E2159" s="1" t="s">
        <v>2</v>
      </c>
      <c r="F2159" s="1" t="s">
        <v>2</v>
      </c>
    </row>
    <row r="2160">
      <c r="E2160" s="1" t="s">
        <v>2</v>
      </c>
      <c r="F2160" s="1" t="s">
        <v>2</v>
      </c>
    </row>
    <row r="2161">
      <c r="E2161" s="1" t="s">
        <v>2</v>
      </c>
      <c r="F2161" s="1" t="s">
        <v>2</v>
      </c>
    </row>
    <row r="2162">
      <c r="E2162" s="1" t="s">
        <v>2</v>
      </c>
      <c r="F2162" s="1" t="s">
        <v>2</v>
      </c>
    </row>
    <row r="2163">
      <c r="E2163" s="1" t="s">
        <v>2</v>
      </c>
      <c r="F2163" s="1" t="s">
        <v>2</v>
      </c>
    </row>
    <row r="2164">
      <c r="E2164" s="1" t="s">
        <v>2</v>
      </c>
      <c r="F2164" s="1" t="s">
        <v>2</v>
      </c>
    </row>
    <row r="2165">
      <c r="E2165" s="1" t="s">
        <v>2</v>
      </c>
      <c r="F2165" s="1" t="s">
        <v>2</v>
      </c>
    </row>
    <row r="2166">
      <c r="E2166" s="1" t="s">
        <v>2</v>
      </c>
      <c r="F2166" s="1" t="s">
        <v>2</v>
      </c>
    </row>
    <row r="2167">
      <c r="E2167" s="1" t="s">
        <v>2</v>
      </c>
      <c r="F2167" s="1" t="s">
        <v>2</v>
      </c>
    </row>
    <row r="2168">
      <c r="E2168" s="1" t="s">
        <v>2</v>
      </c>
      <c r="F2168" s="1" t="s">
        <v>2</v>
      </c>
    </row>
    <row r="2169">
      <c r="E2169" s="1" t="s">
        <v>2</v>
      </c>
      <c r="F2169" s="1" t="s">
        <v>2</v>
      </c>
    </row>
    <row r="2170">
      <c r="E2170" s="1" t="s">
        <v>2</v>
      </c>
      <c r="F2170" s="1" t="s">
        <v>2</v>
      </c>
    </row>
    <row r="2171">
      <c r="E2171" s="1" t="s">
        <v>2</v>
      </c>
      <c r="F2171" s="1" t="s">
        <v>2</v>
      </c>
    </row>
    <row r="2172">
      <c r="E2172" s="1" t="s">
        <v>2</v>
      </c>
      <c r="F2172" s="1" t="s">
        <v>2</v>
      </c>
    </row>
    <row r="2173">
      <c r="E2173" s="1" t="s">
        <v>2</v>
      </c>
      <c r="F2173" s="1" t="s">
        <v>2</v>
      </c>
    </row>
    <row r="2174">
      <c r="E2174" s="1" t="s">
        <v>2</v>
      </c>
      <c r="F2174" s="1" t="s">
        <v>2</v>
      </c>
    </row>
    <row r="2175">
      <c r="E2175" s="1" t="s">
        <v>2</v>
      </c>
      <c r="F2175" s="1" t="s">
        <v>2</v>
      </c>
    </row>
    <row r="2176">
      <c r="E2176" s="1" t="s">
        <v>2</v>
      </c>
      <c r="F2176" s="1" t="s">
        <v>2</v>
      </c>
    </row>
    <row r="2177">
      <c r="E2177" s="1" t="s">
        <v>2</v>
      </c>
      <c r="F2177" s="1" t="s">
        <v>2</v>
      </c>
    </row>
    <row r="2178">
      <c r="E2178" s="1" t="s">
        <v>2</v>
      </c>
      <c r="F2178" s="1" t="s">
        <v>2</v>
      </c>
    </row>
    <row r="2179">
      <c r="E2179" s="1" t="s">
        <v>2</v>
      </c>
      <c r="F2179" s="1" t="s">
        <v>2</v>
      </c>
    </row>
    <row r="2180">
      <c r="E2180" s="1" t="s">
        <v>2</v>
      </c>
      <c r="F2180" s="1" t="s">
        <v>2</v>
      </c>
    </row>
    <row r="2181">
      <c r="E2181" s="1" t="s">
        <v>2</v>
      </c>
      <c r="F2181" s="1" t="s">
        <v>2</v>
      </c>
    </row>
    <row r="2182">
      <c r="E2182" s="1" t="s">
        <v>2</v>
      </c>
      <c r="F2182" s="1" t="s">
        <v>2</v>
      </c>
    </row>
    <row r="2183">
      <c r="E2183" s="1" t="s">
        <v>2</v>
      </c>
      <c r="F2183" s="1" t="s">
        <v>2</v>
      </c>
    </row>
    <row r="2184">
      <c r="E2184" s="1" t="s">
        <v>2</v>
      </c>
      <c r="F2184" s="1" t="s">
        <v>2</v>
      </c>
    </row>
    <row r="2185">
      <c r="E2185" s="1" t="s">
        <v>2</v>
      </c>
      <c r="F2185" s="1" t="s">
        <v>2</v>
      </c>
    </row>
    <row r="2186">
      <c r="E2186" s="1" t="s">
        <v>2</v>
      </c>
      <c r="F2186" s="1" t="s">
        <v>2</v>
      </c>
    </row>
    <row r="2187">
      <c r="E2187" s="1" t="s">
        <v>2</v>
      </c>
      <c r="F2187" s="1" t="s">
        <v>2</v>
      </c>
    </row>
    <row r="2188">
      <c r="E2188" s="1" t="s">
        <v>2</v>
      </c>
      <c r="F2188" s="1" t="s">
        <v>2</v>
      </c>
    </row>
    <row r="2189">
      <c r="E2189" s="1" t="s">
        <v>2</v>
      </c>
      <c r="F2189" s="1" t="s">
        <v>2</v>
      </c>
    </row>
    <row r="2190">
      <c r="E2190" s="1" t="s">
        <v>2</v>
      </c>
      <c r="F2190" s="1" t="s">
        <v>2</v>
      </c>
    </row>
    <row r="2191">
      <c r="E2191" s="1" t="s">
        <v>2</v>
      </c>
      <c r="F2191" s="1" t="s">
        <v>2</v>
      </c>
    </row>
    <row r="2192">
      <c r="E2192" s="1" t="s">
        <v>2</v>
      </c>
      <c r="F2192" s="1" t="s">
        <v>2</v>
      </c>
    </row>
    <row r="2193">
      <c r="E2193" s="1" t="s">
        <v>2</v>
      </c>
      <c r="F2193" s="1" t="s">
        <v>2</v>
      </c>
    </row>
    <row r="2194">
      <c r="E2194" s="1" t="s">
        <v>2</v>
      </c>
      <c r="F2194" s="1" t="s">
        <v>2</v>
      </c>
    </row>
    <row r="2195">
      <c r="E2195" s="1" t="s">
        <v>2</v>
      </c>
      <c r="F2195" s="1" t="s">
        <v>2</v>
      </c>
    </row>
    <row r="2196">
      <c r="E2196" s="1" t="s">
        <v>2</v>
      </c>
      <c r="F2196" s="1" t="s">
        <v>2</v>
      </c>
    </row>
    <row r="2197">
      <c r="E2197" s="1" t="s">
        <v>2</v>
      </c>
      <c r="F2197" s="1" t="s">
        <v>2</v>
      </c>
    </row>
    <row r="2198">
      <c r="E2198" s="1" t="s">
        <v>2</v>
      </c>
      <c r="F2198" s="1" t="s">
        <v>2</v>
      </c>
    </row>
    <row r="2199">
      <c r="E2199" s="1" t="s">
        <v>2</v>
      </c>
      <c r="F2199" s="1" t="s">
        <v>2</v>
      </c>
    </row>
    <row r="2200">
      <c r="E2200" s="1" t="s">
        <v>2</v>
      </c>
      <c r="F2200" s="1" t="s">
        <v>2</v>
      </c>
    </row>
    <row r="2201">
      <c r="E2201" s="1" t="s">
        <v>2</v>
      </c>
      <c r="F2201" s="1" t="s">
        <v>2</v>
      </c>
    </row>
    <row r="2202">
      <c r="E2202" s="1" t="s">
        <v>2</v>
      </c>
      <c r="F2202" s="1" t="s">
        <v>2</v>
      </c>
    </row>
    <row r="2203">
      <c r="E2203" s="1" t="s">
        <v>2</v>
      </c>
      <c r="F2203" s="1" t="s">
        <v>2</v>
      </c>
    </row>
    <row r="2204">
      <c r="E2204" s="1" t="s">
        <v>2</v>
      </c>
      <c r="F2204" s="1" t="s">
        <v>2</v>
      </c>
    </row>
    <row r="2205">
      <c r="E2205" s="1" t="s">
        <v>2</v>
      </c>
      <c r="F2205" s="1" t="s">
        <v>2</v>
      </c>
    </row>
    <row r="2206">
      <c r="E2206" s="1" t="s">
        <v>2</v>
      </c>
      <c r="F2206" s="1" t="s">
        <v>2</v>
      </c>
    </row>
    <row r="2207">
      <c r="E2207" s="1" t="s">
        <v>2</v>
      </c>
      <c r="F2207" s="1" t="s">
        <v>2</v>
      </c>
    </row>
    <row r="2208">
      <c r="E2208" s="1" t="s">
        <v>2</v>
      </c>
      <c r="F2208" s="1" t="s">
        <v>2</v>
      </c>
    </row>
    <row r="2209">
      <c r="E2209" s="1" t="s">
        <v>2</v>
      </c>
      <c r="F2209" s="1" t="s">
        <v>2</v>
      </c>
    </row>
    <row r="2210">
      <c r="E2210" s="1" t="s">
        <v>2</v>
      </c>
      <c r="F2210" s="1" t="s">
        <v>2</v>
      </c>
    </row>
    <row r="2211">
      <c r="E2211" s="1" t="s">
        <v>2</v>
      </c>
      <c r="F2211" s="1" t="s">
        <v>2</v>
      </c>
    </row>
    <row r="2212">
      <c r="E2212" s="1" t="s">
        <v>2</v>
      </c>
      <c r="F2212" s="1" t="s">
        <v>2</v>
      </c>
    </row>
    <row r="2213">
      <c r="E2213" s="1" t="s">
        <v>2</v>
      </c>
      <c r="F2213" s="1" t="s">
        <v>2</v>
      </c>
    </row>
    <row r="2214">
      <c r="E2214" s="1" t="s">
        <v>2</v>
      </c>
      <c r="F2214" s="1" t="s">
        <v>2</v>
      </c>
    </row>
    <row r="2215">
      <c r="E2215" s="1" t="s">
        <v>2</v>
      </c>
      <c r="F2215" s="1" t="s">
        <v>2</v>
      </c>
    </row>
    <row r="2216">
      <c r="E2216" s="1" t="s">
        <v>2</v>
      </c>
      <c r="F2216" s="1" t="s">
        <v>2</v>
      </c>
    </row>
    <row r="2217">
      <c r="E2217" s="1" t="s">
        <v>2</v>
      </c>
      <c r="F2217" s="1" t="s">
        <v>2</v>
      </c>
    </row>
    <row r="2218">
      <c r="E2218" s="1" t="s">
        <v>2</v>
      </c>
      <c r="F2218" s="1" t="s">
        <v>2</v>
      </c>
    </row>
    <row r="2219">
      <c r="E2219" s="1" t="s">
        <v>2</v>
      </c>
      <c r="F2219" s="1" t="s">
        <v>2</v>
      </c>
    </row>
    <row r="2220">
      <c r="E2220" s="1" t="s">
        <v>2</v>
      </c>
      <c r="F2220" s="1" t="s">
        <v>2</v>
      </c>
    </row>
    <row r="2221">
      <c r="E2221" s="1" t="s">
        <v>2</v>
      </c>
      <c r="F2221" s="1" t="s">
        <v>2</v>
      </c>
    </row>
    <row r="2222">
      <c r="E2222" s="1" t="s">
        <v>2</v>
      </c>
      <c r="F2222" s="1" t="s">
        <v>2</v>
      </c>
    </row>
    <row r="2223">
      <c r="E2223" s="1" t="s">
        <v>2</v>
      </c>
      <c r="F2223" s="1" t="s">
        <v>2</v>
      </c>
    </row>
    <row r="2224">
      <c r="E2224" s="1" t="s">
        <v>2</v>
      </c>
      <c r="F2224" s="1" t="s">
        <v>2</v>
      </c>
    </row>
    <row r="2225">
      <c r="E2225" s="1" t="s">
        <v>2</v>
      </c>
      <c r="F2225" s="1" t="s">
        <v>2</v>
      </c>
    </row>
    <row r="2226">
      <c r="E2226" s="1" t="s">
        <v>2</v>
      </c>
      <c r="F2226" s="1" t="s">
        <v>2</v>
      </c>
    </row>
    <row r="2227">
      <c r="E2227" s="1" t="s">
        <v>2</v>
      </c>
      <c r="F2227" s="1" t="s">
        <v>2</v>
      </c>
    </row>
    <row r="2228">
      <c r="E2228" s="1" t="s">
        <v>2</v>
      </c>
      <c r="F2228" s="1" t="s">
        <v>2</v>
      </c>
    </row>
    <row r="2229">
      <c r="E2229" s="1" t="s">
        <v>2</v>
      </c>
      <c r="F2229" s="1" t="s">
        <v>2</v>
      </c>
    </row>
    <row r="2230">
      <c r="E2230" s="1" t="s">
        <v>2</v>
      </c>
      <c r="F2230" s="1" t="s">
        <v>2</v>
      </c>
    </row>
    <row r="2231">
      <c r="E2231" s="1" t="s">
        <v>2</v>
      </c>
      <c r="F2231" s="1" t="s">
        <v>2</v>
      </c>
    </row>
    <row r="2232">
      <c r="E2232" s="1" t="s">
        <v>2</v>
      </c>
      <c r="F2232" s="1" t="s">
        <v>2</v>
      </c>
    </row>
    <row r="2233">
      <c r="E2233" s="1" t="s">
        <v>2</v>
      </c>
      <c r="F2233" s="1" t="s">
        <v>2</v>
      </c>
    </row>
    <row r="2234">
      <c r="E2234" s="1" t="s">
        <v>2</v>
      </c>
      <c r="F2234" s="1" t="s">
        <v>2</v>
      </c>
    </row>
    <row r="2235">
      <c r="E2235" s="1" t="s">
        <v>2</v>
      </c>
      <c r="F2235" s="1" t="s">
        <v>2</v>
      </c>
    </row>
    <row r="2236">
      <c r="E2236" s="1" t="s">
        <v>2</v>
      </c>
      <c r="F2236" s="1" t="s">
        <v>2</v>
      </c>
    </row>
    <row r="2237">
      <c r="E2237" s="1" t="s">
        <v>2</v>
      </c>
      <c r="F2237" s="1" t="s">
        <v>2</v>
      </c>
    </row>
    <row r="2238">
      <c r="E2238" s="1" t="s">
        <v>2</v>
      </c>
      <c r="F2238" s="1" t="s">
        <v>2</v>
      </c>
    </row>
    <row r="2239">
      <c r="E2239" s="1" t="s">
        <v>2</v>
      </c>
      <c r="F2239" s="1" t="s">
        <v>2</v>
      </c>
    </row>
    <row r="2240">
      <c r="E2240" s="1" t="s">
        <v>2</v>
      </c>
      <c r="F2240" s="1" t="s">
        <v>2</v>
      </c>
    </row>
    <row r="2241">
      <c r="E2241" s="1" t="s">
        <v>2</v>
      </c>
      <c r="F2241" s="1" t="s">
        <v>2</v>
      </c>
    </row>
    <row r="2242">
      <c r="E2242" s="1" t="s">
        <v>2</v>
      </c>
      <c r="F2242" s="1" t="s">
        <v>2</v>
      </c>
    </row>
    <row r="2243">
      <c r="E2243" s="1" t="s">
        <v>2</v>
      </c>
      <c r="F2243" s="1" t="s">
        <v>2</v>
      </c>
    </row>
    <row r="2244">
      <c r="E2244" s="1" t="s">
        <v>2</v>
      </c>
      <c r="F2244" s="1" t="s">
        <v>2</v>
      </c>
    </row>
    <row r="2245">
      <c r="E2245" s="1" t="s">
        <v>2</v>
      </c>
      <c r="F2245" s="1" t="s">
        <v>2</v>
      </c>
    </row>
    <row r="2246">
      <c r="E2246" s="1" t="s">
        <v>2</v>
      </c>
      <c r="F2246" s="1" t="s">
        <v>2</v>
      </c>
    </row>
    <row r="2247">
      <c r="E2247" s="1" t="s">
        <v>2</v>
      </c>
      <c r="F2247" s="1" t="s">
        <v>2</v>
      </c>
    </row>
    <row r="2248">
      <c r="E2248" s="1" t="s">
        <v>2</v>
      </c>
      <c r="F2248" s="1" t="s">
        <v>2</v>
      </c>
    </row>
    <row r="2249">
      <c r="E2249" s="1" t="s">
        <v>2</v>
      </c>
      <c r="F2249" s="1" t="s">
        <v>2</v>
      </c>
    </row>
    <row r="2250">
      <c r="E2250" s="1" t="s">
        <v>2</v>
      </c>
      <c r="F2250" s="1" t="s">
        <v>2</v>
      </c>
    </row>
    <row r="2251">
      <c r="E2251" s="1" t="s">
        <v>2</v>
      </c>
      <c r="F2251" s="1" t="s">
        <v>2</v>
      </c>
    </row>
    <row r="2252">
      <c r="E2252" s="1" t="s">
        <v>2</v>
      </c>
      <c r="F2252" s="1" t="s">
        <v>2</v>
      </c>
    </row>
    <row r="2253">
      <c r="E2253" s="1" t="s">
        <v>2</v>
      </c>
      <c r="F2253" s="1" t="s">
        <v>2</v>
      </c>
    </row>
    <row r="2254">
      <c r="E2254" s="1" t="s">
        <v>2</v>
      </c>
      <c r="F2254" s="1" t="s">
        <v>2</v>
      </c>
    </row>
    <row r="2255">
      <c r="E2255" s="1" t="s">
        <v>2</v>
      </c>
      <c r="F2255" s="1" t="s">
        <v>2</v>
      </c>
    </row>
    <row r="2256">
      <c r="E2256" s="1" t="s">
        <v>2</v>
      </c>
      <c r="F2256" s="1" t="s">
        <v>2</v>
      </c>
    </row>
    <row r="2257">
      <c r="E2257" s="1" t="s">
        <v>2</v>
      </c>
      <c r="F2257" s="1" t="s">
        <v>2</v>
      </c>
    </row>
    <row r="2258">
      <c r="E2258" s="1" t="s">
        <v>2</v>
      </c>
      <c r="F2258" s="1" t="s">
        <v>2</v>
      </c>
    </row>
    <row r="2259">
      <c r="E2259" s="1" t="s">
        <v>2</v>
      </c>
      <c r="F2259" s="1" t="s">
        <v>2</v>
      </c>
    </row>
    <row r="2260">
      <c r="E2260" s="1" t="s">
        <v>2</v>
      </c>
      <c r="F2260" s="1" t="s">
        <v>2</v>
      </c>
    </row>
    <row r="2261">
      <c r="E2261" s="1" t="s">
        <v>2</v>
      </c>
      <c r="F2261" s="1" t="s">
        <v>2</v>
      </c>
    </row>
    <row r="2262">
      <c r="E2262" s="1" t="s">
        <v>2</v>
      </c>
      <c r="F2262" s="1" t="s">
        <v>2</v>
      </c>
    </row>
    <row r="2263">
      <c r="E2263" s="1" t="s">
        <v>2</v>
      </c>
      <c r="F2263" s="1" t="s">
        <v>2</v>
      </c>
    </row>
    <row r="2264">
      <c r="E2264" s="1" t="s">
        <v>2</v>
      </c>
      <c r="F2264" s="1" t="s">
        <v>2</v>
      </c>
    </row>
    <row r="2265">
      <c r="E2265" s="1" t="s">
        <v>2</v>
      </c>
      <c r="F2265" s="1" t="s">
        <v>2</v>
      </c>
    </row>
    <row r="2266">
      <c r="E2266" s="1" t="s">
        <v>2</v>
      </c>
      <c r="F2266" s="1" t="s">
        <v>2</v>
      </c>
    </row>
    <row r="2267">
      <c r="E2267" s="1" t="s">
        <v>2</v>
      </c>
      <c r="F2267" s="1" t="s">
        <v>2</v>
      </c>
    </row>
    <row r="2268">
      <c r="E2268" s="1" t="s">
        <v>2</v>
      </c>
      <c r="F2268" s="1" t="s">
        <v>2</v>
      </c>
    </row>
    <row r="2269">
      <c r="E2269" s="1" t="s">
        <v>2</v>
      </c>
      <c r="F2269" s="1" t="s">
        <v>2</v>
      </c>
    </row>
    <row r="2270">
      <c r="E2270" s="1" t="s">
        <v>2</v>
      </c>
      <c r="F2270" s="1" t="s">
        <v>2</v>
      </c>
    </row>
    <row r="2271">
      <c r="E2271" s="1" t="s">
        <v>2</v>
      </c>
      <c r="F2271" s="1" t="s">
        <v>2</v>
      </c>
    </row>
    <row r="2272">
      <c r="E2272" s="1" t="s">
        <v>2</v>
      </c>
      <c r="F2272" s="1" t="s">
        <v>2</v>
      </c>
    </row>
    <row r="2273">
      <c r="E2273" s="1" t="s">
        <v>2</v>
      </c>
      <c r="F2273" s="1" t="s">
        <v>2</v>
      </c>
    </row>
    <row r="2274">
      <c r="E2274" s="1" t="s">
        <v>2</v>
      </c>
      <c r="F2274" s="1" t="s">
        <v>2</v>
      </c>
    </row>
    <row r="2275">
      <c r="E2275" s="1" t="s">
        <v>2</v>
      </c>
      <c r="F2275" s="1" t="s">
        <v>2</v>
      </c>
    </row>
    <row r="2276">
      <c r="E2276" s="1" t="s">
        <v>2</v>
      </c>
      <c r="F2276" s="1" t="s">
        <v>2</v>
      </c>
    </row>
    <row r="2277">
      <c r="E2277" s="1" t="s">
        <v>2</v>
      </c>
      <c r="F2277" s="1" t="s">
        <v>2</v>
      </c>
    </row>
    <row r="2278">
      <c r="E2278" s="1" t="s">
        <v>2</v>
      </c>
      <c r="F2278" s="1" t="s">
        <v>2</v>
      </c>
    </row>
    <row r="2279">
      <c r="E2279" s="1" t="s">
        <v>2</v>
      </c>
      <c r="F2279" s="1" t="s">
        <v>2</v>
      </c>
    </row>
    <row r="2280">
      <c r="E2280" s="1" t="s">
        <v>2</v>
      </c>
      <c r="F2280" s="1" t="s">
        <v>2</v>
      </c>
    </row>
    <row r="2281">
      <c r="E2281" s="1" t="s">
        <v>2</v>
      </c>
      <c r="F2281" s="1" t="s">
        <v>2</v>
      </c>
    </row>
    <row r="2282">
      <c r="E2282" s="1" t="s">
        <v>2</v>
      </c>
      <c r="F2282" s="1" t="s">
        <v>2</v>
      </c>
    </row>
    <row r="2283">
      <c r="E2283" s="1" t="s">
        <v>2</v>
      </c>
      <c r="F2283" s="1" t="s">
        <v>2</v>
      </c>
    </row>
    <row r="2284">
      <c r="E2284" s="1" t="s">
        <v>2</v>
      </c>
      <c r="F2284" s="1" t="s">
        <v>2</v>
      </c>
    </row>
    <row r="2285">
      <c r="E2285" s="1" t="s">
        <v>2</v>
      </c>
      <c r="F2285" s="1" t="s">
        <v>2</v>
      </c>
    </row>
    <row r="2286">
      <c r="E2286" s="1" t="s">
        <v>2</v>
      </c>
      <c r="F2286" s="1" t="s">
        <v>2</v>
      </c>
    </row>
    <row r="2287">
      <c r="E2287" s="1" t="s">
        <v>2</v>
      </c>
      <c r="F2287" s="1" t="s">
        <v>2</v>
      </c>
    </row>
    <row r="2288">
      <c r="E2288" s="1" t="s">
        <v>2</v>
      </c>
      <c r="F2288" s="1" t="s">
        <v>2</v>
      </c>
    </row>
    <row r="2289">
      <c r="E2289" s="1" t="s">
        <v>2</v>
      </c>
      <c r="F2289" s="1" t="s">
        <v>2</v>
      </c>
    </row>
    <row r="2290">
      <c r="E2290" s="1" t="s">
        <v>2</v>
      </c>
      <c r="F2290" s="1" t="s">
        <v>2</v>
      </c>
    </row>
    <row r="2291">
      <c r="E2291" s="1" t="s">
        <v>2</v>
      </c>
      <c r="F2291" s="1" t="s">
        <v>2</v>
      </c>
    </row>
    <row r="2292">
      <c r="E2292" s="1" t="s">
        <v>2</v>
      </c>
      <c r="F2292" s="1" t="s">
        <v>2</v>
      </c>
    </row>
    <row r="2293">
      <c r="E2293" s="1" t="s">
        <v>2</v>
      </c>
      <c r="F2293" s="1" t="s">
        <v>2</v>
      </c>
    </row>
    <row r="2294">
      <c r="E2294" s="1" t="s">
        <v>2</v>
      </c>
      <c r="F2294" s="1" t="s">
        <v>2</v>
      </c>
    </row>
    <row r="2295">
      <c r="E2295" s="1" t="s">
        <v>2</v>
      </c>
      <c r="F2295" s="1" t="s">
        <v>2</v>
      </c>
    </row>
    <row r="2296">
      <c r="E2296" s="1" t="s">
        <v>2</v>
      </c>
      <c r="F2296" s="1" t="s">
        <v>2</v>
      </c>
    </row>
    <row r="2297">
      <c r="E2297" s="1" t="s">
        <v>2</v>
      </c>
      <c r="F2297" s="1" t="s">
        <v>2</v>
      </c>
    </row>
    <row r="2298">
      <c r="E2298" s="1" t="s">
        <v>2</v>
      </c>
      <c r="F2298" s="1" t="s">
        <v>2</v>
      </c>
    </row>
    <row r="2299">
      <c r="E2299" s="1" t="s">
        <v>2</v>
      </c>
      <c r="F2299" s="1" t="s">
        <v>2</v>
      </c>
    </row>
    <row r="2300">
      <c r="E2300" s="1" t="s">
        <v>2</v>
      </c>
      <c r="F2300" s="1" t="s">
        <v>2</v>
      </c>
    </row>
    <row r="2301">
      <c r="E2301" s="1" t="s">
        <v>2</v>
      </c>
      <c r="F2301" s="1" t="s">
        <v>2</v>
      </c>
    </row>
    <row r="2302">
      <c r="E2302" s="1" t="s">
        <v>2</v>
      </c>
      <c r="F2302" s="1" t="s">
        <v>2</v>
      </c>
    </row>
    <row r="2303">
      <c r="E2303" s="1" t="s">
        <v>2</v>
      </c>
      <c r="F2303" s="1" t="s">
        <v>2</v>
      </c>
    </row>
    <row r="2304">
      <c r="E2304" s="1" t="s">
        <v>2</v>
      </c>
      <c r="F2304" s="1" t="s">
        <v>2</v>
      </c>
    </row>
    <row r="2305">
      <c r="E2305" s="1" t="s">
        <v>2</v>
      </c>
      <c r="F2305" s="1" t="s">
        <v>2</v>
      </c>
    </row>
    <row r="2306">
      <c r="E2306" s="1" t="s">
        <v>2</v>
      </c>
      <c r="F2306" s="1" t="s">
        <v>2</v>
      </c>
    </row>
    <row r="2307">
      <c r="E2307" s="1" t="s">
        <v>2</v>
      </c>
      <c r="F2307" s="1" t="s">
        <v>2</v>
      </c>
    </row>
    <row r="2308">
      <c r="E2308" s="1" t="s">
        <v>2</v>
      </c>
      <c r="F2308" s="1" t="s">
        <v>2</v>
      </c>
    </row>
    <row r="2309">
      <c r="E2309" s="1" t="s">
        <v>2</v>
      </c>
      <c r="F2309" s="1" t="s">
        <v>2</v>
      </c>
    </row>
    <row r="2310">
      <c r="E2310" s="1" t="s">
        <v>2</v>
      </c>
      <c r="F2310" s="1" t="s">
        <v>2</v>
      </c>
    </row>
    <row r="2311">
      <c r="E2311" s="1" t="s">
        <v>2</v>
      </c>
      <c r="F2311" s="1" t="s">
        <v>2</v>
      </c>
    </row>
    <row r="2312">
      <c r="E2312" s="1" t="s">
        <v>2</v>
      </c>
      <c r="F2312" s="1" t="s">
        <v>2</v>
      </c>
    </row>
    <row r="2313">
      <c r="E2313" s="1" t="s">
        <v>2</v>
      </c>
      <c r="F2313" s="1" t="s">
        <v>2</v>
      </c>
    </row>
    <row r="2314">
      <c r="E2314" s="1" t="s">
        <v>2</v>
      </c>
      <c r="F2314" s="1" t="s">
        <v>2</v>
      </c>
    </row>
    <row r="2315">
      <c r="E2315" s="1" t="s">
        <v>2</v>
      </c>
      <c r="F2315" s="1" t="s">
        <v>2</v>
      </c>
    </row>
    <row r="2316">
      <c r="E2316" s="1" t="s">
        <v>2</v>
      </c>
      <c r="F2316" s="1" t="s">
        <v>2</v>
      </c>
    </row>
    <row r="2317">
      <c r="E2317" s="1" t="s">
        <v>2</v>
      </c>
      <c r="F2317" s="1" t="s">
        <v>2</v>
      </c>
    </row>
    <row r="2318">
      <c r="E2318" s="1" t="s">
        <v>2</v>
      </c>
      <c r="F2318" s="1" t="s">
        <v>2</v>
      </c>
    </row>
    <row r="2319">
      <c r="E2319" s="1" t="s">
        <v>2</v>
      </c>
      <c r="F2319" s="1" t="s">
        <v>2</v>
      </c>
    </row>
    <row r="2320">
      <c r="E2320" s="1" t="s">
        <v>2</v>
      </c>
      <c r="F2320" s="1" t="s">
        <v>2</v>
      </c>
    </row>
    <row r="2321">
      <c r="E2321" s="1" t="s">
        <v>2</v>
      </c>
      <c r="F2321" s="1" t="s">
        <v>2</v>
      </c>
    </row>
    <row r="2322">
      <c r="E2322" s="1" t="s">
        <v>2</v>
      </c>
      <c r="F2322" s="1" t="s">
        <v>2</v>
      </c>
    </row>
    <row r="2323">
      <c r="E2323" s="1" t="s">
        <v>2</v>
      </c>
      <c r="F2323" s="1" t="s">
        <v>2</v>
      </c>
    </row>
    <row r="2324">
      <c r="E2324" s="1" t="s">
        <v>2</v>
      </c>
      <c r="F2324" s="1" t="s">
        <v>2</v>
      </c>
    </row>
    <row r="2325">
      <c r="E2325" s="1" t="s">
        <v>2</v>
      </c>
      <c r="F2325" s="1" t="s">
        <v>2</v>
      </c>
    </row>
    <row r="2326">
      <c r="E2326" s="1" t="s">
        <v>2</v>
      </c>
      <c r="F2326" s="1" t="s">
        <v>2</v>
      </c>
    </row>
    <row r="2327">
      <c r="E2327" s="1" t="s">
        <v>2</v>
      </c>
      <c r="F2327" s="1" t="s">
        <v>2</v>
      </c>
    </row>
    <row r="2328">
      <c r="E2328" s="1" t="s">
        <v>2</v>
      </c>
      <c r="F2328" s="1" t="s">
        <v>2</v>
      </c>
    </row>
    <row r="2329">
      <c r="E2329" s="1" t="s">
        <v>2</v>
      </c>
      <c r="F2329" s="1" t="s">
        <v>2</v>
      </c>
    </row>
    <row r="2330">
      <c r="E2330" s="1" t="s">
        <v>2</v>
      </c>
      <c r="F2330" s="1" t="s">
        <v>2</v>
      </c>
    </row>
    <row r="2331">
      <c r="E2331" s="1" t="s">
        <v>2</v>
      </c>
      <c r="F2331" s="1" t="s">
        <v>2</v>
      </c>
    </row>
    <row r="2332">
      <c r="E2332" s="1" t="s">
        <v>2</v>
      </c>
      <c r="F2332" s="1" t="s">
        <v>2</v>
      </c>
    </row>
    <row r="2333">
      <c r="E2333" s="1" t="s">
        <v>2</v>
      </c>
      <c r="F2333" s="1" t="s">
        <v>2</v>
      </c>
    </row>
    <row r="2334">
      <c r="E2334" s="1" t="s">
        <v>2</v>
      </c>
      <c r="F2334" s="1" t="s">
        <v>2</v>
      </c>
    </row>
    <row r="2335">
      <c r="E2335" s="1" t="s">
        <v>2</v>
      </c>
      <c r="F2335" s="1" t="s">
        <v>2</v>
      </c>
    </row>
    <row r="2336">
      <c r="E2336" s="1" t="s">
        <v>2</v>
      </c>
      <c r="F2336" s="1" t="s">
        <v>2</v>
      </c>
    </row>
    <row r="2337">
      <c r="E2337" s="1" t="s">
        <v>2</v>
      </c>
      <c r="F2337" s="1" t="s">
        <v>2</v>
      </c>
    </row>
    <row r="2338">
      <c r="E2338" s="1" t="s">
        <v>2</v>
      </c>
      <c r="F2338" s="1" t="s">
        <v>2</v>
      </c>
    </row>
    <row r="2339">
      <c r="E2339" s="1" t="s">
        <v>2</v>
      </c>
      <c r="F2339" s="1" t="s">
        <v>2</v>
      </c>
    </row>
    <row r="2340">
      <c r="E2340" s="1" t="s">
        <v>2</v>
      </c>
      <c r="F2340" s="1" t="s">
        <v>2</v>
      </c>
    </row>
    <row r="2341">
      <c r="E2341" s="1" t="s">
        <v>2</v>
      </c>
      <c r="F2341" s="1" t="s">
        <v>2</v>
      </c>
    </row>
    <row r="2342">
      <c r="E2342" s="1" t="s">
        <v>2</v>
      </c>
      <c r="F2342" s="1" t="s">
        <v>2</v>
      </c>
    </row>
    <row r="2343">
      <c r="E2343" s="1" t="s">
        <v>2</v>
      </c>
      <c r="F2343" s="1" t="s">
        <v>2</v>
      </c>
    </row>
    <row r="2344">
      <c r="E2344" s="1" t="s">
        <v>2</v>
      </c>
      <c r="F2344" s="1" t="s">
        <v>2</v>
      </c>
    </row>
    <row r="2345">
      <c r="E2345" s="1" t="s">
        <v>2</v>
      </c>
      <c r="F2345" s="1" t="s">
        <v>2</v>
      </c>
    </row>
    <row r="2346">
      <c r="E2346" s="1" t="s">
        <v>2</v>
      </c>
      <c r="F2346" s="1" t="s">
        <v>2</v>
      </c>
    </row>
    <row r="2347">
      <c r="E2347" s="1" t="s">
        <v>2</v>
      </c>
      <c r="F2347" s="1" t="s">
        <v>2</v>
      </c>
    </row>
    <row r="2348">
      <c r="E2348" s="1" t="s">
        <v>2</v>
      </c>
      <c r="F2348" s="1" t="s">
        <v>2</v>
      </c>
    </row>
    <row r="2349">
      <c r="E2349" s="1" t="s">
        <v>2</v>
      </c>
      <c r="F2349" s="1" t="s">
        <v>2</v>
      </c>
    </row>
    <row r="2350">
      <c r="E2350" s="1" t="s">
        <v>2</v>
      </c>
      <c r="F2350" s="1" t="s">
        <v>2</v>
      </c>
    </row>
    <row r="2351">
      <c r="E2351" s="1" t="s">
        <v>2</v>
      </c>
      <c r="F2351" s="1" t="s">
        <v>2</v>
      </c>
    </row>
    <row r="2352">
      <c r="E2352" s="1" t="s">
        <v>2</v>
      </c>
      <c r="F2352" s="1" t="s">
        <v>2</v>
      </c>
    </row>
    <row r="2353">
      <c r="E2353" s="1" t="s">
        <v>2</v>
      </c>
      <c r="F2353" s="1" t="s">
        <v>2</v>
      </c>
    </row>
    <row r="2354">
      <c r="E2354" s="1" t="s">
        <v>2</v>
      </c>
      <c r="F2354" s="1" t="s">
        <v>2</v>
      </c>
    </row>
    <row r="2355">
      <c r="E2355" s="1" t="s">
        <v>2</v>
      </c>
      <c r="F2355" s="1" t="s">
        <v>2</v>
      </c>
    </row>
    <row r="2356">
      <c r="E2356" s="1" t="s">
        <v>2</v>
      </c>
      <c r="F2356" s="1" t="s">
        <v>2</v>
      </c>
    </row>
    <row r="2357">
      <c r="E2357" s="1" t="s">
        <v>2</v>
      </c>
      <c r="F2357" s="1" t="s">
        <v>2</v>
      </c>
    </row>
    <row r="2358">
      <c r="E2358" s="1" t="s">
        <v>2</v>
      </c>
      <c r="F2358" s="1" t="s">
        <v>2</v>
      </c>
    </row>
    <row r="2359">
      <c r="E2359" s="1" t="s">
        <v>2</v>
      </c>
      <c r="F2359" s="1" t="s">
        <v>2</v>
      </c>
    </row>
    <row r="2360">
      <c r="E2360" s="1" t="s">
        <v>2</v>
      </c>
      <c r="F2360" s="1" t="s">
        <v>2</v>
      </c>
    </row>
    <row r="2361">
      <c r="E2361" s="1" t="s">
        <v>2</v>
      </c>
      <c r="F2361" s="1" t="s">
        <v>2</v>
      </c>
    </row>
    <row r="2362">
      <c r="E2362" s="1" t="s">
        <v>2</v>
      </c>
      <c r="F2362" s="1" t="s">
        <v>2</v>
      </c>
    </row>
    <row r="2363">
      <c r="E2363" s="1" t="s">
        <v>2</v>
      </c>
      <c r="F2363" s="1" t="s">
        <v>2</v>
      </c>
    </row>
    <row r="2364">
      <c r="E2364" s="1" t="s">
        <v>2</v>
      </c>
      <c r="F2364" s="1" t="s">
        <v>2</v>
      </c>
    </row>
    <row r="2365">
      <c r="E2365" s="1" t="s">
        <v>2</v>
      </c>
      <c r="F2365" s="1" t="s">
        <v>2</v>
      </c>
    </row>
    <row r="2366">
      <c r="E2366" s="1" t="s">
        <v>2</v>
      </c>
      <c r="F2366" s="1" t="s">
        <v>2</v>
      </c>
    </row>
    <row r="2367">
      <c r="E2367" s="1" t="s">
        <v>2</v>
      </c>
      <c r="F2367" s="1" t="s">
        <v>2</v>
      </c>
    </row>
    <row r="2368">
      <c r="E2368" s="1" t="s">
        <v>2</v>
      </c>
      <c r="F2368" s="1" t="s">
        <v>2</v>
      </c>
    </row>
    <row r="2369">
      <c r="E2369" s="1" t="s">
        <v>2</v>
      </c>
      <c r="F2369" s="1" t="s">
        <v>2</v>
      </c>
    </row>
    <row r="2370">
      <c r="E2370" s="1" t="s">
        <v>2</v>
      </c>
      <c r="F2370" s="1" t="s">
        <v>2</v>
      </c>
    </row>
    <row r="2371">
      <c r="E2371" s="1" t="s">
        <v>2</v>
      </c>
      <c r="F2371" s="1" t="s">
        <v>2</v>
      </c>
    </row>
    <row r="2372">
      <c r="E2372" s="1" t="s">
        <v>2</v>
      </c>
      <c r="F2372" s="1" t="s">
        <v>2</v>
      </c>
    </row>
    <row r="2373">
      <c r="E2373" s="1" t="s">
        <v>2</v>
      </c>
      <c r="F2373" s="1" t="s">
        <v>2</v>
      </c>
    </row>
    <row r="2374">
      <c r="E2374" s="1" t="s">
        <v>2</v>
      </c>
      <c r="F2374" s="1" t="s">
        <v>2</v>
      </c>
    </row>
    <row r="2375">
      <c r="E2375" s="1" t="s">
        <v>2</v>
      </c>
      <c r="F2375" s="1" t="s">
        <v>2</v>
      </c>
    </row>
    <row r="2376">
      <c r="E2376" s="1" t="s">
        <v>2</v>
      </c>
      <c r="F2376" s="1" t="s">
        <v>2</v>
      </c>
    </row>
    <row r="2377">
      <c r="E2377" s="1" t="s">
        <v>2</v>
      </c>
      <c r="F2377" s="1" t="s">
        <v>2</v>
      </c>
    </row>
    <row r="2378">
      <c r="E2378" s="1" t="s">
        <v>2</v>
      </c>
      <c r="F2378" s="1" t="s">
        <v>2</v>
      </c>
    </row>
    <row r="2379">
      <c r="E2379" s="1" t="s">
        <v>2</v>
      </c>
      <c r="F2379" s="1" t="s">
        <v>2</v>
      </c>
    </row>
    <row r="2380">
      <c r="E2380" s="1" t="s">
        <v>2</v>
      </c>
      <c r="F2380" s="1" t="s">
        <v>2</v>
      </c>
    </row>
    <row r="2381">
      <c r="E2381" s="1" t="s">
        <v>2</v>
      </c>
      <c r="F2381" s="1" t="s">
        <v>2</v>
      </c>
    </row>
    <row r="2382">
      <c r="E2382" s="1" t="s">
        <v>2</v>
      </c>
      <c r="F2382" s="1" t="s">
        <v>2</v>
      </c>
    </row>
    <row r="2383">
      <c r="E2383" s="1" t="s">
        <v>2</v>
      </c>
      <c r="F2383" s="1" t="s">
        <v>2</v>
      </c>
    </row>
    <row r="2384">
      <c r="E2384" s="1" t="s">
        <v>2</v>
      </c>
      <c r="F2384" s="1" t="s">
        <v>2</v>
      </c>
    </row>
    <row r="2385">
      <c r="E2385" s="1" t="s">
        <v>2</v>
      </c>
      <c r="F2385" s="1" t="s">
        <v>2</v>
      </c>
    </row>
    <row r="2386">
      <c r="E2386" s="1" t="s">
        <v>2</v>
      </c>
      <c r="F2386" s="1" t="s">
        <v>2</v>
      </c>
    </row>
    <row r="2387">
      <c r="E2387" s="1" t="s">
        <v>2</v>
      </c>
      <c r="F2387" s="1" t="s">
        <v>2</v>
      </c>
    </row>
    <row r="2388">
      <c r="E2388" s="1" t="s">
        <v>2</v>
      </c>
      <c r="F2388" s="1" t="s">
        <v>2</v>
      </c>
    </row>
    <row r="2389">
      <c r="E2389" s="1" t="s">
        <v>2</v>
      </c>
      <c r="F2389" s="1" t="s">
        <v>2</v>
      </c>
    </row>
    <row r="2390">
      <c r="E2390" s="1" t="s">
        <v>2</v>
      </c>
      <c r="F2390" s="1" t="s">
        <v>2</v>
      </c>
    </row>
    <row r="2391">
      <c r="E2391" s="1" t="s">
        <v>2</v>
      </c>
      <c r="F2391" s="1" t="s">
        <v>2</v>
      </c>
    </row>
    <row r="2392">
      <c r="E2392" s="1" t="s">
        <v>2</v>
      </c>
      <c r="F2392" s="1" t="s">
        <v>2</v>
      </c>
    </row>
    <row r="2393">
      <c r="E2393" s="1" t="s">
        <v>2</v>
      </c>
      <c r="F2393" s="1" t="s">
        <v>2</v>
      </c>
    </row>
    <row r="2394">
      <c r="E2394" s="1" t="s">
        <v>2</v>
      </c>
      <c r="F2394" s="1" t="s">
        <v>2</v>
      </c>
    </row>
    <row r="2395">
      <c r="E2395" s="1" t="s">
        <v>2</v>
      </c>
      <c r="F2395" s="1" t="s">
        <v>2</v>
      </c>
    </row>
    <row r="2396">
      <c r="E2396" s="1" t="s">
        <v>2</v>
      </c>
      <c r="F2396" s="1" t="s">
        <v>2</v>
      </c>
    </row>
    <row r="2397">
      <c r="E2397" s="1" t="s">
        <v>2</v>
      </c>
      <c r="F2397" s="1" t="s">
        <v>2</v>
      </c>
    </row>
    <row r="2398">
      <c r="E2398" s="1" t="s">
        <v>2</v>
      </c>
      <c r="F2398" s="1" t="s">
        <v>2</v>
      </c>
    </row>
    <row r="2399">
      <c r="E2399" s="1" t="s">
        <v>2</v>
      </c>
      <c r="F2399" s="1" t="s">
        <v>2</v>
      </c>
    </row>
    <row r="2400">
      <c r="E2400" s="1" t="s">
        <v>2</v>
      </c>
      <c r="F2400" s="1" t="s">
        <v>2</v>
      </c>
    </row>
    <row r="2401">
      <c r="E2401" s="1" t="s">
        <v>2</v>
      </c>
      <c r="F2401" s="1" t="s">
        <v>2</v>
      </c>
    </row>
    <row r="2402">
      <c r="E2402" s="1" t="s">
        <v>2</v>
      </c>
      <c r="F2402" s="1" t="s">
        <v>2</v>
      </c>
    </row>
    <row r="2403">
      <c r="E2403" s="1" t="s">
        <v>2</v>
      </c>
      <c r="F2403" s="1" t="s">
        <v>2</v>
      </c>
    </row>
    <row r="2404">
      <c r="E2404" s="1" t="s">
        <v>2</v>
      </c>
      <c r="F2404" s="1" t="s">
        <v>2</v>
      </c>
    </row>
    <row r="2405">
      <c r="E2405" s="1" t="s">
        <v>2</v>
      </c>
      <c r="F2405" s="1" t="s">
        <v>2</v>
      </c>
    </row>
    <row r="2406">
      <c r="E2406" s="1" t="s">
        <v>2</v>
      </c>
      <c r="F2406" s="1" t="s">
        <v>2</v>
      </c>
    </row>
    <row r="2407">
      <c r="E2407" s="1" t="s">
        <v>2</v>
      </c>
      <c r="F2407" s="1" t="s">
        <v>2</v>
      </c>
    </row>
    <row r="2408">
      <c r="E2408" s="1" t="s">
        <v>2</v>
      </c>
      <c r="F2408" s="1" t="s">
        <v>2</v>
      </c>
    </row>
    <row r="2409">
      <c r="E2409" s="1" t="s">
        <v>2</v>
      </c>
      <c r="F2409" s="1" t="s">
        <v>2</v>
      </c>
    </row>
    <row r="2410">
      <c r="E2410" s="1" t="s">
        <v>2</v>
      </c>
      <c r="F2410" s="1" t="s">
        <v>2</v>
      </c>
    </row>
    <row r="2411">
      <c r="E2411" s="1" t="s">
        <v>2</v>
      </c>
      <c r="F2411" s="1" t="s">
        <v>2</v>
      </c>
    </row>
    <row r="2412">
      <c r="E2412" s="1" t="s">
        <v>2</v>
      </c>
      <c r="F2412" s="1" t="s">
        <v>2</v>
      </c>
    </row>
    <row r="2413">
      <c r="E2413" s="1" t="s">
        <v>2</v>
      </c>
      <c r="F2413" s="1" t="s">
        <v>2</v>
      </c>
    </row>
    <row r="2414">
      <c r="E2414" s="1" t="s">
        <v>2</v>
      </c>
      <c r="F2414" s="1" t="s">
        <v>2</v>
      </c>
    </row>
    <row r="2415">
      <c r="E2415" s="1" t="s">
        <v>2</v>
      </c>
      <c r="F2415" s="1" t="s">
        <v>2</v>
      </c>
    </row>
    <row r="2416">
      <c r="E2416" s="1" t="s">
        <v>2</v>
      </c>
      <c r="F2416" s="1" t="s">
        <v>2</v>
      </c>
    </row>
    <row r="2417">
      <c r="E2417" s="1" t="s">
        <v>2</v>
      </c>
      <c r="F2417" s="1" t="s">
        <v>2</v>
      </c>
    </row>
    <row r="2418">
      <c r="E2418" s="1" t="s">
        <v>2</v>
      </c>
      <c r="F2418" s="1" t="s">
        <v>2</v>
      </c>
    </row>
    <row r="2419">
      <c r="E2419" s="1" t="s">
        <v>2</v>
      </c>
      <c r="F2419" s="1" t="s">
        <v>2</v>
      </c>
    </row>
    <row r="2420">
      <c r="E2420" s="1" t="s">
        <v>2</v>
      </c>
      <c r="F2420" s="1" t="s">
        <v>2</v>
      </c>
    </row>
    <row r="2421">
      <c r="E2421" s="1" t="s">
        <v>2</v>
      </c>
      <c r="F2421" s="1" t="s">
        <v>2</v>
      </c>
    </row>
    <row r="2422">
      <c r="E2422" s="1" t="s">
        <v>2</v>
      </c>
      <c r="F2422" s="1" t="s">
        <v>2</v>
      </c>
    </row>
    <row r="2423">
      <c r="E2423" s="1" t="s">
        <v>2</v>
      </c>
      <c r="F2423" s="1" t="s">
        <v>2</v>
      </c>
    </row>
    <row r="2424">
      <c r="E2424" s="1" t="s">
        <v>2</v>
      </c>
      <c r="F2424" s="1" t="s">
        <v>2</v>
      </c>
    </row>
    <row r="2425">
      <c r="E2425" s="1" t="s">
        <v>2</v>
      </c>
      <c r="F2425" s="1" t="s">
        <v>2</v>
      </c>
    </row>
    <row r="2426">
      <c r="E2426" s="1" t="s">
        <v>2</v>
      </c>
      <c r="F2426" s="1" t="s">
        <v>2</v>
      </c>
    </row>
    <row r="2427">
      <c r="E2427" s="1" t="s">
        <v>2</v>
      </c>
      <c r="F2427" s="1" t="s">
        <v>2</v>
      </c>
    </row>
    <row r="2428">
      <c r="E2428" s="1" t="s">
        <v>2</v>
      </c>
      <c r="F2428" s="1" t="s">
        <v>2</v>
      </c>
    </row>
    <row r="2429">
      <c r="E2429" s="1" t="s">
        <v>2</v>
      </c>
      <c r="F2429" s="1" t="s">
        <v>2</v>
      </c>
    </row>
    <row r="2430">
      <c r="E2430" s="1" t="s">
        <v>2</v>
      </c>
      <c r="F2430" s="1" t="s">
        <v>2</v>
      </c>
    </row>
    <row r="2431">
      <c r="E2431" s="1" t="s">
        <v>2</v>
      </c>
      <c r="F2431" s="1" t="s">
        <v>2</v>
      </c>
    </row>
    <row r="2432">
      <c r="E2432" s="1" t="s">
        <v>2</v>
      </c>
      <c r="F2432" s="1" t="s">
        <v>2</v>
      </c>
    </row>
    <row r="2433">
      <c r="E2433" s="1" t="s">
        <v>2</v>
      </c>
      <c r="F2433" s="1" t="s">
        <v>2</v>
      </c>
    </row>
    <row r="2434">
      <c r="E2434" s="1" t="s">
        <v>2</v>
      </c>
      <c r="F2434" s="1" t="s">
        <v>2</v>
      </c>
    </row>
    <row r="2435">
      <c r="E2435" s="1" t="s">
        <v>2</v>
      </c>
      <c r="F2435" s="1" t="s">
        <v>2</v>
      </c>
    </row>
    <row r="2436">
      <c r="E2436" s="1" t="s">
        <v>2</v>
      </c>
      <c r="F2436" s="1" t="s">
        <v>2</v>
      </c>
    </row>
    <row r="2437">
      <c r="E2437" s="1" t="s">
        <v>2</v>
      </c>
      <c r="F2437" s="1" t="s">
        <v>2</v>
      </c>
    </row>
    <row r="2438">
      <c r="E2438" s="1" t="s">
        <v>2</v>
      </c>
      <c r="F2438" s="1" t="s">
        <v>2</v>
      </c>
    </row>
    <row r="2439">
      <c r="E2439" s="1" t="s">
        <v>2</v>
      </c>
      <c r="F2439" s="1" t="s">
        <v>2</v>
      </c>
    </row>
    <row r="2440">
      <c r="E2440" s="1" t="s">
        <v>2</v>
      </c>
      <c r="F2440" s="1" t="s">
        <v>2</v>
      </c>
    </row>
    <row r="2441">
      <c r="E2441" s="1" t="s">
        <v>2</v>
      </c>
      <c r="F2441" s="1" t="s">
        <v>2</v>
      </c>
    </row>
    <row r="2442">
      <c r="E2442" s="1" t="s">
        <v>2</v>
      </c>
      <c r="F2442" s="1" t="s">
        <v>2</v>
      </c>
    </row>
    <row r="2443">
      <c r="E2443" s="1" t="s">
        <v>2</v>
      </c>
      <c r="F2443" s="1" t="s">
        <v>2</v>
      </c>
    </row>
    <row r="2444">
      <c r="E2444" s="1" t="s">
        <v>2</v>
      </c>
      <c r="F2444" s="1" t="s">
        <v>2</v>
      </c>
    </row>
    <row r="2445">
      <c r="E2445" s="1" t="s">
        <v>2</v>
      </c>
      <c r="F2445" s="1" t="s">
        <v>2</v>
      </c>
    </row>
    <row r="2446">
      <c r="E2446" s="1" t="s">
        <v>2</v>
      </c>
      <c r="F2446" s="1" t="s">
        <v>2</v>
      </c>
    </row>
    <row r="2447">
      <c r="E2447" s="1" t="s">
        <v>2</v>
      </c>
      <c r="F2447" s="1" t="s">
        <v>2</v>
      </c>
    </row>
    <row r="2448">
      <c r="E2448" s="1" t="s">
        <v>2</v>
      </c>
      <c r="F2448" s="1" t="s">
        <v>2</v>
      </c>
    </row>
    <row r="2449">
      <c r="E2449" s="1" t="s">
        <v>2</v>
      </c>
      <c r="F2449" s="1" t="s">
        <v>2</v>
      </c>
    </row>
    <row r="2450">
      <c r="E2450" s="1" t="s">
        <v>2</v>
      </c>
      <c r="F2450" s="1" t="s">
        <v>2</v>
      </c>
    </row>
    <row r="2451">
      <c r="E2451" s="1" t="s">
        <v>2</v>
      </c>
      <c r="F2451" s="1" t="s">
        <v>2</v>
      </c>
    </row>
    <row r="2452">
      <c r="E2452" s="1" t="s">
        <v>2</v>
      </c>
      <c r="F2452" s="1" t="s">
        <v>2</v>
      </c>
    </row>
    <row r="2453">
      <c r="E2453" s="1" t="s">
        <v>2</v>
      </c>
      <c r="F2453" s="1" t="s">
        <v>2</v>
      </c>
    </row>
    <row r="2454">
      <c r="E2454" s="1" t="s">
        <v>2</v>
      </c>
      <c r="F2454" s="1" t="s">
        <v>2</v>
      </c>
    </row>
    <row r="2455">
      <c r="E2455" s="1" t="s">
        <v>2</v>
      </c>
      <c r="F2455" s="1" t="s">
        <v>2</v>
      </c>
    </row>
    <row r="2456">
      <c r="E2456" s="1" t="s">
        <v>2</v>
      </c>
      <c r="F2456" s="1" t="s">
        <v>2</v>
      </c>
    </row>
    <row r="2457">
      <c r="E2457" s="1" t="s">
        <v>2</v>
      </c>
      <c r="F2457" s="1" t="s">
        <v>2</v>
      </c>
    </row>
    <row r="2458">
      <c r="E2458" s="1" t="s">
        <v>2</v>
      </c>
      <c r="F2458" s="1" t="s">
        <v>2</v>
      </c>
    </row>
    <row r="2459">
      <c r="E2459" s="1" t="s">
        <v>2</v>
      </c>
      <c r="F2459" s="1" t="s">
        <v>2</v>
      </c>
    </row>
    <row r="2460">
      <c r="E2460" s="1" t="s">
        <v>2</v>
      </c>
      <c r="F2460" s="1" t="s">
        <v>2</v>
      </c>
    </row>
    <row r="2461">
      <c r="E2461" s="1" t="s">
        <v>2</v>
      </c>
      <c r="F2461" s="1" t="s">
        <v>2</v>
      </c>
    </row>
    <row r="2462">
      <c r="E2462" s="1" t="s">
        <v>2</v>
      </c>
      <c r="F2462" s="1" t="s">
        <v>2</v>
      </c>
    </row>
    <row r="2463">
      <c r="E2463" s="1" t="s">
        <v>2</v>
      </c>
      <c r="F2463" s="1" t="s">
        <v>2</v>
      </c>
    </row>
    <row r="2464">
      <c r="E2464" s="1" t="s">
        <v>2</v>
      </c>
      <c r="F2464" s="1" t="s">
        <v>2</v>
      </c>
    </row>
    <row r="2465">
      <c r="E2465" s="1" t="s">
        <v>2</v>
      </c>
      <c r="F2465" s="1" t="s">
        <v>2</v>
      </c>
    </row>
    <row r="2466">
      <c r="E2466" s="1" t="s">
        <v>2</v>
      </c>
      <c r="F2466" s="1" t="s">
        <v>2</v>
      </c>
    </row>
    <row r="2467">
      <c r="E2467" s="1" t="s">
        <v>2</v>
      </c>
      <c r="F2467" s="1" t="s">
        <v>2</v>
      </c>
    </row>
    <row r="2468">
      <c r="E2468" s="1" t="s">
        <v>2</v>
      </c>
      <c r="F2468" s="1" t="s">
        <v>2</v>
      </c>
    </row>
    <row r="2469">
      <c r="E2469" s="1" t="s">
        <v>2</v>
      </c>
      <c r="F2469" s="1" t="s">
        <v>2</v>
      </c>
    </row>
    <row r="2470">
      <c r="E2470" s="1" t="s">
        <v>2</v>
      </c>
      <c r="F2470" s="1" t="s">
        <v>2</v>
      </c>
    </row>
    <row r="2471">
      <c r="E2471" s="1" t="s">
        <v>2</v>
      </c>
      <c r="F2471" s="1" t="s">
        <v>2</v>
      </c>
    </row>
    <row r="2472">
      <c r="E2472" s="1" t="s">
        <v>2</v>
      </c>
      <c r="F2472" s="1" t="s">
        <v>2</v>
      </c>
    </row>
    <row r="2473">
      <c r="E2473" s="1" t="s">
        <v>2</v>
      </c>
      <c r="F2473" s="1" t="s">
        <v>2</v>
      </c>
    </row>
    <row r="2474">
      <c r="E2474" s="1" t="s">
        <v>2</v>
      </c>
      <c r="F2474" s="1" t="s">
        <v>2</v>
      </c>
    </row>
    <row r="2475">
      <c r="E2475" s="1" t="s">
        <v>2</v>
      </c>
      <c r="F2475" s="1" t="s">
        <v>2</v>
      </c>
    </row>
    <row r="2476">
      <c r="E2476" s="1" t="s">
        <v>2</v>
      </c>
      <c r="F2476" s="1" t="s">
        <v>2</v>
      </c>
    </row>
    <row r="2477">
      <c r="E2477" s="1" t="s">
        <v>2</v>
      </c>
      <c r="F2477" s="1" t="s">
        <v>2</v>
      </c>
    </row>
    <row r="2478">
      <c r="E2478" s="1" t="s">
        <v>2</v>
      </c>
      <c r="F2478" s="1" t="s">
        <v>2</v>
      </c>
    </row>
    <row r="2479">
      <c r="E2479" s="1" t="s">
        <v>2</v>
      </c>
      <c r="F2479" s="1" t="s">
        <v>2</v>
      </c>
    </row>
    <row r="2480">
      <c r="E2480" s="1" t="s">
        <v>2</v>
      </c>
      <c r="F2480" s="1" t="s">
        <v>2</v>
      </c>
    </row>
    <row r="2481">
      <c r="E2481" s="1" t="s">
        <v>2</v>
      </c>
      <c r="F2481" s="1" t="s">
        <v>2</v>
      </c>
    </row>
    <row r="2482">
      <c r="E2482" s="1" t="s">
        <v>2</v>
      </c>
      <c r="F2482" s="1" t="s">
        <v>2</v>
      </c>
    </row>
    <row r="2483">
      <c r="E2483" s="1" t="s">
        <v>2</v>
      </c>
      <c r="F2483" s="1" t="s">
        <v>2</v>
      </c>
    </row>
    <row r="2484">
      <c r="E2484" s="1" t="s">
        <v>2</v>
      </c>
      <c r="F2484" s="1" t="s">
        <v>2</v>
      </c>
    </row>
    <row r="2485">
      <c r="E2485" s="1" t="s">
        <v>2</v>
      </c>
      <c r="F2485" s="1" t="s">
        <v>2</v>
      </c>
    </row>
    <row r="2486">
      <c r="E2486" s="1" t="s">
        <v>2</v>
      </c>
      <c r="F2486" s="1" t="s">
        <v>2</v>
      </c>
    </row>
    <row r="2487">
      <c r="E2487" s="1" t="s">
        <v>2</v>
      </c>
      <c r="F2487" s="1" t="s">
        <v>2</v>
      </c>
    </row>
    <row r="2488">
      <c r="E2488" s="1" t="s">
        <v>2</v>
      </c>
      <c r="F2488" s="1" t="s">
        <v>2</v>
      </c>
    </row>
    <row r="2489">
      <c r="E2489" s="1" t="s">
        <v>2</v>
      </c>
      <c r="F2489" s="1" t="s">
        <v>2</v>
      </c>
    </row>
    <row r="2490">
      <c r="E2490" s="1" t="s">
        <v>2</v>
      </c>
      <c r="F2490" s="1" t="s">
        <v>2</v>
      </c>
    </row>
    <row r="2491">
      <c r="E2491" s="1" t="s">
        <v>2</v>
      </c>
      <c r="F2491" s="1" t="s">
        <v>2</v>
      </c>
    </row>
    <row r="2492">
      <c r="E2492" s="1" t="s">
        <v>2</v>
      </c>
      <c r="F2492" s="1" t="s">
        <v>2</v>
      </c>
    </row>
    <row r="2493">
      <c r="E2493" s="1" t="s">
        <v>2</v>
      </c>
      <c r="F2493" s="1" t="s">
        <v>2</v>
      </c>
    </row>
    <row r="2494">
      <c r="E2494" s="1" t="s">
        <v>2</v>
      </c>
      <c r="F2494" s="1" t="s">
        <v>2</v>
      </c>
    </row>
    <row r="2495">
      <c r="E2495" s="1" t="s">
        <v>2</v>
      </c>
      <c r="F2495" s="1" t="s">
        <v>2</v>
      </c>
    </row>
    <row r="2496">
      <c r="E2496" s="1" t="s">
        <v>2</v>
      </c>
      <c r="F2496" s="1" t="s">
        <v>2</v>
      </c>
    </row>
    <row r="2497">
      <c r="E2497" s="1" t="s">
        <v>2</v>
      </c>
      <c r="F2497" s="1" t="s">
        <v>2</v>
      </c>
    </row>
    <row r="2498">
      <c r="E2498" s="1" t="s">
        <v>2</v>
      </c>
      <c r="F2498" s="1" t="s">
        <v>2</v>
      </c>
    </row>
    <row r="2499">
      <c r="E2499" s="1" t="s">
        <v>2</v>
      </c>
      <c r="F2499" s="1" t="s">
        <v>2</v>
      </c>
    </row>
    <row r="2500">
      <c r="E2500" s="1" t="s">
        <v>2</v>
      </c>
      <c r="F2500" s="1" t="s">
        <v>2</v>
      </c>
    </row>
    <row r="2501">
      <c r="E2501" s="1" t="s">
        <v>2</v>
      </c>
      <c r="F2501" s="1" t="s">
        <v>2</v>
      </c>
    </row>
  </sheetData>
  <drawing r:id="rId1"/>
</worksheet>
</file>